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farah.houdroge\Documents\GitHub\hcv-vaccine\databooks\"/>
    </mc:Choice>
  </mc:AlternateContent>
  <xr:revisionPtr revIDLastSave="0" documentId="13_ncr:1_{93C13CDE-7F1D-4FB1-B570-1B70B21AAC67}" xr6:coauthVersionLast="47" xr6:coauthVersionMax="47" xr10:uidLastSave="{00000000-0000-0000-0000-000000000000}"/>
  <bookViews>
    <workbookView xWindow="-120" yWindow="-120" windowWidth="29040" windowHeight="15720" firstSheet="1" activeTab="8" xr2:uid="{00000000-000D-0000-FFFF-FFFF00000000}"/>
  </bookViews>
  <sheets>
    <sheet name="Population Definitions" sheetId="1" r:id="rId1"/>
    <sheet name="Disease Burden" sheetId="2" r:id="rId2"/>
    <sheet name="Demographics" sheetId="3" r:id="rId3"/>
    <sheet name="Infectiousness" sheetId="4" r:id="rId4"/>
    <sheet name="Disease Progression" sheetId="5" r:id="rId5"/>
    <sheet name="Diagnosis" sheetId="6" r:id="rId6"/>
    <sheet name="Loss to follow-up" sheetId="7" r:id="rId7"/>
    <sheet name="Re-engagement" sheetId="8" r:id="rId8"/>
    <sheet name="Treatment" sheetId="9" r:id="rId9"/>
    <sheet name="Liver Transplant" sheetId="10" r:id="rId10"/>
    <sheet name="Overall Indicators" sheetId="11" r:id="rId11"/>
    <sheet name="Initialization" sheetId="12" r:id="rId12"/>
    <sheet name="Care Cascade" sheetId="13" r:id="rId13"/>
    <sheet name="Other intermediate pars" sheetId="14" r:id="rId14"/>
    <sheet name="Vaccine parameters" sheetId="15" r:id="rId15"/>
    <sheet name="Interactions" sheetId="16" r:id="rId16"/>
    <sheet name="Transfers"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9" l="1"/>
  <c r="G34" i="9"/>
  <c r="G9" i="9"/>
  <c r="U9" i="9" s="1"/>
  <c r="V25" i="9" s="1"/>
  <c r="G10" i="9"/>
  <c r="U10" i="9" s="1"/>
  <c r="V26" i="9" s="1"/>
  <c r="G11" i="9"/>
  <c r="U11" i="9" s="1"/>
  <c r="V27" i="9" s="1"/>
  <c r="G8" i="9"/>
  <c r="U8" i="9" s="1"/>
  <c r="V24" i="9" s="1"/>
  <c r="V51" i="9"/>
  <c r="V50" i="9"/>
  <c r="U35" i="9"/>
  <c r="U34" i="9"/>
  <c r="H650" i="17"/>
  <c r="C650" i="17"/>
  <c r="B650" i="17"/>
  <c r="A650" i="17"/>
  <c r="H649" i="17"/>
  <c r="C649" i="17"/>
  <c r="B649" i="17"/>
  <c r="A649" i="17"/>
  <c r="H648" i="17"/>
  <c r="C648" i="17"/>
  <c r="B648" i="17"/>
  <c r="A648" i="17"/>
  <c r="H647" i="17"/>
  <c r="C647" i="17"/>
  <c r="B647" i="17"/>
  <c r="A647" i="17"/>
  <c r="H646" i="17"/>
  <c r="C646" i="17"/>
  <c r="B646" i="17"/>
  <c r="A646" i="17"/>
  <c r="H645" i="17"/>
  <c r="C645" i="17"/>
  <c r="B645" i="17"/>
  <c r="A645" i="17"/>
  <c r="H644" i="17"/>
  <c r="C644" i="17"/>
  <c r="B644" i="17"/>
  <c r="A644" i="17"/>
  <c r="H643" i="17"/>
  <c r="C643" i="17"/>
  <c r="B643" i="17"/>
  <c r="A643" i="17"/>
  <c r="H642" i="17"/>
  <c r="C642" i="17"/>
  <c r="B642" i="17"/>
  <c r="A642" i="17"/>
  <c r="H641" i="17"/>
  <c r="C641" i="17"/>
  <c r="B641" i="17"/>
  <c r="A641" i="17"/>
  <c r="H640" i="17"/>
  <c r="C640" i="17"/>
  <c r="B640" i="17"/>
  <c r="A640" i="17"/>
  <c r="H639" i="17"/>
  <c r="C639" i="17"/>
  <c r="B639" i="17"/>
  <c r="A639" i="17"/>
  <c r="H638" i="17"/>
  <c r="C638" i="17"/>
  <c r="B638" i="17"/>
  <c r="A638" i="17"/>
  <c r="H637" i="17"/>
  <c r="C637" i="17"/>
  <c r="B637" i="17"/>
  <c r="A637" i="17"/>
  <c r="H636" i="17"/>
  <c r="C636" i="17"/>
  <c r="B636" i="17"/>
  <c r="A636" i="17"/>
  <c r="H635" i="17"/>
  <c r="C635" i="17"/>
  <c r="B635" i="17"/>
  <c r="A635" i="17"/>
  <c r="H634" i="17"/>
  <c r="C634" i="17"/>
  <c r="B634" i="17"/>
  <c r="A634" i="17"/>
  <c r="H633" i="17"/>
  <c r="C633" i="17"/>
  <c r="B633" i="17"/>
  <c r="A633" i="17"/>
  <c r="H632" i="17"/>
  <c r="C632" i="17"/>
  <c r="B632" i="17"/>
  <c r="A632" i="17"/>
  <c r="H631" i="17"/>
  <c r="C631" i="17"/>
  <c r="B631" i="17"/>
  <c r="A631" i="17"/>
  <c r="H630" i="17"/>
  <c r="C630" i="17"/>
  <c r="B630" i="17"/>
  <c r="A630" i="17"/>
  <c r="H629" i="17"/>
  <c r="C629" i="17"/>
  <c r="B629" i="17"/>
  <c r="A629" i="17"/>
  <c r="H628" i="17"/>
  <c r="C628" i="17"/>
  <c r="B628" i="17"/>
  <c r="A628" i="17"/>
  <c r="H627" i="17"/>
  <c r="C627" i="17"/>
  <c r="B627" i="17"/>
  <c r="A627" i="17"/>
  <c r="H626" i="17"/>
  <c r="C626" i="17"/>
  <c r="B626" i="17"/>
  <c r="A626" i="17"/>
  <c r="H625" i="17"/>
  <c r="C625" i="17"/>
  <c r="B625" i="17"/>
  <c r="A625" i="17"/>
  <c r="H624" i="17"/>
  <c r="C624" i="17"/>
  <c r="B624" i="17"/>
  <c r="A624" i="17"/>
  <c r="H623" i="17"/>
  <c r="C623" i="17"/>
  <c r="B623" i="17"/>
  <c r="A623" i="17"/>
  <c r="H622" i="17"/>
  <c r="C622" i="17"/>
  <c r="B622" i="17"/>
  <c r="A622" i="17"/>
  <c r="H621" i="17"/>
  <c r="C621" i="17"/>
  <c r="B621" i="17"/>
  <c r="A621" i="17"/>
  <c r="H620" i="17"/>
  <c r="C620" i="17"/>
  <c r="B620" i="17"/>
  <c r="A620" i="17"/>
  <c r="H619" i="17"/>
  <c r="C619" i="17"/>
  <c r="B619" i="17"/>
  <c r="A619" i="17"/>
  <c r="H618" i="17"/>
  <c r="C618" i="17"/>
  <c r="B618" i="17"/>
  <c r="A618" i="17"/>
  <c r="H617" i="17"/>
  <c r="C617" i="17"/>
  <c r="B617" i="17"/>
  <c r="A617" i="17"/>
  <c r="H616" i="17"/>
  <c r="C616" i="17"/>
  <c r="B616" i="17"/>
  <c r="A616" i="17"/>
  <c r="H615" i="17"/>
  <c r="C615" i="17"/>
  <c r="B615" i="17"/>
  <c r="A615" i="17"/>
  <c r="H614" i="17"/>
  <c r="C614" i="17"/>
  <c r="B614" i="17"/>
  <c r="A614" i="17"/>
  <c r="H613" i="17"/>
  <c r="C613" i="17"/>
  <c r="B613" i="17"/>
  <c r="A613" i="17"/>
  <c r="H612" i="17"/>
  <c r="C612" i="17"/>
  <c r="B612" i="17"/>
  <c r="A612" i="17"/>
  <c r="H611" i="17"/>
  <c r="C611" i="17"/>
  <c r="B611" i="17"/>
  <c r="A611" i="17"/>
  <c r="H610" i="17"/>
  <c r="C610" i="17"/>
  <c r="B610" i="17"/>
  <c r="A610" i="17"/>
  <c r="H609" i="17"/>
  <c r="C609" i="17"/>
  <c r="B609" i="17"/>
  <c r="A609" i="17"/>
  <c r="H608" i="17"/>
  <c r="C608" i="17"/>
  <c r="B608" i="17"/>
  <c r="A608" i="17"/>
  <c r="H607" i="17"/>
  <c r="C607" i="17"/>
  <c r="B607" i="17"/>
  <c r="A607" i="17"/>
  <c r="H606" i="17"/>
  <c r="C606" i="17"/>
  <c r="B606" i="17"/>
  <c r="A606" i="17"/>
  <c r="H605" i="17"/>
  <c r="C605" i="17"/>
  <c r="B605" i="17"/>
  <c r="A605" i="17"/>
  <c r="H604" i="17"/>
  <c r="C604" i="17"/>
  <c r="B604" i="17"/>
  <c r="A604" i="17"/>
  <c r="H603" i="17"/>
  <c r="C603" i="17"/>
  <c r="B603" i="17"/>
  <c r="A603" i="17"/>
  <c r="H602" i="17"/>
  <c r="C602" i="17"/>
  <c r="B602" i="17"/>
  <c r="A602" i="17"/>
  <c r="H601" i="17"/>
  <c r="C601" i="17"/>
  <c r="B601" i="17"/>
  <c r="A601" i="17"/>
  <c r="H600" i="17"/>
  <c r="C600" i="17"/>
  <c r="B600" i="17"/>
  <c r="A600" i="17"/>
  <c r="H599" i="17"/>
  <c r="C599" i="17"/>
  <c r="B599" i="17"/>
  <c r="A599" i="17"/>
  <c r="H598" i="17"/>
  <c r="C598" i="17"/>
  <c r="B598" i="17"/>
  <c r="A598" i="17"/>
  <c r="H597" i="17"/>
  <c r="C597" i="17"/>
  <c r="B597" i="17"/>
  <c r="A597" i="17"/>
  <c r="H596" i="17"/>
  <c r="C596" i="17"/>
  <c r="B596" i="17"/>
  <c r="A596" i="17"/>
  <c r="H595" i="17"/>
  <c r="C595" i="17"/>
  <c r="B595" i="17"/>
  <c r="A595" i="17"/>
  <c r="H594" i="17"/>
  <c r="C594" i="17"/>
  <c r="B594" i="17"/>
  <c r="A594" i="17"/>
  <c r="H593" i="17"/>
  <c r="C593" i="17"/>
  <c r="B593" i="17"/>
  <c r="A593" i="17"/>
  <c r="H592" i="17"/>
  <c r="C592" i="17"/>
  <c r="B592" i="17"/>
  <c r="A592" i="17"/>
  <c r="H591" i="17"/>
  <c r="C591" i="17"/>
  <c r="B591" i="17"/>
  <c r="A591" i="17"/>
  <c r="H590" i="17"/>
  <c r="C590" i="17"/>
  <c r="B590" i="17"/>
  <c r="A590" i="17"/>
  <c r="H589" i="17"/>
  <c r="C589" i="17"/>
  <c r="B589" i="17"/>
  <c r="A589" i="17"/>
  <c r="H588" i="17"/>
  <c r="C588" i="17"/>
  <c r="B588" i="17"/>
  <c r="A588" i="17"/>
  <c r="H587" i="17"/>
  <c r="C587" i="17"/>
  <c r="B587" i="17"/>
  <c r="A587" i="17"/>
  <c r="H586" i="17"/>
  <c r="C586" i="17"/>
  <c r="B586" i="17"/>
  <c r="A586" i="17"/>
  <c r="H585" i="17"/>
  <c r="C585" i="17"/>
  <c r="B585" i="17"/>
  <c r="A585" i="17"/>
  <c r="H584" i="17"/>
  <c r="C584" i="17"/>
  <c r="B584" i="17"/>
  <c r="A584" i="17"/>
  <c r="H583" i="17"/>
  <c r="C583" i="17"/>
  <c r="B583" i="17"/>
  <c r="A583" i="17"/>
  <c r="H582" i="17"/>
  <c r="C582" i="17"/>
  <c r="B582" i="17"/>
  <c r="A582" i="17"/>
  <c r="H581" i="17"/>
  <c r="C581" i="17"/>
  <c r="B581" i="17"/>
  <c r="A581" i="17"/>
  <c r="H580" i="17"/>
  <c r="C580" i="17"/>
  <c r="B580" i="17"/>
  <c r="A580" i="17"/>
  <c r="H579" i="17"/>
  <c r="C579" i="17"/>
  <c r="B579" i="17"/>
  <c r="A579" i="17"/>
  <c r="H578" i="17"/>
  <c r="C578" i="17"/>
  <c r="B578" i="17"/>
  <c r="A578" i="17"/>
  <c r="H577" i="17"/>
  <c r="C577" i="17"/>
  <c r="B577" i="17"/>
  <c r="A577" i="17"/>
  <c r="H576" i="17"/>
  <c r="C576" i="17"/>
  <c r="B576" i="17"/>
  <c r="A576" i="17"/>
  <c r="H575" i="17"/>
  <c r="C575" i="17"/>
  <c r="B575" i="17"/>
  <c r="A575" i="17"/>
  <c r="H574" i="17"/>
  <c r="C574" i="17"/>
  <c r="B574" i="17"/>
  <c r="A574" i="17"/>
  <c r="H573" i="17"/>
  <c r="C573" i="17"/>
  <c r="B573" i="17"/>
  <c r="A573" i="17"/>
  <c r="H572" i="17"/>
  <c r="C572" i="17"/>
  <c r="B572" i="17"/>
  <c r="A572" i="17"/>
  <c r="H571" i="17"/>
  <c r="C571" i="17"/>
  <c r="B571" i="17"/>
  <c r="A571" i="17"/>
  <c r="H570" i="17"/>
  <c r="C570" i="17"/>
  <c r="B570" i="17"/>
  <c r="A570" i="17"/>
  <c r="H569" i="17"/>
  <c r="C569" i="17"/>
  <c r="B569" i="17"/>
  <c r="A569" i="17"/>
  <c r="H568" i="17"/>
  <c r="C568" i="17"/>
  <c r="B568" i="17"/>
  <c r="A568" i="17"/>
  <c r="H567" i="17"/>
  <c r="C567" i="17"/>
  <c r="B567" i="17"/>
  <c r="A567" i="17"/>
  <c r="H566" i="17"/>
  <c r="C566" i="17"/>
  <c r="B566" i="17"/>
  <c r="A566" i="17"/>
  <c r="H565" i="17"/>
  <c r="C565" i="17"/>
  <c r="B565" i="17"/>
  <c r="A565" i="17"/>
  <c r="H564" i="17"/>
  <c r="C564" i="17"/>
  <c r="B564" i="17"/>
  <c r="A564" i="17"/>
  <c r="H563" i="17"/>
  <c r="C563" i="17"/>
  <c r="B563" i="17"/>
  <c r="A563" i="17"/>
  <c r="H562" i="17"/>
  <c r="C562" i="17"/>
  <c r="B562" i="17"/>
  <c r="A562" i="17"/>
  <c r="H561" i="17"/>
  <c r="C561" i="17"/>
  <c r="B561" i="17"/>
  <c r="A561" i="17"/>
  <c r="H560" i="17"/>
  <c r="C560" i="17"/>
  <c r="B560" i="17"/>
  <c r="A560" i="17"/>
  <c r="H559" i="17"/>
  <c r="C559" i="17"/>
  <c r="B559" i="17"/>
  <c r="A559" i="17"/>
  <c r="H558" i="17"/>
  <c r="C558" i="17"/>
  <c r="B558" i="17"/>
  <c r="A558" i="17"/>
  <c r="H557" i="17"/>
  <c r="C557" i="17"/>
  <c r="B557" i="17"/>
  <c r="A557" i="17"/>
  <c r="H556" i="17"/>
  <c r="C556" i="17"/>
  <c r="B556" i="17"/>
  <c r="A556" i="17"/>
  <c r="H555" i="17"/>
  <c r="C555" i="17"/>
  <c r="B555" i="17"/>
  <c r="A555" i="17"/>
  <c r="H554" i="17"/>
  <c r="C554" i="17"/>
  <c r="B554" i="17"/>
  <c r="A554" i="17"/>
  <c r="H553" i="17"/>
  <c r="C553" i="17"/>
  <c r="B553" i="17"/>
  <c r="A553" i="17"/>
  <c r="H552" i="17"/>
  <c r="C552" i="17"/>
  <c r="B552" i="17"/>
  <c r="A552" i="17"/>
  <c r="H551" i="17"/>
  <c r="C551" i="17"/>
  <c r="B551" i="17"/>
  <c r="A551" i="17"/>
  <c r="H550" i="17"/>
  <c r="C550" i="17"/>
  <c r="B550" i="17"/>
  <c r="A550" i="17"/>
  <c r="H549" i="17"/>
  <c r="C549" i="17"/>
  <c r="B549" i="17"/>
  <c r="A549" i="17"/>
  <c r="H548" i="17"/>
  <c r="C548" i="17"/>
  <c r="B548" i="17"/>
  <c r="A548" i="17"/>
  <c r="H547" i="17"/>
  <c r="C547" i="17"/>
  <c r="B547" i="17"/>
  <c r="A547" i="17"/>
  <c r="H546" i="17"/>
  <c r="C546" i="17"/>
  <c r="B546" i="17"/>
  <c r="A546" i="17"/>
  <c r="H545" i="17"/>
  <c r="C545" i="17"/>
  <c r="B545" i="17"/>
  <c r="A545" i="17"/>
  <c r="H544" i="17"/>
  <c r="C544" i="17"/>
  <c r="B544" i="17"/>
  <c r="A544" i="17"/>
  <c r="H543" i="17"/>
  <c r="C543" i="17"/>
  <c r="B543" i="17"/>
  <c r="A543" i="17"/>
  <c r="H542" i="17"/>
  <c r="C542" i="17"/>
  <c r="B542" i="17"/>
  <c r="A542" i="17"/>
  <c r="H541" i="17"/>
  <c r="C541" i="17"/>
  <c r="B541" i="17"/>
  <c r="A541" i="17"/>
  <c r="H540" i="17"/>
  <c r="C540" i="17"/>
  <c r="B540" i="17"/>
  <c r="A540" i="17"/>
  <c r="H539" i="17"/>
  <c r="C539" i="17"/>
  <c r="B539" i="17"/>
  <c r="A539" i="17"/>
  <c r="H538" i="17"/>
  <c r="C538" i="17"/>
  <c r="B538" i="17"/>
  <c r="A538" i="17"/>
  <c r="H537" i="17"/>
  <c r="C537" i="17"/>
  <c r="B537" i="17"/>
  <c r="A537" i="17"/>
  <c r="H536" i="17"/>
  <c r="C536" i="17"/>
  <c r="B536" i="17"/>
  <c r="A536" i="17"/>
  <c r="H535" i="17"/>
  <c r="C535" i="17"/>
  <c r="B535" i="17"/>
  <c r="A535" i="17"/>
  <c r="H534" i="17"/>
  <c r="C534" i="17"/>
  <c r="B534" i="17"/>
  <c r="A534" i="17"/>
  <c r="H533" i="17"/>
  <c r="C533" i="17"/>
  <c r="B533" i="17"/>
  <c r="A533" i="17"/>
  <c r="H532" i="17"/>
  <c r="C532" i="17"/>
  <c r="B532" i="17"/>
  <c r="A532" i="17"/>
  <c r="H531" i="17"/>
  <c r="C531" i="17"/>
  <c r="B531" i="17"/>
  <c r="A531" i="17"/>
  <c r="H530" i="17"/>
  <c r="C530" i="17"/>
  <c r="B530" i="17"/>
  <c r="A530" i="17"/>
  <c r="H529" i="17"/>
  <c r="C529" i="17"/>
  <c r="B529" i="17"/>
  <c r="A529" i="17"/>
  <c r="H528" i="17"/>
  <c r="C528" i="17"/>
  <c r="B528" i="17"/>
  <c r="A528" i="17"/>
  <c r="H527" i="17"/>
  <c r="C527" i="17"/>
  <c r="B527" i="17"/>
  <c r="A527" i="17"/>
  <c r="H526" i="17"/>
  <c r="C526" i="17"/>
  <c r="B526" i="17"/>
  <c r="A526" i="17"/>
  <c r="H525" i="17"/>
  <c r="C525" i="17"/>
  <c r="B525" i="17"/>
  <c r="A525" i="17"/>
  <c r="H524" i="17"/>
  <c r="C524" i="17"/>
  <c r="B524" i="17"/>
  <c r="A524" i="17"/>
  <c r="H523" i="17"/>
  <c r="C523" i="17"/>
  <c r="B523" i="17"/>
  <c r="A523" i="17"/>
  <c r="H522" i="17"/>
  <c r="C522" i="17"/>
  <c r="B522" i="17"/>
  <c r="A522" i="17"/>
  <c r="H521" i="17"/>
  <c r="C521" i="17"/>
  <c r="B521" i="17"/>
  <c r="A521" i="17"/>
  <c r="H520" i="17"/>
  <c r="C520" i="17"/>
  <c r="B520" i="17"/>
  <c r="A520" i="17"/>
  <c r="H519" i="17"/>
  <c r="C519" i="17"/>
  <c r="B519" i="17"/>
  <c r="A519" i="17"/>
  <c r="H518" i="17"/>
  <c r="C518" i="17"/>
  <c r="B518" i="17"/>
  <c r="A518" i="17"/>
  <c r="H517" i="17"/>
  <c r="C517" i="17"/>
  <c r="B517" i="17"/>
  <c r="A517" i="17"/>
  <c r="H516" i="17"/>
  <c r="C516" i="17"/>
  <c r="B516" i="17"/>
  <c r="A516" i="17"/>
  <c r="H515" i="17"/>
  <c r="C515" i="17"/>
  <c r="B515" i="17"/>
  <c r="A515" i="17"/>
  <c r="H514" i="17"/>
  <c r="C514" i="17"/>
  <c r="B514" i="17"/>
  <c r="A514" i="17"/>
  <c r="H513" i="17"/>
  <c r="C513" i="17"/>
  <c r="B513" i="17"/>
  <c r="A513" i="17"/>
  <c r="H512" i="17"/>
  <c r="C512" i="17"/>
  <c r="B512" i="17"/>
  <c r="A512" i="17"/>
  <c r="H511" i="17"/>
  <c r="C511" i="17"/>
  <c r="B511" i="17"/>
  <c r="A511" i="17"/>
  <c r="H510" i="17"/>
  <c r="C510" i="17"/>
  <c r="B510" i="17"/>
  <c r="A510" i="17"/>
  <c r="H509" i="17"/>
  <c r="C509" i="17"/>
  <c r="B509" i="17"/>
  <c r="A509" i="17"/>
  <c r="H508" i="17"/>
  <c r="C508" i="17"/>
  <c r="B508" i="17"/>
  <c r="A508" i="17"/>
  <c r="H507" i="17"/>
  <c r="C507" i="17"/>
  <c r="B507" i="17"/>
  <c r="A507" i="17"/>
  <c r="H506" i="17"/>
  <c r="C506" i="17"/>
  <c r="B506" i="17"/>
  <c r="A506" i="17"/>
  <c r="H505" i="17"/>
  <c r="C505" i="17"/>
  <c r="B505" i="17"/>
  <c r="A505" i="17"/>
  <c r="H504" i="17"/>
  <c r="C504" i="17"/>
  <c r="B504" i="17"/>
  <c r="A504" i="17"/>
  <c r="H503" i="17"/>
  <c r="C503" i="17"/>
  <c r="B503" i="17"/>
  <c r="A503" i="17"/>
  <c r="H502" i="17"/>
  <c r="C502" i="17"/>
  <c r="B502" i="17"/>
  <c r="A502" i="17"/>
  <c r="H501" i="17"/>
  <c r="C501" i="17"/>
  <c r="B501" i="17"/>
  <c r="A501" i="17"/>
  <c r="H500" i="17"/>
  <c r="C500" i="17"/>
  <c r="B500" i="17"/>
  <c r="A500" i="17"/>
  <c r="H499" i="17"/>
  <c r="C499" i="17"/>
  <c r="B499" i="17"/>
  <c r="A499" i="17"/>
  <c r="H498" i="17"/>
  <c r="C498" i="17"/>
  <c r="B498" i="17"/>
  <c r="A498" i="17"/>
  <c r="H497" i="17"/>
  <c r="C497" i="17"/>
  <c r="B497" i="17"/>
  <c r="A497" i="17"/>
  <c r="H496" i="17"/>
  <c r="C496" i="17"/>
  <c r="B496" i="17"/>
  <c r="A496" i="17"/>
  <c r="H495" i="17"/>
  <c r="C495" i="17"/>
  <c r="B495" i="17"/>
  <c r="A495" i="17"/>
  <c r="H494" i="17"/>
  <c r="C494" i="17"/>
  <c r="B494" i="17"/>
  <c r="A494" i="17"/>
  <c r="H493" i="17"/>
  <c r="C493" i="17"/>
  <c r="B493" i="17"/>
  <c r="A493" i="17"/>
  <c r="H492" i="17"/>
  <c r="C492" i="17"/>
  <c r="B492" i="17"/>
  <c r="A492" i="17"/>
  <c r="H491" i="17"/>
  <c r="C491" i="17"/>
  <c r="B491" i="17"/>
  <c r="A491" i="17"/>
  <c r="H490" i="17"/>
  <c r="C490" i="17"/>
  <c r="B490" i="17"/>
  <c r="A490" i="17"/>
  <c r="H489" i="17"/>
  <c r="C489" i="17"/>
  <c r="B489" i="17"/>
  <c r="A489" i="17"/>
  <c r="H488" i="17"/>
  <c r="C488" i="17"/>
  <c r="B488" i="17"/>
  <c r="A488" i="17"/>
  <c r="H487" i="17"/>
  <c r="C487" i="17"/>
  <c r="B487" i="17"/>
  <c r="A487" i="17"/>
  <c r="H486" i="17"/>
  <c r="C486" i="17"/>
  <c r="B486" i="17"/>
  <c r="A486" i="17"/>
  <c r="H485" i="17"/>
  <c r="C485" i="17"/>
  <c r="B485" i="17"/>
  <c r="A485" i="17"/>
  <c r="H484" i="17"/>
  <c r="C484" i="17"/>
  <c r="B484" i="17"/>
  <c r="A484" i="17"/>
  <c r="H483" i="17"/>
  <c r="C483" i="17"/>
  <c r="B483" i="17"/>
  <c r="A483" i="17"/>
  <c r="H482" i="17"/>
  <c r="C482" i="17"/>
  <c r="B482" i="17"/>
  <c r="A482" i="17"/>
  <c r="H481" i="17"/>
  <c r="C481" i="17"/>
  <c r="B481" i="17"/>
  <c r="A481" i="17"/>
  <c r="H480" i="17"/>
  <c r="C480" i="17"/>
  <c r="B480" i="17"/>
  <c r="A480" i="17"/>
  <c r="H479" i="17"/>
  <c r="C479" i="17"/>
  <c r="B479" i="17"/>
  <c r="A479" i="17"/>
  <c r="H478" i="17"/>
  <c r="C478" i="17"/>
  <c r="B478" i="17"/>
  <c r="A478" i="17"/>
  <c r="H477" i="17"/>
  <c r="C477" i="17"/>
  <c r="B477" i="17"/>
  <c r="A477" i="17"/>
  <c r="H476" i="17"/>
  <c r="C476" i="17"/>
  <c r="B476" i="17"/>
  <c r="A476" i="17"/>
  <c r="H475" i="17"/>
  <c r="C475" i="17"/>
  <c r="B475" i="17"/>
  <c r="A475" i="17"/>
  <c r="H474" i="17"/>
  <c r="C474" i="17"/>
  <c r="B474" i="17"/>
  <c r="A474" i="17"/>
  <c r="H473" i="17"/>
  <c r="C473" i="17"/>
  <c r="B473" i="17"/>
  <c r="A473" i="17"/>
  <c r="H472" i="17"/>
  <c r="C472" i="17"/>
  <c r="B472" i="17"/>
  <c r="A472" i="17"/>
  <c r="H471" i="17"/>
  <c r="C471" i="17"/>
  <c r="B471" i="17"/>
  <c r="A471" i="17"/>
  <c r="H470" i="17"/>
  <c r="C470" i="17"/>
  <c r="B470" i="17"/>
  <c r="A470" i="17"/>
  <c r="H469" i="17"/>
  <c r="C469" i="17"/>
  <c r="B469" i="17"/>
  <c r="A469" i="17"/>
  <c r="H468" i="17"/>
  <c r="C468" i="17"/>
  <c r="B468" i="17"/>
  <c r="A468" i="17"/>
  <c r="H467" i="17"/>
  <c r="C467" i="17"/>
  <c r="B467" i="17"/>
  <c r="A467" i="17"/>
  <c r="H466" i="17"/>
  <c r="C466" i="17"/>
  <c r="B466" i="17"/>
  <c r="A466" i="17"/>
  <c r="H465" i="17"/>
  <c r="C465" i="17"/>
  <c r="B465" i="17"/>
  <c r="A465" i="17"/>
  <c r="H464" i="17"/>
  <c r="C464" i="17"/>
  <c r="B464" i="17"/>
  <c r="A464" i="17"/>
  <c r="H463" i="17"/>
  <c r="C463" i="17"/>
  <c r="B463" i="17"/>
  <c r="A463" i="17"/>
  <c r="H462" i="17"/>
  <c r="C462" i="17"/>
  <c r="B462" i="17"/>
  <c r="A462" i="17"/>
  <c r="H461" i="17"/>
  <c r="C461" i="17"/>
  <c r="B461" i="17"/>
  <c r="A461" i="17"/>
  <c r="H460" i="17"/>
  <c r="C460" i="17"/>
  <c r="B460" i="17"/>
  <c r="A460" i="17"/>
  <c r="H459" i="17"/>
  <c r="C459" i="17"/>
  <c r="B459" i="17"/>
  <c r="A459" i="17"/>
  <c r="H458" i="17"/>
  <c r="C458" i="17"/>
  <c r="B458" i="17"/>
  <c r="A458" i="17"/>
  <c r="H457" i="17"/>
  <c r="C457" i="17"/>
  <c r="B457" i="17"/>
  <c r="A457" i="17"/>
  <c r="H456" i="17"/>
  <c r="C456" i="17"/>
  <c r="B456" i="17"/>
  <c r="A456" i="17"/>
  <c r="H455" i="17"/>
  <c r="C455" i="17"/>
  <c r="B455" i="17"/>
  <c r="A455" i="17"/>
  <c r="A452" i="17"/>
  <c r="A451" i="17"/>
  <c r="A450" i="17"/>
  <c r="A449" i="17"/>
  <c r="A448" i="17"/>
  <c r="A447" i="17"/>
  <c r="A446" i="17"/>
  <c r="A445" i="17"/>
  <c r="A444" i="17"/>
  <c r="A443" i="17"/>
  <c r="A442" i="17"/>
  <c r="A441" i="17"/>
  <c r="A440" i="17"/>
  <c r="A439" i="17"/>
  <c r="O438" i="17"/>
  <c r="N438" i="17"/>
  <c r="M438" i="17"/>
  <c r="L438" i="17"/>
  <c r="K438" i="17"/>
  <c r="J438" i="17"/>
  <c r="I438" i="17"/>
  <c r="H438" i="17"/>
  <c r="G438" i="17"/>
  <c r="F438" i="17"/>
  <c r="E438" i="17"/>
  <c r="D438" i="17"/>
  <c r="C438" i="17"/>
  <c r="B438" i="17"/>
  <c r="H433" i="17"/>
  <c r="C433" i="17"/>
  <c r="B433" i="17"/>
  <c r="A433" i="17"/>
  <c r="H432" i="17"/>
  <c r="C432" i="17"/>
  <c r="B432" i="17"/>
  <c r="A432" i="17"/>
  <c r="H431" i="17"/>
  <c r="C431" i="17"/>
  <c r="B431" i="17"/>
  <c r="A431" i="17"/>
  <c r="H430" i="17"/>
  <c r="C430" i="17"/>
  <c r="B430" i="17"/>
  <c r="A430" i="17"/>
  <c r="H429" i="17"/>
  <c r="C429" i="17"/>
  <c r="B429" i="17"/>
  <c r="A429" i="17"/>
  <c r="H428" i="17"/>
  <c r="C428" i="17"/>
  <c r="B428" i="17"/>
  <c r="A428" i="17"/>
  <c r="H427" i="17"/>
  <c r="C427" i="17"/>
  <c r="B427" i="17"/>
  <c r="A427" i="17"/>
  <c r="H426" i="17"/>
  <c r="C426" i="17"/>
  <c r="B426" i="17"/>
  <c r="A426" i="17"/>
  <c r="H425" i="17"/>
  <c r="C425" i="17"/>
  <c r="B425" i="17"/>
  <c r="A425" i="17"/>
  <c r="H424" i="17"/>
  <c r="C424" i="17"/>
  <c r="B424" i="17"/>
  <c r="A424" i="17"/>
  <c r="H423" i="17"/>
  <c r="C423" i="17"/>
  <c r="B423" i="17"/>
  <c r="A423" i="17"/>
  <c r="H422" i="17"/>
  <c r="C422" i="17"/>
  <c r="B422" i="17"/>
  <c r="A422" i="17"/>
  <c r="H421" i="17"/>
  <c r="C421" i="17"/>
  <c r="B421" i="17"/>
  <c r="A421" i="17"/>
  <c r="H420" i="17"/>
  <c r="C420" i="17"/>
  <c r="B420" i="17"/>
  <c r="A420" i="17"/>
  <c r="H419" i="17"/>
  <c r="C419" i="17"/>
  <c r="B419" i="17"/>
  <c r="A419" i="17"/>
  <c r="H418" i="17"/>
  <c r="C418" i="17"/>
  <c r="B418" i="17"/>
  <c r="A418" i="17"/>
  <c r="H417" i="17"/>
  <c r="C417" i="17"/>
  <c r="B417" i="17"/>
  <c r="A417" i="17"/>
  <c r="H416" i="17"/>
  <c r="C416" i="17"/>
  <c r="B416" i="17"/>
  <c r="A416" i="17"/>
  <c r="H415" i="17"/>
  <c r="C415" i="17"/>
  <c r="B415" i="17"/>
  <c r="A415" i="17"/>
  <c r="H414" i="17"/>
  <c r="C414" i="17"/>
  <c r="B414" i="17"/>
  <c r="A414" i="17"/>
  <c r="H413" i="17"/>
  <c r="C413" i="17"/>
  <c r="B413" i="17"/>
  <c r="A413" i="17"/>
  <c r="H412" i="17"/>
  <c r="C412" i="17"/>
  <c r="B412" i="17"/>
  <c r="A412" i="17"/>
  <c r="H411" i="17"/>
  <c r="C411" i="17"/>
  <c r="B411" i="17"/>
  <c r="A411" i="17"/>
  <c r="H410" i="17"/>
  <c r="C410" i="17"/>
  <c r="B410" i="17"/>
  <c r="A410" i="17"/>
  <c r="H409" i="17"/>
  <c r="C409" i="17"/>
  <c r="B409" i="17"/>
  <c r="A409" i="17"/>
  <c r="H408" i="17"/>
  <c r="C408" i="17"/>
  <c r="B408" i="17"/>
  <c r="A408" i="17"/>
  <c r="H407" i="17"/>
  <c r="C407" i="17"/>
  <c r="B407" i="17"/>
  <c r="A407" i="17"/>
  <c r="H406" i="17"/>
  <c r="C406" i="17"/>
  <c r="B406" i="17"/>
  <c r="A406" i="17"/>
  <c r="H405" i="17"/>
  <c r="C405" i="17"/>
  <c r="B405" i="17"/>
  <c r="A405" i="17"/>
  <c r="H404" i="17"/>
  <c r="C404" i="17"/>
  <c r="B404" i="17"/>
  <c r="A404" i="17"/>
  <c r="H403" i="17"/>
  <c r="C403" i="17"/>
  <c r="B403" i="17"/>
  <c r="A403" i="17"/>
  <c r="H402" i="17"/>
  <c r="C402" i="17"/>
  <c r="B402" i="17"/>
  <c r="A402" i="17"/>
  <c r="H401" i="17"/>
  <c r="C401" i="17"/>
  <c r="B401" i="17"/>
  <c r="A401" i="17"/>
  <c r="H400" i="17"/>
  <c r="C400" i="17"/>
  <c r="B400" i="17"/>
  <c r="A400" i="17"/>
  <c r="H399" i="17"/>
  <c r="C399" i="17"/>
  <c r="B399" i="17"/>
  <c r="A399" i="17"/>
  <c r="H398" i="17"/>
  <c r="C398" i="17"/>
  <c r="B398" i="17"/>
  <c r="A398" i="17"/>
  <c r="H397" i="17"/>
  <c r="C397" i="17"/>
  <c r="B397" i="17"/>
  <c r="A397" i="17"/>
  <c r="H396" i="17"/>
  <c r="C396" i="17"/>
  <c r="B396" i="17"/>
  <c r="A396" i="17"/>
  <c r="H395" i="17"/>
  <c r="C395" i="17"/>
  <c r="B395" i="17"/>
  <c r="A395" i="17"/>
  <c r="H394" i="17"/>
  <c r="C394" i="17"/>
  <c r="B394" i="17"/>
  <c r="A394" i="17"/>
  <c r="H393" i="17"/>
  <c r="C393" i="17"/>
  <c r="B393" i="17"/>
  <c r="A393" i="17"/>
  <c r="H392" i="17"/>
  <c r="C392" i="17"/>
  <c r="B392" i="17"/>
  <c r="A392" i="17"/>
  <c r="H391" i="17"/>
  <c r="C391" i="17"/>
  <c r="B391" i="17"/>
  <c r="A391" i="17"/>
  <c r="H390" i="17"/>
  <c r="C390" i="17"/>
  <c r="B390" i="17"/>
  <c r="A390" i="17"/>
  <c r="H389" i="17"/>
  <c r="C389" i="17"/>
  <c r="B389" i="17"/>
  <c r="A389" i="17"/>
  <c r="H388" i="17"/>
  <c r="C388" i="17"/>
  <c r="B388" i="17"/>
  <c r="A388" i="17"/>
  <c r="H387" i="17"/>
  <c r="C387" i="17"/>
  <c r="B387" i="17"/>
  <c r="A387" i="17"/>
  <c r="H386" i="17"/>
  <c r="C386" i="17"/>
  <c r="B386" i="17"/>
  <c r="A386" i="17"/>
  <c r="H385" i="17"/>
  <c r="C385" i="17"/>
  <c r="B385" i="17"/>
  <c r="A385" i="17"/>
  <c r="H384" i="17"/>
  <c r="C384" i="17"/>
  <c r="B384" i="17"/>
  <c r="A384" i="17"/>
  <c r="H383" i="17"/>
  <c r="C383" i="17"/>
  <c r="B383" i="17"/>
  <c r="A383" i="17"/>
  <c r="H382" i="17"/>
  <c r="C382" i="17"/>
  <c r="B382" i="17"/>
  <c r="A382" i="17"/>
  <c r="H381" i="17"/>
  <c r="C381" i="17"/>
  <c r="B381" i="17"/>
  <c r="A381" i="17"/>
  <c r="H380" i="17"/>
  <c r="C380" i="17"/>
  <c r="B380" i="17"/>
  <c r="A380" i="17"/>
  <c r="H379" i="17"/>
  <c r="C379" i="17"/>
  <c r="B379" i="17"/>
  <c r="A379" i="17"/>
  <c r="H378" i="17"/>
  <c r="C378" i="17"/>
  <c r="B378" i="17"/>
  <c r="A378" i="17"/>
  <c r="H377" i="17"/>
  <c r="C377" i="17"/>
  <c r="B377" i="17"/>
  <c r="A377" i="17"/>
  <c r="H376" i="17"/>
  <c r="C376" i="17"/>
  <c r="B376" i="17"/>
  <c r="A376" i="17"/>
  <c r="H375" i="17"/>
  <c r="C375" i="17"/>
  <c r="B375" i="17"/>
  <c r="A375" i="17"/>
  <c r="H374" i="17"/>
  <c r="C374" i="17"/>
  <c r="B374" i="17"/>
  <c r="A374" i="17"/>
  <c r="H373" i="17"/>
  <c r="C373" i="17"/>
  <c r="B373" i="17"/>
  <c r="A373" i="17"/>
  <c r="H372" i="17"/>
  <c r="C372" i="17"/>
  <c r="B372" i="17"/>
  <c r="A372" i="17"/>
  <c r="H371" i="17"/>
  <c r="C371" i="17"/>
  <c r="B371" i="17"/>
  <c r="A371" i="17"/>
  <c r="H370" i="17"/>
  <c r="C370" i="17"/>
  <c r="B370" i="17"/>
  <c r="A370" i="17"/>
  <c r="H369" i="17"/>
  <c r="C369" i="17"/>
  <c r="B369" i="17"/>
  <c r="A369" i="17"/>
  <c r="H368" i="17"/>
  <c r="C368" i="17"/>
  <c r="B368" i="17"/>
  <c r="A368" i="17"/>
  <c r="H367" i="17"/>
  <c r="C367" i="17"/>
  <c r="B367" i="17"/>
  <c r="A367" i="17"/>
  <c r="H366" i="17"/>
  <c r="C366" i="17"/>
  <c r="B366" i="17"/>
  <c r="A366" i="17"/>
  <c r="H365" i="17"/>
  <c r="C365" i="17"/>
  <c r="B365" i="17"/>
  <c r="A365" i="17"/>
  <c r="H364" i="17"/>
  <c r="C364" i="17"/>
  <c r="B364" i="17"/>
  <c r="A364" i="17"/>
  <c r="H363" i="17"/>
  <c r="C363" i="17"/>
  <c r="B363" i="17"/>
  <c r="A363" i="17"/>
  <c r="H362" i="17"/>
  <c r="C362" i="17"/>
  <c r="B362" i="17"/>
  <c r="A362" i="17"/>
  <c r="H361" i="17"/>
  <c r="C361" i="17"/>
  <c r="B361" i="17"/>
  <c r="A361" i="17"/>
  <c r="H360" i="17"/>
  <c r="C360" i="17"/>
  <c r="B360" i="17"/>
  <c r="A360" i="17"/>
  <c r="H359" i="17"/>
  <c r="C359" i="17"/>
  <c r="B359" i="17"/>
  <c r="A359" i="17"/>
  <c r="H358" i="17"/>
  <c r="C358" i="17"/>
  <c r="B358" i="17"/>
  <c r="A358" i="17"/>
  <c r="H357" i="17"/>
  <c r="C357" i="17"/>
  <c r="B357" i="17"/>
  <c r="A357" i="17"/>
  <c r="H356" i="17"/>
  <c r="C356" i="17"/>
  <c r="B356" i="17"/>
  <c r="A356" i="17"/>
  <c r="H355" i="17"/>
  <c r="C355" i="17"/>
  <c r="B355" i="17"/>
  <c r="A355" i="17"/>
  <c r="H354" i="17"/>
  <c r="C354" i="17"/>
  <c r="B354" i="17"/>
  <c r="A354" i="17"/>
  <c r="H353" i="17"/>
  <c r="C353" i="17"/>
  <c r="B353" i="17"/>
  <c r="A353" i="17"/>
  <c r="H352" i="17"/>
  <c r="C352" i="17"/>
  <c r="B352" i="17"/>
  <c r="A352" i="17"/>
  <c r="H351" i="17"/>
  <c r="C351" i="17"/>
  <c r="B351" i="17"/>
  <c r="A351" i="17"/>
  <c r="H350" i="17"/>
  <c r="C350" i="17"/>
  <c r="B350" i="17"/>
  <c r="A350" i="17"/>
  <c r="H349" i="17"/>
  <c r="C349" i="17"/>
  <c r="B349" i="17"/>
  <c r="A349" i="17"/>
  <c r="H348" i="17"/>
  <c r="C348" i="17"/>
  <c r="B348" i="17"/>
  <c r="A348" i="17"/>
  <c r="H347" i="17"/>
  <c r="C347" i="17"/>
  <c r="B347" i="17"/>
  <c r="A347" i="17"/>
  <c r="H346" i="17"/>
  <c r="C346" i="17"/>
  <c r="B346" i="17"/>
  <c r="A346" i="17"/>
  <c r="H345" i="17"/>
  <c r="C345" i="17"/>
  <c r="B345" i="17"/>
  <c r="A345" i="17"/>
  <c r="H344" i="17"/>
  <c r="C344" i="17"/>
  <c r="B344" i="17"/>
  <c r="A344" i="17"/>
  <c r="H343" i="17"/>
  <c r="C343" i="17"/>
  <c r="B343" i="17"/>
  <c r="A343" i="17"/>
  <c r="H342" i="17"/>
  <c r="C342" i="17"/>
  <c r="B342" i="17"/>
  <c r="A342" i="17"/>
  <c r="H341" i="17"/>
  <c r="C341" i="17"/>
  <c r="B341" i="17"/>
  <c r="A341" i="17"/>
  <c r="H340" i="17"/>
  <c r="C340" i="17"/>
  <c r="B340" i="17"/>
  <c r="A340" i="17"/>
  <c r="H339" i="17"/>
  <c r="C339" i="17"/>
  <c r="B339" i="17"/>
  <c r="A339" i="17"/>
  <c r="H338" i="17"/>
  <c r="C338" i="17"/>
  <c r="B338" i="17"/>
  <c r="A338" i="17"/>
  <c r="H337" i="17"/>
  <c r="C337" i="17"/>
  <c r="B337" i="17"/>
  <c r="A337" i="17"/>
  <c r="H336" i="17"/>
  <c r="C336" i="17"/>
  <c r="B336" i="17"/>
  <c r="A336" i="17"/>
  <c r="H335" i="17"/>
  <c r="C335" i="17"/>
  <c r="B335" i="17"/>
  <c r="A335" i="17"/>
  <c r="H334" i="17"/>
  <c r="C334" i="17"/>
  <c r="B334" i="17"/>
  <c r="A334" i="17"/>
  <c r="H333" i="17"/>
  <c r="C333" i="17"/>
  <c r="B333" i="17"/>
  <c r="A333" i="17"/>
  <c r="H332" i="17"/>
  <c r="C332" i="17"/>
  <c r="B332" i="17"/>
  <c r="A332" i="17"/>
  <c r="H331" i="17"/>
  <c r="C331" i="17"/>
  <c r="B331" i="17"/>
  <c r="A331" i="17"/>
  <c r="H330" i="17"/>
  <c r="C330" i="17"/>
  <c r="B330" i="17"/>
  <c r="A330" i="17"/>
  <c r="H329" i="17"/>
  <c r="C329" i="17"/>
  <c r="B329" i="17"/>
  <c r="A329" i="17"/>
  <c r="H328" i="17"/>
  <c r="C328" i="17"/>
  <c r="B328" i="17"/>
  <c r="A328" i="17"/>
  <c r="H327" i="17"/>
  <c r="C327" i="17"/>
  <c r="B327" i="17"/>
  <c r="A327" i="17"/>
  <c r="H326" i="17"/>
  <c r="C326" i="17"/>
  <c r="B326" i="17"/>
  <c r="A326" i="17"/>
  <c r="H325" i="17"/>
  <c r="C325" i="17"/>
  <c r="B325" i="17"/>
  <c r="A325" i="17"/>
  <c r="H324" i="17"/>
  <c r="C324" i="17"/>
  <c r="B324" i="17"/>
  <c r="A324" i="17"/>
  <c r="H323" i="17"/>
  <c r="C323" i="17"/>
  <c r="B323" i="17"/>
  <c r="A323" i="17"/>
  <c r="H322" i="17"/>
  <c r="C322" i="17"/>
  <c r="B322" i="17"/>
  <c r="A322" i="17"/>
  <c r="H321" i="17"/>
  <c r="C321" i="17"/>
  <c r="B321" i="17"/>
  <c r="A321" i="17"/>
  <c r="H320" i="17"/>
  <c r="C320" i="17"/>
  <c r="B320" i="17"/>
  <c r="A320" i="17"/>
  <c r="H319" i="17"/>
  <c r="C319" i="17"/>
  <c r="B319" i="17"/>
  <c r="A319" i="17"/>
  <c r="H318" i="17"/>
  <c r="C318" i="17"/>
  <c r="B318" i="17"/>
  <c r="A318" i="17"/>
  <c r="H317" i="17"/>
  <c r="C317" i="17"/>
  <c r="B317" i="17"/>
  <c r="A317" i="17"/>
  <c r="H316" i="17"/>
  <c r="C316" i="17"/>
  <c r="B316" i="17"/>
  <c r="A316" i="17"/>
  <c r="H315" i="17"/>
  <c r="C315" i="17"/>
  <c r="B315" i="17"/>
  <c r="A315" i="17"/>
  <c r="H314" i="17"/>
  <c r="C314" i="17"/>
  <c r="B314" i="17"/>
  <c r="A314" i="17"/>
  <c r="H313" i="17"/>
  <c r="C313" i="17"/>
  <c r="B313" i="17"/>
  <c r="A313" i="17"/>
  <c r="H312" i="17"/>
  <c r="C312" i="17"/>
  <c r="B312" i="17"/>
  <c r="A312" i="17"/>
  <c r="H311" i="17"/>
  <c r="C311" i="17"/>
  <c r="B311" i="17"/>
  <c r="A311" i="17"/>
  <c r="H310" i="17"/>
  <c r="C310" i="17"/>
  <c r="B310" i="17"/>
  <c r="A310" i="17"/>
  <c r="H309" i="17"/>
  <c r="C309" i="17"/>
  <c r="B309" i="17"/>
  <c r="A309" i="17"/>
  <c r="H308" i="17"/>
  <c r="C308" i="17"/>
  <c r="B308" i="17"/>
  <c r="A308" i="17"/>
  <c r="H307" i="17"/>
  <c r="C307" i="17"/>
  <c r="B307" i="17"/>
  <c r="A307" i="17"/>
  <c r="H306" i="17"/>
  <c r="C306" i="17"/>
  <c r="B306" i="17"/>
  <c r="A306" i="17"/>
  <c r="H305" i="17"/>
  <c r="C305" i="17"/>
  <c r="B305" i="17"/>
  <c r="A305" i="17"/>
  <c r="H304" i="17"/>
  <c r="C304" i="17"/>
  <c r="B304" i="17"/>
  <c r="A304" i="17"/>
  <c r="H303" i="17"/>
  <c r="C303" i="17"/>
  <c r="B303" i="17"/>
  <c r="A303" i="17"/>
  <c r="H302" i="17"/>
  <c r="C302" i="17"/>
  <c r="B302" i="17"/>
  <c r="A302" i="17"/>
  <c r="H301" i="17"/>
  <c r="C301" i="17"/>
  <c r="B301" i="17"/>
  <c r="A301" i="17"/>
  <c r="H300" i="17"/>
  <c r="C300" i="17"/>
  <c r="B300" i="17"/>
  <c r="A300" i="17"/>
  <c r="H299" i="17"/>
  <c r="C299" i="17"/>
  <c r="B299" i="17"/>
  <c r="A299" i="17"/>
  <c r="H298" i="17"/>
  <c r="C298" i="17"/>
  <c r="B298" i="17"/>
  <c r="A298" i="17"/>
  <c r="H297" i="17"/>
  <c r="C297" i="17"/>
  <c r="B297" i="17"/>
  <c r="A297" i="17"/>
  <c r="H296" i="17"/>
  <c r="C296" i="17"/>
  <c r="B296" i="17"/>
  <c r="A296" i="17"/>
  <c r="H295" i="17"/>
  <c r="C295" i="17"/>
  <c r="B295" i="17"/>
  <c r="A295" i="17"/>
  <c r="H294" i="17"/>
  <c r="C294" i="17"/>
  <c r="B294" i="17"/>
  <c r="A294" i="17"/>
  <c r="H293" i="17"/>
  <c r="C293" i="17"/>
  <c r="B293" i="17"/>
  <c r="A293" i="17"/>
  <c r="H292" i="17"/>
  <c r="C292" i="17"/>
  <c r="B292" i="17"/>
  <c r="A292" i="17"/>
  <c r="H291" i="17"/>
  <c r="C291" i="17"/>
  <c r="B291" i="17"/>
  <c r="A291" i="17"/>
  <c r="H290" i="17"/>
  <c r="C290" i="17"/>
  <c r="B290" i="17"/>
  <c r="A290" i="17"/>
  <c r="H289" i="17"/>
  <c r="C289" i="17"/>
  <c r="B289" i="17"/>
  <c r="A289" i="17"/>
  <c r="H288" i="17"/>
  <c r="C288" i="17"/>
  <c r="B288" i="17"/>
  <c r="A288" i="17"/>
  <c r="H287" i="17"/>
  <c r="C287" i="17"/>
  <c r="B287" i="17"/>
  <c r="A287" i="17"/>
  <c r="H286" i="17"/>
  <c r="C286" i="17"/>
  <c r="B286" i="17"/>
  <c r="A286" i="17"/>
  <c r="H285" i="17"/>
  <c r="C285" i="17"/>
  <c r="B285" i="17"/>
  <c r="A285" i="17"/>
  <c r="H284" i="17"/>
  <c r="C284" i="17"/>
  <c r="B284" i="17"/>
  <c r="A284" i="17"/>
  <c r="H283" i="17"/>
  <c r="C283" i="17"/>
  <c r="B283" i="17"/>
  <c r="A283" i="17"/>
  <c r="H282" i="17"/>
  <c r="C282" i="17"/>
  <c r="B282" i="17"/>
  <c r="A282" i="17"/>
  <c r="H281" i="17"/>
  <c r="C281" i="17"/>
  <c r="B281" i="17"/>
  <c r="A281" i="17"/>
  <c r="H280" i="17"/>
  <c r="C280" i="17"/>
  <c r="B280" i="17"/>
  <c r="A280" i="17"/>
  <c r="H279" i="17"/>
  <c r="C279" i="17"/>
  <c r="B279" i="17"/>
  <c r="A279" i="17"/>
  <c r="H278" i="17"/>
  <c r="C278" i="17"/>
  <c r="B278" i="17"/>
  <c r="A278" i="17"/>
  <c r="H277" i="17"/>
  <c r="C277" i="17"/>
  <c r="B277" i="17"/>
  <c r="A277" i="17"/>
  <c r="H276" i="17"/>
  <c r="C276" i="17"/>
  <c r="B276" i="17"/>
  <c r="A276" i="17"/>
  <c r="H275" i="17"/>
  <c r="C275" i="17"/>
  <c r="B275" i="17"/>
  <c r="A275" i="17"/>
  <c r="H274" i="17"/>
  <c r="C274" i="17"/>
  <c r="B274" i="17"/>
  <c r="A274" i="17"/>
  <c r="H273" i="17"/>
  <c r="C273" i="17"/>
  <c r="B273" i="17"/>
  <c r="A273" i="17"/>
  <c r="H272" i="17"/>
  <c r="C272" i="17"/>
  <c r="B272" i="17"/>
  <c r="A272" i="17"/>
  <c r="H271" i="17"/>
  <c r="C271" i="17"/>
  <c r="B271" i="17"/>
  <c r="A271" i="17"/>
  <c r="H270" i="17"/>
  <c r="C270" i="17"/>
  <c r="B270" i="17"/>
  <c r="A270" i="17"/>
  <c r="H269" i="17"/>
  <c r="C269" i="17"/>
  <c r="B269" i="17"/>
  <c r="A269" i="17"/>
  <c r="H268" i="17"/>
  <c r="C268" i="17"/>
  <c r="B268" i="17"/>
  <c r="A268" i="17"/>
  <c r="H267" i="17"/>
  <c r="C267" i="17"/>
  <c r="B267" i="17"/>
  <c r="A267" i="17"/>
  <c r="H266" i="17"/>
  <c r="C266" i="17"/>
  <c r="B266" i="17"/>
  <c r="A266" i="17"/>
  <c r="H265" i="17"/>
  <c r="C265" i="17"/>
  <c r="B265" i="17"/>
  <c r="A265" i="17"/>
  <c r="H264" i="17"/>
  <c r="C264" i="17"/>
  <c r="B264" i="17"/>
  <c r="A264" i="17"/>
  <c r="H263" i="17"/>
  <c r="C263" i="17"/>
  <c r="B263" i="17"/>
  <c r="A263" i="17"/>
  <c r="H262" i="17"/>
  <c r="C262" i="17"/>
  <c r="B262" i="17"/>
  <c r="A262" i="17"/>
  <c r="H261" i="17"/>
  <c r="C261" i="17"/>
  <c r="B261" i="17"/>
  <c r="A261" i="17"/>
  <c r="H260" i="17"/>
  <c r="C260" i="17"/>
  <c r="B260" i="17"/>
  <c r="A260" i="17"/>
  <c r="H259" i="17"/>
  <c r="C259" i="17"/>
  <c r="B259" i="17"/>
  <c r="A259" i="17"/>
  <c r="H258" i="17"/>
  <c r="C258" i="17"/>
  <c r="B258" i="17"/>
  <c r="A258" i="17"/>
  <c r="H257" i="17"/>
  <c r="C257" i="17"/>
  <c r="B257" i="17"/>
  <c r="A257" i="17"/>
  <c r="H256" i="17"/>
  <c r="C256" i="17"/>
  <c r="B256" i="17"/>
  <c r="A256" i="17"/>
  <c r="H255" i="17"/>
  <c r="C255" i="17"/>
  <c r="B255" i="17"/>
  <c r="A255" i="17"/>
  <c r="H254" i="17"/>
  <c r="C254" i="17"/>
  <c r="B254" i="17"/>
  <c r="A254" i="17"/>
  <c r="H253" i="17"/>
  <c r="C253" i="17"/>
  <c r="B253" i="17"/>
  <c r="A253" i="17"/>
  <c r="H252" i="17"/>
  <c r="C252" i="17"/>
  <c r="B252" i="17"/>
  <c r="A252" i="17"/>
  <c r="H251" i="17"/>
  <c r="C251" i="17"/>
  <c r="B251" i="17"/>
  <c r="A251" i="17"/>
  <c r="H250" i="17"/>
  <c r="C250" i="17"/>
  <c r="B250" i="17"/>
  <c r="A250" i="17"/>
  <c r="H249" i="17"/>
  <c r="C249" i="17"/>
  <c r="B249" i="17"/>
  <c r="A249" i="17"/>
  <c r="H248" i="17"/>
  <c r="C248" i="17"/>
  <c r="B248" i="17"/>
  <c r="A248" i="17"/>
  <c r="H247" i="17"/>
  <c r="C247" i="17"/>
  <c r="B247" i="17"/>
  <c r="A247" i="17"/>
  <c r="H246" i="17"/>
  <c r="C246" i="17"/>
  <c r="B246" i="17"/>
  <c r="A246" i="17"/>
  <c r="H245" i="17"/>
  <c r="C245" i="17"/>
  <c r="B245" i="17"/>
  <c r="A245" i="17"/>
  <c r="H244" i="17"/>
  <c r="C244" i="17"/>
  <c r="B244" i="17"/>
  <c r="A244" i="17"/>
  <c r="H243" i="17"/>
  <c r="C243" i="17"/>
  <c r="B243" i="17"/>
  <c r="A243" i="17"/>
  <c r="H242" i="17"/>
  <c r="C242" i="17"/>
  <c r="B242" i="17"/>
  <c r="A242" i="17"/>
  <c r="H241" i="17"/>
  <c r="C241" i="17"/>
  <c r="B241" i="17"/>
  <c r="A241" i="17"/>
  <c r="H240" i="17"/>
  <c r="C240" i="17"/>
  <c r="B240" i="17"/>
  <c r="A240" i="17"/>
  <c r="H239" i="17"/>
  <c r="C239" i="17"/>
  <c r="B239" i="17"/>
  <c r="A239" i="17"/>
  <c r="H238" i="17"/>
  <c r="C238" i="17"/>
  <c r="B238" i="17"/>
  <c r="A238" i="17"/>
  <c r="A235" i="17"/>
  <c r="A234" i="17"/>
  <c r="A233" i="17"/>
  <c r="A232" i="17"/>
  <c r="A231" i="17"/>
  <c r="A230" i="17"/>
  <c r="A229" i="17"/>
  <c r="A228" i="17"/>
  <c r="A227" i="17"/>
  <c r="A226" i="17"/>
  <c r="A225" i="17"/>
  <c r="A224" i="17"/>
  <c r="A223" i="17"/>
  <c r="A222" i="17"/>
  <c r="O221" i="17"/>
  <c r="N221" i="17"/>
  <c r="M221" i="17"/>
  <c r="L221" i="17"/>
  <c r="K221" i="17"/>
  <c r="J221" i="17"/>
  <c r="I221" i="17"/>
  <c r="H221" i="17"/>
  <c r="G221" i="17"/>
  <c r="F221" i="17"/>
  <c r="E221" i="17"/>
  <c r="D221" i="17"/>
  <c r="C221" i="17"/>
  <c r="B221" i="17"/>
  <c r="H216" i="17"/>
  <c r="C216" i="17"/>
  <c r="B216" i="17"/>
  <c r="A216" i="17"/>
  <c r="H215" i="17"/>
  <c r="C215" i="17"/>
  <c r="B215" i="17"/>
  <c r="A215" i="17"/>
  <c r="H214" i="17"/>
  <c r="C214" i="17"/>
  <c r="B214" i="17"/>
  <c r="A214" i="17"/>
  <c r="H213" i="17"/>
  <c r="C213" i="17"/>
  <c r="B213" i="17"/>
  <c r="A213" i="17"/>
  <c r="H212" i="17"/>
  <c r="C212" i="17"/>
  <c r="B212" i="17"/>
  <c r="A212" i="17"/>
  <c r="H211" i="17"/>
  <c r="C211" i="17"/>
  <c r="B211" i="17"/>
  <c r="A211" i="17"/>
  <c r="H210" i="17"/>
  <c r="C210" i="17"/>
  <c r="B210" i="17"/>
  <c r="A210" i="17"/>
  <c r="H209" i="17"/>
  <c r="C209" i="17"/>
  <c r="B209" i="17"/>
  <c r="A209" i="17"/>
  <c r="H208" i="17"/>
  <c r="C208" i="17"/>
  <c r="B208" i="17"/>
  <c r="A208" i="17"/>
  <c r="H207" i="17"/>
  <c r="C207" i="17"/>
  <c r="B207" i="17"/>
  <c r="A207" i="17"/>
  <c r="H206" i="17"/>
  <c r="C206" i="17"/>
  <c r="B206" i="17"/>
  <c r="A206" i="17"/>
  <c r="H205" i="17"/>
  <c r="C205" i="17"/>
  <c r="B205" i="17"/>
  <c r="A205" i="17"/>
  <c r="H204" i="17"/>
  <c r="C204" i="17"/>
  <c r="B204" i="17"/>
  <c r="A204" i="17"/>
  <c r="H203" i="17"/>
  <c r="C203" i="17"/>
  <c r="B203" i="17"/>
  <c r="A203" i="17"/>
  <c r="H202" i="17"/>
  <c r="C202" i="17"/>
  <c r="B202" i="17"/>
  <c r="A202" i="17"/>
  <c r="H201" i="17"/>
  <c r="C201" i="17"/>
  <c r="B201" i="17"/>
  <c r="A201" i="17"/>
  <c r="H200" i="17"/>
  <c r="C200" i="17"/>
  <c r="B200" i="17"/>
  <c r="A200" i="17"/>
  <c r="H199" i="17"/>
  <c r="C199" i="17"/>
  <c r="B199" i="17"/>
  <c r="A199" i="17"/>
  <c r="H198" i="17"/>
  <c r="C198" i="17"/>
  <c r="B198" i="17"/>
  <c r="A198" i="17"/>
  <c r="H197" i="17"/>
  <c r="C197" i="17"/>
  <c r="B197" i="17"/>
  <c r="A197" i="17"/>
  <c r="H196" i="17"/>
  <c r="C196" i="17"/>
  <c r="B196" i="17"/>
  <c r="A196" i="17"/>
  <c r="H195" i="17"/>
  <c r="C195" i="17"/>
  <c r="B195" i="17"/>
  <c r="A195" i="17"/>
  <c r="H194" i="17"/>
  <c r="C194" i="17"/>
  <c r="B194" i="17"/>
  <c r="A194" i="17"/>
  <c r="H193" i="17"/>
  <c r="C193" i="17"/>
  <c r="B193" i="17"/>
  <c r="A193" i="17"/>
  <c r="H192" i="17"/>
  <c r="C192" i="17"/>
  <c r="B192" i="17"/>
  <c r="A192" i="17"/>
  <c r="H191" i="17"/>
  <c r="C191" i="17"/>
  <c r="B191" i="17"/>
  <c r="A191" i="17"/>
  <c r="H190" i="17"/>
  <c r="C190" i="17"/>
  <c r="B190" i="17"/>
  <c r="A190" i="17"/>
  <c r="H189" i="17"/>
  <c r="C189" i="17"/>
  <c r="B189" i="17"/>
  <c r="A189" i="17"/>
  <c r="H188" i="17"/>
  <c r="C188" i="17"/>
  <c r="B188" i="17"/>
  <c r="A188" i="17"/>
  <c r="H187" i="17"/>
  <c r="C187" i="17"/>
  <c r="B187" i="17"/>
  <c r="A187" i="17"/>
  <c r="H186" i="17"/>
  <c r="C186" i="17"/>
  <c r="B186" i="17"/>
  <c r="A186" i="17"/>
  <c r="H185" i="17"/>
  <c r="C185" i="17"/>
  <c r="B185" i="17"/>
  <c r="A185" i="17"/>
  <c r="H184" i="17"/>
  <c r="C184" i="17"/>
  <c r="B184" i="17"/>
  <c r="A184" i="17"/>
  <c r="H183" i="17"/>
  <c r="C183" i="17"/>
  <c r="B183" i="17"/>
  <c r="A183" i="17"/>
  <c r="H182" i="17"/>
  <c r="C182" i="17"/>
  <c r="B182" i="17"/>
  <c r="A182" i="17"/>
  <c r="H181" i="17"/>
  <c r="C181" i="17"/>
  <c r="B181" i="17"/>
  <c r="A181" i="17"/>
  <c r="H180" i="17"/>
  <c r="C180" i="17"/>
  <c r="B180" i="17"/>
  <c r="A180" i="17"/>
  <c r="H179" i="17"/>
  <c r="C179" i="17"/>
  <c r="B179" i="17"/>
  <c r="A179" i="17"/>
  <c r="H178" i="17"/>
  <c r="C178" i="17"/>
  <c r="B178" i="17"/>
  <c r="A178" i="17"/>
  <c r="H177" i="17"/>
  <c r="C177" i="17"/>
  <c r="B177" i="17"/>
  <c r="A177" i="17"/>
  <c r="H176" i="17"/>
  <c r="C176" i="17"/>
  <c r="B176" i="17"/>
  <c r="A176" i="17"/>
  <c r="H175" i="17"/>
  <c r="C175" i="17"/>
  <c r="B175" i="17"/>
  <c r="A175" i="17"/>
  <c r="H174" i="17"/>
  <c r="C174" i="17"/>
  <c r="B174" i="17"/>
  <c r="A174" i="17"/>
  <c r="H173" i="17"/>
  <c r="C173" i="17"/>
  <c r="B173" i="17"/>
  <c r="A173" i="17"/>
  <c r="H172" i="17"/>
  <c r="C172" i="17"/>
  <c r="B172" i="17"/>
  <c r="A172" i="17"/>
  <c r="H171" i="17"/>
  <c r="C171" i="17"/>
  <c r="B171" i="17"/>
  <c r="A171" i="17"/>
  <c r="H170" i="17"/>
  <c r="C170" i="17"/>
  <c r="B170" i="17"/>
  <c r="A170" i="17"/>
  <c r="H169" i="17"/>
  <c r="C169" i="17"/>
  <c r="B169" i="17"/>
  <c r="A169" i="17"/>
  <c r="H168" i="17"/>
  <c r="C168" i="17"/>
  <c r="B168" i="17"/>
  <c r="A168" i="17"/>
  <c r="H167" i="17"/>
  <c r="C167" i="17"/>
  <c r="B167" i="17"/>
  <c r="A167" i="17"/>
  <c r="H166" i="17"/>
  <c r="C166" i="17"/>
  <c r="B166" i="17"/>
  <c r="A166" i="17"/>
  <c r="H165" i="17"/>
  <c r="C165" i="17"/>
  <c r="B165" i="17"/>
  <c r="A165" i="17"/>
  <c r="H164" i="17"/>
  <c r="C164" i="17"/>
  <c r="B164" i="17"/>
  <c r="A164" i="17"/>
  <c r="H163" i="17"/>
  <c r="C163" i="17"/>
  <c r="B163" i="17"/>
  <c r="A163" i="17"/>
  <c r="H162" i="17"/>
  <c r="C162" i="17"/>
  <c r="B162" i="17"/>
  <c r="A162" i="17"/>
  <c r="H161" i="17"/>
  <c r="C161" i="17"/>
  <c r="B161" i="17"/>
  <c r="A161" i="17"/>
  <c r="H160" i="17"/>
  <c r="C160" i="17"/>
  <c r="B160" i="17"/>
  <c r="A160" i="17"/>
  <c r="H159" i="17"/>
  <c r="C159" i="17"/>
  <c r="B159" i="17"/>
  <c r="A159" i="17"/>
  <c r="H158" i="17"/>
  <c r="C158" i="17"/>
  <c r="B158" i="17"/>
  <c r="A158" i="17"/>
  <c r="H157" i="17"/>
  <c r="C157" i="17"/>
  <c r="B157" i="17"/>
  <c r="A157" i="17"/>
  <c r="H156" i="17"/>
  <c r="C156" i="17"/>
  <c r="B156" i="17"/>
  <c r="A156" i="17"/>
  <c r="H155" i="17"/>
  <c r="C155" i="17"/>
  <c r="B155" i="17"/>
  <c r="A155" i="17"/>
  <c r="H154" i="17"/>
  <c r="C154" i="17"/>
  <c r="B154" i="17"/>
  <c r="A154" i="17"/>
  <c r="H153" i="17"/>
  <c r="C153" i="17"/>
  <c r="B153" i="17"/>
  <c r="A153" i="17"/>
  <c r="H152" i="17"/>
  <c r="C152" i="17"/>
  <c r="B152" i="17"/>
  <c r="A152" i="17"/>
  <c r="H151" i="17"/>
  <c r="C151" i="17"/>
  <c r="B151" i="17"/>
  <c r="A151" i="17"/>
  <c r="H150" i="17"/>
  <c r="C150" i="17"/>
  <c r="B150" i="17"/>
  <c r="A150" i="17"/>
  <c r="H149" i="17"/>
  <c r="C149" i="17"/>
  <c r="B149" i="17"/>
  <c r="A149" i="17"/>
  <c r="H148" i="17"/>
  <c r="C148" i="17"/>
  <c r="B148" i="17"/>
  <c r="A148" i="17"/>
  <c r="H147" i="17"/>
  <c r="C147" i="17"/>
  <c r="B147" i="17"/>
  <c r="A147" i="17"/>
  <c r="H146" i="17"/>
  <c r="C146" i="17"/>
  <c r="B146" i="17"/>
  <c r="A146" i="17"/>
  <c r="H145" i="17"/>
  <c r="C145" i="17"/>
  <c r="B145" i="17"/>
  <c r="A145" i="17"/>
  <c r="H144" i="17"/>
  <c r="C144" i="17"/>
  <c r="B144" i="17"/>
  <c r="A144" i="17"/>
  <c r="H143" i="17"/>
  <c r="C143" i="17"/>
  <c r="B143" i="17"/>
  <c r="A143" i="17"/>
  <c r="H142" i="17"/>
  <c r="C142" i="17"/>
  <c r="B142" i="17"/>
  <c r="A142" i="17"/>
  <c r="H141" i="17"/>
  <c r="C141" i="17"/>
  <c r="B141" i="17"/>
  <c r="A141" i="17"/>
  <c r="H140" i="17"/>
  <c r="C140" i="17"/>
  <c r="B140" i="17"/>
  <c r="A140" i="17"/>
  <c r="H139" i="17"/>
  <c r="C139" i="17"/>
  <c r="B139" i="17"/>
  <c r="A139" i="17"/>
  <c r="H138" i="17"/>
  <c r="C138" i="17"/>
  <c r="B138" i="17"/>
  <c r="A138" i="17"/>
  <c r="H137" i="17"/>
  <c r="C137" i="17"/>
  <c r="B137" i="17"/>
  <c r="A137" i="17"/>
  <c r="H136" i="17"/>
  <c r="C136" i="17"/>
  <c r="B136" i="17"/>
  <c r="A136" i="17"/>
  <c r="H135" i="17"/>
  <c r="C135" i="17"/>
  <c r="B135" i="17"/>
  <c r="A135" i="17"/>
  <c r="H134" i="17"/>
  <c r="C134" i="17"/>
  <c r="B134" i="17"/>
  <c r="A134" i="17"/>
  <c r="H133" i="17"/>
  <c r="C133" i="17"/>
  <c r="B133" i="17"/>
  <c r="A133" i="17"/>
  <c r="H132" i="17"/>
  <c r="C132" i="17"/>
  <c r="B132" i="17"/>
  <c r="A132" i="17"/>
  <c r="H131" i="17"/>
  <c r="C131" i="17"/>
  <c r="B131" i="17"/>
  <c r="A131" i="17"/>
  <c r="H130" i="17"/>
  <c r="C130" i="17"/>
  <c r="B130" i="17"/>
  <c r="A130" i="17"/>
  <c r="H129" i="17"/>
  <c r="C129" i="17"/>
  <c r="B129" i="17"/>
  <c r="A129" i="17"/>
  <c r="H128" i="17"/>
  <c r="C128" i="17"/>
  <c r="B128" i="17"/>
  <c r="A128" i="17"/>
  <c r="H127" i="17"/>
  <c r="C127" i="17"/>
  <c r="B127" i="17"/>
  <c r="A127" i="17"/>
  <c r="H126" i="17"/>
  <c r="C126" i="17"/>
  <c r="B126" i="17"/>
  <c r="A126" i="17"/>
  <c r="H125" i="17"/>
  <c r="C125" i="17"/>
  <c r="B125" i="17"/>
  <c r="A125" i="17"/>
  <c r="H124" i="17"/>
  <c r="C124" i="17"/>
  <c r="B124" i="17"/>
  <c r="A124" i="17"/>
  <c r="H123" i="17"/>
  <c r="C123" i="17"/>
  <c r="B123" i="17"/>
  <c r="A123" i="17"/>
  <c r="H122" i="17"/>
  <c r="C122" i="17"/>
  <c r="B122" i="17"/>
  <c r="A122" i="17"/>
  <c r="H121" i="17"/>
  <c r="C121" i="17"/>
  <c r="B121" i="17"/>
  <c r="A121" i="17"/>
  <c r="H120" i="17"/>
  <c r="C120" i="17"/>
  <c r="B120" i="17"/>
  <c r="A120" i="17"/>
  <c r="H119" i="17"/>
  <c r="C119" i="17"/>
  <c r="B119" i="17"/>
  <c r="A119" i="17"/>
  <c r="H118" i="17"/>
  <c r="C118" i="17"/>
  <c r="B118" i="17"/>
  <c r="A118" i="17"/>
  <c r="H117" i="17"/>
  <c r="C117" i="17"/>
  <c r="B117" i="17"/>
  <c r="A117" i="17"/>
  <c r="H116" i="17"/>
  <c r="C116" i="17"/>
  <c r="B116" i="17"/>
  <c r="A116" i="17"/>
  <c r="H115" i="17"/>
  <c r="C115" i="17"/>
  <c r="B115" i="17"/>
  <c r="A115" i="17"/>
  <c r="H114" i="17"/>
  <c r="C114" i="17"/>
  <c r="B114" i="17"/>
  <c r="A114" i="17"/>
  <c r="H113" i="17"/>
  <c r="C113" i="17"/>
  <c r="B113" i="17"/>
  <c r="A113" i="17"/>
  <c r="H112" i="17"/>
  <c r="C112" i="17"/>
  <c r="B112" i="17"/>
  <c r="A112" i="17"/>
  <c r="H111" i="17"/>
  <c r="C111" i="17"/>
  <c r="B111" i="17"/>
  <c r="A111" i="17"/>
  <c r="H110" i="17"/>
  <c r="C110" i="17"/>
  <c r="B110" i="17"/>
  <c r="A110" i="17"/>
  <c r="H109" i="17"/>
  <c r="C109" i="17"/>
  <c r="B109" i="17"/>
  <c r="A109" i="17"/>
  <c r="H108" i="17"/>
  <c r="C108" i="17"/>
  <c r="B108" i="17"/>
  <c r="A108" i="17"/>
  <c r="H107" i="17"/>
  <c r="C107" i="17"/>
  <c r="B107" i="17"/>
  <c r="A107" i="17"/>
  <c r="H106" i="17"/>
  <c r="C106" i="17"/>
  <c r="B106" i="17"/>
  <c r="A106" i="17"/>
  <c r="H105" i="17"/>
  <c r="C105" i="17"/>
  <c r="B105" i="17"/>
  <c r="A105" i="17"/>
  <c r="H104" i="17"/>
  <c r="C104" i="17"/>
  <c r="B104" i="17"/>
  <c r="A104" i="17"/>
  <c r="H103" i="17"/>
  <c r="C103" i="17"/>
  <c r="B103" i="17"/>
  <c r="A103" i="17"/>
  <c r="H102" i="17"/>
  <c r="C102" i="17"/>
  <c r="B102" i="17"/>
  <c r="A102" i="17"/>
  <c r="H101" i="17"/>
  <c r="C101" i="17"/>
  <c r="B101" i="17"/>
  <c r="A101" i="17"/>
  <c r="H100" i="17"/>
  <c r="C100" i="17"/>
  <c r="B100" i="17"/>
  <c r="A100" i="17"/>
  <c r="H99" i="17"/>
  <c r="C99" i="17"/>
  <c r="B99" i="17"/>
  <c r="A99" i="17"/>
  <c r="H98" i="17"/>
  <c r="C98" i="17"/>
  <c r="B98" i="17"/>
  <c r="A98" i="17"/>
  <c r="H97" i="17"/>
  <c r="C97" i="17"/>
  <c r="B97" i="17"/>
  <c r="A97" i="17"/>
  <c r="H96" i="17"/>
  <c r="C96" i="17"/>
  <c r="B96" i="17"/>
  <c r="A96" i="17"/>
  <c r="H95" i="17"/>
  <c r="C95" i="17"/>
  <c r="B95" i="17"/>
  <c r="A95" i="17"/>
  <c r="H94" i="17"/>
  <c r="C94" i="17"/>
  <c r="B94" i="17"/>
  <c r="A94" i="17"/>
  <c r="H93" i="17"/>
  <c r="C93" i="17"/>
  <c r="B93" i="17"/>
  <c r="A93" i="17"/>
  <c r="H92" i="17"/>
  <c r="C92" i="17"/>
  <c r="B92" i="17"/>
  <c r="A92" i="17"/>
  <c r="H91" i="17"/>
  <c r="C91" i="17"/>
  <c r="B91" i="17"/>
  <c r="A91" i="17"/>
  <c r="H90" i="17"/>
  <c r="C90" i="17"/>
  <c r="B90" i="17"/>
  <c r="A90" i="17"/>
  <c r="H89" i="17"/>
  <c r="C89" i="17"/>
  <c r="B89" i="17"/>
  <c r="A89" i="17"/>
  <c r="H88" i="17"/>
  <c r="C88" i="17"/>
  <c r="B88" i="17"/>
  <c r="A88" i="17"/>
  <c r="H87" i="17"/>
  <c r="C87" i="17"/>
  <c r="B87" i="17"/>
  <c r="A87" i="17"/>
  <c r="H86" i="17"/>
  <c r="C86" i="17"/>
  <c r="B86" i="17"/>
  <c r="A86" i="17"/>
  <c r="H85" i="17"/>
  <c r="C85" i="17"/>
  <c r="B85" i="17"/>
  <c r="A85" i="17"/>
  <c r="H84" i="17"/>
  <c r="C84" i="17"/>
  <c r="B84" i="17"/>
  <c r="A84" i="17"/>
  <c r="H83" i="17"/>
  <c r="C83" i="17"/>
  <c r="B83" i="17"/>
  <c r="A83" i="17"/>
  <c r="H82" i="17"/>
  <c r="C82" i="17"/>
  <c r="B82" i="17"/>
  <c r="A82" i="17"/>
  <c r="H81" i="17"/>
  <c r="C81" i="17"/>
  <c r="B81" i="17"/>
  <c r="A81" i="17"/>
  <c r="H80" i="17"/>
  <c r="C80" i="17"/>
  <c r="B80" i="17"/>
  <c r="A80" i="17"/>
  <c r="H79" i="17"/>
  <c r="C79" i="17"/>
  <c r="B79" i="17"/>
  <c r="A79" i="17"/>
  <c r="H78" i="17"/>
  <c r="C78" i="17"/>
  <c r="B78" i="17"/>
  <c r="A78" i="17"/>
  <c r="H77" i="17"/>
  <c r="C77" i="17"/>
  <c r="B77" i="17"/>
  <c r="A77" i="17"/>
  <c r="H76" i="17"/>
  <c r="C76" i="17"/>
  <c r="B76" i="17"/>
  <c r="A76" i="17"/>
  <c r="H75" i="17"/>
  <c r="C75" i="17"/>
  <c r="B75" i="17"/>
  <c r="A75" i="17"/>
  <c r="H74" i="17"/>
  <c r="C74" i="17"/>
  <c r="B74" i="17"/>
  <c r="A74" i="17"/>
  <c r="H73" i="17"/>
  <c r="C73" i="17"/>
  <c r="B73" i="17"/>
  <c r="A73" i="17"/>
  <c r="H72" i="17"/>
  <c r="C72" i="17"/>
  <c r="B72" i="17"/>
  <c r="A72" i="17"/>
  <c r="H71" i="17"/>
  <c r="C71" i="17"/>
  <c r="B71" i="17"/>
  <c r="A71" i="17"/>
  <c r="H70" i="17"/>
  <c r="C70" i="17"/>
  <c r="B70" i="17"/>
  <c r="A70" i="17"/>
  <c r="H69" i="17"/>
  <c r="C69" i="17"/>
  <c r="B69" i="17"/>
  <c r="A69" i="17"/>
  <c r="H68" i="17"/>
  <c r="C68" i="17"/>
  <c r="B68" i="17"/>
  <c r="A68" i="17"/>
  <c r="H67" i="17"/>
  <c r="C67" i="17"/>
  <c r="B67" i="17"/>
  <c r="A67" i="17"/>
  <c r="H66" i="17"/>
  <c r="C66" i="17"/>
  <c r="B66" i="17"/>
  <c r="A66" i="17"/>
  <c r="H65" i="17"/>
  <c r="C65" i="17"/>
  <c r="B65" i="17"/>
  <c r="A65" i="17"/>
  <c r="H64" i="17"/>
  <c r="C64" i="17"/>
  <c r="B64" i="17"/>
  <c r="A64" i="17"/>
  <c r="H63" i="17"/>
  <c r="C63" i="17"/>
  <c r="B63" i="17"/>
  <c r="A63" i="17"/>
  <c r="H62" i="17"/>
  <c r="C62" i="17"/>
  <c r="B62" i="17"/>
  <c r="A62" i="17"/>
  <c r="H61" i="17"/>
  <c r="C61" i="17"/>
  <c r="B61" i="17"/>
  <c r="A61" i="17"/>
  <c r="H60" i="17"/>
  <c r="C60" i="17"/>
  <c r="B60" i="17"/>
  <c r="A60" i="17"/>
  <c r="H59" i="17"/>
  <c r="C59" i="17"/>
  <c r="B59" i="17"/>
  <c r="A59" i="17"/>
  <c r="H58" i="17"/>
  <c r="C58" i="17"/>
  <c r="B58" i="17"/>
  <c r="A58" i="17"/>
  <c r="H57" i="17"/>
  <c r="C57" i="17"/>
  <c r="B57" i="17"/>
  <c r="A57" i="17"/>
  <c r="H56" i="17"/>
  <c r="C56" i="17"/>
  <c r="B56" i="17"/>
  <c r="A56" i="17"/>
  <c r="H55" i="17"/>
  <c r="C55" i="17"/>
  <c r="B55" i="17"/>
  <c r="A55" i="17"/>
  <c r="H54" i="17"/>
  <c r="C54" i="17"/>
  <c r="B54" i="17"/>
  <c r="A54" i="17"/>
  <c r="H53" i="17"/>
  <c r="C53" i="17"/>
  <c r="B53" i="17"/>
  <c r="A53" i="17"/>
  <c r="H52" i="17"/>
  <c r="C52" i="17"/>
  <c r="B52" i="17"/>
  <c r="A52" i="17"/>
  <c r="H51" i="17"/>
  <c r="C51" i="17"/>
  <c r="B51" i="17"/>
  <c r="A51" i="17"/>
  <c r="H50" i="17"/>
  <c r="C50" i="17"/>
  <c r="B50" i="17"/>
  <c r="A50" i="17"/>
  <c r="H49" i="17"/>
  <c r="C49" i="17"/>
  <c r="B49" i="17"/>
  <c r="A49" i="17"/>
  <c r="H48" i="17"/>
  <c r="C48" i="17"/>
  <c r="B48" i="17"/>
  <c r="A48" i="17"/>
  <c r="H47" i="17"/>
  <c r="C47" i="17"/>
  <c r="B47" i="17"/>
  <c r="A47" i="17"/>
  <c r="H46" i="17"/>
  <c r="C46" i="17"/>
  <c r="B46" i="17"/>
  <c r="A46" i="17"/>
  <c r="H45" i="17"/>
  <c r="C45" i="17"/>
  <c r="B45" i="17"/>
  <c r="A45" i="17"/>
  <c r="H44" i="17"/>
  <c r="C44" i="17"/>
  <c r="B44" i="17"/>
  <c r="A44" i="17"/>
  <c r="H43" i="17"/>
  <c r="C43" i="17"/>
  <c r="B43" i="17"/>
  <c r="A43" i="17"/>
  <c r="H42" i="17"/>
  <c r="C42" i="17"/>
  <c r="B42" i="17"/>
  <c r="A42" i="17"/>
  <c r="H41" i="17"/>
  <c r="C41" i="17"/>
  <c r="B41" i="17"/>
  <c r="A41" i="17"/>
  <c r="H40" i="17"/>
  <c r="C40" i="17"/>
  <c r="B40" i="17"/>
  <c r="A40" i="17"/>
  <c r="H39" i="17"/>
  <c r="C39" i="17"/>
  <c r="B39" i="17"/>
  <c r="A39" i="17"/>
  <c r="H38" i="17"/>
  <c r="C38" i="17"/>
  <c r="B38" i="17"/>
  <c r="A38" i="17"/>
  <c r="H37" i="17"/>
  <c r="C37" i="17"/>
  <c r="B37" i="17"/>
  <c r="A37" i="17"/>
  <c r="H36" i="17"/>
  <c r="C36" i="17"/>
  <c r="B36" i="17"/>
  <c r="A36" i="17"/>
  <c r="H35" i="17"/>
  <c r="C35" i="17"/>
  <c r="B35" i="17"/>
  <c r="A35" i="17"/>
  <c r="H34" i="17"/>
  <c r="C34" i="17"/>
  <c r="B34" i="17"/>
  <c r="A34" i="17"/>
  <c r="H33" i="17"/>
  <c r="C33" i="17"/>
  <c r="B33" i="17"/>
  <c r="A33" i="17"/>
  <c r="H32" i="17"/>
  <c r="C32" i="17"/>
  <c r="B32" i="17"/>
  <c r="A32" i="17"/>
  <c r="H31" i="17"/>
  <c r="C31" i="17"/>
  <c r="B31" i="17"/>
  <c r="A31" i="17"/>
  <c r="H30" i="17"/>
  <c r="C30" i="17"/>
  <c r="B30" i="17"/>
  <c r="A30" i="17"/>
  <c r="H29" i="17"/>
  <c r="C29" i="17"/>
  <c r="B29" i="17"/>
  <c r="A29" i="17"/>
  <c r="H28" i="17"/>
  <c r="C28" i="17"/>
  <c r="B28" i="17"/>
  <c r="A28" i="17"/>
  <c r="H27" i="17"/>
  <c r="C27" i="17"/>
  <c r="B27" i="17"/>
  <c r="A27" i="17"/>
  <c r="H26" i="17"/>
  <c r="C26" i="17"/>
  <c r="B26" i="17"/>
  <c r="A26" i="17"/>
  <c r="H25" i="17"/>
  <c r="C25" i="17"/>
  <c r="B25" i="17"/>
  <c r="A25" i="17"/>
  <c r="H24" i="17"/>
  <c r="C24" i="17"/>
  <c r="B24" i="17"/>
  <c r="A24" i="17"/>
  <c r="H23" i="17"/>
  <c r="C23" i="17"/>
  <c r="B23" i="17"/>
  <c r="A23" i="17"/>
  <c r="H22" i="17"/>
  <c r="C22" i="17"/>
  <c r="B22" i="17"/>
  <c r="A22" i="17"/>
  <c r="H21" i="17"/>
  <c r="C21" i="17"/>
  <c r="B21" i="17"/>
  <c r="A21" i="17"/>
  <c r="A18" i="17"/>
  <c r="A17" i="17"/>
  <c r="A16" i="17"/>
  <c r="A15" i="17"/>
  <c r="A14" i="17"/>
  <c r="A13" i="17"/>
  <c r="A12" i="17"/>
  <c r="A11" i="17"/>
  <c r="A10" i="17"/>
  <c r="A9" i="17"/>
  <c r="A8" i="17"/>
  <c r="A7" i="17"/>
  <c r="A6" i="17"/>
  <c r="A5" i="17"/>
  <c r="O4" i="17"/>
  <c r="N4" i="17"/>
  <c r="M4" i="17"/>
  <c r="L4" i="17"/>
  <c r="K4" i="17"/>
  <c r="J4" i="17"/>
  <c r="I4" i="17"/>
  <c r="H4" i="17"/>
  <c r="G4" i="17"/>
  <c r="F4" i="17"/>
  <c r="E4" i="17"/>
  <c r="D4" i="17"/>
  <c r="C4" i="17"/>
  <c r="B4" i="17"/>
  <c r="H433" i="16"/>
  <c r="C433" i="16"/>
  <c r="B433" i="16"/>
  <c r="A433" i="16"/>
  <c r="H432" i="16"/>
  <c r="C432" i="16"/>
  <c r="B432" i="16"/>
  <c r="A432" i="16"/>
  <c r="H431" i="16"/>
  <c r="C431" i="16"/>
  <c r="B431" i="16"/>
  <c r="A431" i="16"/>
  <c r="H430" i="16"/>
  <c r="C430" i="16"/>
  <c r="B430" i="16"/>
  <c r="A430" i="16"/>
  <c r="H429" i="16"/>
  <c r="C429" i="16"/>
  <c r="B429" i="16"/>
  <c r="A429" i="16"/>
  <c r="H428" i="16"/>
  <c r="C428" i="16"/>
  <c r="B428" i="16"/>
  <c r="A428" i="16"/>
  <c r="H427" i="16"/>
  <c r="C427" i="16"/>
  <c r="B427" i="16"/>
  <c r="A427" i="16"/>
  <c r="H426" i="16"/>
  <c r="C426" i="16"/>
  <c r="B426" i="16"/>
  <c r="A426" i="16"/>
  <c r="H425" i="16"/>
  <c r="C425" i="16"/>
  <c r="B425" i="16"/>
  <c r="A425" i="16"/>
  <c r="H424" i="16"/>
  <c r="C424" i="16"/>
  <c r="B424" i="16"/>
  <c r="A424" i="16"/>
  <c r="H423" i="16"/>
  <c r="C423" i="16"/>
  <c r="B423" i="16"/>
  <c r="A423" i="16"/>
  <c r="H422" i="16"/>
  <c r="C422" i="16"/>
  <c r="B422" i="16"/>
  <c r="A422" i="16"/>
  <c r="H421" i="16"/>
  <c r="C421" i="16"/>
  <c r="B421" i="16"/>
  <c r="A421" i="16"/>
  <c r="H420" i="16"/>
  <c r="C420" i="16"/>
  <c r="B420" i="16"/>
  <c r="A420" i="16"/>
  <c r="H419" i="16"/>
  <c r="C419" i="16"/>
  <c r="B419" i="16"/>
  <c r="A419" i="16"/>
  <c r="H418" i="16"/>
  <c r="C418" i="16"/>
  <c r="B418" i="16"/>
  <c r="A418" i="16"/>
  <c r="H417" i="16"/>
  <c r="C417" i="16"/>
  <c r="B417" i="16"/>
  <c r="A417" i="16"/>
  <c r="H416" i="16"/>
  <c r="C416" i="16"/>
  <c r="B416" i="16"/>
  <c r="A416" i="16"/>
  <c r="H415" i="16"/>
  <c r="C415" i="16"/>
  <c r="B415" i="16"/>
  <c r="A415" i="16"/>
  <c r="H414" i="16"/>
  <c r="C414" i="16"/>
  <c r="B414" i="16"/>
  <c r="A414" i="16"/>
  <c r="H413" i="16"/>
  <c r="C413" i="16"/>
  <c r="B413" i="16"/>
  <c r="A413" i="16"/>
  <c r="H412" i="16"/>
  <c r="C412" i="16"/>
  <c r="B412" i="16"/>
  <c r="A412" i="16"/>
  <c r="H411" i="16"/>
  <c r="C411" i="16"/>
  <c r="B411" i="16"/>
  <c r="A411" i="16"/>
  <c r="H410" i="16"/>
  <c r="C410" i="16"/>
  <c r="B410" i="16"/>
  <c r="A410" i="16"/>
  <c r="H409" i="16"/>
  <c r="C409" i="16"/>
  <c r="B409" i="16"/>
  <c r="A409" i="16"/>
  <c r="H408" i="16"/>
  <c r="C408" i="16"/>
  <c r="B408" i="16"/>
  <c r="A408" i="16"/>
  <c r="H407" i="16"/>
  <c r="C407" i="16"/>
  <c r="B407" i="16"/>
  <c r="A407" i="16"/>
  <c r="H406" i="16"/>
  <c r="C406" i="16"/>
  <c r="B406" i="16"/>
  <c r="A406" i="16"/>
  <c r="H405" i="16"/>
  <c r="C405" i="16"/>
  <c r="B405" i="16"/>
  <c r="A405" i="16"/>
  <c r="H404" i="16"/>
  <c r="C404" i="16"/>
  <c r="B404" i="16"/>
  <c r="A404" i="16"/>
  <c r="H403" i="16"/>
  <c r="C403" i="16"/>
  <c r="B403" i="16"/>
  <c r="A403" i="16"/>
  <c r="H402" i="16"/>
  <c r="C402" i="16"/>
  <c r="B402" i="16"/>
  <c r="A402" i="16"/>
  <c r="H401" i="16"/>
  <c r="C401" i="16"/>
  <c r="B401" i="16"/>
  <c r="A401" i="16"/>
  <c r="H400" i="16"/>
  <c r="C400" i="16"/>
  <c r="B400" i="16"/>
  <c r="A400" i="16"/>
  <c r="H399" i="16"/>
  <c r="C399" i="16"/>
  <c r="B399" i="16"/>
  <c r="A399" i="16"/>
  <c r="H398" i="16"/>
  <c r="C398" i="16"/>
  <c r="B398" i="16"/>
  <c r="A398" i="16"/>
  <c r="H397" i="16"/>
  <c r="C397" i="16"/>
  <c r="B397" i="16"/>
  <c r="A397" i="16"/>
  <c r="H396" i="16"/>
  <c r="C396" i="16"/>
  <c r="B396" i="16"/>
  <c r="A396" i="16"/>
  <c r="H395" i="16"/>
  <c r="C395" i="16"/>
  <c r="B395" i="16"/>
  <c r="A395" i="16"/>
  <c r="H394" i="16"/>
  <c r="C394" i="16"/>
  <c r="B394" i="16"/>
  <c r="A394" i="16"/>
  <c r="H393" i="16"/>
  <c r="C393" i="16"/>
  <c r="B393" i="16"/>
  <c r="A393" i="16"/>
  <c r="H392" i="16"/>
  <c r="C392" i="16"/>
  <c r="B392" i="16"/>
  <c r="A392" i="16"/>
  <c r="H391" i="16"/>
  <c r="C391" i="16"/>
  <c r="B391" i="16"/>
  <c r="A391" i="16"/>
  <c r="H390" i="16"/>
  <c r="C390" i="16"/>
  <c r="B390" i="16"/>
  <c r="A390" i="16"/>
  <c r="H389" i="16"/>
  <c r="C389" i="16"/>
  <c r="B389" i="16"/>
  <c r="A389" i="16"/>
  <c r="H388" i="16"/>
  <c r="C388" i="16"/>
  <c r="B388" i="16"/>
  <c r="A388" i="16"/>
  <c r="H387" i="16"/>
  <c r="C387" i="16"/>
  <c r="B387" i="16"/>
  <c r="A387" i="16"/>
  <c r="H386" i="16"/>
  <c r="C386" i="16"/>
  <c r="B386" i="16"/>
  <c r="A386" i="16"/>
  <c r="H385" i="16"/>
  <c r="C385" i="16"/>
  <c r="B385" i="16"/>
  <c r="A385" i="16"/>
  <c r="H384" i="16"/>
  <c r="C384" i="16"/>
  <c r="B384" i="16"/>
  <c r="A384" i="16"/>
  <c r="H383" i="16"/>
  <c r="C383" i="16"/>
  <c r="B383" i="16"/>
  <c r="A383" i="16"/>
  <c r="H382" i="16"/>
  <c r="C382" i="16"/>
  <c r="B382" i="16"/>
  <c r="A382" i="16"/>
  <c r="H381" i="16"/>
  <c r="C381" i="16"/>
  <c r="B381" i="16"/>
  <c r="A381" i="16"/>
  <c r="H380" i="16"/>
  <c r="C380" i="16"/>
  <c r="B380" i="16"/>
  <c r="A380" i="16"/>
  <c r="H379" i="16"/>
  <c r="C379" i="16"/>
  <c r="B379" i="16"/>
  <c r="A379" i="16"/>
  <c r="H378" i="16"/>
  <c r="C378" i="16"/>
  <c r="B378" i="16"/>
  <c r="A378" i="16"/>
  <c r="H377" i="16"/>
  <c r="C377" i="16"/>
  <c r="B377" i="16"/>
  <c r="A377" i="16"/>
  <c r="H376" i="16"/>
  <c r="C376" i="16"/>
  <c r="B376" i="16"/>
  <c r="A376" i="16"/>
  <c r="H375" i="16"/>
  <c r="C375" i="16"/>
  <c r="B375" i="16"/>
  <c r="A375" i="16"/>
  <c r="H374" i="16"/>
  <c r="C374" i="16"/>
  <c r="B374" i="16"/>
  <c r="A374" i="16"/>
  <c r="H373" i="16"/>
  <c r="C373" i="16"/>
  <c r="B373" i="16"/>
  <c r="A373" i="16"/>
  <c r="H372" i="16"/>
  <c r="C372" i="16"/>
  <c r="B372" i="16"/>
  <c r="A372" i="16"/>
  <c r="H371" i="16"/>
  <c r="C371" i="16"/>
  <c r="B371" i="16"/>
  <c r="A371" i="16"/>
  <c r="H370" i="16"/>
  <c r="C370" i="16"/>
  <c r="B370" i="16"/>
  <c r="A370" i="16"/>
  <c r="H369" i="16"/>
  <c r="C369" i="16"/>
  <c r="B369" i="16"/>
  <c r="A369" i="16"/>
  <c r="H368" i="16"/>
  <c r="C368" i="16"/>
  <c r="B368" i="16"/>
  <c r="A368" i="16"/>
  <c r="H367" i="16"/>
  <c r="C367" i="16"/>
  <c r="B367" i="16"/>
  <c r="A367" i="16"/>
  <c r="H366" i="16"/>
  <c r="C366" i="16"/>
  <c r="B366" i="16"/>
  <c r="A366" i="16"/>
  <c r="H365" i="16"/>
  <c r="C365" i="16"/>
  <c r="B365" i="16"/>
  <c r="A365" i="16"/>
  <c r="H364" i="16"/>
  <c r="C364" i="16"/>
  <c r="B364" i="16"/>
  <c r="A364" i="16"/>
  <c r="H363" i="16"/>
  <c r="C363" i="16"/>
  <c r="B363" i="16"/>
  <c r="A363" i="16"/>
  <c r="H362" i="16"/>
  <c r="C362" i="16"/>
  <c r="B362" i="16"/>
  <c r="A362" i="16"/>
  <c r="H361" i="16"/>
  <c r="C361" i="16"/>
  <c r="B361" i="16"/>
  <c r="A361" i="16"/>
  <c r="H360" i="16"/>
  <c r="C360" i="16"/>
  <c r="B360" i="16"/>
  <c r="A360" i="16"/>
  <c r="H359" i="16"/>
  <c r="C359" i="16"/>
  <c r="B359" i="16"/>
  <c r="A359" i="16"/>
  <c r="H358" i="16"/>
  <c r="C358" i="16"/>
  <c r="B358" i="16"/>
  <c r="A358" i="16"/>
  <c r="H357" i="16"/>
  <c r="C357" i="16"/>
  <c r="B357" i="16"/>
  <c r="A357" i="16"/>
  <c r="H356" i="16"/>
  <c r="C356" i="16"/>
  <c r="B356" i="16"/>
  <c r="A356" i="16"/>
  <c r="H355" i="16"/>
  <c r="C355" i="16"/>
  <c r="B355" i="16"/>
  <c r="A355" i="16"/>
  <c r="H354" i="16"/>
  <c r="C354" i="16"/>
  <c r="B354" i="16"/>
  <c r="A354" i="16"/>
  <c r="H353" i="16"/>
  <c r="C353" i="16"/>
  <c r="B353" i="16"/>
  <c r="A353" i="16"/>
  <c r="H352" i="16"/>
  <c r="C352" i="16"/>
  <c r="B352" i="16"/>
  <c r="A352" i="16"/>
  <c r="H351" i="16"/>
  <c r="C351" i="16"/>
  <c r="B351" i="16"/>
  <c r="A351" i="16"/>
  <c r="H350" i="16"/>
  <c r="C350" i="16"/>
  <c r="B350" i="16"/>
  <c r="A350" i="16"/>
  <c r="H349" i="16"/>
  <c r="C349" i="16"/>
  <c r="B349" i="16"/>
  <c r="A349" i="16"/>
  <c r="H348" i="16"/>
  <c r="C348" i="16"/>
  <c r="B348" i="16"/>
  <c r="A348" i="16"/>
  <c r="H347" i="16"/>
  <c r="C347" i="16"/>
  <c r="B347" i="16"/>
  <c r="A347" i="16"/>
  <c r="H346" i="16"/>
  <c r="C346" i="16"/>
  <c r="B346" i="16"/>
  <c r="A346" i="16"/>
  <c r="H345" i="16"/>
  <c r="C345" i="16"/>
  <c r="B345" i="16"/>
  <c r="A345" i="16"/>
  <c r="H344" i="16"/>
  <c r="C344" i="16"/>
  <c r="B344" i="16"/>
  <c r="A344" i="16"/>
  <c r="H343" i="16"/>
  <c r="C343" i="16"/>
  <c r="B343" i="16"/>
  <c r="A343" i="16"/>
  <c r="H342" i="16"/>
  <c r="C342" i="16"/>
  <c r="B342" i="16"/>
  <c r="A342" i="16"/>
  <c r="H341" i="16"/>
  <c r="C341" i="16"/>
  <c r="B341" i="16"/>
  <c r="A341" i="16"/>
  <c r="H340" i="16"/>
  <c r="C340" i="16"/>
  <c r="B340" i="16"/>
  <c r="A340" i="16"/>
  <c r="H339" i="16"/>
  <c r="C339" i="16"/>
  <c r="B339" i="16"/>
  <c r="A339" i="16"/>
  <c r="H338" i="16"/>
  <c r="C338" i="16"/>
  <c r="B338" i="16"/>
  <c r="A338" i="16"/>
  <c r="H337" i="16"/>
  <c r="C337" i="16"/>
  <c r="B337" i="16"/>
  <c r="A337" i="16"/>
  <c r="H336" i="16"/>
  <c r="C336" i="16"/>
  <c r="B336" i="16"/>
  <c r="A336" i="16"/>
  <c r="H335" i="16"/>
  <c r="C335" i="16"/>
  <c r="B335" i="16"/>
  <c r="A335" i="16"/>
  <c r="H334" i="16"/>
  <c r="C334" i="16"/>
  <c r="B334" i="16"/>
  <c r="A334" i="16"/>
  <c r="H333" i="16"/>
  <c r="C333" i="16"/>
  <c r="B333" i="16"/>
  <c r="A333" i="16"/>
  <c r="H332" i="16"/>
  <c r="C332" i="16"/>
  <c r="B332" i="16"/>
  <c r="A332" i="16"/>
  <c r="H331" i="16"/>
  <c r="C331" i="16"/>
  <c r="B331" i="16"/>
  <c r="A331" i="16"/>
  <c r="H330" i="16"/>
  <c r="C330" i="16"/>
  <c r="B330" i="16"/>
  <c r="A330" i="16"/>
  <c r="H329" i="16"/>
  <c r="C329" i="16"/>
  <c r="B329" i="16"/>
  <c r="A329" i="16"/>
  <c r="H328" i="16"/>
  <c r="C328" i="16"/>
  <c r="B328" i="16"/>
  <c r="A328" i="16"/>
  <c r="H327" i="16"/>
  <c r="C327" i="16"/>
  <c r="B327" i="16"/>
  <c r="A327" i="16"/>
  <c r="H326" i="16"/>
  <c r="C326" i="16"/>
  <c r="B326" i="16"/>
  <c r="A326" i="16"/>
  <c r="H325" i="16"/>
  <c r="C325" i="16"/>
  <c r="B325" i="16"/>
  <c r="A325" i="16"/>
  <c r="H324" i="16"/>
  <c r="C324" i="16"/>
  <c r="B324" i="16"/>
  <c r="A324" i="16"/>
  <c r="H323" i="16"/>
  <c r="C323" i="16"/>
  <c r="B323" i="16"/>
  <c r="A323" i="16"/>
  <c r="H322" i="16"/>
  <c r="C322" i="16"/>
  <c r="B322" i="16"/>
  <c r="A322" i="16"/>
  <c r="H321" i="16"/>
  <c r="C321" i="16"/>
  <c r="B321" i="16"/>
  <c r="A321" i="16"/>
  <c r="H320" i="16"/>
  <c r="C320" i="16"/>
  <c r="B320" i="16"/>
  <c r="A320" i="16"/>
  <c r="H319" i="16"/>
  <c r="C319" i="16"/>
  <c r="B319" i="16"/>
  <c r="A319" i="16"/>
  <c r="H318" i="16"/>
  <c r="C318" i="16"/>
  <c r="B318" i="16"/>
  <c r="A318" i="16"/>
  <c r="H317" i="16"/>
  <c r="C317" i="16"/>
  <c r="B317" i="16"/>
  <c r="A317" i="16"/>
  <c r="H316" i="16"/>
  <c r="C316" i="16"/>
  <c r="B316" i="16"/>
  <c r="A316" i="16"/>
  <c r="H315" i="16"/>
  <c r="C315" i="16"/>
  <c r="B315" i="16"/>
  <c r="A315" i="16"/>
  <c r="H314" i="16"/>
  <c r="C314" i="16"/>
  <c r="B314" i="16"/>
  <c r="A314" i="16"/>
  <c r="H313" i="16"/>
  <c r="C313" i="16"/>
  <c r="B313" i="16"/>
  <c r="A313" i="16"/>
  <c r="H312" i="16"/>
  <c r="C312" i="16"/>
  <c r="B312" i="16"/>
  <c r="A312" i="16"/>
  <c r="H311" i="16"/>
  <c r="C311" i="16"/>
  <c r="B311" i="16"/>
  <c r="A311" i="16"/>
  <c r="H310" i="16"/>
  <c r="C310" i="16"/>
  <c r="B310" i="16"/>
  <c r="A310" i="16"/>
  <c r="H309" i="16"/>
  <c r="C309" i="16"/>
  <c r="B309" i="16"/>
  <c r="A309" i="16"/>
  <c r="H308" i="16"/>
  <c r="C308" i="16"/>
  <c r="B308" i="16"/>
  <c r="A308" i="16"/>
  <c r="H307" i="16"/>
  <c r="C307" i="16"/>
  <c r="B307" i="16"/>
  <c r="A307" i="16"/>
  <c r="H306" i="16"/>
  <c r="C306" i="16"/>
  <c r="B306" i="16"/>
  <c r="A306" i="16"/>
  <c r="H305" i="16"/>
  <c r="C305" i="16"/>
  <c r="B305" i="16"/>
  <c r="A305" i="16"/>
  <c r="H304" i="16"/>
  <c r="C304" i="16"/>
  <c r="B304" i="16"/>
  <c r="A304" i="16"/>
  <c r="H303" i="16"/>
  <c r="C303" i="16"/>
  <c r="B303" i="16"/>
  <c r="A303" i="16"/>
  <c r="H302" i="16"/>
  <c r="C302" i="16"/>
  <c r="B302" i="16"/>
  <c r="A302" i="16"/>
  <c r="H301" i="16"/>
  <c r="C301" i="16"/>
  <c r="B301" i="16"/>
  <c r="A301" i="16"/>
  <c r="H300" i="16"/>
  <c r="C300" i="16"/>
  <c r="B300" i="16"/>
  <c r="A300" i="16"/>
  <c r="H299" i="16"/>
  <c r="C299" i="16"/>
  <c r="B299" i="16"/>
  <c r="A299" i="16"/>
  <c r="H298" i="16"/>
  <c r="C298" i="16"/>
  <c r="B298" i="16"/>
  <c r="A298" i="16"/>
  <c r="H297" i="16"/>
  <c r="C297" i="16"/>
  <c r="B297" i="16"/>
  <c r="A297" i="16"/>
  <c r="H296" i="16"/>
  <c r="C296" i="16"/>
  <c r="B296" i="16"/>
  <c r="A296" i="16"/>
  <c r="H295" i="16"/>
  <c r="C295" i="16"/>
  <c r="B295" i="16"/>
  <c r="A295" i="16"/>
  <c r="H294" i="16"/>
  <c r="C294" i="16"/>
  <c r="B294" i="16"/>
  <c r="A294" i="16"/>
  <c r="H293" i="16"/>
  <c r="C293" i="16"/>
  <c r="B293" i="16"/>
  <c r="A293" i="16"/>
  <c r="H292" i="16"/>
  <c r="C292" i="16"/>
  <c r="B292" i="16"/>
  <c r="A292" i="16"/>
  <c r="H291" i="16"/>
  <c r="C291" i="16"/>
  <c r="B291" i="16"/>
  <c r="A291" i="16"/>
  <c r="H290" i="16"/>
  <c r="C290" i="16"/>
  <c r="B290" i="16"/>
  <c r="A290" i="16"/>
  <c r="H289" i="16"/>
  <c r="C289" i="16"/>
  <c r="B289" i="16"/>
  <c r="A289" i="16"/>
  <c r="H288" i="16"/>
  <c r="C288" i="16"/>
  <c r="B288" i="16"/>
  <c r="A288" i="16"/>
  <c r="H287" i="16"/>
  <c r="C287" i="16"/>
  <c r="B287" i="16"/>
  <c r="A287" i="16"/>
  <c r="H286" i="16"/>
  <c r="C286" i="16"/>
  <c r="B286" i="16"/>
  <c r="A286" i="16"/>
  <c r="H285" i="16"/>
  <c r="C285" i="16"/>
  <c r="B285" i="16"/>
  <c r="A285" i="16"/>
  <c r="H284" i="16"/>
  <c r="C284" i="16"/>
  <c r="B284" i="16"/>
  <c r="A284" i="16"/>
  <c r="H283" i="16"/>
  <c r="C283" i="16"/>
  <c r="B283" i="16"/>
  <c r="A283" i="16"/>
  <c r="H282" i="16"/>
  <c r="C282" i="16"/>
  <c r="B282" i="16"/>
  <c r="A282" i="16"/>
  <c r="H281" i="16"/>
  <c r="C281" i="16"/>
  <c r="B281" i="16"/>
  <c r="A281" i="16"/>
  <c r="H280" i="16"/>
  <c r="C280" i="16"/>
  <c r="B280" i="16"/>
  <c r="A280" i="16"/>
  <c r="H279" i="16"/>
  <c r="C279" i="16"/>
  <c r="B279" i="16"/>
  <c r="A279" i="16"/>
  <c r="H278" i="16"/>
  <c r="C278" i="16"/>
  <c r="B278" i="16"/>
  <c r="A278" i="16"/>
  <c r="H277" i="16"/>
  <c r="C277" i="16"/>
  <c r="B277" i="16"/>
  <c r="A277" i="16"/>
  <c r="H276" i="16"/>
  <c r="C276" i="16"/>
  <c r="B276" i="16"/>
  <c r="A276" i="16"/>
  <c r="H275" i="16"/>
  <c r="C275" i="16"/>
  <c r="B275" i="16"/>
  <c r="A275" i="16"/>
  <c r="H274" i="16"/>
  <c r="C274" i="16"/>
  <c r="B274" i="16"/>
  <c r="A274" i="16"/>
  <c r="H273" i="16"/>
  <c r="C273" i="16"/>
  <c r="B273" i="16"/>
  <c r="A273" i="16"/>
  <c r="H272" i="16"/>
  <c r="C272" i="16"/>
  <c r="B272" i="16"/>
  <c r="A272" i="16"/>
  <c r="H271" i="16"/>
  <c r="C271" i="16"/>
  <c r="B271" i="16"/>
  <c r="A271" i="16"/>
  <c r="H270" i="16"/>
  <c r="C270" i="16"/>
  <c r="B270" i="16"/>
  <c r="A270" i="16"/>
  <c r="H269" i="16"/>
  <c r="C269" i="16"/>
  <c r="B269" i="16"/>
  <c r="A269" i="16"/>
  <c r="H268" i="16"/>
  <c r="C268" i="16"/>
  <c r="B268" i="16"/>
  <c r="A268" i="16"/>
  <c r="H267" i="16"/>
  <c r="C267" i="16"/>
  <c r="B267" i="16"/>
  <c r="A267" i="16"/>
  <c r="H266" i="16"/>
  <c r="C266" i="16"/>
  <c r="B266" i="16"/>
  <c r="A266" i="16"/>
  <c r="H265" i="16"/>
  <c r="C265" i="16"/>
  <c r="B265" i="16"/>
  <c r="A265" i="16"/>
  <c r="H264" i="16"/>
  <c r="C264" i="16"/>
  <c r="B264" i="16"/>
  <c r="A264" i="16"/>
  <c r="H263" i="16"/>
  <c r="C263" i="16"/>
  <c r="B263" i="16"/>
  <c r="A263" i="16"/>
  <c r="H262" i="16"/>
  <c r="C262" i="16"/>
  <c r="B262" i="16"/>
  <c r="A262" i="16"/>
  <c r="H261" i="16"/>
  <c r="C261" i="16"/>
  <c r="B261" i="16"/>
  <c r="A261" i="16"/>
  <c r="H260" i="16"/>
  <c r="C260" i="16"/>
  <c r="B260" i="16"/>
  <c r="A260" i="16"/>
  <c r="H259" i="16"/>
  <c r="C259" i="16"/>
  <c r="B259" i="16"/>
  <c r="A259" i="16"/>
  <c r="H258" i="16"/>
  <c r="C258" i="16"/>
  <c r="B258" i="16"/>
  <c r="A258" i="16"/>
  <c r="H257" i="16"/>
  <c r="C257" i="16"/>
  <c r="B257" i="16"/>
  <c r="A257" i="16"/>
  <c r="H256" i="16"/>
  <c r="C256" i="16"/>
  <c r="B256" i="16"/>
  <c r="A256" i="16"/>
  <c r="H255" i="16"/>
  <c r="C255" i="16"/>
  <c r="B255" i="16"/>
  <c r="A255" i="16"/>
  <c r="H254" i="16"/>
  <c r="C254" i="16"/>
  <c r="B254" i="16"/>
  <c r="A254" i="16"/>
  <c r="H253" i="16"/>
  <c r="C253" i="16"/>
  <c r="B253" i="16"/>
  <c r="A253" i="16"/>
  <c r="H252" i="16"/>
  <c r="C252" i="16"/>
  <c r="B252" i="16"/>
  <c r="A252" i="16"/>
  <c r="H251" i="16"/>
  <c r="C251" i="16"/>
  <c r="B251" i="16"/>
  <c r="A251" i="16"/>
  <c r="H250" i="16"/>
  <c r="C250" i="16"/>
  <c r="B250" i="16"/>
  <c r="A250" i="16"/>
  <c r="H249" i="16"/>
  <c r="C249" i="16"/>
  <c r="B249" i="16"/>
  <c r="A249" i="16"/>
  <c r="H248" i="16"/>
  <c r="C248" i="16"/>
  <c r="B248" i="16"/>
  <c r="A248" i="16"/>
  <c r="H247" i="16"/>
  <c r="C247" i="16"/>
  <c r="B247" i="16"/>
  <c r="A247" i="16"/>
  <c r="H246" i="16"/>
  <c r="C246" i="16"/>
  <c r="B246" i="16"/>
  <c r="A246" i="16"/>
  <c r="H245" i="16"/>
  <c r="C245" i="16"/>
  <c r="B245" i="16"/>
  <c r="A245" i="16"/>
  <c r="H244" i="16"/>
  <c r="C244" i="16"/>
  <c r="B244" i="16"/>
  <c r="A244" i="16"/>
  <c r="H243" i="16"/>
  <c r="C243" i="16"/>
  <c r="B243" i="16"/>
  <c r="A243" i="16"/>
  <c r="H242" i="16"/>
  <c r="C242" i="16"/>
  <c r="B242" i="16"/>
  <c r="A242" i="16"/>
  <c r="H241" i="16"/>
  <c r="C241" i="16"/>
  <c r="B241" i="16"/>
  <c r="A241" i="16"/>
  <c r="H240" i="16"/>
  <c r="C240" i="16"/>
  <c r="B240" i="16"/>
  <c r="A240" i="16"/>
  <c r="H239" i="16"/>
  <c r="C239" i="16"/>
  <c r="B239" i="16"/>
  <c r="A239" i="16"/>
  <c r="H238" i="16"/>
  <c r="C238" i="16"/>
  <c r="B238" i="16"/>
  <c r="A238" i="16"/>
  <c r="A235" i="16"/>
  <c r="A234" i="16"/>
  <c r="A233" i="16"/>
  <c r="A232" i="16"/>
  <c r="A231" i="16"/>
  <c r="A230" i="16"/>
  <c r="A229" i="16"/>
  <c r="A228" i="16"/>
  <c r="A227" i="16"/>
  <c r="A226" i="16"/>
  <c r="A225" i="16"/>
  <c r="A224" i="16"/>
  <c r="A223" i="16"/>
  <c r="A222" i="16"/>
  <c r="O221" i="16"/>
  <c r="N221" i="16"/>
  <c r="M221" i="16"/>
  <c r="L221" i="16"/>
  <c r="K221" i="16"/>
  <c r="J221" i="16"/>
  <c r="I221" i="16"/>
  <c r="H221" i="16"/>
  <c r="G221" i="16"/>
  <c r="F221" i="16"/>
  <c r="E221" i="16"/>
  <c r="D221" i="16"/>
  <c r="C221" i="16"/>
  <c r="B221" i="16"/>
  <c r="H216" i="16"/>
  <c r="C216" i="16"/>
  <c r="B216" i="16"/>
  <c r="A216" i="16"/>
  <c r="H215" i="16"/>
  <c r="C215" i="16"/>
  <c r="B215" i="16"/>
  <c r="A215" i="16"/>
  <c r="H214" i="16"/>
  <c r="C214" i="16"/>
  <c r="B214" i="16"/>
  <c r="A214" i="16"/>
  <c r="H213" i="16"/>
  <c r="C213" i="16"/>
  <c r="B213" i="16"/>
  <c r="A213" i="16"/>
  <c r="H212" i="16"/>
  <c r="C212" i="16"/>
  <c r="B212" i="16"/>
  <c r="A212" i="16"/>
  <c r="H211" i="16"/>
  <c r="C211" i="16"/>
  <c r="B211" i="16"/>
  <c r="A211" i="16"/>
  <c r="H210" i="16"/>
  <c r="C210" i="16"/>
  <c r="B210" i="16"/>
  <c r="A210" i="16"/>
  <c r="H209" i="16"/>
  <c r="C209" i="16"/>
  <c r="B209" i="16"/>
  <c r="A209" i="16"/>
  <c r="H208" i="16"/>
  <c r="C208" i="16"/>
  <c r="B208" i="16"/>
  <c r="A208" i="16"/>
  <c r="H207" i="16"/>
  <c r="C207" i="16"/>
  <c r="B207" i="16"/>
  <c r="A207" i="16"/>
  <c r="H206" i="16"/>
  <c r="C206" i="16"/>
  <c r="B206" i="16"/>
  <c r="A206" i="16"/>
  <c r="H205" i="16"/>
  <c r="C205" i="16"/>
  <c r="B205" i="16"/>
  <c r="A205" i="16"/>
  <c r="H204" i="16"/>
  <c r="C204" i="16"/>
  <c r="B204" i="16"/>
  <c r="A204" i="16"/>
  <c r="H203" i="16"/>
  <c r="C203" i="16"/>
  <c r="B203" i="16"/>
  <c r="A203" i="16"/>
  <c r="H202" i="16"/>
  <c r="C202" i="16"/>
  <c r="B202" i="16"/>
  <c r="A202" i="16"/>
  <c r="H201" i="16"/>
  <c r="C201" i="16"/>
  <c r="B201" i="16"/>
  <c r="A201" i="16"/>
  <c r="H200" i="16"/>
  <c r="C200" i="16"/>
  <c r="B200" i="16"/>
  <c r="A200" i="16"/>
  <c r="H199" i="16"/>
  <c r="C199" i="16"/>
  <c r="B199" i="16"/>
  <c r="A199" i="16"/>
  <c r="H198" i="16"/>
  <c r="C198" i="16"/>
  <c r="B198" i="16"/>
  <c r="A198" i="16"/>
  <c r="H197" i="16"/>
  <c r="C197" i="16"/>
  <c r="B197" i="16"/>
  <c r="A197" i="16"/>
  <c r="H196" i="16"/>
  <c r="C196" i="16"/>
  <c r="B196" i="16"/>
  <c r="A196" i="16"/>
  <c r="H195" i="16"/>
  <c r="C195" i="16"/>
  <c r="B195" i="16"/>
  <c r="A195" i="16"/>
  <c r="H194" i="16"/>
  <c r="C194" i="16"/>
  <c r="B194" i="16"/>
  <c r="A194" i="16"/>
  <c r="H193" i="16"/>
  <c r="C193" i="16"/>
  <c r="B193" i="16"/>
  <c r="A193" i="16"/>
  <c r="H192" i="16"/>
  <c r="C192" i="16"/>
  <c r="B192" i="16"/>
  <c r="A192" i="16"/>
  <c r="H191" i="16"/>
  <c r="C191" i="16"/>
  <c r="B191" i="16"/>
  <c r="A191" i="16"/>
  <c r="H190" i="16"/>
  <c r="C190" i="16"/>
  <c r="B190" i="16"/>
  <c r="A190" i="16"/>
  <c r="H189" i="16"/>
  <c r="C189" i="16"/>
  <c r="B189" i="16"/>
  <c r="A189" i="16"/>
  <c r="H188" i="16"/>
  <c r="C188" i="16"/>
  <c r="B188" i="16"/>
  <c r="A188" i="16"/>
  <c r="H187" i="16"/>
  <c r="C187" i="16"/>
  <c r="B187" i="16"/>
  <c r="A187" i="16"/>
  <c r="H186" i="16"/>
  <c r="C186" i="16"/>
  <c r="B186" i="16"/>
  <c r="A186" i="16"/>
  <c r="H185" i="16"/>
  <c r="C185" i="16"/>
  <c r="B185" i="16"/>
  <c r="A185" i="16"/>
  <c r="H184" i="16"/>
  <c r="C184" i="16"/>
  <c r="B184" i="16"/>
  <c r="A184" i="16"/>
  <c r="H183" i="16"/>
  <c r="C183" i="16"/>
  <c r="B183" i="16"/>
  <c r="A183" i="16"/>
  <c r="H182" i="16"/>
  <c r="C182" i="16"/>
  <c r="B182" i="16"/>
  <c r="A182" i="16"/>
  <c r="H181" i="16"/>
  <c r="C181" i="16"/>
  <c r="B181" i="16"/>
  <c r="A181" i="16"/>
  <c r="H180" i="16"/>
  <c r="C180" i="16"/>
  <c r="B180" i="16"/>
  <c r="A180" i="16"/>
  <c r="H179" i="16"/>
  <c r="C179" i="16"/>
  <c r="B179" i="16"/>
  <c r="A179" i="16"/>
  <c r="H178" i="16"/>
  <c r="C178" i="16"/>
  <c r="B178" i="16"/>
  <c r="A178" i="16"/>
  <c r="H177" i="16"/>
  <c r="C177" i="16"/>
  <c r="B177" i="16"/>
  <c r="A177" i="16"/>
  <c r="H176" i="16"/>
  <c r="C176" i="16"/>
  <c r="B176" i="16"/>
  <c r="A176" i="16"/>
  <c r="H175" i="16"/>
  <c r="C175" i="16"/>
  <c r="B175" i="16"/>
  <c r="A175" i="16"/>
  <c r="H174" i="16"/>
  <c r="C174" i="16"/>
  <c r="B174" i="16"/>
  <c r="A174" i="16"/>
  <c r="H173" i="16"/>
  <c r="C173" i="16"/>
  <c r="B173" i="16"/>
  <c r="A173" i="16"/>
  <c r="H172" i="16"/>
  <c r="C172" i="16"/>
  <c r="B172" i="16"/>
  <c r="A172" i="16"/>
  <c r="H171" i="16"/>
  <c r="C171" i="16"/>
  <c r="B171" i="16"/>
  <c r="A171" i="16"/>
  <c r="H170" i="16"/>
  <c r="C170" i="16"/>
  <c r="B170" i="16"/>
  <c r="A170" i="16"/>
  <c r="H169" i="16"/>
  <c r="C169" i="16"/>
  <c r="B169" i="16"/>
  <c r="A169" i="16"/>
  <c r="H168" i="16"/>
  <c r="C168" i="16"/>
  <c r="B168" i="16"/>
  <c r="A168" i="16"/>
  <c r="H167" i="16"/>
  <c r="C167" i="16"/>
  <c r="B167" i="16"/>
  <c r="A167" i="16"/>
  <c r="H166" i="16"/>
  <c r="C166" i="16"/>
  <c r="B166" i="16"/>
  <c r="A166" i="16"/>
  <c r="H165" i="16"/>
  <c r="C165" i="16"/>
  <c r="B165" i="16"/>
  <c r="A165" i="16"/>
  <c r="H164" i="16"/>
  <c r="C164" i="16"/>
  <c r="B164" i="16"/>
  <c r="A164" i="16"/>
  <c r="H163" i="16"/>
  <c r="C163" i="16"/>
  <c r="B163" i="16"/>
  <c r="A163" i="16"/>
  <c r="H162" i="16"/>
  <c r="C162" i="16"/>
  <c r="B162" i="16"/>
  <c r="A162" i="16"/>
  <c r="H161" i="16"/>
  <c r="C161" i="16"/>
  <c r="B161" i="16"/>
  <c r="A161" i="16"/>
  <c r="H160" i="16"/>
  <c r="C160" i="16"/>
  <c r="B160" i="16"/>
  <c r="A160" i="16"/>
  <c r="H159" i="16"/>
  <c r="C159" i="16"/>
  <c r="B159" i="16"/>
  <c r="A159" i="16"/>
  <c r="H158" i="16"/>
  <c r="C158" i="16"/>
  <c r="B158" i="16"/>
  <c r="A158" i="16"/>
  <c r="H157" i="16"/>
  <c r="C157" i="16"/>
  <c r="B157" i="16"/>
  <c r="A157" i="16"/>
  <c r="H156" i="16"/>
  <c r="C156" i="16"/>
  <c r="B156" i="16"/>
  <c r="A156" i="16"/>
  <c r="H155" i="16"/>
  <c r="C155" i="16"/>
  <c r="B155" i="16"/>
  <c r="A155" i="16"/>
  <c r="H154" i="16"/>
  <c r="C154" i="16"/>
  <c r="B154" i="16"/>
  <c r="A154" i="16"/>
  <c r="H153" i="16"/>
  <c r="C153" i="16"/>
  <c r="B153" i="16"/>
  <c r="A153" i="16"/>
  <c r="H152" i="16"/>
  <c r="C152" i="16"/>
  <c r="B152" i="16"/>
  <c r="A152" i="16"/>
  <c r="H151" i="16"/>
  <c r="C151" i="16"/>
  <c r="B151" i="16"/>
  <c r="A151" i="16"/>
  <c r="H150" i="16"/>
  <c r="C150" i="16"/>
  <c r="B150" i="16"/>
  <c r="A150" i="16"/>
  <c r="H149" i="16"/>
  <c r="C149" i="16"/>
  <c r="B149" i="16"/>
  <c r="A149" i="16"/>
  <c r="H148" i="16"/>
  <c r="C148" i="16"/>
  <c r="B148" i="16"/>
  <c r="A148" i="16"/>
  <c r="H147" i="16"/>
  <c r="C147" i="16"/>
  <c r="B147" i="16"/>
  <c r="A147" i="16"/>
  <c r="H146" i="16"/>
  <c r="C146" i="16"/>
  <c r="B146" i="16"/>
  <c r="A146" i="16"/>
  <c r="H145" i="16"/>
  <c r="C145" i="16"/>
  <c r="B145" i="16"/>
  <c r="A145" i="16"/>
  <c r="H144" i="16"/>
  <c r="C144" i="16"/>
  <c r="B144" i="16"/>
  <c r="A144" i="16"/>
  <c r="H143" i="16"/>
  <c r="C143" i="16"/>
  <c r="B143" i="16"/>
  <c r="A143" i="16"/>
  <c r="H142" i="16"/>
  <c r="C142" i="16"/>
  <c r="B142" i="16"/>
  <c r="A142" i="16"/>
  <c r="H141" i="16"/>
  <c r="C141" i="16"/>
  <c r="B141" i="16"/>
  <c r="A141" i="16"/>
  <c r="H140" i="16"/>
  <c r="C140" i="16"/>
  <c r="B140" i="16"/>
  <c r="A140" i="16"/>
  <c r="H139" i="16"/>
  <c r="C139" i="16"/>
  <c r="B139" i="16"/>
  <c r="A139" i="16"/>
  <c r="H138" i="16"/>
  <c r="C138" i="16"/>
  <c r="B138" i="16"/>
  <c r="A138" i="16"/>
  <c r="H137" i="16"/>
  <c r="C137" i="16"/>
  <c r="B137" i="16"/>
  <c r="A137" i="16"/>
  <c r="H136" i="16"/>
  <c r="C136" i="16"/>
  <c r="B136" i="16"/>
  <c r="A136" i="16"/>
  <c r="H135" i="16"/>
  <c r="C135" i="16"/>
  <c r="B135" i="16"/>
  <c r="A135" i="16"/>
  <c r="H134" i="16"/>
  <c r="C134" i="16"/>
  <c r="B134" i="16"/>
  <c r="A134" i="16"/>
  <c r="H133" i="16"/>
  <c r="C133" i="16"/>
  <c r="B133" i="16"/>
  <c r="A133" i="16"/>
  <c r="H132" i="16"/>
  <c r="C132" i="16"/>
  <c r="B132" i="16"/>
  <c r="A132" i="16"/>
  <c r="H131" i="16"/>
  <c r="C131" i="16"/>
  <c r="B131" i="16"/>
  <c r="A131" i="16"/>
  <c r="H130" i="16"/>
  <c r="C130" i="16"/>
  <c r="B130" i="16"/>
  <c r="A130" i="16"/>
  <c r="H129" i="16"/>
  <c r="C129" i="16"/>
  <c r="B129" i="16"/>
  <c r="A129" i="16"/>
  <c r="H128" i="16"/>
  <c r="C128" i="16"/>
  <c r="B128" i="16"/>
  <c r="A128" i="16"/>
  <c r="H127" i="16"/>
  <c r="C127" i="16"/>
  <c r="B127" i="16"/>
  <c r="A127" i="16"/>
  <c r="H126" i="16"/>
  <c r="C126" i="16"/>
  <c r="B126" i="16"/>
  <c r="A126" i="16"/>
  <c r="H125" i="16"/>
  <c r="C125" i="16"/>
  <c r="B125" i="16"/>
  <c r="A125" i="16"/>
  <c r="H124" i="16"/>
  <c r="C124" i="16"/>
  <c r="B124" i="16"/>
  <c r="A124" i="16"/>
  <c r="H123" i="16"/>
  <c r="C123" i="16"/>
  <c r="B123" i="16"/>
  <c r="A123" i="16"/>
  <c r="H122" i="16"/>
  <c r="C122" i="16"/>
  <c r="B122" i="16"/>
  <c r="A122" i="16"/>
  <c r="H121" i="16"/>
  <c r="C121" i="16"/>
  <c r="B121" i="16"/>
  <c r="A121" i="16"/>
  <c r="H120" i="16"/>
  <c r="C120" i="16"/>
  <c r="B120" i="16"/>
  <c r="A120" i="16"/>
  <c r="H119" i="16"/>
  <c r="C119" i="16"/>
  <c r="B119" i="16"/>
  <c r="A119" i="16"/>
  <c r="H118" i="16"/>
  <c r="C118" i="16"/>
  <c r="B118" i="16"/>
  <c r="A118" i="16"/>
  <c r="H117" i="16"/>
  <c r="C117" i="16"/>
  <c r="B117" i="16"/>
  <c r="A117" i="16"/>
  <c r="H116" i="16"/>
  <c r="C116" i="16"/>
  <c r="B116" i="16"/>
  <c r="A116" i="16"/>
  <c r="H115" i="16"/>
  <c r="C115" i="16"/>
  <c r="B115" i="16"/>
  <c r="A115" i="16"/>
  <c r="H114" i="16"/>
  <c r="C114" i="16"/>
  <c r="B114" i="16"/>
  <c r="A114" i="16"/>
  <c r="H113" i="16"/>
  <c r="C113" i="16"/>
  <c r="B113" i="16"/>
  <c r="A113" i="16"/>
  <c r="H112" i="16"/>
  <c r="C112" i="16"/>
  <c r="B112" i="16"/>
  <c r="A112" i="16"/>
  <c r="H111" i="16"/>
  <c r="C111" i="16"/>
  <c r="B111" i="16"/>
  <c r="A111" i="16"/>
  <c r="H110" i="16"/>
  <c r="C110" i="16"/>
  <c r="B110" i="16"/>
  <c r="A110" i="16"/>
  <c r="H109" i="16"/>
  <c r="C109" i="16"/>
  <c r="B109" i="16"/>
  <c r="A109" i="16"/>
  <c r="H108" i="16"/>
  <c r="C108" i="16"/>
  <c r="B108" i="16"/>
  <c r="A108" i="16"/>
  <c r="H107" i="16"/>
  <c r="C107" i="16"/>
  <c r="B107" i="16"/>
  <c r="A107" i="16"/>
  <c r="H106" i="16"/>
  <c r="C106" i="16"/>
  <c r="B106" i="16"/>
  <c r="A106" i="16"/>
  <c r="H105" i="16"/>
  <c r="C105" i="16"/>
  <c r="B105" i="16"/>
  <c r="A105" i="16"/>
  <c r="H104" i="16"/>
  <c r="C104" i="16"/>
  <c r="B104" i="16"/>
  <c r="A104" i="16"/>
  <c r="H103" i="16"/>
  <c r="C103" i="16"/>
  <c r="B103" i="16"/>
  <c r="A103" i="16"/>
  <c r="H102" i="16"/>
  <c r="C102" i="16"/>
  <c r="B102" i="16"/>
  <c r="A102" i="16"/>
  <c r="H101" i="16"/>
  <c r="C101" i="16"/>
  <c r="B101" i="16"/>
  <c r="A101" i="16"/>
  <c r="H100" i="16"/>
  <c r="C100" i="16"/>
  <c r="B100" i="16"/>
  <c r="A100" i="16"/>
  <c r="H99" i="16"/>
  <c r="C99" i="16"/>
  <c r="B99" i="16"/>
  <c r="A99" i="16"/>
  <c r="H98" i="16"/>
  <c r="C98" i="16"/>
  <c r="B98" i="16"/>
  <c r="A98" i="16"/>
  <c r="H97" i="16"/>
  <c r="C97" i="16"/>
  <c r="B97" i="16"/>
  <c r="A97" i="16"/>
  <c r="H96" i="16"/>
  <c r="C96" i="16"/>
  <c r="B96" i="16"/>
  <c r="A96" i="16"/>
  <c r="H95" i="16"/>
  <c r="C95" i="16"/>
  <c r="B95" i="16"/>
  <c r="A95" i="16"/>
  <c r="H94" i="16"/>
  <c r="C94" i="16"/>
  <c r="B94" i="16"/>
  <c r="A94" i="16"/>
  <c r="H93" i="16"/>
  <c r="C93" i="16"/>
  <c r="B93" i="16"/>
  <c r="A93" i="16"/>
  <c r="H92" i="16"/>
  <c r="C92" i="16"/>
  <c r="B92" i="16"/>
  <c r="A92" i="16"/>
  <c r="H91" i="16"/>
  <c r="C91" i="16"/>
  <c r="B91" i="16"/>
  <c r="A91" i="16"/>
  <c r="H90" i="16"/>
  <c r="C90" i="16"/>
  <c r="B90" i="16"/>
  <c r="A90" i="16"/>
  <c r="H89" i="16"/>
  <c r="C89" i="16"/>
  <c r="B89" i="16"/>
  <c r="A89" i="16"/>
  <c r="H88" i="16"/>
  <c r="C88" i="16"/>
  <c r="B88" i="16"/>
  <c r="A88" i="16"/>
  <c r="H87" i="16"/>
  <c r="C87" i="16"/>
  <c r="B87" i="16"/>
  <c r="A87" i="16"/>
  <c r="H86" i="16"/>
  <c r="C86" i="16"/>
  <c r="B86" i="16"/>
  <c r="A86" i="16"/>
  <c r="H85" i="16"/>
  <c r="C85" i="16"/>
  <c r="B85" i="16"/>
  <c r="A85" i="16"/>
  <c r="H84" i="16"/>
  <c r="C84" i="16"/>
  <c r="B84" i="16"/>
  <c r="A84" i="16"/>
  <c r="H83" i="16"/>
  <c r="C83" i="16"/>
  <c r="B83" i="16"/>
  <c r="A83" i="16"/>
  <c r="H82" i="16"/>
  <c r="C82" i="16"/>
  <c r="B82" i="16"/>
  <c r="A82" i="16"/>
  <c r="H81" i="16"/>
  <c r="C81" i="16"/>
  <c r="B81" i="16"/>
  <c r="A81" i="16"/>
  <c r="H80" i="16"/>
  <c r="C80" i="16"/>
  <c r="B80" i="16"/>
  <c r="A80" i="16"/>
  <c r="H79" i="16"/>
  <c r="C79" i="16"/>
  <c r="B79" i="16"/>
  <c r="A79" i="16"/>
  <c r="H78" i="16"/>
  <c r="C78" i="16"/>
  <c r="B78" i="16"/>
  <c r="A78" i="16"/>
  <c r="H77" i="16"/>
  <c r="C77" i="16"/>
  <c r="B77" i="16"/>
  <c r="A77" i="16"/>
  <c r="H76" i="16"/>
  <c r="C76" i="16"/>
  <c r="B76" i="16"/>
  <c r="A76" i="16"/>
  <c r="H75" i="16"/>
  <c r="C75" i="16"/>
  <c r="B75" i="16"/>
  <c r="A75" i="16"/>
  <c r="H74" i="16"/>
  <c r="C74" i="16"/>
  <c r="B74" i="16"/>
  <c r="A74" i="16"/>
  <c r="H73" i="16"/>
  <c r="C73" i="16"/>
  <c r="B73" i="16"/>
  <c r="A73" i="16"/>
  <c r="H72" i="16"/>
  <c r="C72" i="16"/>
  <c r="B72" i="16"/>
  <c r="A72" i="16"/>
  <c r="H71" i="16"/>
  <c r="C71" i="16"/>
  <c r="B71" i="16"/>
  <c r="A71" i="16"/>
  <c r="H70" i="16"/>
  <c r="C70" i="16"/>
  <c r="B70" i="16"/>
  <c r="A70" i="16"/>
  <c r="H69" i="16"/>
  <c r="C69" i="16"/>
  <c r="B69" i="16"/>
  <c r="A69" i="16"/>
  <c r="H68" i="16"/>
  <c r="C68" i="16"/>
  <c r="B68" i="16"/>
  <c r="A68" i="16"/>
  <c r="H67" i="16"/>
  <c r="C67" i="16"/>
  <c r="B67" i="16"/>
  <c r="A67" i="16"/>
  <c r="H66" i="16"/>
  <c r="C66" i="16"/>
  <c r="B66" i="16"/>
  <c r="A66" i="16"/>
  <c r="H65" i="16"/>
  <c r="C65" i="16"/>
  <c r="B65" i="16"/>
  <c r="A65" i="16"/>
  <c r="H64" i="16"/>
  <c r="C64" i="16"/>
  <c r="B64" i="16"/>
  <c r="A64" i="16"/>
  <c r="H63" i="16"/>
  <c r="C63" i="16"/>
  <c r="B63" i="16"/>
  <c r="A63" i="16"/>
  <c r="H62" i="16"/>
  <c r="C62" i="16"/>
  <c r="B62" i="16"/>
  <c r="A62" i="16"/>
  <c r="H61" i="16"/>
  <c r="C61" i="16"/>
  <c r="B61" i="16"/>
  <c r="A61" i="16"/>
  <c r="H60" i="16"/>
  <c r="C60" i="16"/>
  <c r="B60" i="16"/>
  <c r="A60" i="16"/>
  <c r="H59" i="16"/>
  <c r="C59" i="16"/>
  <c r="B59" i="16"/>
  <c r="A59" i="16"/>
  <c r="H58" i="16"/>
  <c r="C58" i="16"/>
  <c r="B58" i="16"/>
  <c r="A58" i="16"/>
  <c r="H57" i="16"/>
  <c r="C57" i="16"/>
  <c r="B57" i="16"/>
  <c r="A57" i="16"/>
  <c r="H56" i="16"/>
  <c r="C56" i="16"/>
  <c r="B56" i="16"/>
  <c r="A56" i="16"/>
  <c r="H55" i="16"/>
  <c r="C55" i="16"/>
  <c r="B55" i="16"/>
  <c r="A55" i="16"/>
  <c r="H54" i="16"/>
  <c r="C54" i="16"/>
  <c r="B54" i="16"/>
  <c r="A54" i="16"/>
  <c r="H53" i="16"/>
  <c r="C53" i="16"/>
  <c r="B53" i="16"/>
  <c r="A53" i="16"/>
  <c r="H52" i="16"/>
  <c r="C52" i="16"/>
  <c r="B52" i="16"/>
  <c r="A52" i="16"/>
  <c r="H51" i="16"/>
  <c r="C51" i="16"/>
  <c r="B51" i="16"/>
  <c r="A51" i="16"/>
  <c r="H50" i="16"/>
  <c r="C50" i="16"/>
  <c r="B50" i="16"/>
  <c r="A50" i="16"/>
  <c r="H49" i="16"/>
  <c r="C49" i="16"/>
  <c r="B49" i="16"/>
  <c r="A49" i="16"/>
  <c r="H48" i="16"/>
  <c r="C48" i="16"/>
  <c r="B48" i="16"/>
  <c r="A48" i="16"/>
  <c r="H47" i="16"/>
  <c r="C47" i="16"/>
  <c r="B47" i="16"/>
  <c r="A47" i="16"/>
  <c r="H46" i="16"/>
  <c r="C46" i="16"/>
  <c r="B46" i="16"/>
  <c r="A46" i="16"/>
  <c r="H45" i="16"/>
  <c r="C45" i="16"/>
  <c r="B45" i="16"/>
  <c r="A45" i="16"/>
  <c r="H44" i="16"/>
  <c r="C44" i="16"/>
  <c r="B44" i="16"/>
  <c r="A44" i="16"/>
  <c r="H43" i="16"/>
  <c r="C43" i="16"/>
  <c r="B43" i="16"/>
  <c r="A43" i="16"/>
  <c r="H42" i="16"/>
  <c r="C42" i="16"/>
  <c r="B42" i="16"/>
  <c r="A42" i="16"/>
  <c r="H41" i="16"/>
  <c r="C41" i="16"/>
  <c r="B41" i="16"/>
  <c r="A41" i="16"/>
  <c r="H40" i="16"/>
  <c r="C40" i="16"/>
  <c r="B40" i="16"/>
  <c r="A40" i="16"/>
  <c r="H39" i="16"/>
  <c r="C39" i="16"/>
  <c r="B39" i="16"/>
  <c r="A39" i="16"/>
  <c r="H38" i="16"/>
  <c r="C38" i="16"/>
  <c r="B38" i="16"/>
  <c r="A38" i="16"/>
  <c r="H37" i="16"/>
  <c r="C37" i="16"/>
  <c r="B37" i="16"/>
  <c r="A37" i="16"/>
  <c r="H36" i="16"/>
  <c r="C36" i="16"/>
  <c r="B36" i="16"/>
  <c r="A36" i="16"/>
  <c r="H35" i="16"/>
  <c r="C35" i="16"/>
  <c r="B35" i="16"/>
  <c r="A35" i="16"/>
  <c r="H34" i="16"/>
  <c r="C34" i="16"/>
  <c r="B34" i="16"/>
  <c r="A34" i="16"/>
  <c r="H33" i="16"/>
  <c r="C33" i="16"/>
  <c r="B33" i="16"/>
  <c r="A33" i="16"/>
  <c r="H32" i="16"/>
  <c r="C32" i="16"/>
  <c r="B32" i="16"/>
  <c r="A32" i="16"/>
  <c r="H31" i="16"/>
  <c r="C31" i="16"/>
  <c r="B31" i="16"/>
  <c r="A31" i="16"/>
  <c r="H30" i="16"/>
  <c r="C30" i="16"/>
  <c r="B30" i="16"/>
  <c r="A30" i="16"/>
  <c r="H29" i="16"/>
  <c r="C29" i="16"/>
  <c r="B29" i="16"/>
  <c r="A29" i="16"/>
  <c r="H28" i="16"/>
  <c r="C28" i="16"/>
  <c r="B28" i="16"/>
  <c r="A28" i="16"/>
  <c r="H27" i="16"/>
  <c r="C27" i="16"/>
  <c r="B27" i="16"/>
  <c r="A27" i="16"/>
  <c r="H26" i="16"/>
  <c r="C26" i="16"/>
  <c r="B26" i="16"/>
  <c r="A26" i="16"/>
  <c r="H25" i="16"/>
  <c r="C25" i="16"/>
  <c r="B25" i="16"/>
  <c r="A25" i="16"/>
  <c r="H24" i="16"/>
  <c r="C24" i="16"/>
  <c r="B24" i="16"/>
  <c r="A24" i="16"/>
  <c r="H23" i="16"/>
  <c r="C23" i="16"/>
  <c r="B23" i="16"/>
  <c r="A23" i="16"/>
  <c r="H22" i="16"/>
  <c r="C22" i="16"/>
  <c r="B22" i="16"/>
  <c r="A22" i="16"/>
  <c r="H21" i="16"/>
  <c r="C21" i="16"/>
  <c r="B21" i="16"/>
  <c r="A21" i="16"/>
  <c r="A18" i="16"/>
  <c r="A17" i="16"/>
  <c r="A16" i="16"/>
  <c r="A15" i="16"/>
  <c r="A14" i="16"/>
  <c r="A13" i="16"/>
  <c r="A12" i="16"/>
  <c r="A11" i="16"/>
  <c r="A10" i="16"/>
  <c r="A9" i="16"/>
  <c r="A8" i="16"/>
  <c r="A7" i="16"/>
  <c r="A6" i="16"/>
  <c r="A5" i="16"/>
  <c r="O4" i="16"/>
  <c r="N4" i="16"/>
  <c r="M4" i="16"/>
  <c r="L4" i="16"/>
  <c r="K4" i="16"/>
  <c r="J4" i="16"/>
  <c r="I4" i="16"/>
  <c r="H4" i="16"/>
  <c r="G4" i="16"/>
  <c r="F4" i="16"/>
  <c r="E4" i="16"/>
  <c r="D4" i="16"/>
  <c r="C4" i="16"/>
  <c r="B4" i="16"/>
  <c r="A111" i="15"/>
  <c r="A110" i="15"/>
  <c r="A109" i="15"/>
  <c r="A108" i="15"/>
  <c r="A107" i="15"/>
  <c r="A106" i="15"/>
  <c r="A105" i="15"/>
  <c r="A104" i="15"/>
  <c r="A103" i="15"/>
  <c r="A102" i="15"/>
  <c r="A101" i="15"/>
  <c r="A100" i="15"/>
  <c r="A99" i="15"/>
  <c r="A98" i="15"/>
  <c r="A95" i="15"/>
  <c r="A94" i="15"/>
  <c r="A93" i="15"/>
  <c r="A92" i="15"/>
  <c r="A91" i="15"/>
  <c r="A90" i="15"/>
  <c r="A89" i="15"/>
  <c r="A88" i="15"/>
  <c r="A87" i="15"/>
  <c r="A86" i="15"/>
  <c r="A85" i="15"/>
  <c r="A84" i="15"/>
  <c r="A83" i="15"/>
  <c r="A82" i="15"/>
  <c r="A79" i="15"/>
  <c r="A78" i="15"/>
  <c r="A77" i="15"/>
  <c r="A76" i="15"/>
  <c r="A75" i="15"/>
  <c r="A74" i="15"/>
  <c r="A73" i="15"/>
  <c r="A72" i="15"/>
  <c r="A71" i="15"/>
  <c r="A70" i="15"/>
  <c r="A69" i="15"/>
  <c r="A68" i="15"/>
  <c r="A67" i="15"/>
  <c r="A66" i="15"/>
  <c r="A63" i="15"/>
  <c r="A62" i="15"/>
  <c r="A61" i="15"/>
  <c r="A60" i="15"/>
  <c r="A59" i="15"/>
  <c r="A58" i="15"/>
  <c r="A57" i="15"/>
  <c r="A56" i="15"/>
  <c r="A55" i="15"/>
  <c r="A54" i="15"/>
  <c r="A53" i="15"/>
  <c r="A52" i="15"/>
  <c r="A51" i="15"/>
  <c r="A50" i="15"/>
  <c r="A47" i="15"/>
  <c r="A46" i="15"/>
  <c r="A45" i="15"/>
  <c r="A44" i="15"/>
  <c r="A43" i="15"/>
  <c r="A42" i="15"/>
  <c r="A41" i="15"/>
  <c r="A40" i="15"/>
  <c r="A39" i="15"/>
  <c r="A38" i="15"/>
  <c r="A37" i="15"/>
  <c r="A36" i="15"/>
  <c r="A35" i="15"/>
  <c r="A34" i="15"/>
  <c r="A31" i="15"/>
  <c r="A30" i="15"/>
  <c r="A29" i="15"/>
  <c r="A28" i="15"/>
  <c r="A27" i="15"/>
  <c r="A26" i="15"/>
  <c r="A25" i="15"/>
  <c r="A24" i="15"/>
  <c r="A23" i="15"/>
  <c r="A22" i="15"/>
  <c r="A21" i="15"/>
  <c r="A20" i="15"/>
  <c r="A19" i="15"/>
  <c r="A18" i="15"/>
  <c r="A15" i="15"/>
  <c r="A14" i="15"/>
  <c r="A13" i="15"/>
  <c r="A12" i="15"/>
  <c r="A11" i="15"/>
  <c r="A10" i="15"/>
  <c r="A9" i="15"/>
  <c r="A8" i="15"/>
  <c r="A7" i="15"/>
  <c r="A6" i="15"/>
  <c r="A5" i="15"/>
  <c r="A4" i="15"/>
  <c r="A3" i="15"/>
  <c r="A2" i="15"/>
  <c r="A95" i="14"/>
  <c r="A94" i="14"/>
  <c r="A93" i="14"/>
  <c r="A92" i="14"/>
  <c r="A91" i="14"/>
  <c r="A90" i="14"/>
  <c r="A89" i="14"/>
  <c r="A88" i="14"/>
  <c r="A87" i="14"/>
  <c r="A86" i="14"/>
  <c r="A85" i="14"/>
  <c r="A84" i="14"/>
  <c r="A83" i="14"/>
  <c r="A82" i="14"/>
  <c r="A79" i="14"/>
  <c r="A78" i="14"/>
  <c r="A77" i="14"/>
  <c r="A76" i="14"/>
  <c r="A75" i="14"/>
  <c r="A74" i="14"/>
  <c r="A73" i="14"/>
  <c r="A72" i="14"/>
  <c r="A71" i="14"/>
  <c r="A70" i="14"/>
  <c r="A69" i="14"/>
  <c r="A68" i="14"/>
  <c r="A67" i="14"/>
  <c r="A66" i="14"/>
  <c r="A63" i="14"/>
  <c r="A62" i="14"/>
  <c r="A61" i="14"/>
  <c r="A60" i="14"/>
  <c r="A59" i="14"/>
  <c r="A58" i="14"/>
  <c r="A57" i="14"/>
  <c r="A56" i="14"/>
  <c r="A55" i="14"/>
  <c r="A54" i="14"/>
  <c r="A53" i="14"/>
  <c r="A52" i="14"/>
  <c r="A51" i="14"/>
  <c r="A50" i="14"/>
  <c r="A47" i="14"/>
  <c r="A46" i="14"/>
  <c r="A45" i="14"/>
  <c r="A44" i="14"/>
  <c r="A43" i="14"/>
  <c r="A42" i="14"/>
  <c r="A41" i="14"/>
  <c r="A40" i="14"/>
  <c r="A39" i="14"/>
  <c r="A38" i="14"/>
  <c r="A37" i="14"/>
  <c r="A36" i="14"/>
  <c r="A35" i="14"/>
  <c r="A34" i="14"/>
  <c r="A31" i="14"/>
  <c r="A30" i="14"/>
  <c r="A29" i="14"/>
  <c r="A28" i="14"/>
  <c r="A27" i="14"/>
  <c r="A26" i="14"/>
  <c r="A25" i="14"/>
  <c r="A24" i="14"/>
  <c r="A23" i="14"/>
  <c r="A22" i="14"/>
  <c r="A21" i="14"/>
  <c r="A20" i="14"/>
  <c r="A19" i="14"/>
  <c r="A18" i="14"/>
  <c r="A15" i="14"/>
  <c r="A14" i="14"/>
  <c r="A13" i="14"/>
  <c r="A12" i="14"/>
  <c r="A11" i="14"/>
  <c r="A10" i="14"/>
  <c r="A9" i="14"/>
  <c r="A8" i="14"/>
  <c r="A7" i="14"/>
  <c r="A6" i="14"/>
  <c r="A5" i="14"/>
  <c r="A4" i="14"/>
  <c r="A3" i="14"/>
  <c r="A2" i="14"/>
  <c r="A1327" i="12"/>
  <c r="A1326" i="12"/>
  <c r="A1325" i="12"/>
  <c r="A1324" i="12"/>
  <c r="A1323" i="12"/>
  <c r="A1322" i="12"/>
  <c r="A1321" i="12"/>
  <c r="A1320" i="12"/>
  <c r="A1319" i="12"/>
  <c r="A1318" i="12"/>
  <c r="A1317" i="12"/>
  <c r="A1316" i="12"/>
  <c r="A1315" i="12"/>
  <c r="A1314" i="12"/>
  <c r="A1311" i="12"/>
  <c r="A1310" i="12"/>
  <c r="A1309" i="12"/>
  <c r="A1308" i="12"/>
  <c r="A1307" i="12"/>
  <c r="A1306" i="12"/>
  <c r="A1305" i="12"/>
  <c r="A1304" i="12"/>
  <c r="A1303" i="12"/>
  <c r="A1302" i="12"/>
  <c r="A1301" i="12"/>
  <c r="A1300" i="12"/>
  <c r="A1299" i="12"/>
  <c r="A1298" i="12"/>
  <c r="A1295" i="12"/>
  <c r="A1294" i="12"/>
  <c r="A1293" i="12"/>
  <c r="A1292" i="12"/>
  <c r="A1291" i="12"/>
  <c r="A1290" i="12"/>
  <c r="A1289" i="12"/>
  <c r="A1288" i="12"/>
  <c r="A1287" i="12"/>
  <c r="A1286" i="12"/>
  <c r="A1285" i="12"/>
  <c r="A1284" i="12"/>
  <c r="A1283" i="12"/>
  <c r="A1282" i="12"/>
  <c r="A1279" i="12"/>
  <c r="A1278" i="12"/>
  <c r="A1277" i="12"/>
  <c r="A1276" i="12"/>
  <c r="A1275" i="12"/>
  <c r="A1274" i="12"/>
  <c r="A1273" i="12"/>
  <c r="A1272" i="12"/>
  <c r="A1271" i="12"/>
  <c r="A1270" i="12"/>
  <c r="A1269" i="12"/>
  <c r="A1268" i="12"/>
  <c r="A1267" i="12"/>
  <c r="A1266" i="12"/>
  <c r="A1263" i="12"/>
  <c r="A1262" i="12"/>
  <c r="A1261" i="12"/>
  <c r="A1260" i="12"/>
  <c r="A1259" i="12"/>
  <c r="A1258" i="12"/>
  <c r="A1257" i="12"/>
  <c r="A1256" i="12"/>
  <c r="A1255" i="12"/>
  <c r="A1254" i="12"/>
  <c r="A1253" i="12"/>
  <c r="A1252" i="12"/>
  <c r="A1251" i="12"/>
  <c r="A1250" i="12"/>
  <c r="A1247" i="12"/>
  <c r="A1246" i="12"/>
  <c r="A1245" i="12"/>
  <c r="A1244" i="12"/>
  <c r="A1243" i="12"/>
  <c r="A1242" i="12"/>
  <c r="A1241" i="12"/>
  <c r="A1240" i="12"/>
  <c r="A1239" i="12"/>
  <c r="A1238" i="12"/>
  <c r="A1237" i="12"/>
  <c r="A1236" i="12"/>
  <c r="A1235" i="12"/>
  <c r="A1234" i="12"/>
  <c r="A1231" i="12"/>
  <c r="A1230" i="12"/>
  <c r="A1229" i="12"/>
  <c r="A1228" i="12"/>
  <c r="A1227" i="12"/>
  <c r="A1226" i="12"/>
  <c r="A1225" i="12"/>
  <c r="A1224" i="12"/>
  <c r="A1223" i="12"/>
  <c r="A1222" i="12"/>
  <c r="A1221" i="12"/>
  <c r="A1220" i="12"/>
  <c r="A1219" i="12"/>
  <c r="A1218" i="12"/>
  <c r="A1215" i="12"/>
  <c r="A1214" i="12"/>
  <c r="A1213" i="12"/>
  <c r="A1212" i="12"/>
  <c r="A1211" i="12"/>
  <c r="A1210" i="12"/>
  <c r="A1209" i="12"/>
  <c r="A1208" i="12"/>
  <c r="A1207" i="12"/>
  <c r="A1206" i="12"/>
  <c r="A1205" i="12"/>
  <c r="A1204" i="12"/>
  <c r="A1203" i="12"/>
  <c r="A1202" i="12"/>
  <c r="A1199" i="12"/>
  <c r="A1198" i="12"/>
  <c r="A1197" i="12"/>
  <c r="A1196" i="12"/>
  <c r="A1195" i="12"/>
  <c r="A1194" i="12"/>
  <c r="A1193" i="12"/>
  <c r="A1192" i="12"/>
  <c r="A1191" i="12"/>
  <c r="A1190" i="12"/>
  <c r="A1189" i="12"/>
  <c r="A1188" i="12"/>
  <c r="A1187" i="12"/>
  <c r="A1186" i="12"/>
  <c r="A1183" i="12"/>
  <c r="A1182" i="12"/>
  <c r="A1181" i="12"/>
  <c r="A1180" i="12"/>
  <c r="A1179" i="12"/>
  <c r="A1178" i="12"/>
  <c r="A1177" i="12"/>
  <c r="A1176" i="12"/>
  <c r="A1175" i="12"/>
  <c r="A1174" i="12"/>
  <c r="A1173" i="12"/>
  <c r="A1172" i="12"/>
  <c r="A1171" i="12"/>
  <c r="A1170" i="12"/>
  <c r="A1167" i="12"/>
  <c r="A1166" i="12"/>
  <c r="A1165" i="12"/>
  <c r="A1164" i="12"/>
  <c r="A1163" i="12"/>
  <c r="A1162" i="12"/>
  <c r="A1161" i="12"/>
  <c r="A1160" i="12"/>
  <c r="A1159" i="12"/>
  <c r="A1158" i="12"/>
  <c r="A1157" i="12"/>
  <c r="A1156" i="12"/>
  <c r="A1155" i="12"/>
  <c r="A1154" i="12"/>
  <c r="A1151" i="12"/>
  <c r="A1150" i="12"/>
  <c r="A1149" i="12"/>
  <c r="A1148" i="12"/>
  <c r="A1147" i="12"/>
  <c r="A1146" i="12"/>
  <c r="A1145" i="12"/>
  <c r="A1144" i="12"/>
  <c r="A1143" i="12"/>
  <c r="A1142" i="12"/>
  <c r="A1141" i="12"/>
  <c r="A1140" i="12"/>
  <c r="A1139" i="12"/>
  <c r="A1138" i="12"/>
  <c r="A1135" i="12"/>
  <c r="A1134" i="12"/>
  <c r="A1133" i="12"/>
  <c r="A1132" i="12"/>
  <c r="A1131" i="12"/>
  <c r="A1130" i="12"/>
  <c r="A1129" i="12"/>
  <c r="A1128" i="12"/>
  <c r="A1127" i="12"/>
  <c r="A1126" i="12"/>
  <c r="A1125" i="12"/>
  <c r="A1124" i="12"/>
  <c r="A1123" i="12"/>
  <c r="A1122" i="12"/>
  <c r="A1119" i="12"/>
  <c r="A1118" i="12"/>
  <c r="A1117" i="12"/>
  <c r="A1116" i="12"/>
  <c r="A1115" i="12"/>
  <c r="A1114" i="12"/>
  <c r="A1113" i="12"/>
  <c r="A1112" i="12"/>
  <c r="A1111" i="12"/>
  <c r="A1110" i="12"/>
  <c r="A1109" i="12"/>
  <c r="A1108" i="12"/>
  <c r="A1107" i="12"/>
  <c r="A1106" i="12"/>
  <c r="A1103" i="12"/>
  <c r="A1102" i="12"/>
  <c r="A1101" i="12"/>
  <c r="A1100" i="12"/>
  <c r="A1099" i="12"/>
  <c r="A1098" i="12"/>
  <c r="A1097" i="12"/>
  <c r="A1096" i="12"/>
  <c r="A1095" i="12"/>
  <c r="A1094" i="12"/>
  <c r="A1093" i="12"/>
  <c r="A1092" i="12"/>
  <c r="A1091" i="12"/>
  <c r="A1090" i="12"/>
  <c r="A1087" i="12"/>
  <c r="A1086" i="12"/>
  <c r="A1085" i="12"/>
  <c r="A1084" i="12"/>
  <c r="A1083" i="12"/>
  <c r="A1082" i="12"/>
  <c r="A1081" i="12"/>
  <c r="A1080" i="12"/>
  <c r="A1079" i="12"/>
  <c r="A1078" i="12"/>
  <c r="A1077" i="12"/>
  <c r="A1076" i="12"/>
  <c r="A1075" i="12"/>
  <c r="A1074" i="12"/>
  <c r="A1071" i="12"/>
  <c r="A1070" i="12"/>
  <c r="A1069" i="12"/>
  <c r="A1068" i="12"/>
  <c r="A1067" i="12"/>
  <c r="A1066" i="12"/>
  <c r="A1065" i="12"/>
  <c r="A1064" i="12"/>
  <c r="A1063" i="12"/>
  <c r="A1062" i="12"/>
  <c r="A1061" i="12"/>
  <c r="A1060" i="12"/>
  <c r="A1059" i="12"/>
  <c r="A1058" i="12"/>
  <c r="A1055" i="12"/>
  <c r="A1054" i="12"/>
  <c r="A1053" i="12"/>
  <c r="A1052" i="12"/>
  <c r="A1051" i="12"/>
  <c r="A1050" i="12"/>
  <c r="A1049" i="12"/>
  <c r="A1048" i="12"/>
  <c r="A1047" i="12"/>
  <c r="A1046" i="12"/>
  <c r="A1045" i="12"/>
  <c r="A1044" i="12"/>
  <c r="A1043" i="12"/>
  <c r="A1042" i="12"/>
  <c r="A1039" i="12"/>
  <c r="A1038" i="12"/>
  <c r="A1037" i="12"/>
  <c r="A1036" i="12"/>
  <c r="A1035" i="12"/>
  <c r="A1034" i="12"/>
  <c r="A1033" i="12"/>
  <c r="A1032" i="12"/>
  <c r="A1031" i="12"/>
  <c r="A1030" i="12"/>
  <c r="A1029" i="12"/>
  <c r="A1028" i="12"/>
  <c r="A1027" i="12"/>
  <c r="A1026" i="12"/>
  <c r="A1023" i="12"/>
  <c r="A1022" i="12"/>
  <c r="A1021" i="12"/>
  <c r="A1020" i="12"/>
  <c r="A1019" i="12"/>
  <c r="A1018" i="12"/>
  <c r="A1017" i="12"/>
  <c r="A1016" i="12"/>
  <c r="A1015" i="12"/>
  <c r="A1014" i="12"/>
  <c r="A1013" i="12"/>
  <c r="A1012" i="12"/>
  <c r="A1011" i="12"/>
  <c r="A1010" i="12"/>
  <c r="A1007" i="12"/>
  <c r="A1006" i="12"/>
  <c r="A1005" i="12"/>
  <c r="A1004" i="12"/>
  <c r="A1003" i="12"/>
  <c r="A1002" i="12"/>
  <c r="A1001" i="12"/>
  <c r="A1000" i="12"/>
  <c r="A999" i="12"/>
  <c r="A998" i="12"/>
  <c r="A997" i="12"/>
  <c r="A996" i="12"/>
  <c r="A995" i="12"/>
  <c r="A994" i="12"/>
  <c r="A991" i="12"/>
  <c r="A990" i="12"/>
  <c r="A989" i="12"/>
  <c r="A988" i="12"/>
  <c r="A987" i="12"/>
  <c r="A986" i="12"/>
  <c r="A985" i="12"/>
  <c r="A984" i="12"/>
  <c r="A983" i="12"/>
  <c r="A982" i="12"/>
  <c r="A981" i="12"/>
  <c r="A980" i="12"/>
  <c r="A979" i="12"/>
  <c r="A978" i="12"/>
  <c r="A975" i="12"/>
  <c r="A974" i="12"/>
  <c r="A973" i="12"/>
  <c r="A972" i="12"/>
  <c r="A971" i="12"/>
  <c r="A970" i="12"/>
  <c r="A969" i="12"/>
  <c r="A968" i="12"/>
  <c r="A967" i="12"/>
  <c r="A966" i="12"/>
  <c r="A965" i="12"/>
  <c r="A964" i="12"/>
  <c r="A963" i="12"/>
  <c r="A962" i="12"/>
  <c r="A959" i="12"/>
  <c r="A958" i="12"/>
  <c r="A957" i="12"/>
  <c r="A956" i="12"/>
  <c r="A955" i="12"/>
  <c r="A954" i="12"/>
  <c r="A953" i="12"/>
  <c r="A952" i="12"/>
  <c r="A951" i="12"/>
  <c r="A950" i="12"/>
  <c r="A949" i="12"/>
  <c r="A948" i="12"/>
  <c r="A947" i="12"/>
  <c r="A946" i="12"/>
  <c r="A943" i="12"/>
  <c r="A942" i="12"/>
  <c r="A941" i="12"/>
  <c r="A940" i="12"/>
  <c r="A939" i="12"/>
  <c r="A938" i="12"/>
  <c r="A937" i="12"/>
  <c r="A936" i="12"/>
  <c r="A935" i="12"/>
  <c r="A934" i="12"/>
  <c r="A933" i="12"/>
  <c r="A932" i="12"/>
  <c r="A931" i="12"/>
  <c r="A930" i="12"/>
  <c r="A927" i="12"/>
  <c r="A926" i="12"/>
  <c r="A925" i="12"/>
  <c r="A924" i="12"/>
  <c r="A923" i="12"/>
  <c r="A922" i="12"/>
  <c r="A921" i="12"/>
  <c r="A920" i="12"/>
  <c r="A919" i="12"/>
  <c r="A918" i="12"/>
  <c r="A917" i="12"/>
  <c r="A916" i="12"/>
  <c r="A915" i="12"/>
  <c r="A914" i="12"/>
  <c r="A911" i="12"/>
  <c r="A910" i="12"/>
  <c r="A909" i="12"/>
  <c r="A908" i="12"/>
  <c r="A907" i="12"/>
  <c r="A906" i="12"/>
  <c r="A905" i="12"/>
  <c r="A904" i="12"/>
  <c r="A903" i="12"/>
  <c r="A902" i="12"/>
  <c r="A901" i="12"/>
  <c r="A900" i="12"/>
  <c r="A899" i="12"/>
  <c r="A898" i="12"/>
  <c r="A895" i="12"/>
  <c r="A894" i="12"/>
  <c r="A893" i="12"/>
  <c r="A892" i="12"/>
  <c r="A891" i="12"/>
  <c r="A890" i="12"/>
  <c r="A889" i="12"/>
  <c r="A888" i="12"/>
  <c r="A887" i="12"/>
  <c r="A886" i="12"/>
  <c r="A885" i="12"/>
  <c r="A884" i="12"/>
  <c r="A883" i="12"/>
  <c r="A882" i="12"/>
  <c r="A879" i="12"/>
  <c r="A878" i="12"/>
  <c r="A877" i="12"/>
  <c r="A876" i="12"/>
  <c r="A875" i="12"/>
  <c r="A874" i="12"/>
  <c r="A873" i="12"/>
  <c r="A872" i="12"/>
  <c r="A871" i="12"/>
  <c r="A870" i="12"/>
  <c r="A869" i="12"/>
  <c r="A868" i="12"/>
  <c r="A867" i="12"/>
  <c r="A866" i="12"/>
  <c r="A863" i="12"/>
  <c r="A862" i="12"/>
  <c r="A861" i="12"/>
  <c r="A860" i="12"/>
  <c r="A859" i="12"/>
  <c r="A858" i="12"/>
  <c r="A857" i="12"/>
  <c r="A856" i="12"/>
  <c r="A855" i="12"/>
  <c r="A854" i="12"/>
  <c r="A853" i="12"/>
  <c r="A852" i="12"/>
  <c r="A851" i="12"/>
  <c r="A850" i="12"/>
  <c r="A847" i="12"/>
  <c r="A846" i="12"/>
  <c r="A845" i="12"/>
  <c r="A844" i="12"/>
  <c r="A843" i="12"/>
  <c r="A842" i="12"/>
  <c r="A841" i="12"/>
  <c r="A840" i="12"/>
  <c r="A839" i="12"/>
  <c r="A838" i="12"/>
  <c r="A837" i="12"/>
  <c r="A836" i="12"/>
  <c r="A835" i="12"/>
  <c r="A834" i="12"/>
  <c r="A831" i="12"/>
  <c r="A830" i="12"/>
  <c r="A829" i="12"/>
  <c r="A828" i="12"/>
  <c r="A827" i="12"/>
  <c r="A826" i="12"/>
  <c r="A825" i="12"/>
  <c r="A824" i="12"/>
  <c r="A823" i="12"/>
  <c r="A822" i="12"/>
  <c r="A821" i="12"/>
  <c r="A820" i="12"/>
  <c r="A819" i="12"/>
  <c r="A818" i="12"/>
  <c r="A815" i="12"/>
  <c r="A814" i="12"/>
  <c r="A813" i="12"/>
  <c r="A812" i="12"/>
  <c r="A811" i="12"/>
  <c r="A810" i="12"/>
  <c r="A809" i="12"/>
  <c r="A808" i="12"/>
  <c r="A807" i="12"/>
  <c r="A806" i="12"/>
  <c r="A805" i="12"/>
  <c r="A804" i="12"/>
  <c r="A803" i="12"/>
  <c r="A802" i="12"/>
  <c r="A799" i="12"/>
  <c r="A798" i="12"/>
  <c r="A797" i="12"/>
  <c r="A796" i="12"/>
  <c r="A795" i="12"/>
  <c r="A794" i="12"/>
  <c r="A793" i="12"/>
  <c r="A792" i="12"/>
  <c r="A791" i="12"/>
  <c r="A790" i="12"/>
  <c r="A789" i="12"/>
  <c r="A788" i="12"/>
  <c r="A787" i="12"/>
  <c r="A786" i="12"/>
  <c r="A783" i="12"/>
  <c r="A782" i="12"/>
  <c r="A781" i="12"/>
  <c r="A780" i="12"/>
  <c r="A779" i="12"/>
  <c r="A778" i="12"/>
  <c r="A777" i="12"/>
  <c r="A776" i="12"/>
  <c r="A775" i="12"/>
  <c r="A774" i="12"/>
  <c r="A773" i="12"/>
  <c r="A772" i="12"/>
  <c r="A771" i="12"/>
  <c r="A770" i="12"/>
  <c r="A767" i="12"/>
  <c r="A766" i="12"/>
  <c r="A765" i="12"/>
  <c r="A764" i="12"/>
  <c r="A763" i="12"/>
  <c r="A762" i="12"/>
  <c r="A761" i="12"/>
  <c r="A760" i="12"/>
  <c r="A759" i="12"/>
  <c r="A758" i="12"/>
  <c r="A757" i="12"/>
  <c r="A756" i="12"/>
  <c r="A755" i="12"/>
  <c r="A754" i="12"/>
  <c r="A751" i="12"/>
  <c r="A750" i="12"/>
  <c r="A749" i="12"/>
  <c r="A748" i="12"/>
  <c r="A747" i="12"/>
  <c r="A746" i="12"/>
  <c r="A745" i="12"/>
  <c r="A744" i="12"/>
  <c r="A743" i="12"/>
  <c r="A742" i="12"/>
  <c r="A741" i="12"/>
  <c r="A740" i="12"/>
  <c r="A739" i="12"/>
  <c r="A738" i="12"/>
  <c r="A735" i="12"/>
  <c r="A734" i="12"/>
  <c r="A733" i="12"/>
  <c r="A732" i="12"/>
  <c r="A731" i="12"/>
  <c r="A730" i="12"/>
  <c r="A729" i="12"/>
  <c r="A728" i="12"/>
  <c r="A727" i="12"/>
  <c r="A726" i="12"/>
  <c r="A725" i="12"/>
  <c r="A724" i="12"/>
  <c r="A723" i="12"/>
  <c r="A722" i="12"/>
  <c r="A719" i="12"/>
  <c r="A718" i="12"/>
  <c r="A717" i="12"/>
  <c r="A716" i="12"/>
  <c r="A715" i="12"/>
  <c r="A714" i="12"/>
  <c r="A713" i="12"/>
  <c r="A712" i="12"/>
  <c r="A711" i="12"/>
  <c r="A710" i="12"/>
  <c r="A709" i="12"/>
  <c r="A708" i="12"/>
  <c r="A707" i="12"/>
  <c r="A706" i="12"/>
  <c r="A703" i="12"/>
  <c r="A702" i="12"/>
  <c r="A701" i="12"/>
  <c r="A700" i="12"/>
  <c r="A699" i="12"/>
  <c r="A698" i="12"/>
  <c r="A697" i="12"/>
  <c r="A696" i="12"/>
  <c r="A695" i="12"/>
  <c r="A694" i="12"/>
  <c r="A693" i="12"/>
  <c r="A692" i="12"/>
  <c r="A691" i="12"/>
  <c r="A690" i="12"/>
  <c r="A687" i="12"/>
  <c r="A686" i="12"/>
  <c r="A685" i="12"/>
  <c r="A684" i="12"/>
  <c r="A683" i="12"/>
  <c r="A682" i="12"/>
  <c r="A681" i="12"/>
  <c r="A680" i="12"/>
  <c r="A679" i="12"/>
  <c r="A678" i="12"/>
  <c r="A677" i="12"/>
  <c r="A676" i="12"/>
  <c r="A675" i="12"/>
  <c r="A674" i="12"/>
  <c r="A671" i="12"/>
  <c r="A670" i="12"/>
  <c r="A669" i="12"/>
  <c r="A668" i="12"/>
  <c r="A667" i="12"/>
  <c r="A666" i="12"/>
  <c r="A665" i="12"/>
  <c r="A664" i="12"/>
  <c r="A663" i="12"/>
  <c r="A662" i="12"/>
  <c r="A661" i="12"/>
  <c r="A660" i="12"/>
  <c r="A659" i="12"/>
  <c r="A658" i="12"/>
  <c r="A655" i="12"/>
  <c r="A654" i="12"/>
  <c r="A653" i="12"/>
  <c r="A652" i="12"/>
  <c r="A651" i="12"/>
  <c r="A650" i="12"/>
  <c r="A649" i="12"/>
  <c r="A648" i="12"/>
  <c r="A647" i="12"/>
  <c r="A646" i="12"/>
  <c r="A645" i="12"/>
  <c r="A644" i="12"/>
  <c r="A643" i="12"/>
  <c r="A642" i="12"/>
  <c r="A639" i="12"/>
  <c r="A638" i="12"/>
  <c r="A637" i="12"/>
  <c r="A636" i="12"/>
  <c r="A635" i="12"/>
  <c r="A634" i="12"/>
  <c r="A633" i="12"/>
  <c r="A632" i="12"/>
  <c r="A631" i="12"/>
  <c r="A630" i="12"/>
  <c r="A629" i="12"/>
  <c r="A628" i="12"/>
  <c r="A627" i="12"/>
  <c r="A626" i="12"/>
  <c r="A623" i="12"/>
  <c r="A622" i="12"/>
  <c r="A621" i="12"/>
  <c r="A620" i="12"/>
  <c r="A619" i="12"/>
  <c r="A618" i="12"/>
  <c r="A617" i="12"/>
  <c r="A616" i="12"/>
  <c r="A615" i="12"/>
  <c r="A614" i="12"/>
  <c r="A613" i="12"/>
  <c r="A612" i="12"/>
  <c r="A611" i="12"/>
  <c r="A610" i="12"/>
  <c r="A607" i="12"/>
  <c r="A606" i="12"/>
  <c r="A605" i="12"/>
  <c r="A604" i="12"/>
  <c r="A603" i="12"/>
  <c r="A602" i="12"/>
  <c r="A601" i="12"/>
  <c r="A600" i="12"/>
  <c r="A599" i="12"/>
  <c r="A598" i="12"/>
  <c r="A597" i="12"/>
  <c r="A596" i="12"/>
  <c r="A595" i="12"/>
  <c r="A594" i="12"/>
  <c r="A591" i="12"/>
  <c r="A590" i="12"/>
  <c r="A589" i="12"/>
  <c r="A588" i="12"/>
  <c r="A587" i="12"/>
  <c r="A586" i="12"/>
  <c r="A585" i="12"/>
  <c r="A584" i="12"/>
  <c r="A583" i="12"/>
  <c r="A582" i="12"/>
  <c r="A581" i="12"/>
  <c r="A580" i="12"/>
  <c r="A579" i="12"/>
  <c r="A578" i="12"/>
  <c r="A575" i="12"/>
  <c r="A574" i="12"/>
  <c r="A573" i="12"/>
  <c r="A572" i="12"/>
  <c r="A571" i="12"/>
  <c r="A570" i="12"/>
  <c r="A569" i="12"/>
  <c r="A568" i="12"/>
  <c r="A567" i="12"/>
  <c r="A566" i="12"/>
  <c r="A565" i="12"/>
  <c r="A564" i="12"/>
  <c r="A563" i="12"/>
  <c r="A562" i="12"/>
  <c r="A559" i="12"/>
  <c r="A558" i="12"/>
  <c r="A557" i="12"/>
  <c r="A556" i="12"/>
  <c r="A555" i="12"/>
  <c r="A554" i="12"/>
  <c r="A553" i="12"/>
  <c r="A552" i="12"/>
  <c r="A551" i="12"/>
  <c r="A550" i="12"/>
  <c r="A549" i="12"/>
  <c r="A548" i="12"/>
  <c r="A547" i="12"/>
  <c r="A546" i="12"/>
  <c r="A543" i="12"/>
  <c r="A542" i="12"/>
  <c r="A541" i="12"/>
  <c r="A540" i="12"/>
  <c r="A539" i="12"/>
  <c r="A538" i="12"/>
  <c r="A537" i="12"/>
  <c r="A536" i="12"/>
  <c r="A535" i="12"/>
  <c r="A534" i="12"/>
  <c r="A533" i="12"/>
  <c r="A532" i="12"/>
  <c r="A531" i="12"/>
  <c r="A530" i="12"/>
  <c r="A527" i="12"/>
  <c r="A526" i="12"/>
  <c r="A525" i="12"/>
  <c r="A524" i="12"/>
  <c r="A523" i="12"/>
  <c r="A522" i="12"/>
  <c r="A521" i="12"/>
  <c r="A520" i="12"/>
  <c r="A519" i="12"/>
  <c r="A518" i="12"/>
  <c r="A517" i="12"/>
  <c r="A516" i="12"/>
  <c r="A515" i="12"/>
  <c r="A514" i="12"/>
  <c r="A511" i="12"/>
  <c r="A510" i="12"/>
  <c r="A509" i="12"/>
  <c r="A508" i="12"/>
  <c r="A507" i="12"/>
  <c r="A506" i="12"/>
  <c r="A505" i="12"/>
  <c r="A504" i="12"/>
  <c r="A503" i="12"/>
  <c r="A502" i="12"/>
  <c r="A501" i="12"/>
  <c r="A500" i="12"/>
  <c r="A499" i="12"/>
  <c r="A498" i="12"/>
  <c r="A495" i="12"/>
  <c r="A494" i="12"/>
  <c r="A493" i="12"/>
  <c r="A492" i="12"/>
  <c r="A491" i="12"/>
  <c r="A490" i="12"/>
  <c r="A489" i="12"/>
  <c r="A488" i="12"/>
  <c r="A487" i="12"/>
  <c r="A486" i="12"/>
  <c r="A485" i="12"/>
  <c r="A484" i="12"/>
  <c r="A483" i="12"/>
  <c r="A482" i="12"/>
  <c r="A479" i="12"/>
  <c r="A478" i="12"/>
  <c r="A477" i="12"/>
  <c r="A476" i="12"/>
  <c r="A475" i="12"/>
  <c r="A474" i="12"/>
  <c r="A473" i="12"/>
  <c r="A472" i="12"/>
  <c r="A471" i="12"/>
  <c r="A470" i="12"/>
  <c r="A469" i="12"/>
  <c r="A468" i="12"/>
  <c r="A467" i="12"/>
  <c r="A466" i="12"/>
  <c r="A463" i="12"/>
  <c r="A462" i="12"/>
  <c r="A461" i="12"/>
  <c r="A460" i="12"/>
  <c r="A459" i="12"/>
  <c r="A458" i="12"/>
  <c r="A457" i="12"/>
  <c r="A456" i="12"/>
  <c r="A455" i="12"/>
  <c r="A454" i="12"/>
  <c r="A453" i="12"/>
  <c r="A452" i="12"/>
  <c r="A451" i="12"/>
  <c r="A450" i="12"/>
  <c r="A447" i="12"/>
  <c r="A446" i="12"/>
  <c r="A445" i="12"/>
  <c r="A444" i="12"/>
  <c r="A443" i="12"/>
  <c r="A442" i="12"/>
  <c r="A441" i="12"/>
  <c r="A440" i="12"/>
  <c r="A439" i="12"/>
  <c r="A438" i="12"/>
  <c r="A437" i="12"/>
  <c r="A436" i="12"/>
  <c r="A435" i="12"/>
  <c r="A434" i="12"/>
  <c r="A431" i="12"/>
  <c r="A430" i="12"/>
  <c r="A429" i="12"/>
  <c r="A428" i="12"/>
  <c r="A427" i="12"/>
  <c r="A426" i="12"/>
  <c r="A425" i="12"/>
  <c r="A424" i="12"/>
  <c r="A423" i="12"/>
  <c r="A422" i="12"/>
  <c r="A421" i="12"/>
  <c r="A420" i="12"/>
  <c r="A419" i="12"/>
  <c r="A418" i="12"/>
  <c r="A415" i="12"/>
  <c r="A414" i="12"/>
  <c r="A413" i="12"/>
  <c r="A412" i="12"/>
  <c r="A411" i="12"/>
  <c r="A410" i="12"/>
  <c r="A409" i="12"/>
  <c r="A408" i="12"/>
  <c r="A407" i="12"/>
  <c r="A406" i="12"/>
  <c r="A405" i="12"/>
  <c r="A404" i="12"/>
  <c r="A403" i="12"/>
  <c r="A402" i="12"/>
  <c r="A399" i="12"/>
  <c r="A398" i="12"/>
  <c r="A397" i="12"/>
  <c r="A396" i="12"/>
  <c r="A395" i="12"/>
  <c r="A394" i="12"/>
  <c r="A393" i="12"/>
  <c r="A392" i="12"/>
  <c r="A391" i="12"/>
  <c r="A390" i="12"/>
  <c r="A389" i="12"/>
  <c r="A388" i="12"/>
  <c r="A387" i="12"/>
  <c r="A386" i="12"/>
  <c r="A383" i="12"/>
  <c r="A382" i="12"/>
  <c r="A381" i="12"/>
  <c r="A380" i="12"/>
  <c r="A379" i="12"/>
  <c r="A378" i="12"/>
  <c r="A377" i="12"/>
  <c r="A376" i="12"/>
  <c r="A375" i="12"/>
  <c r="A374" i="12"/>
  <c r="A373" i="12"/>
  <c r="A372" i="12"/>
  <c r="A371" i="12"/>
  <c r="A370" i="12"/>
  <c r="A367" i="12"/>
  <c r="A366" i="12"/>
  <c r="A365" i="12"/>
  <c r="A364" i="12"/>
  <c r="A363" i="12"/>
  <c r="A362" i="12"/>
  <c r="A361" i="12"/>
  <c r="A360" i="12"/>
  <c r="A359" i="12"/>
  <c r="A358" i="12"/>
  <c r="A357" i="12"/>
  <c r="A356" i="12"/>
  <c r="A355" i="12"/>
  <c r="A354" i="12"/>
  <c r="A351" i="12"/>
  <c r="A350" i="12"/>
  <c r="A349" i="12"/>
  <c r="A348" i="12"/>
  <c r="A347" i="12"/>
  <c r="A346" i="12"/>
  <c r="A345" i="12"/>
  <c r="A344" i="12"/>
  <c r="A343" i="12"/>
  <c r="A342" i="12"/>
  <c r="A341" i="12"/>
  <c r="A340" i="12"/>
  <c r="A339" i="12"/>
  <c r="A338" i="12"/>
  <c r="A335" i="12"/>
  <c r="A334" i="12"/>
  <c r="A333" i="12"/>
  <c r="A332" i="12"/>
  <c r="A331" i="12"/>
  <c r="A330" i="12"/>
  <c r="A329" i="12"/>
  <c r="A328" i="12"/>
  <c r="A327" i="12"/>
  <c r="A326" i="12"/>
  <c r="A325" i="12"/>
  <c r="A324" i="12"/>
  <c r="A323" i="12"/>
  <c r="A322" i="12"/>
  <c r="A319" i="12"/>
  <c r="A318" i="12"/>
  <c r="A317" i="12"/>
  <c r="A316" i="12"/>
  <c r="A315" i="12"/>
  <c r="A314" i="12"/>
  <c r="A313" i="12"/>
  <c r="A312" i="12"/>
  <c r="A311" i="12"/>
  <c r="A310" i="12"/>
  <c r="A309" i="12"/>
  <c r="A308" i="12"/>
  <c r="A307" i="12"/>
  <c r="A306" i="12"/>
  <c r="A303" i="12"/>
  <c r="A302" i="12"/>
  <c r="A301" i="12"/>
  <c r="A300" i="12"/>
  <c r="A299" i="12"/>
  <c r="A298" i="12"/>
  <c r="A297" i="12"/>
  <c r="A296" i="12"/>
  <c r="A295" i="12"/>
  <c r="A294" i="12"/>
  <c r="A293" i="12"/>
  <c r="A292" i="12"/>
  <c r="A291" i="12"/>
  <c r="A290" i="12"/>
  <c r="A287" i="12"/>
  <c r="A286" i="12"/>
  <c r="A285" i="12"/>
  <c r="A284" i="12"/>
  <c r="A283" i="12"/>
  <c r="A282" i="12"/>
  <c r="A281" i="12"/>
  <c r="A280" i="12"/>
  <c r="A279" i="12"/>
  <c r="A278" i="12"/>
  <c r="A277" i="12"/>
  <c r="A276" i="12"/>
  <c r="A275" i="12"/>
  <c r="A274" i="12"/>
  <c r="A271" i="12"/>
  <c r="A270" i="12"/>
  <c r="A269" i="12"/>
  <c r="A268" i="12"/>
  <c r="A267" i="12"/>
  <c r="A266" i="12"/>
  <c r="A265" i="12"/>
  <c r="A264" i="12"/>
  <c r="A263" i="12"/>
  <c r="A262" i="12"/>
  <c r="A261" i="12"/>
  <c r="A260" i="12"/>
  <c r="A259" i="12"/>
  <c r="A258" i="12"/>
  <c r="A255" i="12"/>
  <c r="A254" i="12"/>
  <c r="A253" i="12"/>
  <c r="A252" i="12"/>
  <c r="A251" i="12"/>
  <c r="A250" i="12"/>
  <c r="A249" i="12"/>
  <c r="A248" i="12"/>
  <c r="A247" i="12"/>
  <c r="A246" i="12"/>
  <c r="A245" i="12"/>
  <c r="A244" i="12"/>
  <c r="A243" i="12"/>
  <c r="A242" i="12"/>
  <c r="A239" i="12"/>
  <c r="A238" i="12"/>
  <c r="A237" i="12"/>
  <c r="A236" i="12"/>
  <c r="A235" i="12"/>
  <c r="A234" i="12"/>
  <c r="A233" i="12"/>
  <c r="A232" i="12"/>
  <c r="A231" i="12"/>
  <c r="A230" i="12"/>
  <c r="A229" i="12"/>
  <c r="A228" i="12"/>
  <c r="A227" i="12"/>
  <c r="A226" i="12"/>
  <c r="A223" i="12"/>
  <c r="A222" i="12"/>
  <c r="A221" i="12"/>
  <c r="A220" i="12"/>
  <c r="A219" i="12"/>
  <c r="A218" i="12"/>
  <c r="A217" i="12"/>
  <c r="A216" i="12"/>
  <c r="A215" i="12"/>
  <c r="A214" i="12"/>
  <c r="A213" i="12"/>
  <c r="A212" i="12"/>
  <c r="A211" i="12"/>
  <c r="A210" i="12"/>
  <c r="A207" i="12"/>
  <c r="A206" i="12"/>
  <c r="A205" i="12"/>
  <c r="A204" i="12"/>
  <c r="A203" i="12"/>
  <c r="A202" i="12"/>
  <c r="A201" i="12"/>
  <c r="A200" i="12"/>
  <c r="A199" i="12"/>
  <c r="A198" i="12"/>
  <c r="A197" i="12"/>
  <c r="A196" i="12"/>
  <c r="A195" i="12"/>
  <c r="A194" i="12"/>
  <c r="A191" i="12"/>
  <c r="A190" i="12"/>
  <c r="A189" i="12"/>
  <c r="A188" i="12"/>
  <c r="A187" i="12"/>
  <c r="A186" i="12"/>
  <c r="A185" i="12"/>
  <c r="A184" i="12"/>
  <c r="A183" i="12"/>
  <c r="A182" i="12"/>
  <c r="A181" i="12"/>
  <c r="A180" i="12"/>
  <c r="A179" i="12"/>
  <c r="A178" i="12"/>
  <c r="A175" i="12"/>
  <c r="A174" i="12"/>
  <c r="A173" i="12"/>
  <c r="A172" i="12"/>
  <c r="A171" i="12"/>
  <c r="A170" i="12"/>
  <c r="A169" i="12"/>
  <c r="A168" i="12"/>
  <c r="A167" i="12"/>
  <c r="A166" i="12"/>
  <c r="A165" i="12"/>
  <c r="A164" i="12"/>
  <c r="A163" i="12"/>
  <c r="A162" i="12"/>
  <c r="A159" i="12"/>
  <c r="A158" i="12"/>
  <c r="A157" i="12"/>
  <c r="A156" i="12"/>
  <c r="A155" i="12"/>
  <c r="A154" i="12"/>
  <c r="A153" i="12"/>
  <c r="A152" i="12"/>
  <c r="A151" i="12"/>
  <c r="A150" i="12"/>
  <c r="A149" i="12"/>
  <c r="A148" i="12"/>
  <c r="A147" i="12"/>
  <c r="A146" i="12"/>
  <c r="A143" i="12"/>
  <c r="A142" i="12"/>
  <c r="A141" i="12"/>
  <c r="A140" i="12"/>
  <c r="A139" i="12"/>
  <c r="A138" i="12"/>
  <c r="A137" i="12"/>
  <c r="A136" i="12"/>
  <c r="A135" i="12"/>
  <c r="A134" i="12"/>
  <c r="A133" i="12"/>
  <c r="A132" i="12"/>
  <c r="A131" i="12"/>
  <c r="A130" i="12"/>
  <c r="A127" i="12"/>
  <c r="A126" i="12"/>
  <c r="A125" i="12"/>
  <c r="A124" i="12"/>
  <c r="A123" i="12"/>
  <c r="A122" i="12"/>
  <c r="A121" i="12"/>
  <c r="A120" i="12"/>
  <c r="A119" i="12"/>
  <c r="A118" i="12"/>
  <c r="A117" i="12"/>
  <c r="A116" i="12"/>
  <c r="A115" i="12"/>
  <c r="A114" i="12"/>
  <c r="A111" i="12"/>
  <c r="A110" i="12"/>
  <c r="A109" i="12"/>
  <c r="A108" i="12"/>
  <c r="A107" i="12"/>
  <c r="A106" i="12"/>
  <c r="A105" i="12"/>
  <c r="A104" i="12"/>
  <c r="A103" i="12"/>
  <c r="A102" i="12"/>
  <c r="A101" i="12"/>
  <c r="A100" i="12"/>
  <c r="A99" i="12"/>
  <c r="A98" i="12"/>
  <c r="A95" i="12"/>
  <c r="A94" i="12"/>
  <c r="A93" i="12"/>
  <c r="A92" i="12"/>
  <c r="A91" i="12"/>
  <c r="A90" i="12"/>
  <c r="A89" i="12"/>
  <c r="A88" i="12"/>
  <c r="A87" i="12"/>
  <c r="A86" i="12"/>
  <c r="A85" i="12"/>
  <c r="A84" i="12"/>
  <c r="A83" i="12"/>
  <c r="A82" i="12"/>
  <c r="A79" i="12"/>
  <c r="A78" i="12"/>
  <c r="A77" i="12"/>
  <c r="A76" i="12"/>
  <c r="A75" i="12"/>
  <c r="A74" i="12"/>
  <c r="A73" i="12"/>
  <c r="A72" i="12"/>
  <c r="A71" i="12"/>
  <c r="A70" i="12"/>
  <c r="A69" i="12"/>
  <c r="A68" i="12"/>
  <c r="A67" i="12"/>
  <c r="A66" i="12"/>
  <c r="A63" i="12"/>
  <c r="A62" i="12"/>
  <c r="A61" i="12"/>
  <c r="A60" i="12"/>
  <c r="A59" i="12"/>
  <c r="A58" i="12"/>
  <c r="A57" i="12"/>
  <c r="A56" i="12"/>
  <c r="A55" i="12"/>
  <c r="A54" i="12"/>
  <c r="A53" i="12"/>
  <c r="A52" i="12"/>
  <c r="A51" i="12"/>
  <c r="A50" i="12"/>
  <c r="A47" i="12"/>
  <c r="A46" i="12"/>
  <c r="A45" i="12"/>
  <c r="A44" i="12"/>
  <c r="A43" i="12"/>
  <c r="A42" i="12"/>
  <c r="A41" i="12"/>
  <c r="A40" i="12"/>
  <c r="A39" i="12"/>
  <c r="A38" i="12"/>
  <c r="A37" i="12"/>
  <c r="A36" i="12"/>
  <c r="A35" i="12"/>
  <c r="A34" i="12"/>
  <c r="A31" i="12"/>
  <c r="A30" i="12"/>
  <c r="A29" i="12"/>
  <c r="A28" i="12"/>
  <c r="A27" i="12"/>
  <c r="A26" i="12"/>
  <c r="A25" i="12"/>
  <c r="A24" i="12"/>
  <c r="A23" i="12"/>
  <c r="A22" i="12"/>
  <c r="A21" i="12"/>
  <c r="A20" i="12"/>
  <c r="A19" i="12"/>
  <c r="A18" i="12"/>
  <c r="A15" i="12"/>
  <c r="A14" i="12"/>
  <c r="A13" i="12"/>
  <c r="A12" i="12"/>
  <c r="A11" i="12"/>
  <c r="A10" i="12"/>
  <c r="A9" i="12"/>
  <c r="A8" i="12"/>
  <c r="A7" i="12"/>
  <c r="A6" i="12"/>
  <c r="A5" i="12"/>
  <c r="A4" i="12"/>
  <c r="A3" i="12"/>
  <c r="A2" i="12"/>
  <c r="A287" i="11"/>
  <c r="A286" i="11"/>
  <c r="A285" i="11"/>
  <c r="A284" i="11"/>
  <c r="A283" i="11"/>
  <c r="A282" i="11"/>
  <c r="A281" i="11"/>
  <c r="A280" i="11"/>
  <c r="A279" i="11"/>
  <c r="A278" i="11"/>
  <c r="A277" i="11"/>
  <c r="A276" i="11"/>
  <c r="A275" i="11"/>
  <c r="A274" i="11"/>
  <c r="A270" i="11"/>
  <c r="A269" i="11"/>
  <c r="A268" i="11"/>
  <c r="A267" i="11"/>
  <c r="A266" i="11"/>
  <c r="A265" i="11"/>
  <c r="A264" i="11"/>
  <c r="A263" i="11"/>
  <c r="A262" i="11"/>
  <c r="A261" i="11"/>
  <c r="A260" i="11"/>
  <c r="A259" i="11"/>
  <c r="A258" i="11"/>
  <c r="A257" i="11"/>
  <c r="A253" i="11"/>
  <c r="A252" i="11"/>
  <c r="A251" i="11"/>
  <c r="A250" i="11"/>
  <c r="A249" i="11"/>
  <c r="A248" i="11"/>
  <c r="A247" i="11"/>
  <c r="A246" i="11"/>
  <c r="A245" i="11"/>
  <c r="A244" i="11"/>
  <c r="A243" i="11"/>
  <c r="A242" i="11"/>
  <c r="A241" i="11"/>
  <c r="A240" i="11"/>
  <c r="A236" i="11"/>
  <c r="A235" i="11"/>
  <c r="A234" i="11"/>
  <c r="A233" i="11"/>
  <c r="A232" i="11"/>
  <c r="A231" i="11"/>
  <c r="A230" i="11"/>
  <c r="A229" i="11"/>
  <c r="A228" i="11"/>
  <c r="A227" i="11"/>
  <c r="A226" i="11"/>
  <c r="A225" i="11"/>
  <c r="A224" i="11"/>
  <c r="A223" i="11"/>
  <c r="A219" i="11"/>
  <c r="A218" i="11"/>
  <c r="A217" i="11"/>
  <c r="A216" i="11"/>
  <c r="A215" i="11"/>
  <c r="A214" i="11"/>
  <c r="A213" i="11"/>
  <c r="A212" i="11"/>
  <c r="A211" i="11"/>
  <c r="A210" i="11"/>
  <c r="A209" i="11"/>
  <c r="A208" i="11"/>
  <c r="A207" i="11"/>
  <c r="A206" i="11"/>
  <c r="A202" i="11"/>
  <c r="A201" i="11"/>
  <c r="A200" i="11"/>
  <c r="A199" i="11"/>
  <c r="A198" i="11"/>
  <c r="A197" i="11"/>
  <c r="A196" i="11"/>
  <c r="A195" i="11"/>
  <c r="A194" i="11"/>
  <c r="A193" i="11"/>
  <c r="A192" i="11"/>
  <c r="A191" i="11"/>
  <c r="A190" i="11"/>
  <c r="A189" i="11"/>
  <c r="A185" i="11"/>
  <c r="A184" i="11"/>
  <c r="A183" i="11"/>
  <c r="A182" i="11"/>
  <c r="A181" i="11"/>
  <c r="A180" i="11"/>
  <c r="A179" i="11"/>
  <c r="A178" i="11"/>
  <c r="A177" i="11"/>
  <c r="A176" i="11"/>
  <c r="A175" i="11"/>
  <c r="A174" i="11"/>
  <c r="A173" i="11"/>
  <c r="A172" i="11"/>
  <c r="A168" i="11"/>
  <c r="A167" i="11"/>
  <c r="A166" i="11"/>
  <c r="A165" i="11"/>
  <c r="A164" i="11"/>
  <c r="A163" i="11"/>
  <c r="A162" i="11"/>
  <c r="A161" i="11"/>
  <c r="A160" i="11"/>
  <c r="A159" i="11"/>
  <c r="A158" i="11"/>
  <c r="A157" i="11"/>
  <c r="A156" i="11"/>
  <c r="A155" i="11"/>
  <c r="A151" i="11"/>
  <c r="A150" i="11"/>
  <c r="A149" i="11"/>
  <c r="A148" i="11"/>
  <c r="A147" i="11"/>
  <c r="A146" i="11"/>
  <c r="A145" i="11"/>
  <c r="A144" i="11"/>
  <c r="A143" i="11"/>
  <c r="A142" i="11"/>
  <c r="A141" i="11"/>
  <c r="A140" i="11"/>
  <c r="A139" i="11"/>
  <c r="A138" i="11"/>
  <c r="A134" i="11"/>
  <c r="A133" i="11"/>
  <c r="A132" i="11"/>
  <c r="A131" i="11"/>
  <c r="A130" i="11"/>
  <c r="A129" i="11"/>
  <c r="A128" i="11"/>
  <c r="A127" i="11"/>
  <c r="A126" i="11"/>
  <c r="A125" i="11"/>
  <c r="A124" i="11"/>
  <c r="A123" i="11"/>
  <c r="A122" i="11"/>
  <c r="A121" i="11"/>
  <c r="A117" i="11"/>
  <c r="A116" i="11"/>
  <c r="A115" i="11"/>
  <c r="A114" i="11"/>
  <c r="A113" i="11"/>
  <c r="A112" i="11"/>
  <c r="A111" i="11"/>
  <c r="A110" i="11"/>
  <c r="A109" i="11"/>
  <c r="A108" i="11"/>
  <c r="A107" i="11"/>
  <c r="A106" i="11"/>
  <c r="A105" i="11"/>
  <c r="A104" i="11"/>
  <c r="A100" i="11"/>
  <c r="A99" i="11"/>
  <c r="A98" i="11"/>
  <c r="A97" i="11"/>
  <c r="A96" i="11"/>
  <c r="A95" i="11"/>
  <c r="A94" i="11"/>
  <c r="A93" i="11"/>
  <c r="A92" i="11"/>
  <c r="A91" i="11"/>
  <c r="A90" i="11"/>
  <c r="A89" i="11"/>
  <c r="A88" i="11"/>
  <c r="A87" i="11"/>
  <c r="A83" i="11"/>
  <c r="A82" i="11"/>
  <c r="A81" i="11"/>
  <c r="A80" i="11"/>
  <c r="A79" i="11"/>
  <c r="A78" i="11"/>
  <c r="A77" i="11"/>
  <c r="A76" i="11"/>
  <c r="A75" i="11"/>
  <c r="A74" i="11"/>
  <c r="A73" i="11"/>
  <c r="A72" i="11"/>
  <c r="A71" i="11"/>
  <c r="A70" i="11"/>
  <c r="A66" i="11"/>
  <c r="A65" i="11"/>
  <c r="A64" i="11"/>
  <c r="A63" i="11"/>
  <c r="A62" i="11"/>
  <c r="A61" i="11"/>
  <c r="A60" i="11"/>
  <c r="A59" i="11"/>
  <c r="A58" i="11"/>
  <c r="A57" i="11"/>
  <c r="A56" i="11"/>
  <c r="A55" i="11"/>
  <c r="A54" i="11"/>
  <c r="A53" i="11"/>
  <c r="A49" i="11"/>
  <c r="A48" i="11"/>
  <c r="A47" i="11"/>
  <c r="A46" i="11"/>
  <c r="A45" i="11"/>
  <c r="A44" i="11"/>
  <c r="A43" i="11"/>
  <c r="A42" i="11"/>
  <c r="A41" i="11"/>
  <c r="A40" i="11"/>
  <c r="A39" i="11"/>
  <c r="A38" i="11"/>
  <c r="A37" i="11"/>
  <c r="A36" i="11"/>
  <c r="A32" i="11"/>
  <c r="A31" i="11"/>
  <c r="A30" i="11"/>
  <c r="A29" i="11"/>
  <c r="A28" i="11"/>
  <c r="A27" i="11"/>
  <c r="A26" i="11"/>
  <c r="A25" i="11"/>
  <c r="A24" i="11"/>
  <c r="A23" i="11"/>
  <c r="A22" i="11"/>
  <c r="A21" i="11"/>
  <c r="A20" i="11"/>
  <c r="A19" i="11"/>
  <c r="A15" i="11"/>
  <c r="A14" i="11"/>
  <c r="A13" i="11"/>
  <c r="A12" i="11"/>
  <c r="A11" i="11"/>
  <c r="A10" i="11"/>
  <c r="A9" i="11"/>
  <c r="A8" i="11"/>
  <c r="A7" i="11"/>
  <c r="A6" i="11"/>
  <c r="A5" i="11"/>
  <c r="A4" i="11"/>
  <c r="A3" i="11"/>
  <c r="A2" i="11"/>
  <c r="A63" i="10"/>
  <c r="A62" i="10"/>
  <c r="A61" i="10"/>
  <c r="A60" i="10"/>
  <c r="A59" i="10"/>
  <c r="A58" i="10"/>
  <c r="A57" i="10"/>
  <c r="A56" i="10"/>
  <c r="A55" i="10"/>
  <c r="A54" i="10"/>
  <c r="A53" i="10"/>
  <c r="A52" i="10"/>
  <c r="A51" i="10"/>
  <c r="A50" i="10"/>
  <c r="A47" i="10"/>
  <c r="A46" i="10"/>
  <c r="A45" i="10"/>
  <c r="A44" i="10"/>
  <c r="A43" i="10"/>
  <c r="A42" i="10"/>
  <c r="A41" i="10"/>
  <c r="A40" i="10"/>
  <c r="A39" i="10"/>
  <c r="A38" i="10"/>
  <c r="A37" i="10"/>
  <c r="A36" i="10"/>
  <c r="A35" i="10"/>
  <c r="A34" i="10"/>
  <c r="A31" i="10"/>
  <c r="A30" i="10"/>
  <c r="A29" i="10"/>
  <c r="A28" i="10"/>
  <c r="A27" i="10"/>
  <c r="A26" i="10"/>
  <c r="A25" i="10"/>
  <c r="A24" i="10"/>
  <c r="A23" i="10"/>
  <c r="A22" i="10"/>
  <c r="A21" i="10"/>
  <c r="A20" i="10"/>
  <c r="A19" i="10"/>
  <c r="A18" i="10"/>
  <c r="A15" i="10"/>
  <c r="A14" i="10"/>
  <c r="A13" i="10"/>
  <c r="A12" i="10"/>
  <c r="A11" i="10"/>
  <c r="A10" i="10"/>
  <c r="A9" i="10"/>
  <c r="A8" i="10"/>
  <c r="A7" i="10"/>
  <c r="A6" i="10"/>
  <c r="A5" i="10"/>
  <c r="A4" i="10"/>
  <c r="A3" i="10"/>
  <c r="A2" i="10"/>
  <c r="A111" i="9"/>
  <c r="A110" i="9"/>
  <c r="A109" i="9"/>
  <c r="A108" i="9"/>
  <c r="A107" i="9"/>
  <c r="A106" i="9"/>
  <c r="A105" i="9"/>
  <c r="A104" i="9"/>
  <c r="A103" i="9"/>
  <c r="A102" i="9"/>
  <c r="A101" i="9"/>
  <c r="A100" i="9"/>
  <c r="A99" i="9"/>
  <c r="A98" i="9"/>
  <c r="A95" i="9"/>
  <c r="A94" i="9"/>
  <c r="A93" i="9"/>
  <c r="A92" i="9"/>
  <c r="A91" i="9"/>
  <c r="A90" i="9"/>
  <c r="A89" i="9"/>
  <c r="A88" i="9"/>
  <c r="A87" i="9"/>
  <c r="A86" i="9"/>
  <c r="A85" i="9"/>
  <c r="A84" i="9"/>
  <c r="A83" i="9"/>
  <c r="A82" i="9"/>
  <c r="A79" i="9"/>
  <c r="A78" i="9"/>
  <c r="A77" i="9"/>
  <c r="A76" i="9"/>
  <c r="A75" i="9"/>
  <c r="A74" i="9"/>
  <c r="A73" i="9"/>
  <c r="A72" i="9"/>
  <c r="A71" i="9"/>
  <c r="A70" i="9"/>
  <c r="A69" i="9"/>
  <c r="A68" i="9"/>
  <c r="A67" i="9"/>
  <c r="A66" i="9"/>
  <c r="A63" i="9"/>
  <c r="A62" i="9"/>
  <c r="A61" i="9"/>
  <c r="A60" i="9"/>
  <c r="A59" i="9"/>
  <c r="A58" i="9"/>
  <c r="A57" i="9"/>
  <c r="A56" i="9"/>
  <c r="A55" i="9"/>
  <c r="A54" i="9"/>
  <c r="A53" i="9"/>
  <c r="A52" i="9"/>
  <c r="A51" i="9"/>
  <c r="A50" i="9"/>
  <c r="A47" i="9"/>
  <c r="A46" i="9"/>
  <c r="A45" i="9"/>
  <c r="A44" i="9"/>
  <c r="A43" i="9"/>
  <c r="A42" i="9"/>
  <c r="A41" i="9"/>
  <c r="A40" i="9"/>
  <c r="A39" i="9"/>
  <c r="A38" i="9"/>
  <c r="A37" i="9"/>
  <c r="A36" i="9"/>
  <c r="A35" i="9"/>
  <c r="A34" i="9"/>
  <c r="A31" i="9"/>
  <c r="A30" i="9"/>
  <c r="A29" i="9"/>
  <c r="A28" i="9"/>
  <c r="A27" i="9"/>
  <c r="A26" i="9"/>
  <c r="A25" i="9"/>
  <c r="A24" i="9"/>
  <c r="A23" i="9"/>
  <c r="A22" i="9"/>
  <c r="A21" i="9"/>
  <c r="A20" i="9"/>
  <c r="A19" i="9"/>
  <c r="A18" i="9"/>
  <c r="A15" i="9"/>
  <c r="A14" i="9"/>
  <c r="A13" i="9"/>
  <c r="A12" i="9"/>
  <c r="A11" i="9"/>
  <c r="A10" i="9"/>
  <c r="A9" i="9"/>
  <c r="A8" i="9"/>
  <c r="A7" i="9"/>
  <c r="A6" i="9"/>
  <c r="A5" i="9"/>
  <c r="A4" i="9"/>
  <c r="A3" i="9"/>
  <c r="A2" i="9"/>
  <c r="A127" i="8"/>
  <c r="A126" i="8"/>
  <c r="A125" i="8"/>
  <c r="A124" i="8"/>
  <c r="A123" i="8"/>
  <c r="A122" i="8"/>
  <c r="A121" i="8"/>
  <c r="A120" i="8"/>
  <c r="A119" i="8"/>
  <c r="A118" i="8"/>
  <c r="A117" i="8"/>
  <c r="A116" i="8"/>
  <c r="A115" i="8"/>
  <c r="A114" i="8"/>
  <c r="A111" i="8"/>
  <c r="A110" i="8"/>
  <c r="A109" i="8"/>
  <c r="A108" i="8"/>
  <c r="A107" i="8"/>
  <c r="A106" i="8"/>
  <c r="A105" i="8"/>
  <c r="A104" i="8"/>
  <c r="A103" i="8"/>
  <c r="A102" i="8"/>
  <c r="A101" i="8"/>
  <c r="A100" i="8"/>
  <c r="A99" i="8"/>
  <c r="A98" i="8"/>
  <c r="A95" i="8"/>
  <c r="A94" i="8"/>
  <c r="A93" i="8"/>
  <c r="A92" i="8"/>
  <c r="A91" i="8"/>
  <c r="A90" i="8"/>
  <c r="A89" i="8"/>
  <c r="A88" i="8"/>
  <c r="A87" i="8"/>
  <c r="A86" i="8"/>
  <c r="A85" i="8"/>
  <c r="A84" i="8"/>
  <c r="A83" i="8"/>
  <c r="A82" i="8"/>
  <c r="A79" i="8"/>
  <c r="A78" i="8"/>
  <c r="A77" i="8"/>
  <c r="A76" i="8"/>
  <c r="A75" i="8"/>
  <c r="A74" i="8"/>
  <c r="A73" i="8"/>
  <c r="A72" i="8"/>
  <c r="A71" i="8"/>
  <c r="A70" i="8"/>
  <c r="A69" i="8"/>
  <c r="A68" i="8"/>
  <c r="A67" i="8"/>
  <c r="A66" i="8"/>
  <c r="A63" i="8"/>
  <c r="A62" i="8"/>
  <c r="A61" i="8"/>
  <c r="A60" i="8"/>
  <c r="A59" i="8"/>
  <c r="A58" i="8"/>
  <c r="A57" i="8"/>
  <c r="A56" i="8"/>
  <c r="A55" i="8"/>
  <c r="A54" i="8"/>
  <c r="A53" i="8"/>
  <c r="A52" i="8"/>
  <c r="A51" i="8"/>
  <c r="A50" i="8"/>
  <c r="A47" i="8"/>
  <c r="A46" i="8"/>
  <c r="A45" i="8"/>
  <c r="A44" i="8"/>
  <c r="A43" i="8"/>
  <c r="A42" i="8"/>
  <c r="A41" i="8"/>
  <c r="A40" i="8"/>
  <c r="A39" i="8"/>
  <c r="A38" i="8"/>
  <c r="A37" i="8"/>
  <c r="A36" i="8"/>
  <c r="A35" i="8"/>
  <c r="A34" i="8"/>
  <c r="A31" i="8"/>
  <c r="A30" i="8"/>
  <c r="A29" i="8"/>
  <c r="A28" i="8"/>
  <c r="A27" i="8"/>
  <c r="A26" i="8"/>
  <c r="A25" i="8"/>
  <c r="A24" i="8"/>
  <c r="A23" i="8"/>
  <c r="A22" i="8"/>
  <c r="A21" i="8"/>
  <c r="A20" i="8"/>
  <c r="A19" i="8"/>
  <c r="A18" i="8"/>
  <c r="A15" i="8"/>
  <c r="A14" i="8"/>
  <c r="A13" i="8"/>
  <c r="A12" i="8"/>
  <c r="A11" i="8"/>
  <c r="A10" i="8"/>
  <c r="A9" i="8"/>
  <c r="A8" i="8"/>
  <c r="A7" i="8"/>
  <c r="A6" i="8"/>
  <c r="A5" i="8"/>
  <c r="A4" i="8"/>
  <c r="A3" i="8"/>
  <c r="A2" i="8"/>
  <c r="A95" i="7"/>
  <c r="A94" i="7"/>
  <c r="A93" i="7"/>
  <c r="A92" i="7"/>
  <c r="A91" i="7"/>
  <c r="A90" i="7"/>
  <c r="A89" i="7"/>
  <c r="A88" i="7"/>
  <c r="A87" i="7"/>
  <c r="A86" i="7"/>
  <c r="A85" i="7"/>
  <c r="A84" i="7"/>
  <c r="A83" i="7"/>
  <c r="A82" i="7"/>
  <c r="A79" i="7"/>
  <c r="A78" i="7"/>
  <c r="A77" i="7"/>
  <c r="A76" i="7"/>
  <c r="A75" i="7"/>
  <c r="A74" i="7"/>
  <c r="A73" i="7"/>
  <c r="A72" i="7"/>
  <c r="A71" i="7"/>
  <c r="A70" i="7"/>
  <c r="A69" i="7"/>
  <c r="A68" i="7"/>
  <c r="A67" i="7"/>
  <c r="A66" i="7"/>
  <c r="A63" i="7"/>
  <c r="A62" i="7"/>
  <c r="A61" i="7"/>
  <c r="A60" i="7"/>
  <c r="A59" i="7"/>
  <c r="A58" i="7"/>
  <c r="A57" i="7"/>
  <c r="A56" i="7"/>
  <c r="A55" i="7"/>
  <c r="A54" i="7"/>
  <c r="A53" i="7"/>
  <c r="A52" i="7"/>
  <c r="A51" i="7"/>
  <c r="A50" i="7"/>
  <c r="A47" i="7"/>
  <c r="A46" i="7"/>
  <c r="A45" i="7"/>
  <c r="A44" i="7"/>
  <c r="A43" i="7"/>
  <c r="A42" i="7"/>
  <c r="A41" i="7"/>
  <c r="A40" i="7"/>
  <c r="A39" i="7"/>
  <c r="A38" i="7"/>
  <c r="A37" i="7"/>
  <c r="A36" i="7"/>
  <c r="A35" i="7"/>
  <c r="A34" i="7"/>
  <c r="A31" i="7"/>
  <c r="A30" i="7"/>
  <c r="A29" i="7"/>
  <c r="A28" i="7"/>
  <c r="A27" i="7"/>
  <c r="A26" i="7"/>
  <c r="A25" i="7"/>
  <c r="A24" i="7"/>
  <c r="A23" i="7"/>
  <c r="A22" i="7"/>
  <c r="A21" i="7"/>
  <c r="A20" i="7"/>
  <c r="A19" i="7"/>
  <c r="A18" i="7"/>
  <c r="A15" i="7"/>
  <c r="A14" i="7"/>
  <c r="A13" i="7"/>
  <c r="A12" i="7"/>
  <c r="A11" i="7"/>
  <c r="A10" i="7"/>
  <c r="A9" i="7"/>
  <c r="A8" i="7"/>
  <c r="A7" i="7"/>
  <c r="A6" i="7"/>
  <c r="A5" i="7"/>
  <c r="A4" i="7"/>
  <c r="A3" i="7"/>
  <c r="A2" i="7"/>
  <c r="A63" i="6"/>
  <c r="A62" i="6"/>
  <c r="A61" i="6"/>
  <c r="A60" i="6"/>
  <c r="A59" i="6"/>
  <c r="A58" i="6"/>
  <c r="A57" i="6"/>
  <c r="A56" i="6"/>
  <c r="A55" i="6"/>
  <c r="A54" i="6"/>
  <c r="A53" i="6"/>
  <c r="A52" i="6"/>
  <c r="A51" i="6"/>
  <c r="A50" i="6"/>
  <c r="A47" i="6"/>
  <c r="A46" i="6"/>
  <c r="A45" i="6"/>
  <c r="A44" i="6"/>
  <c r="A43" i="6"/>
  <c r="A42" i="6"/>
  <c r="A41" i="6"/>
  <c r="A40" i="6"/>
  <c r="A39" i="6"/>
  <c r="A38" i="6"/>
  <c r="A37" i="6"/>
  <c r="A36" i="6"/>
  <c r="A35" i="6"/>
  <c r="A34" i="6"/>
  <c r="A31" i="6"/>
  <c r="A30" i="6"/>
  <c r="A29" i="6"/>
  <c r="A28" i="6"/>
  <c r="A27" i="6"/>
  <c r="A26" i="6"/>
  <c r="A25" i="6"/>
  <c r="A24" i="6"/>
  <c r="A23" i="6"/>
  <c r="A22" i="6"/>
  <c r="A21" i="6"/>
  <c r="A20" i="6"/>
  <c r="A19" i="6"/>
  <c r="A18" i="6"/>
  <c r="A15" i="6"/>
  <c r="A14" i="6"/>
  <c r="A13" i="6"/>
  <c r="A12" i="6"/>
  <c r="A11" i="6"/>
  <c r="A10" i="6"/>
  <c r="A9" i="6"/>
  <c r="A8" i="6"/>
  <c r="A7" i="6"/>
  <c r="A6" i="6"/>
  <c r="A5" i="6"/>
  <c r="A4" i="6"/>
  <c r="A3" i="6"/>
  <c r="A2" i="6"/>
  <c r="A287" i="5"/>
  <c r="A286" i="5"/>
  <c r="A285" i="5"/>
  <c r="A284" i="5"/>
  <c r="A283" i="5"/>
  <c r="A282" i="5"/>
  <c r="A281" i="5"/>
  <c r="A280" i="5"/>
  <c r="A279" i="5"/>
  <c r="A278" i="5"/>
  <c r="A277" i="5"/>
  <c r="A276" i="5"/>
  <c r="A275" i="5"/>
  <c r="A274" i="5"/>
  <c r="A271" i="5"/>
  <c r="A270" i="5"/>
  <c r="A269" i="5"/>
  <c r="A268" i="5"/>
  <c r="A267" i="5"/>
  <c r="A266" i="5"/>
  <c r="A265" i="5"/>
  <c r="A264" i="5"/>
  <c r="A263" i="5"/>
  <c r="A262" i="5"/>
  <c r="A261" i="5"/>
  <c r="A260" i="5"/>
  <c r="A259" i="5"/>
  <c r="A258" i="5"/>
  <c r="A255" i="5"/>
  <c r="A254" i="5"/>
  <c r="A253" i="5"/>
  <c r="A252" i="5"/>
  <c r="A251" i="5"/>
  <c r="A250" i="5"/>
  <c r="A249" i="5"/>
  <c r="A248" i="5"/>
  <c r="A247" i="5"/>
  <c r="A246" i="5"/>
  <c r="A245" i="5"/>
  <c r="A244" i="5"/>
  <c r="A243" i="5"/>
  <c r="A242" i="5"/>
  <c r="A239" i="5"/>
  <c r="A238" i="5"/>
  <c r="A237" i="5"/>
  <c r="A236" i="5"/>
  <c r="A235" i="5"/>
  <c r="A234" i="5"/>
  <c r="A233" i="5"/>
  <c r="A232" i="5"/>
  <c r="A231" i="5"/>
  <c r="A230" i="5"/>
  <c r="A229" i="5"/>
  <c r="A228" i="5"/>
  <c r="A227" i="5"/>
  <c r="A226" i="5"/>
  <c r="A223" i="5"/>
  <c r="A222" i="5"/>
  <c r="A221" i="5"/>
  <c r="A220" i="5"/>
  <c r="A219" i="5"/>
  <c r="A218" i="5"/>
  <c r="A217" i="5"/>
  <c r="A216" i="5"/>
  <c r="A215" i="5"/>
  <c r="A214" i="5"/>
  <c r="A213" i="5"/>
  <c r="A212" i="5"/>
  <c r="A211" i="5"/>
  <c r="A210" i="5"/>
  <c r="A207" i="5"/>
  <c r="A206" i="5"/>
  <c r="A205" i="5"/>
  <c r="A204" i="5"/>
  <c r="A203" i="5"/>
  <c r="A202" i="5"/>
  <c r="A201" i="5"/>
  <c r="A200" i="5"/>
  <c r="A199" i="5"/>
  <c r="A198" i="5"/>
  <c r="A197" i="5"/>
  <c r="A196" i="5"/>
  <c r="A195" i="5"/>
  <c r="A194" i="5"/>
  <c r="A191" i="5"/>
  <c r="A190" i="5"/>
  <c r="A189" i="5"/>
  <c r="A188" i="5"/>
  <c r="A187" i="5"/>
  <c r="A186" i="5"/>
  <c r="A185" i="5"/>
  <c r="A184" i="5"/>
  <c r="A183" i="5"/>
  <c r="A182" i="5"/>
  <c r="A181" i="5"/>
  <c r="A180" i="5"/>
  <c r="A179" i="5"/>
  <c r="A178" i="5"/>
  <c r="A175" i="5"/>
  <c r="A174" i="5"/>
  <c r="A173" i="5"/>
  <c r="A172" i="5"/>
  <c r="A171" i="5"/>
  <c r="A170" i="5"/>
  <c r="A169" i="5"/>
  <c r="A168" i="5"/>
  <c r="A167" i="5"/>
  <c r="A166" i="5"/>
  <c r="A165" i="5"/>
  <c r="A164" i="5"/>
  <c r="A163" i="5"/>
  <c r="A162" i="5"/>
  <c r="A159" i="5"/>
  <c r="A158" i="5"/>
  <c r="A157" i="5"/>
  <c r="A156" i="5"/>
  <c r="A155" i="5"/>
  <c r="A154" i="5"/>
  <c r="A153" i="5"/>
  <c r="A152" i="5"/>
  <c r="A151" i="5"/>
  <c r="A150" i="5"/>
  <c r="A149" i="5"/>
  <c r="A148" i="5"/>
  <c r="A147" i="5"/>
  <c r="A146" i="5"/>
  <c r="A143" i="5"/>
  <c r="A142" i="5"/>
  <c r="A141" i="5"/>
  <c r="A140" i="5"/>
  <c r="A139" i="5"/>
  <c r="A138" i="5"/>
  <c r="A137" i="5"/>
  <c r="A136" i="5"/>
  <c r="A135" i="5"/>
  <c r="A134" i="5"/>
  <c r="A133" i="5"/>
  <c r="A132" i="5"/>
  <c r="A131" i="5"/>
  <c r="A130" i="5"/>
  <c r="A127" i="5"/>
  <c r="A126" i="5"/>
  <c r="A125" i="5"/>
  <c r="A124" i="5"/>
  <c r="A123" i="5"/>
  <c r="A122" i="5"/>
  <c r="A121" i="5"/>
  <c r="A120" i="5"/>
  <c r="A119" i="5"/>
  <c r="A118" i="5"/>
  <c r="A117" i="5"/>
  <c r="A116" i="5"/>
  <c r="A115" i="5"/>
  <c r="A114" i="5"/>
  <c r="A111" i="5"/>
  <c r="A110" i="5"/>
  <c r="A109" i="5"/>
  <c r="A108" i="5"/>
  <c r="A107" i="5"/>
  <c r="A106" i="5"/>
  <c r="A105" i="5"/>
  <c r="A104" i="5"/>
  <c r="A103" i="5"/>
  <c r="A102" i="5"/>
  <c r="A101" i="5"/>
  <c r="A100" i="5"/>
  <c r="A99" i="5"/>
  <c r="A98" i="5"/>
  <c r="A95" i="5"/>
  <c r="A94" i="5"/>
  <c r="A93" i="5"/>
  <c r="A92" i="5"/>
  <c r="A91" i="5"/>
  <c r="A90" i="5"/>
  <c r="A89" i="5"/>
  <c r="A88" i="5"/>
  <c r="A87" i="5"/>
  <c r="A86" i="5"/>
  <c r="A85" i="5"/>
  <c r="A84" i="5"/>
  <c r="A83" i="5"/>
  <c r="A82" i="5"/>
  <c r="A79" i="5"/>
  <c r="A78" i="5"/>
  <c r="A77" i="5"/>
  <c r="A76" i="5"/>
  <c r="A75" i="5"/>
  <c r="A74" i="5"/>
  <c r="A73" i="5"/>
  <c r="A72" i="5"/>
  <c r="A71" i="5"/>
  <c r="A70" i="5"/>
  <c r="A69" i="5"/>
  <c r="A68" i="5"/>
  <c r="A67" i="5"/>
  <c r="A66" i="5"/>
  <c r="A63" i="5"/>
  <c r="A62" i="5"/>
  <c r="A61" i="5"/>
  <c r="A60" i="5"/>
  <c r="A59" i="5"/>
  <c r="A58" i="5"/>
  <c r="A57" i="5"/>
  <c r="A56" i="5"/>
  <c r="A55" i="5"/>
  <c r="A54" i="5"/>
  <c r="A53" i="5"/>
  <c r="A52" i="5"/>
  <c r="A51" i="5"/>
  <c r="A50" i="5"/>
  <c r="A47" i="5"/>
  <c r="A46" i="5"/>
  <c r="A45" i="5"/>
  <c r="A44" i="5"/>
  <c r="A43" i="5"/>
  <c r="A42" i="5"/>
  <c r="A41" i="5"/>
  <c r="A40" i="5"/>
  <c r="A39" i="5"/>
  <c r="A38" i="5"/>
  <c r="A37" i="5"/>
  <c r="A36" i="5"/>
  <c r="A35" i="5"/>
  <c r="A34" i="5"/>
  <c r="A31" i="5"/>
  <c r="A30" i="5"/>
  <c r="A29" i="5"/>
  <c r="A28" i="5"/>
  <c r="A27" i="5"/>
  <c r="A26" i="5"/>
  <c r="A25" i="5"/>
  <c r="A24" i="5"/>
  <c r="A23" i="5"/>
  <c r="A22" i="5"/>
  <c r="A21" i="5"/>
  <c r="A20" i="5"/>
  <c r="A19" i="5"/>
  <c r="A18" i="5"/>
  <c r="A15" i="5"/>
  <c r="A14" i="5"/>
  <c r="A13" i="5"/>
  <c r="A12" i="5"/>
  <c r="A11" i="5"/>
  <c r="A10" i="5"/>
  <c r="A9" i="5"/>
  <c r="A8" i="5"/>
  <c r="A7" i="5"/>
  <c r="A6" i="5"/>
  <c r="A5" i="5"/>
  <c r="A4" i="5"/>
  <c r="A3" i="5"/>
  <c r="A2" i="5"/>
  <c r="A31" i="4"/>
  <c r="A30" i="4"/>
  <c r="A29" i="4"/>
  <c r="A28" i="4"/>
  <c r="A27" i="4"/>
  <c r="A26" i="4"/>
  <c r="A25" i="4"/>
  <c r="A24" i="4"/>
  <c r="A23" i="4"/>
  <c r="A22" i="4"/>
  <c r="A21" i="4"/>
  <c r="A20" i="4"/>
  <c r="A19" i="4"/>
  <c r="A18" i="4"/>
  <c r="A15" i="4"/>
  <c r="A14" i="4"/>
  <c r="A13" i="4"/>
  <c r="A12" i="4"/>
  <c r="A11" i="4"/>
  <c r="A10" i="4"/>
  <c r="A9" i="4"/>
  <c r="A8" i="4"/>
  <c r="A7" i="4"/>
  <c r="A6" i="4"/>
  <c r="A5" i="4"/>
  <c r="A4" i="4"/>
  <c r="A3" i="4"/>
  <c r="A2" i="4"/>
  <c r="A63" i="3"/>
  <c r="A62" i="3"/>
  <c r="A61" i="3"/>
  <c r="A60" i="3"/>
  <c r="A59" i="3"/>
  <c r="A58" i="3"/>
  <c r="A57" i="3"/>
  <c r="A56" i="3"/>
  <c r="A55" i="3"/>
  <c r="A54" i="3"/>
  <c r="A53" i="3"/>
  <c r="A52" i="3"/>
  <c r="A51" i="3"/>
  <c r="A50" i="3"/>
  <c r="A47" i="3"/>
  <c r="A46" i="3"/>
  <c r="A45" i="3"/>
  <c r="A44" i="3"/>
  <c r="A43" i="3"/>
  <c r="A42" i="3"/>
  <c r="A41" i="3"/>
  <c r="A40" i="3"/>
  <c r="A39" i="3"/>
  <c r="A38" i="3"/>
  <c r="A37" i="3"/>
  <c r="A36" i="3"/>
  <c r="A35" i="3"/>
  <c r="A34" i="3"/>
  <c r="A31" i="3"/>
  <c r="A30" i="3"/>
  <c r="A29" i="3"/>
  <c r="A28" i="3"/>
  <c r="A27" i="3"/>
  <c r="A26" i="3"/>
  <c r="A25" i="3"/>
  <c r="A24" i="3"/>
  <c r="A23" i="3"/>
  <c r="A22" i="3"/>
  <c r="A21" i="3"/>
  <c r="A20" i="3"/>
  <c r="A19" i="3"/>
  <c r="A18" i="3"/>
  <c r="A15" i="3"/>
  <c r="A14" i="3"/>
  <c r="A13" i="3"/>
  <c r="A12" i="3"/>
  <c r="A11" i="3"/>
  <c r="A10" i="3"/>
  <c r="A9" i="3"/>
  <c r="A8" i="3"/>
  <c r="A7" i="3"/>
  <c r="A6" i="3"/>
  <c r="A5" i="3"/>
  <c r="A4" i="3"/>
  <c r="A3" i="3"/>
  <c r="A2" i="3"/>
  <c r="A207" i="2"/>
  <c r="A206" i="2"/>
  <c r="A205" i="2"/>
  <c r="A204" i="2"/>
  <c r="A203" i="2"/>
  <c r="A202" i="2"/>
  <c r="A201" i="2"/>
  <c r="A200" i="2"/>
  <c r="A199" i="2"/>
  <c r="A198" i="2"/>
  <c r="A197" i="2"/>
  <c r="A196" i="2"/>
  <c r="A195" i="2"/>
  <c r="A194" i="2"/>
  <c r="A191" i="2"/>
  <c r="A190" i="2"/>
  <c r="A189" i="2"/>
  <c r="A188" i="2"/>
  <c r="A187" i="2"/>
  <c r="A186" i="2"/>
  <c r="A185" i="2"/>
  <c r="A184" i="2"/>
  <c r="A183" i="2"/>
  <c r="A182" i="2"/>
  <c r="A181" i="2"/>
  <c r="A180" i="2"/>
  <c r="A179" i="2"/>
  <c r="A178" i="2"/>
  <c r="A175" i="2"/>
  <c r="A174" i="2"/>
  <c r="A173" i="2"/>
  <c r="A172" i="2"/>
  <c r="A171" i="2"/>
  <c r="A170" i="2"/>
  <c r="A169" i="2"/>
  <c r="A168" i="2"/>
  <c r="A167" i="2"/>
  <c r="A166" i="2"/>
  <c r="A165" i="2"/>
  <c r="A164" i="2"/>
  <c r="A163" i="2"/>
  <c r="A162" i="2"/>
  <c r="A159" i="2"/>
  <c r="A158" i="2"/>
  <c r="A157" i="2"/>
  <c r="A156" i="2"/>
  <c r="A155" i="2"/>
  <c r="A154" i="2"/>
  <c r="A153" i="2"/>
  <c r="A152" i="2"/>
  <c r="A151" i="2"/>
  <c r="A150" i="2"/>
  <c r="A149" i="2"/>
  <c r="A148" i="2"/>
  <c r="A147" i="2"/>
  <c r="A146" i="2"/>
  <c r="A143" i="2"/>
  <c r="A142" i="2"/>
  <c r="A141" i="2"/>
  <c r="A140" i="2"/>
  <c r="A139" i="2"/>
  <c r="A138" i="2"/>
  <c r="A137" i="2"/>
  <c r="A136" i="2"/>
  <c r="A135" i="2"/>
  <c r="A134" i="2"/>
  <c r="A133" i="2"/>
  <c r="A132" i="2"/>
  <c r="A131" i="2"/>
  <c r="A130" i="2"/>
  <c r="A127" i="2"/>
  <c r="A126" i="2"/>
  <c r="A125" i="2"/>
  <c r="A124" i="2"/>
  <c r="A123" i="2"/>
  <c r="A122" i="2"/>
  <c r="A121" i="2"/>
  <c r="A120" i="2"/>
  <c r="A119" i="2"/>
  <c r="A118" i="2"/>
  <c r="A117" i="2"/>
  <c r="A116" i="2"/>
  <c r="A115" i="2"/>
  <c r="A114" i="2"/>
  <c r="A111" i="2"/>
  <c r="A110" i="2"/>
  <c r="A109" i="2"/>
  <c r="A108" i="2"/>
  <c r="A107" i="2"/>
  <c r="A106" i="2"/>
  <c r="A105" i="2"/>
  <c r="A104" i="2"/>
  <c r="A103" i="2"/>
  <c r="A102" i="2"/>
  <c r="A101" i="2"/>
  <c r="A100" i="2"/>
  <c r="A99" i="2"/>
  <c r="A98" i="2"/>
  <c r="A95" i="2"/>
  <c r="A94" i="2"/>
  <c r="A93" i="2"/>
  <c r="A92" i="2"/>
  <c r="A91" i="2"/>
  <c r="A90" i="2"/>
  <c r="A89" i="2"/>
  <c r="A88" i="2"/>
  <c r="A87" i="2"/>
  <c r="A86" i="2"/>
  <c r="A85" i="2"/>
  <c r="A84" i="2"/>
  <c r="A83" i="2"/>
  <c r="A82" i="2"/>
  <c r="A79" i="2"/>
  <c r="A78" i="2"/>
  <c r="A77" i="2"/>
  <c r="A76" i="2"/>
  <c r="A75" i="2"/>
  <c r="A74" i="2"/>
  <c r="A73" i="2"/>
  <c r="A72" i="2"/>
  <c r="A71" i="2"/>
  <c r="A70" i="2"/>
  <c r="A69" i="2"/>
  <c r="A68" i="2"/>
  <c r="A67" i="2"/>
  <c r="A66" i="2"/>
  <c r="A63" i="2"/>
  <c r="A62" i="2"/>
  <c r="A61" i="2"/>
  <c r="A60" i="2"/>
  <c r="A59" i="2"/>
  <c r="A58" i="2"/>
  <c r="A57" i="2"/>
  <c r="A56" i="2"/>
  <c r="A55" i="2"/>
  <c r="A54" i="2"/>
  <c r="A53" i="2"/>
  <c r="A52" i="2"/>
  <c r="A51" i="2"/>
  <c r="A50" i="2"/>
  <c r="A47" i="2"/>
  <c r="A46" i="2"/>
  <c r="A45" i="2"/>
  <c r="A44" i="2"/>
  <c r="A43" i="2"/>
  <c r="A42" i="2"/>
  <c r="A41" i="2"/>
  <c r="A40" i="2"/>
  <c r="A39" i="2"/>
  <c r="A38" i="2"/>
  <c r="A37" i="2"/>
  <c r="A36" i="2"/>
  <c r="A35" i="2"/>
  <c r="A34" i="2"/>
  <c r="A31" i="2"/>
  <c r="A30" i="2"/>
  <c r="A29" i="2"/>
  <c r="A28" i="2"/>
  <c r="A27" i="2"/>
  <c r="A26" i="2"/>
  <c r="A25" i="2"/>
  <c r="A24" i="2"/>
  <c r="A23" i="2"/>
  <c r="A22" i="2"/>
  <c r="A21" i="2"/>
  <c r="A20" i="2"/>
  <c r="A19" i="2"/>
  <c r="A18" i="2"/>
  <c r="A15" i="2"/>
  <c r="A14" i="2"/>
  <c r="A13" i="2"/>
  <c r="A12" i="2"/>
  <c r="A11" i="2"/>
  <c r="A10" i="2"/>
  <c r="A9" i="2"/>
  <c r="A8" i="2"/>
  <c r="A7" i="2"/>
  <c r="A6" i="2"/>
  <c r="A5" i="2"/>
  <c r="A4" i="2"/>
  <c r="A3" i="2"/>
  <c r="A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93" authorId="0" shapeId="0" xr:uid="{00000000-0006-0000-0100-000001000000}">
      <text>
        <r>
          <rPr>
            <sz val="8"/>
            <color indexed="81"/>
            <rFont val="Tahoma"/>
            <family val="2"/>
          </rPr>
          <t>Proportion of undiagnosed that can't be reached by existing services (can be linked to care via programs)</t>
        </r>
      </text>
    </comment>
  </commentList>
</comments>
</file>

<file path=xl/sharedStrings.xml><?xml version="1.0" encoding="utf-8"?>
<sst xmlns="http://schemas.openxmlformats.org/spreadsheetml/2006/main" count="6652" uniqueCount="241">
  <si>
    <t>Abbreviation</t>
  </si>
  <si>
    <t>Full Name</t>
  </si>
  <si>
    <t>Population type</t>
  </si>
  <si>
    <t>PWID_males</t>
  </si>
  <si>
    <t>People Who Inject Drugs (males)</t>
  </si>
  <si>
    <t>human</t>
  </si>
  <si>
    <t>PWID_females</t>
  </si>
  <si>
    <t>People Who Inject Drugs (females)</t>
  </si>
  <si>
    <t>0-9_males</t>
  </si>
  <si>
    <t>General Population 0-9 males</t>
  </si>
  <si>
    <t>0-9_females</t>
  </si>
  <si>
    <t>General Population 0-9 females</t>
  </si>
  <si>
    <t>10-17_males</t>
  </si>
  <si>
    <t>General Population 10-17 males</t>
  </si>
  <si>
    <t>10-17_females</t>
  </si>
  <si>
    <t>General Population 10-17 females</t>
  </si>
  <si>
    <t>18-64_males</t>
  </si>
  <si>
    <t>General Population 18-64 males</t>
  </si>
  <si>
    <t>18-64_females</t>
  </si>
  <si>
    <t>General Population 18-64 females</t>
  </si>
  <si>
    <t>65+_males</t>
  </si>
  <si>
    <t>General Population 65+ males</t>
  </si>
  <si>
    <t>65+_females</t>
  </si>
  <si>
    <t>General Population 65+ females</t>
  </si>
  <si>
    <t>Prisoners_males</t>
  </si>
  <si>
    <t>Prisoners (males)</t>
  </si>
  <si>
    <t>Prisoners_females</t>
  </si>
  <si>
    <t>Prisoners (females)</t>
  </si>
  <si>
    <t>Prisoners_PWID_males</t>
  </si>
  <si>
    <t>Prisoners_PWID_females</t>
  </si>
  <si>
    <t>Population living with chronic HCV</t>
  </si>
  <si>
    <t>Provenance</t>
  </si>
  <si>
    <t>Units</t>
  </si>
  <si>
    <t>Uncertainty</t>
  </si>
  <si>
    <t>Number</t>
  </si>
  <si>
    <t>HCV Prevalence</t>
  </si>
  <si>
    <t>Fraction</t>
  </si>
  <si>
    <t>Proportion who have F0-F2</t>
  </si>
  <si>
    <t>Constant</t>
  </si>
  <si>
    <t>OR</t>
  </si>
  <si>
    <t>Proportion who have F3</t>
  </si>
  <si>
    <t>Proportion who have F4</t>
  </si>
  <si>
    <t>Proportion who have DC</t>
  </si>
  <si>
    <t>Proportion who have HCC</t>
  </si>
  <si>
    <t>Undiagnosed proportion</t>
  </si>
  <si>
    <t>Proportion that failed treatments</t>
  </si>
  <si>
    <t>Proportion LTFU after Ab diagnosis</t>
  </si>
  <si>
    <t>Proportion LTFU after RNA diagnosis</t>
  </si>
  <si>
    <t>Proportion LTFU after failed treatment 1</t>
  </si>
  <si>
    <t>Proportion of undiagnosed that are lost to care</t>
  </si>
  <si>
    <t>Proportion</t>
  </si>
  <si>
    <t>Population size</t>
  </si>
  <si>
    <t>Number of live births</t>
  </si>
  <si>
    <t>Number (per year)</t>
  </si>
  <si>
    <t>Net migration rate</t>
  </si>
  <si>
    <t>Rate (per year)</t>
  </si>
  <si>
    <t>All cause death rate</t>
  </si>
  <si>
    <t>Force of Infection constant</t>
  </si>
  <si>
    <t>N.A.</t>
  </si>
  <si>
    <t>Infectivity among the general population</t>
  </si>
  <si>
    <t>Proportion of HCV infections spontaneously clearing</t>
  </si>
  <si>
    <t>Average duration for spontaneous viral clearance</t>
  </si>
  <si>
    <t>Framework-supplied default</t>
  </si>
  <si>
    <t>Duration (years)</t>
  </si>
  <si>
    <t>F0 to F1 progression rate (intermediate step)</t>
  </si>
  <si>
    <t>F1 to F2 progression rate (intermediate step)</t>
  </si>
  <si>
    <t>F2 to F3 progression rate (intermediate step)</t>
  </si>
  <si>
    <t>F3 to F4 progression rate (intermediate step)</t>
  </si>
  <si>
    <t>F4 to DC progression rate (intermediate step)</t>
  </si>
  <si>
    <t>F4 to HCC progression rate (intermediate step)</t>
  </si>
  <si>
    <t>Susceptible DC relapse rate (intermediate step)</t>
  </si>
  <si>
    <t>Susceptible HCC relapse rate (intermediate step)</t>
  </si>
  <si>
    <t>DC to HCC progression rate (intermediate step)</t>
  </si>
  <si>
    <t>F4 death rate (intermediate step)</t>
  </si>
  <si>
    <t>DC death rate (intermediate step)</t>
  </si>
  <si>
    <t>HCC death rate (intermediate step)</t>
  </si>
  <si>
    <t>Liver Transplant in Year 1 death rate (intermediate step)</t>
  </si>
  <si>
    <t>Liver Transplant 2+ Years Ago death rate (intermediate step)</t>
  </si>
  <si>
    <t>Reduction in mortality post DC cure</t>
  </si>
  <si>
    <t>Reduction in mortality post HCC cure</t>
  </si>
  <si>
    <t>Antibody testing rate in F0-F2, undiagnosed, in care (intermediate step)</t>
  </si>
  <si>
    <t>Antibody testing rate in F3+, undiagnosed, in care (intermediate step)</t>
  </si>
  <si>
    <t>RNA testing rate in F0-F2, Ab diagnosed, in care (intermediate step)</t>
  </si>
  <si>
    <t>RNA testing rate in F3+, Ab diagnosed, in care (intermediate step)</t>
  </si>
  <si>
    <t>Loss to follow-up rate on antibody test in F0-F2</t>
  </si>
  <si>
    <t>Loss to follow-up rate on antibody test in F3+</t>
  </si>
  <si>
    <t>Loss to follow-up rate on PCR test in F0-F2</t>
  </si>
  <si>
    <t>Loss to follow-up rate on PCR test in F3+</t>
  </si>
  <si>
    <t>Loss to follow-up rate after treatment initiation in F0-F2</t>
  </si>
  <si>
    <t>Loss to follow-up rate after treatment initiation in F3+</t>
  </si>
  <si>
    <t>Antibody re-engagement in care, F0-F2, lost to follow-up after Ab test</t>
  </si>
  <si>
    <t>Antibody re-engagement in care, F3+, lost to follow-up after Ab test</t>
  </si>
  <si>
    <t>RNA re-engagement in care, F0-F2, lost to follow up after RNA test</t>
  </si>
  <si>
    <t>RNA re-engagement in care, F3+, lost to follow up after RNA test</t>
  </si>
  <si>
    <t>Re-engagement in care after treatment initiation, F0-F2</t>
  </si>
  <si>
    <t>Re-engagement in care after treatment initiation, F3+</t>
  </si>
  <si>
    <t>RNA re-engagement in care, F0-F2, lost to follow up after Ab test</t>
  </si>
  <si>
    <t>RNA re-engagement in care, F3+, lost to follow up after Ab test</t>
  </si>
  <si>
    <t>Proportion of treatments allocated to each population pre-DAA</t>
  </si>
  <si>
    <t>Proportion of treatments allocated to each population post-DAA</t>
  </si>
  <si>
    <t>Proportion of treatments allocated to each population pre-DAA (PWID and Prisoners)</t>
  </si>
  <si>
    <t>Proportion of treatments allocated to each population post-DAA (PWID and Prisoners)</t>
  </si>
  <si>
    <t>Average treatment duration</t>
  </si>
  <si>
    <t>Probability of achieving SVR</t>
  </si>
  <si>
    <t>Proportion of treatments that are retreatments due to failure</t>
  </si>
  <si>
    <t>DC to liver transplant rate</t>
  </si>
  <si>
    <t>HCC to liver transplant rate</t>
  </si>
  <si>
    <t>DC liver transplant 1 to 2+ years ago rate</t>
  </si>
  <si>
    <t>HCC liver transplant 1 to 2+ years ago rate</t>
  </si>
  <si>
    <t>Percent diagnosed Ab or RNA (ever)</t>
  </si>
  <si>
    <t>Total</t>
  </si>
  <si>
    <t>Number of treatments</t>
  </si>
  <si>
    <t>Chronic HCV infections</t>
  </si>
  <si>
    <t>Total number of people living with HCV</t>
  </si>
  <si>
    <t>Positive antibody tests</t>
  </si>
  <si>
    <t>Total number of diagnoses</t>
  </si>
  <si>
    <t>Chronic HCV infections in F0-F2</t>
  </si>
  <si>
    <t>Chronic HCV infections in F3</t>
  </si>
  <si>
    <t>Number of prevalent cases of compensated cirrhosis due to HCV (including cured)</t>
  </si>
  <si>
    <t>Number of prevalent cases of decompensated compensated cirrhosis due to HCV (including cured)</t>
  </si>
  <si>
    <t>Chronic HCV infections in HCC</t>
  </si>
  <si>
    <t>HCV incidence</t>
  </si>
  <si>
    <t>DC incidence</t>
  </si>
  <si>
    <t>HCC incidence</t>
  </si>
  <si>
    <t>Liver transplants due to HCV</t>
  </si>
  <si>
    <t>HCV-related deaths</t>
  </si>
  <si>
    <t>All-cause deaths (18+)</t>
  </si>
  <si>
    <t>Population living with acute HCV</t>
  </si>
  <si>
    <t>Susceptible, antibody positive (aware, unaware, treated)</t>
  </si>
  <si>
    <t>Susceptible (all)</t>
  </si>
  <si>
    <t>Liver Fibrosis F0 (Chronic) (vaccinated)</t>
  </si>
  <si>
    <t>Liver Fibrosis F1 (Chronic) (vaccinated)</t>
  </si>
  <si>
    <t>Liver Fibrosis F2 (Chronic) (vaccinated)</t>
  </si>
  <si>
    <t>Liver Fibrosis F0-2 (Chronic) (vaccinated)</t>
  </si>
  <si>
    <t>Liver Fibrosis F3 (Chronic) (vaccinated)</t>
  </si>
  <si>
    <t>Liver Fibrosis F4 (Chronic) (vaccinated)</t>
  </si>
  <si>
    <t>Liver Fibrosis F3-4 (Chronic) (vaccinated)</t>
  </si>
  <si>
    <t>Liver Fibrosis All Stages (Chronic) (vaccinated)</t>
  </si>
  <si>
    <t>Decompensated Cirrhosis (Chronic) (vaccinated)</t>
  </si>
  <si>
    <t>Hepatocellular Carcinoma (Chronic) (vaccinated)</t>
  </si>
  <si>
    <t>Decompensated Cirrhosis and Hepatocellular Carcinoma (Chronic) (vaccinated)</t>
  </si>
  <si>
    <t>Population living with acute HCV (vaccinated)</t>
  </si>
  <si>
    <t>Population living with chronic HCV (vaccinated)</t>
  </si>
  <si>
    <t>Susceptible, antibody positive (aware, unaware, treated) (vaccinated)</t>
  </si>
  <si>
    <t>Susceptible (all) (vaccinated)</t>
  </si>
  <si>
    <t>Total population living with HCV</t>
  </si>
  <si>
    <t>Failed treatment 1 F0</t>
  </si>
  <si>
    <t>Failed treatment 1 F1</t>
  </si>
  <si>
    <t>Failed treatment 1 F2</t>
  </si>
  <si>
    <t>Failed treatment 1 F3</t>
  </si>
  <si>
    <t>Failed treatment 1 F4</t>
  </si>
  <si>
    <t>Failed treatment 1 DC</t>
  </si>
  <si>
    <t>Failed treatment 1 HCC</t>
  </si>
  <si>
    <t>Failed treatment 2 F0</t>
  </si>
  <si>
    <t>Failed treatment 2 F1</t>
  </si>
  <si>
    <t>Failed treatment 2 F2</t>
  </si>
  <si>
    <t>Failed treatment 2 F3</t>
  </si>
  <si>
    <t>Failed treatment 2 F4</t>
  </si>
  <si>
    <t>Failed treatment 2 DC</t>
  </si>
  <si>
    <t>Failed treatment 2 HCC</t>
  </si>
  <si>
    <t>Number undiagnosed F0</t>
  </si>
  <si>
    <t>Number undiagnosed F1</t>
  </si>
  <si>
    <t>Number undiagnosed F2</t>
  </si>
  <si>
    <t>Number undiagnosed F3</t>
  </si>
  <si>
    <t>Number undiagnosed F4</t>
  </si>
  <si>
    <t>Number undiagnosed DC</t>
  </si>
  <si>
    <t>Number undiagnosed HCC</t>
  </si>
  <si>
    <t>Number undiagnosed acute</t>
  </si>
  <si>
    <t>LTFU failed tx 1 F0</t>
  </si>
  <si>
    <t>LTFU failed tx 1 F1</t>
  </si>
  <si>
    <t>LTFU failed tx 1 F2</t>
  </si>
  <si>
    <t>LTFU failed tx 1 F3</t>
  </si>
  <si>
    <t>LTFU failed tx 1 F4</t>
  </si>
  <si>
    <t>LTFU failed tx 1 DC</t>
  </si>
  <si>
    <t>LTFU failed tx 1 HCC</t>
  </si>
  <si>
    <t>LTFU antibody test F0</t>
  </si>
  <si>
    <t>LTFU antibody test F1</t>
  </si>
  <si>
    <t>LTFU antibody test F2</t>
  </si>
  <si>
    <t>LTFU antibody test F3</t>
  </si>
  <si>
    <t>LTFU antibody test F4</t>
  </si>
  <si>
    <t>LTFU antibody test DC</t>
  </si>
  <si>
    <t>LTFU antibody test HCC</t>
  </si>
  <si>
    <t>LTFU PCR test F0</t>
  </si>
  <si>
    <t>LTFU PCR test F1</t>
  </si>
  <si>
    <t>LTFU PCR test F2</t>
  </si>
  <si>
    <t>LTFU PCR test F3</t>
  </si>
  <si>
    <t>LTFU PCR test F4</t>
  </si>
  <si>
    <t>LTFU PCR test DC</t>
  </si>
  <si>
    <t>LTFU PCR test HCC</t>
  </si>
  <si>
    <t>On treatment 1 F0</t>
  </si>
  <si>
    <t>On treatment 1 F1</t>
  </si>
  <si>
    <t>On treatment 1 F2</t>
  </si>
  <si>
    <t>On treatment 1 F3</t>
  </si>
  <si>
    <t>On treatment 1 F4</t>
  </si>
  <si>
    <t>On treatment 1 DC</t>
  </si>
  <si>
    <t>On treatment 1 HCC</t>
  </si>
  <si>
    <t>On treatment 2 F0</t>
  </si>
  <si>
    <t>On treatment 2 F1</t>
  </si>
  <si>
    <t>On treatment 2 F2</t>
  </si>
  <si>
    <t>On treatment 2 F3</t>
  </si>
  <si>
    <t>On treatment 2 F4</t>
  </si>
  <si>
    <t>On treatment 2 DC</t>
  </si>
  <si>
    <t>On treatment 2 HCC</t>
  </si>
  <si>
    <t>Undiagnosed, lost to care f0</t>
  </si>
  <si>
    <t>Undiagnosed, lost to care f1</t>
  </si>
  <si>
    <t>Undiagnosed, lost to care f2</t>
  </si>
  <si>
    <t>Undiagnosed, lost to care f3</t>
  </si>
  <si>
    <t>Undiagnosed, lost to care f4</t>
  </si>
  <si>
    <t>Undiagnosed, lost to care dc</t>
  </si>
  <si>
    <t>Undiagnosed, lost to care hcc</t>
  </si>
  <si>
    <t>Multiplier for progression rates (intermediate step for calibration)</t>
  </si>
  <si>
    <t>Multiplier for death rates (intermediate step for calibration)</t>
  </si>
  <si>
    <t>Testing rate multiplier non-PWID (intermediate calculation/calibration step)</t>
  </si>
  <si>
    <t>Separate test multiplier for PWID and Prisoners (no need to calibrate it)</t>
  </si>
  <si>
    <t>Number of treatments per population group (intermediate calculation step)</t>
  </si>
  <si>
    <t>Prevalence (intermediate calibration step)</t>
  </si>
  <si>
    <t>Vaccine: vaccination uptake</t>
  </si>
  <si>
    <t>Probability (per year)</t>
  </si>
  <si>
    <t>Vaccine: duration for waning effectiveness</t>
  </si>
  <si>
    <t>Vaccine: proportion of initial HCV infections spontaneously clearing</t>
  </si>
  <si>
    <t>Vaccine: proportion of HCV infections spontaneously clearing</t>
  </si>
  <si>
    <t>Vaccine: duration for spontaneous viral clearance</t>
  </si>
  <si>
    <t>Vaccine: FOI multiplier for PWID</t>
  </si>
  <si>
    <t>Vaccine: FOI multiplier for gPop</t>
  </si>
  <si>
    <t>idu</t>
  </si>
  <si>
    <t>Injecting Drug Use Transmission</t>
  </si>
  <si>
    <t>From population type</t>
  </si>
  <si>
    <t>To population type</t>
  </si>
  <si>
    <t>Y</t>
  </si>
  <si>
    <t>N</t>
  </si>
  <si>
    <t>From population</t>
  </si>
  <si>
    <t>To population</t>
  </si>
  <si>
    <t>other</t>
  </si>
  <si>
    <t>Other sources of transmission</t>
  </si>
  <si>
    <t>age</t>
  </si>
  <si>
    <t>Aging</t>
  </si>
  <si>
    <t>Number (years)</t>
  </si>
  <si>
    <t>idu_status</t>
  </si>
  <si>
    <t>Injecting Drug Use Relapse or Cessation</t>
  </si>
  <si>
    <t>inc</t>
  </si>
  <si>
    <t>Incarceration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</si>
</sst>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indexed="81"/>
      <name val="Tahoma"/>
      <family val="2"/>
    </font>
  </fonts>
  <fills count="4">
    <fill>
      <patternFill patternType="none"/>
    </fill>
    <fill>
      <patternFill patternType="gray125"/>
    </fill>
    <fill>
      <patternFill patternType="solid">
        <fgColor rgb="FF98E0FA"/>
        <bgColor indexed="64"/>
      </patternFill>
    </fill>
    <fill>
      <patternFill patternType="solid">
        <fgColor rgb="FFEEEEEE"/>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2" borderId="1" xfId="0" applyFill="1" applyBorder="1" applyProtection="1">
      <protection locked="0"/>
    </xf>
    <xf numFmtId="0" fontId="0" fillId="3" borderId="2" xfId="0" applyFill="1" applyBorder="1"/>
    <xf numFmtId="0" fontId="0" fillId="0" borderId="0" xfId="0" applyAlignment="1">
      <alignment horizontal="center"/>
    </xf>
    <xf numFmtId="0" fontId="0" fillId="2" borderId="1" xfId="0" applyFill="1" applyBorder="1" applyAlignment="1" applyProtection="1">
      <alignment horizontal="center"/>
      <protection locked="0"/>
    </xf>
  </cellXfs>
  <cellStyles count="1">
    <cellStyle name="Normal" xfId="0" builtinId="0"/>
  </cellStyles>
  <dxfs count="1376">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patternType="lightUp">
          <bgColor rgb="FFFF0000"/>
        </patternFill>
      </fill>
    </dxf>
    <dxf>
      <fill>
        <patternFill patternType="lightUp"/>
      </fill>
    </dxf>
    <dxf>
      <fill>
        <patternFill>
          <bgColor rgb="FF98E0FA"/>
        </patternFill>
      </fill>
    </dxf>
    <dxf>
      <fill>
        <patternFill>
          <bgColor rgb="FFFFA500"/>
        </patternFill>
      </fill>
    </dxf>
    <dxf>
      <fill>
        <patternFill>
          <bgColor rgb="FF98E0FA"/>
        </patternFill>
      </fill>
    </dxf>
    <dxf>
      <fill>
        <patternFill>
          <bgColor rgb="FFFFA500"/>
        </patternFill>
      </fill>
    </dxf>
    <dxf>
      <fill>
        <patternFill patternType="lightUp">
          <bgColor rgb="FFFF0000"/>
        </patternFill>
      </fill>
    </dxf>
    <dxf>
      <fill>
        <patternFill patternType="lightUp"/>
      </fill>
    </dxf>
    <dxf>
      <fill>
        <patternFill>
          <bgColor rgb="FFFFA500"/>
        </patternFill>
      </fill>
    </dxf>
    <dxf>
      <fill>
        <patternFill>
          <bgColor rgb="FF98E0FA"/>
        </patternFill>
      </fill>
    </dxf>
    <dxf>
      <fill>
        <patternFill>
          <bgColor rgb="FFFFA500"/>
        </patternFill>
      </fill>
    </dxf>
    <dxf>
      <fill>
        <patternFill>
          <bgColor rgb="FF98E0FA"/>
        </patternFill>
      </fill>
    </dxf>
    <dxf>
      <fill>
        <patternFill patternType="lightUp"/>
      </fill>
    </dxf>
    <dxf>
      <fill>
        <patternFill patternType="lightUp">
          <bgColor rgb="FFFF00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bgColor rgb="FF98E0FA"/>
        </patternFill>
      </fill>
    </dxf>
    <dxf>
      <fill>
        <patternFill>
          <bgColor rgb="FFFFA5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FFFFFF"/>
        </patternFill>
      </fill>
      <border>
        <left style="thin">
          <color rgb="FFCCCCCC"/>
        </left>
        <right style="thin">
          <color rgb="FFCCCCCC"/>
        </right>
        <top style="thin">
          <color rgb="FFCCCCCC"/>
        </top>
        <bottom style="thin">
          <color rgb="FFCCCCCC"/>
        </bottom>
        <vertical/>
        <horizontal/>
      </border>
    </dxf>
    <dxf>
      <fill>
        <patternFill>
          <bgColor rgb="FF98E0FA"/>
        </patternFill>
      </fill>
    </dxf>
    <dxf>
      <fill>
        <patternFill>
          <bgColor rgb="FFFFA500"/>
        </patternFill>
      </fill>
    </dxf>
    <dxf>
      <fill>
        <patternFill>
          <bgColor rgb="FF98E0FA"/>
        </patternFill>
      </fill>
    </dxf>
    <dxf>
      <fill>
        <patternFill>
          <bgColor rgb="FFFFA500"/>
        </patternFill>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
      <fill>
        <patternFill patternType="lightUp">
          <bgColor rgb="FFFF0000"/>
        </patternFill>
      </fill>
    </dxf>
    <dxf>
      <fill>
        <patternFill patternType="lightUp"/>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15"/>
  <sheetViews>
    <sheetView workbookViewId="0"/>
  </sheetViews>
  <sheetFormatPr defaultRowHeight="15" x14ac:dyDescent="0.25"/>
  <cols>
    <col min="1" max="1" width="25.85546875" customWidth="1"/>
    <col min="2" max="2" width="38" customWidth="1"/>
    <col min="3" max="3" width="18.28515625" customWidth="1"/>
  </cols>
  <sheetData>
    <row r="1" spans="1:3" x14ac:dyDescent="0.25">
      <c r="A1" s="1" t="s">
        <v>0</v>
      </c>
      <c r="B1" s="1" t="s">
        <v>1</v>
      </c>
      <c r="C1" s="1" t="s">
        <v>2</v>
      </c>
    </row>
    <row r="2" spans="1:3" x14ac:dyDescent="0.25">
      <c r="A2" s="2" t="s">
        <v>3</v>
      </c>
      <c r="B2" s="2" t="s">
        <v>4</v>
      </c>
      <c r="C2" s="3" t="s">
        <v>5</v>
      </c>
    </row>
    <row r="3" spans="1:3" x14ac:dyDescent="0.25">
      <c r="A3" s="2" t="s">
        <v>6</v>
      </c>
      <c r="B3" s="2" t="s">
        <v>7</v>
      </c>
      <c r="C3" s="3" t="s">
        <v>5</v>
      </c>
    </row>
    <row r="4" spans="1:3" x14ac:dyDescent="0.25">
      <c r="A4" s="2" t="s">
        <v>8</v>
      </c>
      <c r="B4" s="2" t="s">
        <v>9</v>
      </c>
      <c r="C4" s="3" t="s">
        <v>5</v>
      </c>
    </row>
    <row r="5" spans="1:3" x14ac:dyDescent="0.25">
      <c r="A5" s="2" t="s">
        <v>10</v>
      </c>
      <c r="B5" s="2" t="s">
        <v>11</v>
      </c>
      <c r="C5" s="3" t="s">
        <v>5</v>
      </c>
    </row>
    <row r="6" spans="1:3" x14ac:dyDescent="0.25">
      <c r="A6" s="2" t="s">
        <v>12</v>
      </c>
      <c r="B6" s="2" t="s">
        <v>13</v>
      </c>
      <c r="C6" s="3" t="s">
        <v>5</v>
      </c>
    </row>
    <row r="7" spans="1:3" x14ac:dyDescent="0.25">
      <c r="A7" s="2" t="s">
        <v>14</v>
      </c>
      <c r="B7" s="2" t="s">
        <v>15</v>
      </c>
      <c r="C7" s="3" t="s">
        <v>5</v>
      </c>
    </row>
    <row r="8" spans="1:3" x14ac:dyDescent="0.25">
      <c r="A8" s="2" t="s">
        <v>16</v>
      </c>
      <c r="B8" s="2" t="s">
        <v>17</v>
      </c>
      <c r="C8" s="3" t="s">
        <v>5</v>
      </c>
    </row>
    <row r="9" spans="1:3" x14ac:dyDescent="0.25">
      <c r="A9" s="2" t="s">
        <v>18</v>
      </c>
      <c r="B9" s="2" t="s">
        <v>19</v>
      </c>
      <c r="C9" s="3" t="s">
        <v>5</v>
      </c>
    </row>
    <row r="10" spans="1:3" x14ac:dyDescent="0.25">
      <c r="A10" s="2" t="s">
        <v>20</v>
      </c>
      <c r="B10" s="2" t="s">
        <v>21</v>
      </c>
      <c r="C10" s="3" t="s">
        <v>5</v>
      </c>
    </row>
    <row r="11" spans="1:3" x14ac:dyDescent="0.25">
      <c r="A11" s="2" t="s">
        <v>22</v>
      </c>
      <c r="B11" s="2" t="s">
        <v>23</v>
      </c>
      <c r="C11" s="3" t="s">
        <v>5</v>
      </c>
    </row>
    <row r="12" spans="1:3" x14ac:dyDescent="0.25">
      <c r="A12" s="2" t="s">
        <v>24</v>
      </c>
      <c r="B12" s="2" t="s">
        <v>25</v>
      </c>
      <c r="C12" s="3" t="s">
        <v>5</v>
      </c>
    </row>
    <row r="13" spans="1:3" x14ac:dyDescent="0.25">
      <c r="A13" s="2" t="s">
        <v>26</v>
      </c>
      <c r="B13" s="2" t="s">
        <v>27</v>
      </c>
      <c r="C13" s="3" t="s">
        <v>5</v>
      </c>
    </row>
    <row r="14" spans="1:3" x14ac:dyDescent="0.25">
      <c r="A14" s="2" t="s">
        <v>28</v>
      </c>
      <c r="B14" s="2" t="s">
        <v>25</v>
      </c>
      <c r="C14" s="3" t="s">
        <v>5</v>
      </c>
    </row>
    <row r="15" spans="1:3" x14ac:dyDescent="0.25">
      <c r="A15" s="2" t="s">
        <v>29</v>
      </c>
      <c r="B15" s="2" t="s">
        <v>27</v>
      </c>
      <c r="C15" s="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A1:BE207"/>
  <sheetViews>
    <sheetView workbookViewId="0">
      <selection activeCell="E8" sqref="E8:E9"/>
    </sheetView>
  </sheetViews>
  <sheetFormatPr defaultRowHeight="15" x14ac:dyDescent="0.25"/>
  <cols>
    <col min="1" max="1" width="53.42578125" customWidth="1"/>
    <col min="2" max="3" width="12.7109375" customWidth="1"/>
    <col min="4" max="4" width="13.85546875" customWidth="1"/>
    <col min="5" max="5" width="10.5703125" customWidth="1"/>
    <col min="6" max="57" width="9.42578125" customWidth="1"/>
  </cols>
  <sheetData>
    <row r="1" spans="1:55" x14ac:dyDescent="0.25">
      <c r="A1" s="1" t="s">
        <v>30</v>
      </c>
      <c r="B1" s="1" t="s">
        <v>31</v>
      </c>
      <c r="C1" s="1" t="s">
        <v>32</v>
      </c>
      <c r="D1" s="1" t="s">
        <v>33</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c r="AC1" s="1">
        <v>2024</v>
      </c>
      <c r="AD1" s="1">
        <v>2025</v>
      </c>
      <c r="AE1" s="1">
        <v>2026</v>
      </c>
      <c r="AF1" s="1">
        <v>2027</v>
      </c>
      <c r="AG1" s="1">
        <v>2028</v>
      </c>
      <c r="AH1" s="1">
        <v>2029</v>
      </c>
      <c r="AI1" s="1">
        <v>2030</v>
      </c>
      <c r="AJ1" s="1">
        <v>2031</v>
      </c>
      <c r="AK1" s="1">
        <v>2032</v>
      </c>
      <c r="AL1" s="1">
        <v>2033</v>
      </c>
      <c r="AM1" s="1">
        <v>2034</v>
      </c>
      <c r="AN1" s="1">
        <v>2035</v>
      </c>
      <c r="AO1" s="1">
        <v>2036</v>
      </c>
      <c r="AP1" s="1">
        <v>2037</v>
      </c>
      <c r="AQ1" s="1">
        <v>2038</v>
      </c>
      <c r="AR1" s="1">
        <v>2039</v>
      </c>
      <c r="AS1" s="1">
        <v>2040</v>
      </c>
      <c r="AT1" s="1">
        <v>2041</v>
      </c>
      <c r="AU1" s="1">
        <v>2042</v>
      </c>
      <c r="AV1" s="1">
        <v>2043</v>
      </c>
      <c r="AW1" s="1">
        <v>2044</v>
      </c>
      <c r="AX1" s="1">
        <v>2045</v>
      </c>
      <c r="AY1" s="1">
        <v>2046</v>
      </c>
      <c r="AZ1" s="1">
        <v>2047</v>
      </c>
      <c r="BA1" s="1">
        <v>2048</v>
      </c>
      <c r="BB1" s="1">
        <v>2049</v>
      </c>
      <c r="BC1" s="1">
        <v>2050</v>
      </c>
    </row>
    <row r="2" spans="1:55" x14ac:dyDescent="0.25">
      <c r="A2" s="1" t="str">
        <f>'Population Definitions'!$A$2</f>
        <v>PWID_males</v>
      </c>
      <c r="C2" t="s">
        <v>34</v>
      </c>
      <c r="D2" s="3"/>
      <c r="E2" s="3">
        <v>9264.2461606778397</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row>
    <row r="3" spans="1:55" x14ac:dyDescent="0.25">
      <c r="A3" s="1" t="str">
        <f>'Population Definitions'!$A$3</f>
        <v>PWID_females</v>
      </c>
      <c r="C3" t="s">
        <v>34</v>
      </c>
      <c r="D3" s="3"/>
      <c r="E3" s="3">
        <v>434.60767948158002</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spans="1:55" x14ac:dyDescent="0.25">
      <c r="A4" s="1" t="str">
        <f>'Population Definitions'!$A$4</f>
        <v>0-9_males</v>
      </c>
      <c r="C4" t="s">
        <v>34</v>
      </c>
      <c r="D4" s="3"/>
      <c r="E4" s="3">
        <v>0</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row>
    <row r="5" spans="1:55" x14ac:dyDescent="0.25">
      <c r="A5" s="1" t="str">
        <f>'Population Definitions'!$A$5</f>
        <v>0-9_females</v>
      </c>
      <c r="C5" t="s">
        <v>34</v>
      </c>
      <c r="D5" s="3"/>
      <c r="E5" s="3">
        <v>0</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spans="1:55" x14ac:dyDescent="0.25">
      <c r="A6" s="1" t="str">
        <f>'Population Definitions'!$A$6</f>
        <v>10-17_males</v>
      </c>
      <c r="C6" t="s">
        <v>34</v>
      </c>
      <c r="D6" s="3"/>
      <c r="E6" s="3">
        <v>0</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1" t="str">
        <f>'Population Definitions'!$A$7</f>
        <v>10-17_females</v>
      </c>
      <c r="C7" t="s">
        <v>34</v>
      </c>
      <c r="D7" s="3"/>
      <c r="E7" s="3">
        <v>0</v>
      </c>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row>
    <row r="8" spans="1:55" x14ac:dyDescent="0.25">
      <c r="A8" s="1" t="str">
        <f>'Population Definitions'!$A$8</f>
        <v>18-64_males</v>
      </c>
      <c r="C8" t="s">
        <v>34</v>
      </c>
      <c r="D8" s="3"/>
      <c r="E8" s="3">
        <v>1849362.248971533</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5" x14ac:dyDescent="0.25">
      <c r="A9" s="1" t="str">
        <f>'Population Definitions'!$A$9</f>
        <v>18-64_females</v>
      </c>
      <c r="C9" t="s">
        <v>34</v>
      </c>
      <c r="D9" s="3"/>
      <c r="E9" s="3">
        <v>1795946.6253426089</v>
      </c>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5" x14ac:dyDescent="0.25">
      <c r="A10" s="1" t="str">
        <f>'Population Definitions'!$A$10</f>
        <v>65+_males</v>
      </c>
      <c r="C10" t="s">
        <v>34</v>
      </c>
      <c r="D10" s="3"/>
      <c r="E10" s="3">
        <v>118193.901001108</v>
      </c>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row>
    <row r="11" spans="1:55" x14ac:dyDescent="0.25">
      <c r="A11" s="1" t="str">
        <f>'Population Definitions'!$A$11</f>
        <v>65+_females</v>
      </c>
      <c r="C11" t="s">
        <v>34</v>
      </c>
      <c r="D11" s="3"/>
      <c r="E11" s="3">
        <v>163088.99639540119</v>
      </c>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row>
    <row r="12" spans="1:55" x14ac:dyDescent="0.25">
      <c r="A12" s="1" t="str">
        <f>'Population Definitions'!$A$12</f>
        <v>Prisoners_males</v>
      </c>
      <c r="C12" t="s">
        <v>34</v>
      </c>
      <c r="D12" s="3"/>
      <c r="E12" s="3">
        <v>4871.12536153568</v>
      </c>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row>
    <row r="13" spans="1:55" x14ac:dyDescent="0.25">
      <c r="A13" s="1" t="str">
        <f>'Population Definitions'!$A$13</f>
        <v>Prisoners_females</v>
      </c>
      <c r="C13" t="s">
        <v>34</v>
      </c>
      <c r="D13" s="3"/>
      <c r="E13" s="3">
        <v>221.24577379137091</v>
      </c>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row>
    <row r="14" spans="1:55" x14ac:dyDescent="0.25">
      <c r="A14" s="1" t="str">
        <f>'Population Definitions'!$A$14</f>
        <v>Prisoners_PWID_males</v>
      </c>
      <c r="C14" t="s">
        <v>34</v>
      </c>
      <c r="D14" s="3"/>
      <c r="E14" s="3">
        <v>1145.863525854955</v>
      </c>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row>
    <row r="15" spans="1:55" x14ac:dyDescent="0.25">
      <c r="A15" s="1" t="str">
        <f>'Population Definitions'!$A$15</f>
        <v>Prisoners_PWID_females</v>
      </c>
      <c r="C15" t="s">
        <v>34</v>
      </c>
      <c r="D15" s="3"/>
      <c r="E15" s="3">
        <v>86.139788007735547</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row>
    <row r="17" spans="1:55" x14ac:dyDescent="0.25">
      <c r="A17" s="1" t="s">
        <v>35</v>
      </c>
      <c r="B17" s="1" t="s">
        <v>31</v>
      </c>
      <c r="C17" s="1" t="s">
        <v>32</v>
      </c>
      <c r="D17" s="1" t="s">
        <v>33</v>
      </c>
      <c r="E17" s="1">
        <v>2000</v>
      </c>
      <c r="F17" s="1">
        <v>2001</v>
      </c>
      <c r="G17" s="1">
        <v>2002</v>
      </c>
      <c r="H17" s="1">
        <v>2003</v>
      </c>
      <c r="I17" s="1">
        <v>2004</v>
      </c>
      <c r="J17" s="1">
        <v>2005</v>
      </c>
      <c r="K17" s="1">
        <v>2006</v>
      </c>
      <c r="L17" s="1">
        <v>2007</v>
      </c>
      <c r="M17" s="1">
        <v>2008</v>
      </c>
      <c r="N17" s="1">
        <v>2009</v>
      </c>
      <c r="O17" s="1">
        <v>2010</v>
      </c>
      <c r="P17" s="1">
        <v>2011</v>
      </c>
      <c r="Q17" s="1">
        <v>2012</v>
      </c>
      <c r="R17" s="1">
        <v>2013</v>
      </c>
      <c r="S17" s="1">
        <v>2014</v>
      </c>
      <c r="T17" s="1">
        <v>2015</v>
      </c>
      <c r="U17" s="1">
        <v>2016</v>
      </c>
      <c r="V17" s="1">
        <v>2017</v>
      </c>
      <c r="W17" s="1">
        <v>2018</v>
      </c>
      <c r="X17" s="1">
        <v>2019</v>
      </c>
      <c r="Y17" s="1">
        <v>2020</v>
      </c>
      <c r="Z17" s="1">
        <v>2021</v>
      </c>
      <c r="AA17" s="1">
        <v>2022</v>
      </c>
      <c r="AB17" s="1">
        <v>2023</v>
      </c>
      <c r="AC17" s="1">
        <v>2024</v>
      </c>
      <c r="AD17" s="1">
        <v>2025</v>
      </c>
      <c r="AE17" s="1">
        <v>2026</v>
      </c>
      <c r="AF17" s="1">
        <v>2027</v>
      </c>
      <c r="AG17" s="1">
        <v>2028</v>
      </c>
      <c r="AH17" s="1">
        <v>2029</v>
      </c>
      <c r="AI17" s="1">
        <v>2030</v>
      </c>
      <c r="AJ17" s="1">
        <v>2031</v>
      </c>
      <c r="AK17" s="1">
        <v>2032</v>
      </c>
      <c r="AL17" s="1">
        <v>2033</v>
      </c>
      <c r="AM17" s="1">
        <v>2034</v>
      </c>
      <c r="AN17" s="1">
        <v>2035</v>
      </c>
      <c r="AO17" s="1">
        <v>2036</v>
      </c>
      <c r="AP17" s="1">
        <v>2037</v>
      </c>
      <c r="AQ17" s="1">
        <v>2038</v>
      </c>
      <c r="AR17" s="1">
        <v>2039</v>
      </c>
      <c r="AS17" s="1">
        <v>2040</v>
      </c>
      <c r="AT17" s="1">
        <v>2041</v>
      </c>
      <c r="AU17" s="1">
        <v>2042</v>
      </c>
      <c r="AV17" s="1">
        <v>2043</v>
      </c>
      <c r="AW17" s="1">
        <v>2044</v>
      </c>
      <c r="AX17" s="1">
        <v>2045</v>
      </c>
      <c r="AY17" s="1">
        <v>2046</v>
      </c>
      <c r="AZ17" s="1">
        <v>2047</v>
      </c>
      <c r="BA17" s="1">
        <v>2048</v>
      </c>
      <c r="BB17" s="1">
        <v>2049</v>
      </c>
      <c r="BC17" s="1">
        <v>2050</v>
      </c>
    </row>
    <row r="18" spans="1:55" x14ac:dyDescent="0.25">
      <c r="A18" s="1" t="str">
        <f>'Population Definitions'!$A$2</f>
        <v>PWID_males</v>
      </c>
      <c r="C18" t="s">
        <v>36</v>
      </c>
      <c r="D18" s="3"/>
      <c r="E18" s="3">
        <v>0.32669999999999999</v>
      </c>
      <c r="F18" s="3"/>
      <c r="G18" s="3"/>
      <c r="H18" s="3"/>
      <c r="I18" s="3"/>
      <c r="J18" s="3"/>
      <c r="K18" s="3"/>
      <c r="L18" s="3"/>
      <c r="M18" s="3"/>
      <c r="N18" s="3"/>
      <c r="O18" s="3">
        <v>0.32669999999999999</v>
      </c>
      <c r="P18" s="3"/>
      <c r="Q18" s="3"/>
      <c r="R18" s="3"/>
      <c r="S18" s="3"/>
      <c r="T18" s="3">
        <v>0.371</v>
      </c>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row>
    <row r="19" spans="1:55" x14ac:dyDescent="0.25">
      <c r="A19" s="1" t="str">
        <f>'Population Definitions'!$A$3</f>
        <v>PWID_females</v>
      </c>
      <c r="C19" t="s">
        <v>36</v>
      </c>
      <c r="D19" s="3"/>
      <c r="E19" s="3">
        <v>0.32669999999999999</v>
      </c>
      <c r="F19" s="3"/>
      <c r="G19" s="3"/>
      <c r="H19" s="3"/>
      <c r="I19" s="3"/>
      <c r="J19" s="3"/>
      <c r="K19" s="3"/>
      <c r="L19" s="3"/>
      <c r="M19" s="3"/>
      <c r="N19" s="3"/>
      <c r="O19" s="3">
        <v>0.32669999999999999</v>
      </c>
      <c r="P19" s="3"/>
      <c r="Q19" s="3"/>
      <c r="R19" s="3"/>
      <c r="S19" s="3"/>
      <c r="T19" s="3">
        <v>0.371</v>
      </c>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row>
    <row r="20" spans="1:55" x14ac:dyDescent="0.25">
      <c r="A20" s="1" t="str">
        <f>'Population Definitions'!$A$4</f>
        <v>0-9_males</v>
      </c>
      <c r="C20" t="s">
        <v>36</v>
      </c>
      <c r="D20" s="3"/>
      <c r="E20" s="3">
        <v>0</v>
      </c>
      <c r="F20" s="3"/>
      <c r="G20" s="3"/>
      <c r="H20" s="3"/>
      <c r="I20" s="3"/>
      <c r="J20" s="3"/>
      <c r="K20" s="3"/>
      <c r="L20" s="3"/>
      <c r="M20" s="3"/>
      <c r="N20" s="3"/>
      <c r="O20" s="3">
        <v>0</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1" t="str">
        <f>'Population Definitions'!$A$5</f>
        <v>0-9_females</v>
      </c>
      <c r="C21" t="s">
        <v>36</v>
      </c>
      <c r="D21" s="3"/>
      <c r="E21" s="3">
        <v>0</v>
      </c>
      <c r="F21" s="3"/>
      <c r="G21" s="3"/>
      <c r="H21" s="3"/>
      <c r="I21" s="3"/>
      <c r="J21" s="3"/>
      <c r="K21" s="3"/>
      <c r="L21" s="3"/>
      <c r="M21" s="3"/>
      <c r="N21" s="3"/>
      <c r="O21" s="3">
        <v>0</v>
      </c>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1" t="str">
        <f>'Population Definitions'!$A$6</f>
        <v>10-17_males</v>
      </c>
      <c r="C22" t="s">
        <v>36</v>
      </c>
      <c r="D22" s="3"/>
      <c r="E22" s="3">
        <v>0</v>
      </c>
      <c r="F22" s="3"/>
      <c r="G22" s="3"/>
      <c r="H22" s="3"/>
      <c r="I22" s="3"/>
      <c r="J22" s="3"/>
      <c r="K22" s="3"/>
      <c r="L22" s="3"/>
      <c r="M22" s="3"/>
      <c r="N22" s="3"/>
      <c r="O22" s="3">
        <v>0</v>
      </c>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1" t="str">
        <f>'Population Definitions'!$A$7</f>
        <v>10-17_females</v>
      </c>
      <c r="C23" t="s">
        <v>36</v>
      </c>
      <c r="D23" s="3"/>
      <c r="E23" s="3">
        <v>0</v>
      </c>
      <c r="F23" s="3"/>
      <c r="G23" s="3"/>
      <c r="H23" s="3"/>
      <c r="I23" s="3"/>
      <c r="J23" s="3"/>
      <c r="K23" s="3"/>
      <c r="L23" s="3"/>
      <c r="M23" s="3"/>
      <c r="N23" s="3"/>
      <c r="O23" s="3">
        <v>0</v>
      </c>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1" t="str">
        <f>'Population Definitions'!$A$8</f>
        <v>18-64_males</v>
      </c>
      <c r="C24" t="s">
        <v>36</v>
      </c>
      <c r="D24" s="3"/>
      <c r="E24" s="3">
        <v>9.5602232937807605E-2</v>
      </c>
      <c r="F24" s="3"/>
      <c r="G24" s="3"/>
      <c r="H24" s="3"/>
      <c r="I24" s="3"/>
      <c r="J24" s="3"/>
      <c r="K24" s="3"/>
      <c r="L24" s="3"/>
      <c r="M24" s="3"/>
      <c r="N24" s="3"/>
      <c r="O24" s="3">
        <v>0</v>
      </c>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x14ac:dyDescent="0.25">
      <c r="A25" s="1" t="str">
        <f>'Population Definitions'!$A$9</f>
        <v>18-64_females</v>
      </c>
      <c r="C25" t="s">
        <v>36</v>
      </c>
      <c r="D25" s="3"/>
      <c r="E25" s="3">
        <v>9.5602232937807605E-2</v>
      </c>
      <c r="F25" s="3"/>
      <c r="G25" s="3"/>
      <c r="H25" s="3"/>
      <c r="I25" s="3"/>
      <c r="J25" s="3"/>
      <c r="K25" s="3"/>
      <c r="L25" s="3"/>
      <c r="M25" s="3"/>
      <c r="N25" s="3"/>
      <c r="O25" s="3">
        <v>0</v>
      </c>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1" t="str">
        <f>'Population Definitions'!$A$10</f>
        <v>65+_males</v>
      </c>
      <c r="C26" t="s">
        <v>36</v>
      </c>
      <c r="D26" s="3"/>
      <c r="E26" s="3">
        <v>9.5602232937807619E-2</v>
      </c>
      <c r="F26" s="3"/>
      <c r="G26" s="3"/>
      <c r="H26" s="3"/>
      <c r="I26" s="3"/>
      <c r="J26" s="3"/>
      <c r="K26" s="3"/>
      <c r="L26" s="3"/>
      <c r="M26" s="3"/>
      <c r="N26" s="3"/>
      <c r="O26" s="3">
        <v>0</v>
      </c>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1" t="str">
        <f>'Population Definitions'!$A$11</f>
        <v>65+_females</v>
      </c>
      <c r="C27" t="s">
        <v>36</v>
      </c>
      <c r="D27" s="3"/>
      <c r="E27" s="3">
        <v>9.5602232937807605E-2</v>
      </c>
      <c r="F27" s="3"/>
      <c r="G27" s="3"/>
      <c r="H27" s="3"/>
      <c r="I27" s="3"/>
      <c r="J27" s="3"/>
      <c r="K27" s="3"/>
      <c r="L27" s="3"/>
      <c r="M27" s="3"/>
      <c r="N27" s="3"/>
      <c r="O27" s="3">
        <v>0</v>
      </c>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1" t="str">
        <f>'Population Definitions'!$A$12</f>
        <v>Prisoners_males</v>
      </c>
      <c r="C28" t="s">
        <v>36</v>
      </c>
      <c r="D28" s="3"/>
      <c r="E28" s="3">
        <v>9.5602232937807591E-2</v>
      </c>
      <c r="F28" s="3"/>
      <c r="G28" s="3"/>
      <c r="H28" s="3"/>
      <c r="I28" s="3"/>
      <c r="J28" s="3"/>
      <c r="K28" s="3"/>
      <c r="L28" s="3"/>
      <c r="M28" s="3"/>
      <c r="N28" s="3"/>
      <c r="O28" s="3">
        <v>0</v>
      </c>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x14ac:dyDescent="0.25">
      <c r="A29" s="1" t="str">
        <f>'Population Definitions'!$A$13</f>
        <v>Prisoners_females</v>
      </c>
      <c r="C29" t="s">
        <v>36</v>
      </c>
      <c r="D29" s="3"/>
      <c r="E29" s="3">
        <v>9.5602232937807605E-2</v>
      </c>
      <c r="F29" s="3"/>
      <c r="G29" s="3"/>
      <c r="H29" s="3"/>
      <c r="I29" s="3"/>
      <c r="J29" s="3"/>
      <c r="K29" s="3"/>
      <c r="L29" s="3"/>
      <c r="M29" s="3"/>
      <c r="N29" s="3"/>
      <c r="O29" s="3">
        <v>0</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x14ac:dyDescent="0.25">
      <c r="A30" s="1" t="str">
        <f>'Population Definitions'!$A$14</f>
        <v>Prisoners_PWID_males</v>
      </c>
      <c r="C30" t="s">
        <v>36</v>
      </c>
      <c r="D30" s="3"/>
      <c r="E30" s="3">
        <v>0.371</v>
      </c>
      <c r="F30" s="3"/>
      <c r="G30" s="3"/>
      <c r="H30" s="3"/>
      <c r="I30" s="3"/>
      <c r="J30" s="3"/>
      <c r="K30" s="3"/>
      <c r="L30" s="3"/>
      <c r="M30" s="3"/>
      <c r="N30" s="3"/>
      <c r="O30" s="3">
        <v>0.371</v>
      </c>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x14ac:dyDescent="0.25">
      <c r="A31" s="1" t="str">
        <f>'Population Definitions'!$A$15</f>
        <v>Prisoners_PWID_females</v>
      </c>
      <c r="C31" t="s">
        <v>36</v>
      </c>
      <c r="D31" s="3"/>
      <c r="E31" s="3">
        <v>0.371</v>
      </c>
      <c r="F31" s="3"/>
      <c r="G31" s="3"/>
      <c r="H31" s="3"/>
      <c r="I31" s="3"/>
      <c r="J31" s="3"/>
      <c r="K31" s="3"/>
      <c r="L31" s="3"/>
      <c r="M31" s="3"/>
      <c r="N31" s="3"/>
      <c r="O31" s="3">
        <v>0.371</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3" spans="1:57" x14ac:dyDescent="0.25">
      <c r="A33" s="1" t="s">
        <v>37</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C34" t="s">
        <v>36</v>
      </c>
      <c r="D34" s="3"/>
      <c r="E34" s="3">
        <v>0.94499999999999995</v>
      </c>
      <c r="F34" s="4" t="s">
        <v>39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C35" t="s">
        <v>36</v>
      </c>
      <c r="D35" s="3"/>
      <c r="E35" s="3">
        <v>0.94499999999999995</v>
      </c>
      <c r="F35" s="4" t="s">
        <v>39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C36" t="s">
        <v>36</v>
      </c>
      <c r="D36" s="3"/>
      <c r="E36" s="3">
        <v>0.94499999999999995</v>
      </c>
      <c r="F36" s="4" t="s">
        <v>39</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C37" t="s">
        <v>36</v>
      </c>
      <c r="D37" s="3"/>
      <c r="E37" s="3">
        <v>0.94499999999999995</v>
      </c>
      <c r="F37" s="4" t="s">
        <v>39</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C38" t="s">
        <v>36</v>
      </c>
      <c r="D38" s="3"/>
      <c r="E38" s="3">
        <v>0.94499999999999995</v>
      </c>
      <c r="F38" s="4" t="s">
        <v>39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C39" t="s">
        <v>36</v>
      </c>
      <c r="D39" s="3"/>
      <c r="E39" s="3">
        <v>0.94499999999999995</v>
      </c>
      <c r="F39" s="4" t="s">
        <v>39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C40" t="s">
        <v>36</v>
      </c>
      <c r="D40" s="3"/>
      <c r="E40" s="3">
        <v>0.94499999999999995</v>
      </c>
      <c r="F40" s="4" t="s">
        <v>39</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C41" t="s">
        <v>36</v>
      </c>
      <c r="D41" s="3"/>
      <c r="E41" s="3">
        <v>0.94499999999999995</v>
      </c>
      <c r="F41" s="4" t="s">
        <v>39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C42" t="s">
        <v>36</v>
      </c>
      <c r="D42" s="3"/>
      <c r="E42" s="3">
        <v>0.94499999999999995</v>
      </c>
      <c r="F42" s="4" t="s">
        <v>39</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C43" t="s">
        <v>36</v>
      </c>
      <c r="D43" s="3"/>
      <c r="E43" s="3">
        <v>0.94499999999999995</v>
      </c>
      <c r="F43" s="4" t="s">
        <v>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C44" t="s">
        <v>36</v>
      </c>
      <c r="D44" s="3"/>
      <c r="E44" s="3">
        <v>0.94499999999999995</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C45" t="s">
        <v>36</v>
      </c>
      <c r="D45" s="3"/>
      <c r="E45" s="3">
        <v>0.94499999999999995</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C46" t="s">
        <v>36</v>
      </c>
      <c r="D46" s="3"/>
      <c r="E46" s="3">
        <v>0.94499999999999995</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C47" t="s">
        <v>36</v>
      </c>
      <c r="D47" s="3"/>
      <c r="E47" s="3">
        <v>0.94499999999999995</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40</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C50" t="s">
        <v>36</v>
      </c>
      <c r="D50" s="3"/>
      <c r="E50" s="3">
        <v>0.03</v>
      </c>
      <c r="F50" s="4" t="s">
        <v>39</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C51" t="s">
        <v>36</v>
      </c>
      <c r="D51" s="3"/>
      <c r="E51" s="3">
        <v>0.03</v>
      </c>
      <c r="F51" s="4" t="s">
        <v>39</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C52" t="s">
        <v>36</v>
      </c>
      <c r="D52" s="3"/>
      <c r="E52" s="3">
        <v>0.03</v>
      </c>
      <c r="F52" s="4" t="s">
        <v>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C53" t="s">
        <v>36</v>
      </c>
      <c r="D53" s="3"/>
      <c r="E53" s="3">
        <v>0.03</v>
      </c>
      <c r="F53" s="4" t="s">
        <v>39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C54" t="s">
        <v>36</v>
      </c>
      <c r="D54" s="3"/>
      <c r="E54" s="3">
        <v>0.03</v>
      </c>
      <c r="F54" s="4" t="s">
        <v>39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C55" t="s">
        <v>36</v>
      </c>
      <c r="D55" s="3"/>
      <c r="E55" s="3">
        <v>0.03</v>
      </c>
      <c r="F55" s="4" t="s">
        <v>39</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C56" t="s">
        <v>36</v>
      </c>
      <c r="D56" s="3"/>
      <c r="E56" s="3">
        <v>0.03</v>
      </c>
      <c r="F56" s="4" t="s">
        <v>39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C57" t="s">
        <v>36</v>
      </c>
      <c r="D57" s="3"/>
      <c r="E57" s="3">
        <v>0.03</v>
      </c>
      <c r="F57" s="4" t="s">
        <v>39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C58" t="s">
        <v>36</v>
      </c>
      <c r="D58" s="3"/>
      <c r="E58" s="3">
        <v>0.03</v>
      </c>
      <c r="F58" s="4" t="s">
        <v>39</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C59" t="s">
        <v>36</v>
      </c>
      <c r="D59" s="3"/>
      <c r="E59" s="3">
        <v>0.03</v>
      </c>
      <c r="F59" s="4" t="s">
        <v>39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C60" t="s">
        <v>36</v>
      </c>
      <c r="D60" s="3"/>
      <c r="E60" s="3">
        <v>0.03</v>
      </c>
      <c r="F60" s="4" t="s">
        <v>39</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C61" t="s">
        <v>36</v>
      </c>
      <c r="D61" s="3"/>
      <c r="E61" s="3">
        <v>0.03</v>
      </c>
      <c r="F61" s="4" t="s">
        <v>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C62" t="s">
        <v>36</v>
      </c>
      <c r="D62" s="3"/>
      <c r="E62" s="3">
        <v>0.03</v>
      </c>
      <c r="F62" s="4" t="s">
        <v>39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C63" t="s">
        <v>36</v>
      </c>
      <c r="D63" s="3"/>
      <c r="E63" s="3">
        <v>0.03</v>
      </c>
      <c r="F63" s="4" t="s">
        <v>39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row r="65" spans="1:57" x14ac:dyDescent="0.25">
      <c r="A65" s="1" t="s">
        <v>41</v>
      </c>
      <c r="B65" s="1" t="s">
        <v>31</v>
      </c>
      <c r="C65" s="1" t="s">
        <v>32</v>
      </c>
      <c r="D65" s="1" t="s">
        <v>33</v>
      </c>
      <c r="E65" s="1" t="s">
        <v>38</v>
      </c>
      <c r="F65" s="1"/>
      <c r="G65" s="1">
        <v>2000</v>
      </c>
      <c r="H65" s="1">
        <v>2001</v>
      </c>
      <c r="I65" s="1">
        <v>2002</v>
      </c>
      <c r="J65" s="1">
        <v>2003</v>
      </c>
      <c r="K65" s="1">
        <v>2004</v>
      </c>
      <c r="L65" s="1">
        <v>2005</v>
      </c>
      <c r="M65" s="1">
        <v>2006</v>
      </c>
      <c r="N65" s="1">
        <v>2007</v>
      </c>
      <c r="O65" s="1">
        <v>2008</v>
      </c>
      <c r="P65" s="1">
        <v>2009</v>
      </c>
      <c r="Q65" s="1">
        <v>2010</v>
      </c>
      <c r="R65" s="1">
        <v>2011</v>
      </c>
      <c r="S65" s="1">
        <v>2012</v>
      </c>
      <c r="T65" s="1">
        <v>2013</v>
      </c>
      <c r="U65" s="1">
        <v>2014</v>
      </c>
      <c r="V65" s="1">
        <v>2015</v>
      </c>
      <c r="W65" s="1">
        <v>2016</v>
      </c>
      <c r="X65" s="1">
        <v>2017</v>
      </c>
      <c r="Y65" s="1">
        <v>2018</v>
      </c>
      <c r="Z65" s="1">
        <v>2019</v>
      </c>
      <c r="AA65" s="1">
        <v>2020</v>
      </c>
      <c r="AB65" s="1">
        <v>2021</v>
      </c>
      <c r="AC65" s="1">
        <v>2022</v>
      </c>
      <c r="AD65" s="1">
        <v>2023</v>
      </c>
      <c r="AE65" s="1">
        <v>2024</v>
      </c>
      <c r="AF65" s="1">
        <v>2025</v>
      </c>
      <c r="AG65" s="1">
        <v>2026</v>
      </c>
      <c r="AH65" s="1">
        <v>2027</v>
      </c>
      <c r="AI65" s="1">
        <v>2028</v>
      </c>
      <c r="AJ65" s="1">
        <v>2029</v>
      </c>
      <c r="AK65" s="1">
        <v>2030</v>
      </c>
      <c r="AL65" s="1">
        <v>2031</v>
      </c>
      <c r="AM65" s="1">
        <v>2032</v>
      </c>
      <c r="AN65" s="1">
        <v>2033</v>
      </c>
      <c r="AO65" s="1">
        <v>2034</v>
      </c>
      <c r="AP65" s="1">
        <v>2035</v>
      </c>
      <c r="AQ65" s="1">
        <v>2036</v>
      </c>
      <c r="AR65" s="1">
        <v>2037</v>
      </c>
      <c r="AS65" s="1">
        <v>2038</v>
      </c>
      <c r="AT65" s="1">
        <v>2039</v>
      </c>
      <c r="AU65" s="1">
        <v>2040</v>
      </c>
      <c r="AV65" s="1">
        <v>2041</v>
      </c>
      <c r="AW65" s="1">
        <v>2042</v>
      </c>
      <c r="AX65" s="1">
        <v>2043</v>
      </c>
      <c r="AY65" s="1">
        <v>2044</v>
      </c>
      <c r="AZ65" s="1">
        <v>2045</v>
      </c>
      <c r="BA65" s="1">
        <v>2046</v>
      </c>
      <c r="BB65" s="1">
        <v>2047</v>
      </c>
      <c r="BC65" s="1">
        <v>2048</v>
      </c>
      <c r="BD65" s="1">
        <v>2049</v>
      </c>
      <c r="BE65" s="1">
        <v>2050</v>
      </c>
    </row>
    <row r="66" spans="1:57" x14ac:dyDescent="0.25">
      <c r="A66" s="1" t="str">
        <f>'Population Definitions'!$A$2</f>
        <v>PWID_males</v>
      </c>
      <c r="C66" t="s">
        <v>36</v>
      </c>
      <c r="D66" s="3"/>
      <c r="E66" s="3">
        <v>0.02</v>
      </c>
      <c r="F66" s="4" t="s">
        <v>39</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row>
    <row r="67" spans="1:57" x14ac:dyDescent="0.25">
      <c r="A67" s="1" t="str">
        <f>'Population Definitions'!$A$3</f>
        <v>PWID_females</v>
      </c>
      <c r="C67" t="s">
        <v>36</v>
      </c>
      <c r="D67" s="3"/>
      <c r="E67" s="3">
        <v>0.02</v>
      </c>
      <c r="F67" s="4" t="s">
        <v>39</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row>
    <row r="68" spans="1:57" x14ac:dyDescent="0.25">
      <c r="A68" s="1" t="str">
        <f>'Population Definitions'!$A$4</f>
        <v>0-9_males</v>
      </c>
      <c r="C68" t="s">
        <v>36</v>
      </c>
      <c r="D68" s="3"/>
      <c r="E68" s="3">
        <v>0.02</v>
      </c>
      <c r="F68" s="4" t="s">
        <v>39</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row>
    <row r="69" spans="1:57" x14ac:dyDescent="0.25">
      <c r="A69" s="1" t="str">
        <f>'Population Definitions'!$A$5</f>
        <v>0-9_females</v>
      </c>
      <c r="C69" t="s">
        <v>36</v>
      </c>
      <c r="D69" s="3"/>
      <c r="E69" s="3">
        <v>0.02</v>
      </c>
      <c r="F69" s="4" t="s">
        <v>39</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row>
    <row r="70" spans="1:57" x14ac:dyDescent="0.25">
      <c r="A70" s="1" t="str">
        <f>'Population Definitions'!$A$6</f>
        <v>10-17_males</v>
      </c>
      <c r="C70" t="s">
        <v>36</v>
      </c>
      <c r="D70" s="3"/>
      <c r="E70" s="3">
        <v>0.02</v>
      </c>
      <c r="F70" s="4" t="s">
        <v>39</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spans="1:57" x14ac:dyDescent="0.25">
      <c r="A71" s="1" t="str">
        <f>'Population Definitions'!$A$7</f>
        <v>10-17_females</v>
      </c>
      <c r="C71" t="s">
        <v>36</v>
      </c>
      <c r="D71" s="3"/>
      <c r="E71" s="3">
        <v>0.02</v>
      </c>
      <c r="F71" s="4" t="s">
        <v>39</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spans="1:57" x14ac:dyDescent="0.25">
      <c r="A72" s="1" t="str">
        <f>'Population Definitions'!$A$8</f>
        <v>18-64_males</v>
      </c>
      <c r="C72" t="s">
        <v>36</v>
      </c>
      <c r="D72" s="3"/>
      <c r="E72" s="3">
        <v>0.02</v>
      </c>
      <c r="F72" s="4" t="s">
        <v>39</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spans="1:57" x14ac:dyDescent="0.25">
      <c r="A73" s="1" t="str">
        <f>'Population Definitions'!$A$9</f>
        <v>18-64_females</v>
      </c>
      <c r="C73" t="s">
        <v>36</v>
      </c>
      <c r="D73" s="3"/>
      <c r="E73" s="3">
        <v>0.02</v>
      </c>
      <c r="F73" s="4" t="s">
        <v>39</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spans="1:57" x14ac:dyDescent="0.25">
      <c r="A74" s="1" t="str">
        <f>'Population Definitions'!$A$10</f>
        <v>65+_males</v>
      </c>
      <c r="C74" t="s">
        <v>36</v>
      </c>
      <c r="D74" s="3"/>
      <c r="E74" s="3">
        <v>0.02</v>
      </c>
      <c r="F74" s="4" t="s">
        <v>39</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spans="1:57" x14ac:dyDescent="0.25">
      <c r="A75" s="1" t="str">
        <f>'Population Definitions'!$A$11</f>
        <v>65+_females</v>
      </c>
      <c r="C75" t="s">
        <v>36</v>
      </c>
      <c r="D75" s="3"/>
      <c r="E75" s="3">
        <v>0.02</v>
      </c>
      <c r="F75" s="4" t="s">
        <v>39</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spans="1:57" x14ac:dyDescent="0.25">
      <c r="A76" s="1" t="str">
        <f>'Population Definitions'!$A$12</f>
        <v>Prisoners_males</v>
      </c>
      <c r="C76" t="s">
        <v>36</v>
      </c>
      <c r="D76" s="3"/>
      <c r="E76" s="3">
        <v>0.02</v>
      </c>
      <c r="F76" s="4" t="s">
        <v>39</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row>
    <row r="77" spans="1:57" x14ac:dyDescent="0.25">
      <c r="A77" s="1" t="str">
        <f>'Population Definitions'!$A$13</f>
        <v>Prisoners_females</v>
      </c>
      <c r="C77" t="s">
        <v>36</v>
      </c>
      <c r="D77" s="3"/>
      <c r="E77" s="3">
        <v>0.02</v>
      </c>
      <c r="F77" s="4" t="s">
        <v>39</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row>
    <row r="78" spans="1:57" x14ac:dyDescent="0.25">
      <c r="A78" s="1" t="str">
        <f>'Population Definitions'!$A$14</f>
        <v>Prisoners_PWID_males</v>
      </c>
      <c r="C78" t="s">
        <v>36</v>
      </c>
      <c r="D78" s="3"/>
      <c r="E78" s="3">
        <v>0.02</v>
      </c>
      <c r="F78" s="4" t="s">
        <v>39</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row>
    <row r="79" spans="1:57" x14ac:dyDescent="0.25">
      <c r="A79" s="1" t="str">
        <f>'Population Definitions'!$A$15</f>
        <v>Prisoners_PWID_females</v>
      </c>
      <c r="C79" t="s">
        <v>36</v>
      </c>
      <c r="D79" s="3"/>
      <c r="E79" s="3">
        <v>0.02</v>
      </c>
      <c r="F79" s="4" t="s">
        <v>39</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row>
    <row r="81" spans="1:57" x14ac:dyDescent="0.25">
      <c r="A81" s="1" t="s">
        <v>42</v>
      </c>
      <c r="B81" s="1" t="s">
        <v>31</v>
      </c>
      <c r="C81" s="1" t="s">
        <v>32</v>
      </c>
      <c r="D81" s="1" t="s">
        <v>33</v>
      </c>
      <c r="E81" s="1" t="s">
        <v>38</v>
      </c>
      <c r="F81" s="1"/>
      <c r="G81" s="1">
        <v>2000</v>
      </c>
      <c r="H81" s="1">
        <v>2001</v>
      </c>
      <c r="I81" s="1">
        <v>2002</v>
      </c>
      <c r="J81" s="1">
        <v>2003</v>
      </c>
      <c r="K81" s="1">
        <v>2004</v>
      </c>
      <c r="L81" s="1">
        <v>2005</v>
      </c>
      <c r="M81" s="1">
        <v>2006</v>
      </c>
      <c r="N81" s="1">
        <v>2007</v>
      </c>
      <c r="O81" s="1">
        <v>2008</v>
      </c>
      <c r="P81" s="1">
        <v>2009</v>
      </c>
      <c r="Q81" s="1">
        <v>2010</v>
      </c>
      <c r="R81" s="1">
        <v>2011</v>
      </c>
      <c r="S81" s="1">
        <v>2012</v>
      </c>
      <c r="T81" s="1">
        <v>2013</v>
      </c>
      <c r="U81" s="1">
        <v>2014</v>
      </c>
      <c r="V81" s="1">
        <v>2015</v>
      </c>
      <c r="W81" s="1">
        <v>2016</v>
      </c>
      <c r="X81" s="1">
        <v>2017</v>
      </c>
      <c r="Y81" s="1">
        <v>2018</v>
      </c>
      <c r="Z81" s="1">
        <v>2019</v>
      </c>
      <c r="AA81" s="1">
        <v>2020</v>
      </c>
      <c r="AB81" s="1">
        <v>2021</v>
      </c>
      <c r="AC81" s="1">
        <v>2022</v>
      </c>
      <c r="AD81" s="1">
        <v>2023</v>
      </c>
      <c r="AE81" s="1">
        <v>2024</v>
      </c>
      <c r="AF81" s="1">
        <v>2025</v>
      </c>
      <c r="AG81" s="1">
        <v>2026</v>
      </c>
      <c r="AH81" s="1">
        <v>2027</v>
      </c>
      <c r="AI81" s="1">
        <v>2028</v>
      </c>
      <c r="AJ81" s="1">
        <v>2029</v>
      </c>
      <c r="AK81" s="1">
        <v>2030</v>
      </c>
      <c r="AL81" s="1">
        <v>2031</v>
      </c>
      <c r="AM81" s="1">
        <v>2032</v>
      </c>
      <c r="AN81" s="1">
        <v>2033</v>
      </c>
      <c r="AO81" s="1">
        <v>2034</v>
      </c>
      <c r="AP81" s="1">
        <v>2035</v>
      </c>
      <c r="AQ81" s="1">
        <v>2036</v>
      </c>
      <c r="AR81" s="1">
        <v>2037</v>
      </c>
      <c r="AS81" s="1">
        <v>2038</v>
      </c>
      <c r="AT81" s="1">
        <v>2039</v>
      </c>
      <c r="AU81" s="1">
        <v>2040</v>
      </c>
      <c r="AV81" s="1">
        <v>2041</v>
      </c>
      <c r="AW81" s="1">
        <v>2042</v>
      </c>
      <c r="AX81" s="1">
        <v>2043</v>
      </c>
      <c r="AY81" s="1">
        <v>2044</v>
      </c>
      <c r="AZ81" s="1">
        <v>2045</v>
      </c>
      <c r="BA81" s="1">
        <v>2046</v>
      </c>
      <c r="BB81" s="1">
        <v>2047</v>
      </c>
      <c r="BC81" s="1">
        <v>2048</v>
      </c>
      <c r="BD81" s="1">
        <v>2049</v>
      </c>
      <c r="BE81" s="1">
        <v>2050</v>
      </c>
    </row>
    <row r="82" spans="1:57" x14ac:dyDescent="0.25">
      <c r="A82" s="1" t="str">
        <f>'Population Definitions'!$A$2</f>
        <v>PWID_males</v>
      </c>
      <c r="C82" t="s">
        <v>36</v>
      </c>
      <c r="D82" s="3"/>
      <c r="E82" s="3">
        <v>4.4999999999999997E-3</v>
      </c>
      <c r="F82" s="4" t="s">
        <v>39</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row>
    <row r="83" spans="1:57" x14ac:dyDescent="0.25">
      <c r="A83" s="1" t="str">
        <f>'Population Definitions'!$A$3</f>
        <v>PWID_females</v>
      </c>
      <c r="C83" t="s">
        <v>36</v>
      </c>
      <c r="D83" s="3"/>
      <c r="E83" s="3">
        <v>4.4999999999999997E-3</v>
      </c>
      <c r="F83" s="4" t="s">
        <v>39</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spans="1:57" x14ac:dyDescent="0.25">
      <c r="A84" s="1" t="str">
        <f>'Population Definitions'!$A$4</f>
        <v>0-9_males</v>
      </c>
      <c r="C84" t="s">
        <v>36</v>
      </c>
      <c r="D84" s="3"/>
      <c r="E84" s="3">
        <v>4.4999999999999997E-3</v>
      </c>
      <c r="F84" s="4" t="s">
        <v>39</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5" spans="1:57" x14ac:dyDescent="0.25">
      <c r="A85" s="1" t="str">
        <f>'Population Definitions'!$A$5</f>
        <v>0-9_females</v>
      </c>
      <c r="C85" t="s">
        <v>36</v>
      </c>
      <c r="D85" s="3"/>
      <c r="E85" s="3">
        <v>4.4999999999999997E-3</v>
      </c>
      <c r="F85" s="4" t="s">
        <v>39</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row>
    <row r="86" spans="1:57" x14ac:dyDescent="0.25">
      <c r="A86" s="1" t="str">
        <f>'Population Definitions'!$A$6</f>
        <v>10-17_males</v>
      </c>
      <c r="C86" t="s">
        <v>36</v>
      </c>
      <c r="D86" s="3"/>
      <c r="E86" s="3">
        <v>4.4999999999999997E-3</v>
      </c>
      <c r="F86" s="4" t="s">
        <v>39</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row>
    <row r="87" spans="1:57" x14ac:dyDescent="0.25">
      <c r="A87" s="1" t="str">
        <f>'Population Definitions'!$A$7</f>
        <v>10-17_females</v>
      </c>
      <c r="C87" t="s">
        <v>36</v>
      </c>
      <c r="D87" s="3"/>
      <c r="E87" s="3">
        <v>4.4999999999999997E-3</v>
      </c>
      <c r="F87" s="4" t="s">
        <v>39</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spans="1:57" x14ac:dyDescent="0.25">
      <c r="A88" s="1" t="str">
        <f>'Population Definitions'!$A$8</f>
        <v>18-64_males</v>
      </c>
      <c r="C88" t="s">
        <v>36</v>
      </c>
      <c r="D88" s="3"/>
      <c r="E88" s="3">
        <v>4.4999999999999997E-3</v>
      </c>
      <c r="F88" s="4" t="s">
        <v>39</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spans="1:57" x14ac:dyDescent="0.25">
      <c r="A89" s="1" t="str">
        <f>'Population Definitions'!$A$9</f>
        <v>18-64_females</v>
      </c>
      <c r="C89" t="s">
        <v>36</v>
      </c>
      <c r="D89" s="3"/>
      <c r="E89" s="3">
        <v>4.4999999999999997E-3</v>
      </c>
      <c r="F89" s="4" t="s">
        <v>39</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spans="1:57" x14ac:dyDescent="0.25">
      <c r="A90" s="1" t="str">
        <f>'Population Definitions'!$A$10</f>
        <v>65+_males</v>
      </c>
      <c r="C90" t="s">
        <v>36</v>
      </c>
      <c r="D90" s="3"/>
      <c r="E90" s="3">
        <v>4.4999999999999997E-3</v>
      </c>
      <c r="F90" s="4" t="s">
        <v>39</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spans="1:57" x14ac:dyDescent="0.25">
      <c r="A91" s="1" t="str">
        <f>'Population Definitions'!$A$11</f>
        <v>65+_females</v>
      </c>
      <c r="C91" t="s">
        <v>36</v>
      </c>
      <c r="D91" s="3"/>
      <c r="E91" s="3">
        <v>4.4999999999999997E-3</v>
      </c>
      <c r="F91" s="4" t="s">
        <v>39</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spans="1:57" x14ac:dyDescent="0.25">
      <c r="A92" s="1" t="str">
        <f>'Population Definitions'!$A$12</f>
        <v>Prisoners_males</v>
      </c>
      <c r="C92" t="s">
        <v>36</v>
      </c>
      <c r="D92" s="3"/>
      <c r="E92" s="3">
        <v>4.4999999999999997E-3</v>
      </c>
      <c r="F92" s="4" t="s">
        <v>39</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spans="1:57" x14ac:dyDescent="0.25">
      <c r="A93" s="1" t="str">
        <f>'Population Definitions'!$A$13</f>
        <v>Prisoners_females</v>
      </c>
      <c r="C93" t="s">
        <v>36</v>
      </c>
      <c r="D93" s="3"/>
      <c r="E93" s="3">
        <v>4.4999999999999997E-3</v>
      </c>
      <c r="F93" s="4" t="s">
        <v>39</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spans="1:57" x14ac:dyDescent="0.25">
      <c r="A94" s="1" t="str">
        <f>'Population Definitions'!$A$14</f>
        <v>Prisoners_PWID_males</v>
      </c>
      <c r="C94" t="s">
        <v>36</v>
      </c>
      <c r="D94" s="3"/>
      <c r="E94" s="3">
        <v>4.4999999999999997E-3</v>
      </c>
      <c r="F94" s="4" t="s">
        <v>39</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spans="1:57" x14ac:dyDescent="0.25">
      <c r="A95" s="1" t="str">
        <f>'Population Definitions'!$A$15</f>
        <v>Prisoners_PWID_females</v>
      </c>
      <c r="C95" t="s">
        <v>36</v>
      </c>
      <c r="D95" s="3"/>
      <c r="E95" s="3">
        <v>4.4999999999999997E-3</v>
      </c>
      <c r="F95" s="4" t="s">
        <v>39</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row r="97" spans="1:57" x14ac:dyDescent="0.25">
      <c r="A97" s="1" t="s">
        <v>43</v>
      </c>
      <c r="B97" s="1" t="s">
        <v>31</v>
      </c>
      <c r="C97" s="1" t="s">
        <v>32</v>
      </c>
      <c r="D97" s="1" t="s">
        <v>33</v>
      </c>
      <c r="E97" s="1" t="s">
        <v>38</v>
      </c>
      <c r="F97" s="1"/>
      <c r="G97" s="1">
        <v>2000</v>
      </c>
      <c r="H97" s="1">
        <v>2001</v>
      </c>
      <c r="I97" s="1">
        <v>2002</v>
      </c>
      <c r="J97" s="1">
        <v>2003</v>
      </c>
      <c r="K97" s="1">
        <v>2004</v>
      </c>
      <c r="L97" s="1">
        <v>2005</v>
      </c>
      <c r="M97" s="1">
        <v>2006</v>
      </c>
      <c r="N97" s="1">
        <v>2007</v>
      </c>
      <c r="O97" s="1">
        <v>2008</v>
      </c>
      <c r="P97" s="1">
        <v>2009</v>
      </c>
      <c r="Q97" s="1">
        <v>2010</v>
      </c>
      <c r="R97" s="1">
        <v>2011</v>
      </c>
      <c r="S97" s="1">
        <v>2012</v>
      </c>
      <c r="T97" s="1">
        <v>2013</v>
      </c>
      <c r="U97" s="1">
        <v>2014</v>
      </c>
      <c r="V97" s="1">
        <v>2015</v>
      </c>
      <c r="W97" s="1">
        <v>2016</v>
      </c>
      <c r="X97" s="1">
        <v>2017</v>
      </c>
      <c r="Y97" s="1">
        <v>2018</v>
      </c>
      <c r="Z97" s="1">
        <v>2019</v>
      </c>
      <c r="AA97" s="1">
        <v>2020</v>
      </c>
      <c r="AB97" s="1">
        <v>2021</v>
      </c>
      <c r="AC97" s="1">
        <v>2022</v>
      </c>
      <c r="AD97" s="1">
        <v>2023</v>
      </c>
      <c r="AE97" s="1">
        <v>2024</v>
      </c>
      <c r="AF97" s="1">
        <v>2025</v>
      </c>
      <c r="AG97" s="1">
        <v>2026</v>
      </c>
      <c r="AH97" s="1">
        <v>2027</v>
      </c>
      <c r="AI97" s="1">
        <v>2028</v>
      </c>
      <c r="AJ97" s="1">
        <v>2029</v>
      </c>
      <c r="AK97" s="1">
        <v>2030</v>
      </c>
      <c r="AL97" s="1">
        <v>2031</v>
      </c>
      <c r="AM97" s="1">
        <v>2032</v>
      </c>
      <c r="AN97" s="1">
        <v>2033</v>
      </c>
      <c r="AO97" s="1">
        <v>2034</v>
      </c>
      <c r="AP97" s="1">
        <v>2035</v>
      </c>
      <c r="AQ97" s="1">
        <v>2036</v>
      </c>
      <c r="AR97" s="1">
        <v>2037</v>
      </c>
      <c r="AS97" s="1">
        <v>2038</v>
      </c>
      <c r="AT97" s="1">
        <v>2039</v>
      </c>
      <c r="AU97" s="1">
        <v>2040</v>
      </c>
      <c r="AV97" s="1">
        <v>2041</v>
      </c>
      <c r="AW97" s="1">
        <v>2042</v>
      </c>
      <c r="AX97" s="1">
        <v>2043</v>
      </c>
      <c r="AY97" s="1">
        <v>2044</v>
      </c>
      <c r="AZ97" s="1">
        <v>2045</v>
      </c>
      <c r="BA97" s="1">
        <v>2046</v>
      </c>
      <c r="BB97" s="1">
        <v>2047</v>
      </c>
      <c r="BC97" s="1">
        <v>2048</v>
      </c>
      <c r="BD97" s="1">
        <v>2049</v>
      </c>
      <c r="BE97" s="1">
        <v>2050</v>
      </c>
    </row>
    <row r="98" spans="1:57" x14ac:dyDescent="0.25">
      <c r="A98" s="1" t="str">
        <f>'Population Definitions'!$A$2</f>
        <v>PWID_males</v>
      </c>
      <c r="C98" t="s">
        <v>36</v>
      </c>
      <c r="D98" s="3"/>
      <c r="E98" s="3">
        <v>5.0000000000005596E-4</v>
      </c>
      <c r="F98" s="4" t="s">
        <v>39</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row>
    <row r="99" spans="1:57" x14ac:dyDescent="0.25">
      <c r="A99" s="1" t="str">
        <f>'Population Definitions'!$A$3</f>
        <v>PWID_females</v>
      </c>
      <c r="C99" t="s">
        <v>36</v>
      </c>
      <c r="D99" s="3"/>
      <c r="E99" s="3">
        <v>5.0000000000005596E-4</v>
      </c>
      <c r="F99" s="4" t="s">
        <v>39</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row>
    <row r="100" spans="1:57" x14ac:dyDescent="0.25">
      <c r="A100" s="1" t="str">
        <f>'Population Definitions'!$A$4</f>
        <v>0-9_males</v>
      </c>
      <c r="C100" t="s">
        <v>36</v>
      </c>
      <c r="D100" s="3"/>
      <c r="E100" s="3">
        <v>5.0000000000005596E-4</v>
      </c>
      <c r="F100" s="4" t="s">
        <v>39</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row>
    <row r="101" spans="1:57" x14ac:dyDescent="0.25">
      <c r="A101" s="1" t="str">
        <f>'Population Definitions'!$A$5</f>
        <v>0-9_females</v>
      </c>
      <c r="C101" t="s">
        <v>36</v>
      </c>
      <c r="D101" s="3"/>
      <c r="E101" s="3">
        <v>5.0000000000005596E-4</v>
      </c>
      <c r="F101" s="4" t="s">
        <v>39</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row>
    <row r="102" spans="1:57" x14ac:dyDescent="0.25">
      <c r="A102" s="1" t="str">
        <f>'Population Definitions'!$A$6</f>
        <v>10-17_males</v>
      </c>
      <c r="C102" t="s">
        <v>36</v>
      </c>
      <c r="D102" s="3"/>
      <c r="E102" s="3">
        <v>5.0000000000005596E-4</v>
      </c>
      <c r="F102" s="4" t="s">
        <v>39</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row>
    <row r="103" spans="1:57" x14ac:dyDescent="0.25">
      <c r="A103" s="1" t="str">
        <f>'Population Definitions'!$A$7</f>
        <v>10-17_females</v>
      </c>
      <c r="C103" t="s">
        <v>36</v>
      </c>
      <c r="D103" s="3"/>
      <c r="E103" s="3">
        <v>5.0000000000005596E-4</v>
      </c>
      <c r="F103" s="4" t="s">
        <v>39</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row>
    <row r="104" spans="1:57" x14ac:dyDescent="0.25">
      <c r="A104" s="1" t="str">
        <f>'Population Definitions'!$A$8</f>
        <v>18-64_males</v>
      </c>
      <c r="C104" t="s">
        <v>36</v>
      </c>
      <c r="D104" s="3"/>
      <c r="E104" s="3">
        <v>5.0000000000005596E-4</v>
      </c>
      <c r="F104" s="4" t="s">
        <v>39</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row>
    <row r="105" spans="1:57" x14ac:dyDescent="0.25">
      <c r="A105" s="1" t="str">
        <f>'Population Definitions'!$A$9</f>
        <v>18-64_females</v>
      </c>
      <c r="C105" t="s">
        <v>36</v>
      </c>
      <c r="D105" s="3"/>
      <c r="E105" s="3">
        <v>5.0000000000005596E-4</v>
      </c>
      <c r="F105" s="4" t="s">
        <v>39</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row>
    <row r="106" spans="1:57" x14ac:dyDescent="0.25">
      <c r="A106" s="1" t="str">
        <f>'Population Definitions'!$A$10</f>
        <v>65+_males</v>
      </c>
      <c r="C106" t="s">
        <v>36</v>
      </c>
      <c r="D106" s="3"/>
      <c r="E106" s="3">
        <v>5.0000000000005596E-4</v>
      </c>
      <c r="F106" s="4" t="s">
        <v>39</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row>
    <row r="107" spans="1:57" x14ac:dyDescent="0.25">
      <c r="A107" s="1" t="str">
        <f>'Population Definitions'!$A$11</f>
        <v>65+_females</v>
      </c>
      <c r="C107" t="s">
        <v>36</v>
      </c>
      <c r="D107" s="3"/>
      <c r="E107" s="3">
        <v>5.0000000000005596E-4</v>
      </c>
      <c r="F107" s="4" t="s">
        <v>39</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row>
    <row r="108" spans="1:57" x14ac:dyDescent="0.25">
      <c r="A108" s="1" t="str">
        <f>'Population Definitions'!$A$12</f>
        <v>Prisoners_males</v>
      </c>
      <c r="C108" t="s">
        <v>36</v>
      </c>
      <c r="D108" s="3"/>
      <c r="E108" s="3">
        <v>5.0000000000005596E-4</v>
      </c>
      <c r="F108" s="4" t="s">
        <v>39</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row>
    <row r="109" spans="1:57" x14ac:dyDescent="0.25">
      <c r="A109" s="1" t="str">
        <f>'Population Definitions'!$A$13</f>
        <v>Prisoners_females</v>
      </c>
      <c r="C109" t="s">
        <v>36</v>
      </c>
      <c r="D109" s="3"/>
      <c r="E109" s="3">
        <v>5.0000000000005596E-4</v>
      </c>
      <c r="F109" s="4" t="s">
        <v>39</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row>
    <row r="110" spans="1:57" x14ac:dyDescent="0.25">
      <c r="A110" s="1" t="str">
        <f>'Population Definitions'!$A$14</f>
        <v>Prisoners_PWID_males</v>
      </c>
      <c r="C110" t="s">
        <v>36</v>
      </c>
      <c r="D110" s="3"/>
      <c r="E110" s="3">
        <v>5.0000000000005596E-4</v>
      </c>
      <c r="F110" s="4" t="s">
        <v>39</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row>
    <row r="111" spans="1:57" x14ac:dyDescent="0.25">
      <c r="A111" s="1" t="str">
        <f>'Population Definitions'!$A$15</f>
        <v>Prisoners_PWID_females</v>
      </c>
      <c r="C111" t="s">
        <v>36</v>
      </c>
      <c r="D111" s="3"/>
      <c r="E111" s="3">
        <v>5.0000000000005596E-4</v>
      </c>
      <c r="F111" s="4" t="s">
        <v>39</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row>
    <row r="113" spans="1:55" x14ac:dyDescent="0.25">
      <c r="A113" s="1" t="s">
        <v>44</v>
      </c>
      <c r="B113" s="1" t="s">
        <v>31</v>
      </c>
      <c r="C113" s="1" t="s">
        <v>32</v>
      </c>
      <c r="D113" s="1" t="s">
        <v>33</v>
      </c>
      <c r="E113" s="1">
        <v>2000</v>
      </c>
      <c r="F113" s="1">
        <v>2001</v>
      </c>
      <c r="G113" s="1">
        <v>2002</v>
      </c>
      <c r="H113" s="1">
        <v>2003</v>
      </c>
      <c r="I113" s="1">
        <v>2004</v>
      </c>
      <c r="J113" s="1">
        <v>2005</v>
      </c>
      <c r="K113" s="1">
        <v>2006</v>
      </c>
      <c r="L113" s="1">
        <v>2007</v>
      </c>
      <c r="M113" s="1">
        <v>2008</v>
      </c>
      <c r="N113" s="1">
        <v>2009</v>
      </c>
      <c r="O113" s="1">
        <v>2010</v>
      </c>
      <c r="P113" s="1">
        <v>2011</v>
      </c>
      <c r="Q113" s="1">
        <v>2012</v>
      </c>
      <c r="R113" s="1">
        <v>2013</v>
      </c>
      <c r="S113" s="1">
        <v>2014</v>
      </c>
      <c r="T113" s="1">
        <v>2015</v>
      </c>
      <c r="U113" s="1">
        <v>2016</v>
      </c>
      <c r="V113" s="1">
        <v>2017</v>
      </c>
      <c r="W113" s="1">
        <v>2018</v>
      </c>
      <c r="X113" s="1">
        <v>2019</v>
      </c>
      <c r="Y113" s="1">
        <v>2020</v>
      </c>
      <c r="Z113" s="1">
        <v>2021</v>
      </c>
      <c r="AA113" s="1">
        <v>2022</v>
      </c>
      <c r="AB113" s="1">
        <v>2023</v>
      </c>
      <c r="AC113" s="1">
        <v>2024</v>
      </c>
      <c r="AD113" s="1">
        <v>2025</v>
      </c>
      <c r="AE113" s="1">
        <v>2026</v>
      </c>
      <c r="AF113" s="1">
        <v>2027</v>
      </c>
      <c r="AG113" s="1">
        <v>2028</v>
      </c>
      <c r="AH113" s="1">
        <v>2029</v>
      </c>
      <c r="AI113" s="1">
        <v>2030</v>
      </c>
      <c r="AJ113" s="1">
        <v>2031</v>
      </c>
      <c r="AK113" s="1">
        <v>2032</v>
      </c>
      <c r="AL113" s="1">
        <v>2033</v>
      </c>
      <c r="AM113" s="1">
        <v>2034</v>
      </c>
      <c r="AN113" s="1">
        <v>2035</v>
      </c>
      <c r="AO113" s="1">
        <v>2036</v>
      </c>
      <c r="AP113" s="1">
        <v>2037</v>
      </c>
      <c r="AQ113" s="1">
        <v>2038</v>
      </c>
      <c r="AR113" s="1">
        <v>2039</v>
      </c>
      <c r="AS113" s="1">
        <v>2040</v>
      </c>
      <c r="AT113" s="1">
        <v>2041</v>
      </c>
      <c r="AU113" s="1">
        <v>2042</v>
      </c>
      <c r="AV113" s="1">
        <v>2043</v>
      </c>
      <c r="AW113" s="1">
        <v>2044</v>
      </c>
      <c r="AX113" s="1">
        <v>2045</v>
      </c>
      <c r="AY113" s="1">
        <v>2046</v>
      </c>
      <c r="AZ113" s="1">
        <v>2047</v>
      </c>
      <c r="BA113" s="1">
        <v>2048</v>
      </c>
      <c r="BB113" s="1">
        <v>2049</v>
      </c>
      <c r="BC113" s="1">
        <v>2050</v>
      </c>
    </row>
    <row r="114" spans="1:55" x14ac:dyDescent="0.25">
      <c r="A114" s="1" t="str">
        <f>'Population Definitions'!$A$2</f>
        <v>PWID_males</v>
      </c>
      <c r="C114" t="s">
        <v>36</v>
      </c>
      <c r="D114" s="3"/>
      <c r="E114" s="3">
        <v>0.72099736114228752</v>
      </c>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x14ac:dyDescent="0.25">
      <c r="A115" s="1" t="str">
        <f>'Population Definitions'!$A$3</f>
        <v>PWID_females</v>
      </c>
      <c r="C115" t="s">
        <v>36</v>
      </c>
      <c r="D115" s="3"/>
      <c r="E115" s="3">
        <v>0.72099736114228752</v>
      </c>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x14ac:dyDescent="0.25">
      <c r="A116" s="1" t="str">
        <f>'Population Definitions'!$A$4</f>
        <v>0-9_males</v>
      </c>
      <c r="C116" t="s">
        <v>36</v>
      </c>
      <c r="D116" s="3"/>
      <c r="E116" s="3">
        <v>0.72099736114228752</v>
      </c>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x14ac:dyDescent="0.25">
      <c r="A117" s="1" t="str">
        <f>'Population Definitions'!$A$5</f>
        <v>0-9_females</v>
      </c>
      <c r="C117" t="s">
        <v>36</v>
      </c>
      <c r="D117" s="3"/>
      <c r="E117" s="3">
        <v>0.72099736114228752</v>
      </c>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x14ac:dyDescent="0.25">
      <c r="A118" s="1" t="str">
        <f>'Population Definitions'!$A$6</f>
        <v>10-17_males</v>
      </c>
      <c r="C118" t="s">
        <v>36</v>
      </c>
      <c r="D118" s="3"/>
      <c r="E118" s="3">
        <v>0.72099736114228752</v>
      </c>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x14ac:dyDescent="0.25">
      <c r="A119" s="1" t="str">
        <f>'Population Definitions'!$A$7</f>
        <v>10-17_females</v>
      </c>
      <c r="C119" t="s">
        <v>36</v>
      </c>
      <c r="D119" s="3"/>
      <c r="E119" s="3">
        <v>0.72099736114228752</v>
      </c>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x14ac:dyDescent="0.25">
      <c r="A120" s="1" t="str">
        <f>'Population Definitions'!$A$8</f>
        <v>18-64_males</v>
      </c>
      <c r="C120" t="s">
        <v>36</v>
      </c>
      <c r="D120" s="3"/>
      <c r="E120" s="3">
        <v>0.72099736114228752</v>
      </c>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row>
    <row r="121" spans="1:55" x14ac:dyDescent="0.25">
      <c r="A121" s="1" t="str">
        <f>'Population Definitions'!$A$9</f>
        <v>18-64_females</v>
      </c>
      <c r="C121" t="s">
        <v>36</v>
      </c>
      <c r="D121" s="3"/>
      <c r="E121" s="3">
        <v>0.72099736114228752</v>
      </c>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row>
    <row r="122" spans="1:55" x14ac:dyDescent="0.25">
      <c r="A122" s="1" t="str">
        <f>'Population Definitions'!$A$10</f>
        <v>65+_males</v>
      </c>
      <c r="C122" t="s">
        <v>36</v>
      </c>
      <c r="D122" s="3"/>
      <c r="E122" s="3">
        <v>0.72099736114228752</v>
      </c>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row>
    <row r="123" spans="1:55" x14ac:dyDescent="0.25">
      <c r="A123" s="1" t="str">
        <f>'Population Definitions'!$A$11</f>
        <v>65+_females</v>
      </c>
      <c r="C123" t="s">
        <v>36</v>
      </c>
      <c r="D123" s="3"/>
      <c r="E123" s="3">
        <v>0.72099736114228752</v>
      </c>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row>
    <row r="124" spans="1:55" x14ac:dyDescent="0.25">
      <c r="A124" s="1" t="str">
        <f>'Population Definitions'!$A$12</f>
        <v>Prisoners_males</v>
      </c>
      <c r="C124" t="s">
        <v>36</v>
      </c>
      <c r="D124" s="3"/>
      <c r="E124" s="3">
        <v>0.72099736114228752</v>
      </c>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row>
    <row r="125" spans="1:55" x14ac:dyDescent="0.25">
      <c r="A125" s="1" t="str">
        <f>'Population Definitions'!$A$13</f>
        <v>Prisoners_females</v>
      </c>
      <c r="C125" t="s">
        <v>36</v>
      </c>
      <c r="D125" s="3"/>
      <c r="E125" s="3">
        <v>0.72099736114228752</v>
      </c>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row>
    <row r="126" spans="1:55" x14ac:dyDescent="0.25">
      <c r="A126" s="1" t="str">
        <f>'Population Definitions'!$A$14</f>
        <v>Prisoners_PWID_males</v>
      </c>
      <c r="C126" t="s">
        <v>36</v>
      </c>
      <c r="D126" s="3"/>
      <c r="E126" s="3">
        <v>0.72099736114228752</v>
      </c>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row>
    <row r="127" spans="1:55" x14ac:dyDescent="0.25">
      <c r="A127" s="1" t="str">
        <f>'Population Definitions'!$A$15</f>
        <v>Prisoners_PWID_females</v>
      </c>
      <c r="C127" t="s">
        <v>36</v>
      </c>
      <c r="D127" s="3"/>
      <c r="E127" s="3">
        <v>0.72099736114228752</v>
      </c>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row>
    <row r="129" spans="1:57" x14ac:dyDescent="0.25">
      <c r="A129" s="1" t="s">
        <v>45</v>
      </c>
      <c r="B129" s="1" t="s">
        <v>31</v>
      </c>
      <c r="C129" s="1" t="s">
        <v>32</v>
      </c>
      <c r="D129" s="1" t="s">
        <v>33</v>
      </c>
      <c r="E129" s="1" t="s">
        <v>38</v>
      </c>
      <c r="F129" s="1"/>
      <c r="G129" s="1">
        <v>2000</v>
      </c>
      <c r="H129" s="1">
        <v>2001</v>
      </c>
      <c r="I129" s="1">
        <v>2002</v>
      </c>
      <c r="J129" s="1">
        <v>2003</v>
      </c>
      <c r="K129" s="1">
        <v>2004</v>
      </c>
      <c r="L129" s="1">
        <v>2005</v>
      </c>
      <c r="M129" s="1">
        <v>2006</v>
      </c>
      <c r="N129" s="1">
        <v>2007</v>
      </c>
      <c r="O129" s="1">
        <v>2008</v>
      </c>
      <c r="P129" s="1">
        <v>2009</v>
      </c>
      <c r="Q129" s="1">
        <v>2010</v>
      </c>
      <c r="R129" s="1">
        <v>2011</v>
      </c>
      <c r="S129" s="1">
        <v>2012</v>
      </c>
      <c r="T129" s="1">
        <v>2013</v>
      </c>
      <c r="U129" s="1">
        <v>2014</v>
      </c>
      <c r="V129" s="1">
        <v>2015</v>
      </c>
      <c r="W129" s="1">
        <v>2016</v>
      </c>
      <c r="X129" s="1">
        <v>2017</v>
      </c>
      <c r="Y129" s="1">
        <v>2018</v>
      </c>
      <c r="Z129" s="1">
        <v>2019</v>
      </c>
      <c r="AA129" s="1">
        <v>2020</v>
      </c>
      <c r="AB129" s="1">
        <v>2021</v>
      </c>
      <c r="AC129" s="1">
        <v>2022</v>
      </c>
      <c r="AD129" s="1">
        <v>2023</v>
      </c>
      <c r="AE129" s="1">
        <v>2024</v>
      </c>
      <c r="AF129" s="1">
        <v>2025</v>
      </c>
      <c r="AG129" s="1">
        <v>2026</v>
      </c>
      <c r="AH129" s="1">
        <v>2027</v>
      </c>
      <c r="AI129" s="1">
        <v>2028</v>
      </c>
      <c r="AJ129" s="1">
        <v>2029</v>
      </c>
      <c r="AK129" s="1">
        <v>2030</v>
      </c>
      <c r="AL129" s="1">
        <v>2031</v>
      </c>
      <c r="AM129" s="1">
        <v>2032</v>
      </c>
      <c r="AN129" s="1">
        <v>2033</v>
      </c>
      <c r="AO129" s="1">
        <v>2034</v>
      </c>
      <c r="AP129" s="1">
        <v>2035</v>
      </c>
      <c r="AQ129" s="1">
        <v>2036</v>
      </c>
      <c r="AR129" s="1">
        <v>2037</v>
      </c>
      <c r="AS129" s="1">
        <v>2038</v>
      </c>
      <c r="AT129" s="1">
        <v>2039</v>
      </c>
      <c r="AU129" s="1">
        <v>2040</v>
      </c>
      <c r="AV129" s="1">
        <v>2041</v>
      </c>
      <c r="AW129" s="1">
        <v>2042</v>
      </c>
      <c r="AX129" s="1">
        <v>2043</v>
      </c>
      <c r="AY129" s="1">
        <v>2044</v>
      </c>
      <c r="AZ129" s="1">
        <v>2045</v>
      </c>
      <c r="BA129" s="1">
        <v>2046</v>
      </c>
      <c r="BB129" s="1">
        <v>2047</v>
      </c>
      <c r="BC129" s="1">
        <v>2048</v>
      </c>
      <c r="BD129" s="1">
        <v>2049</v>
      </c>
      <c r="BE129" s="1">
        <v>2050</v>
      </c>
    </row>
    <row r="130" spans="1:57" x14ac:dyDescent="0.25">
      <c r="A130" s="1" t="str">
        <f>'Population Definitions'!$A$2</f>
        <v>PWID_males</v>
      </c>
      <c r="C130" t="s">
        <v>36</v>
      </c>
      <c r="D130" s="3"/>
      <c r="E130" s="3">
        <v>0</v>
      </c>
      <c r="F130" s="4" t="s">
        <v>39</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row>
    <row r="131" spans="1:57" x14ac:dyDescent="0.25">
      <c r="A131" s="1" t="str">
        <f>'Population Definitions'!$A$3</f>
        <v>PWID_females</v>
      </c>
      <c r="C131" t="s">
        <v>36</v>
      </c>
      <c r="D131" s="3"/>
      <c r="E131" s="3">
        <v>0</v>
      </c>
      <c r="F131" s="4" t="s">
        <v>39</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row>
    <row r="132" spans="1:57" x14ac:dyDescent="0.25">
      <c r="A132" s="1" t="str">
        <f>'Population Definitions'!$A$4</f>
        <v>0-9_males</v>
      </c>
      <c r="C132" t="s">
        <v>36</v>
      </c>
      <c r="D132" s="3"/>
      <c r="E132" s="3">
        <v>0</v>
      </c>
      <c r="F132" s="4" t="s">
        <v>39</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row>
    <row r="133" spans="1:57" x14ac:dyDescent="0.25">
      <c r="A133" s="1" t="str">
        <f>'Population Definitions'!$A$5</f>
        <v>0-9_females</v>
      </c>
      <c r="C133" t="s">
        <v>36</v>
      </c>
      <c r="D133" s="3"/>
      <c r="E133" s="3">
        <v>0</v>
      </c>
      <c r="F133" s="4" t="s">
        <v>39</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row>
    <row r="134" spans="1:57" x14ac:dyDescent="0.25">
      <c r="A134" s="1" t="str">
        <f>'Population Definitions'!$A$6</f>
        <v>10-17_males</v>
      </c>
      <c r="C134" t="s">
        <v>36</v>
      </c>
      <c r="D134" s="3"/>
      <c r="E134" s="3">
        <v>0</v>
      </c>
      <c r="F134" s="4" t="s">
        <v>39</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row>
    <row r="135" spans="1:57" x14ac:dyDescent="0.25">
      <c r="A135" s="1" t="str">
        <f>'Population Definitions'!$A$7</f>
        <v>10-17_females</v>
      </c>
      <c r="C135" t="s">
        <v>36</v>
      </c>
      <c r="D135" s="3"/>
      <c r="E135" s="3">
        <v>0</v>
      </c>
      <c r="F135" s="4" t="s">
        <v>39</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row>
    <row r="136" spans="1:57" x14ac:dyDescent="0.25">
      <c r="A136" s="1" t="str">
        <f>'Population Definitions'!$A$8</f>
        <v>18-64_males</v>
      </c>
      <c r="C136" t="s">
        <v>36</v>
      </c>
      <c r="D136" s="3"/>
      <c r="E136" s="3">
        <v>0</v>
      </c>
      <c r="F136" s="4" t="s">
        <v>39</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row>
    <row r="137" spans="1:57" x14ac:dyDescent="0.25">
      <c r="A137" s="1" t="str">
        <f>'Population Definitions'!$A$9</f>
        <v>18-64_females</v>
      </c>
      <c r="C137" t="s">
        <v>36</v>
      </c>
      <c r="D137" s="3"/>
      <c r="E137" s="3">
        <v>0</v>
      </c>
      <c r="F137" s="4" t="s">
        <v>39</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row>
    <row r="138" spans="1:57" x14ac:dyDescent="0.25">
      <c r="A138" s="1" t="str">
        <f>'Population Definitions'!$A$10</f>
        <v>65+_males</v>
      </c>
      <c r="C138" t="s">
        <v>36</v>
      </c>
      <c r="D138" s="3"/>
      <c r="E138" s="3">
        <v>0</v>
      </c>
      <c r="F138" s="4" t="s">
        <v>39</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row>
    <row r="139" spans="1:57" x14ac:dyDescent="0.25">
      <c r="A139" s="1" t="str">
        <f>'Population Definitions'!$A$11</f>
        <v>65+_females</v>
      </c>
      <c r="C139" t="s">
        <v>36</v>
      </c>
      <c r="D139" s="3"/>
      <c r="E139" s="3">
        <v>0</v>
      </c>
      <c r="F139" s="4" t="s">
        <v>39</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row>
    <row r="140" spans="1:57" x14ac:dyDescent="0.25">
      <c r="A140" s="1" t="str">
        <f>'Population Definitions'!$A$12</f>
        <v>Prisoners_males</v>
      </c>
      <c r="C140" t="s">
        <v>36</v>
      </c>
      <c r="D140" s="3"/>
      <c r="E140" s="3">
        <v>0</v>
      </c>
      <c r="F140" s="4" t="s">
        <v>39</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row>
    <row r="141" spans="1:57" x14ac:dyDescent="0.25">
      <c r="A141" s="1" t="str">
        <f>'Population Definitions'!$A$13</f>
        <v>Prisoners_females</v>
      </c>
      <c r="C141" t="s">
        <v>36</v>
      </c>
      <c r="D141" s="3"/>
      <c r="E141" s="3">
        <v>0</v>
      </c>
      <c r="F141" s="4" t="s">
        <v>39</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row>
    <row r="142" spans="1:57" x14ac:dyDescent="0.25">
      <c r="A142" s="1" t="str">
        <f>'Population Definitions'!$A$14</f>
        <v>Prisoners_PWID_males</v>
      </c>
      <c r="C142" t="s">
        <v>36</v>
      </c>
      <c r="D142" s="3"/>
      <c r="E142" s="3">
        <v>0</v>
      </c>
      <c r="F142" s="4" t="s">
        <v>39</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row>
    <row r="143" spans="1:57" x14ac:dyDescent="0.25">
      <c r="A143" s="1" t="str">
        <f>'Population Definitions'!$A$15</f>
        <v>Prisoners_PWID_females</v>
      </c>
      <c r="C143" t="s">
        <v>36</v>
      </c>
      <c r="D143" s="3"/>
      <c r="E143" s="3">
        <v>0</v>
      </c>
      <c r="F143" s="4" t="s">
        <v>39</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row>
    <row r="145" spans="1:57" x14ac:dyDescent="0.25">
      <c r="A145" s="1" t="s">
        <v>46</v>
      </c>
      <c r="B145" s="1" t="s">
        <v>31</v>
      </c>
      <c r="C145" s="1" t="s">
        <v>32</v>
      </c>
      <c r="D145" s="1" t="s">
        <v>33</v>
      </c>
      <c r="E145" s="1" t="s">
        <v>38</v>
      </c>
      <c r="F145" s="1"/>
      <c r="G145" s="1">
        <v>2000</v>
      </c>
      <c r="H145" s="1">
        <v>2001</v>
      </c>
      <c r="I145" s="1">
        <v>2002</v>
      </c>
      <c r="J145" s="1">
        <v>2003</v>
      </c>
      <c r="K145" s="1">
        <v>2004</v>
      </c>
      <c r="L145" s="1">
        <v>2005</v>
      </c>
      <c r="M145" s="1">
        <v>2006</v>
      </c>
      <c r="N145" s="1">
        <v>2007</v>
      </c>
      <c r="O145" s="1">
        <v>2008</v>
      </c>
      <c r="P145" s="1">
        <v>2009</v>
      </c>
      <c r="Q145" s="1">
        <v>2010</v>
      </c>
      <c r="R145" s="1">
        <v>2011</v>
      </c>
      <c r="S145" s="1">
        <v>2012</v>
      </c>
      <c r="T145" s="1">
        <v>2013</v>
      </c>
      <c r="U145" s="1">
        <v>2014</v>
      </c>
      <c r="V145" s="1">
        <v>2015</v>
      </c>
      <c r="W145" s="1">
        <v>2016</v>
      </c>
      <c r="X145" s="1">
        <v>2017</v>
      </c>
      <c r="Y145" s="1">
        <v>2018</v>
      </c>
      <c r="Z145" s="1">
        <v>2019</v>
      </c>
      <c r="AA145" s="1">
        <v>2020</v>
      </c>
      <c r="AB145" s="1">
        <v>2021</v>
      </c>
      <c r="AC145" s="1">
        <v>2022</v>
      </c>
      <c r="AD145" s="1">
        <v>2023</v>
      </c>
      <c r="AE145" s="1">
        <v>2024</v>
      </c>
      <c r="AF145" s="1">
        <v>2025</v>
      </c>
      <c r="AG145" s="1">
        <v>2026</v>
      </c>
      <c r="AH145" s="1">
        <v>2027</v>
      </c>
      <c r="AI145" s="1">
        <v>2028</v>
      </c>
      <c r="AJ145" s="1">
        <v>2029</v>
      </c>
      <c r="AK145" s="1">
        <v>2030</v>
      </c>
      <c r="AL145" s="1">
        <v>2031</v>
      </c>
      <c r="AM145" s="1">
        <v>2032</v>
      </c>
      <c r="AN145" s="1">
        <v>2033</v>
      </c>
      <c r="AO145" s="1">
        <v>2034</v>
      </c>
      <c r="AP145" s="1">
        <v>2035</v>
      </c>
      <c r="AQ145" s="1">
        <v>2036</v>
      </c>
      <c r="AR145" s="1">
        <v>2037</v>
      </c>
      <c r="AS145" s="1">
        <v>2038</v>
      </c>
      <c r="AT145" s="1">
        <v>2039</v>
      </c>
      <c r="AU145" s="1">
        <v>2040</v>
      </c>
      <c r="AV145" s="1">
        <v>2041</v>
      </c>
      <c r="AW145" s="1">
        <v>2042</v>
      </c>
      <c r="AX145" s="1">
        <v>2043</v>
      </c>
      <c r="AY145" s="1">
        <v>2044</v>
      </c>
      <c r="AZ145" s="1">
        <v>2045</v>
      </c>
      <c r="BA145" s="1">
        <v>2046</v>
      </c>
      <c r="BB145" s="1">
        <v>2047</v>
      </c>
      <c r="BC145" s="1">
        <v>2048</v>
      </c>
      <c r="BD145" s="1">
        <v>2049</v>
      </c>
      <c r="BE145" s="1">
        <v>2050</v>
      </c>
    </row>
    <row r="146" spans="1:57" x14ac:dyDescent="0.25">
      <c r="A146" s="1" t="str">
        <f>'Population Definitions'!$A$2</f>
        <v>PWID_males</v>
      </c>
      <c r="C146" t="s">
        <v>36</v>
      </c>
      <c r="D146" s="3"/>
      <c r="E146" s="3">
        <v>0</v>
      </c>
      <c r="F146" s="4" t="s">
        <v>39</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row>
    <row r="147" spans="1:57" x14ac:dyDescent="0.25">
      <c r="A147" s="1" t="str">
        <f>'Population Definitions'!$A$3</f>
        <v>PWID_females</v>
      </c>
      <c r="C147" t="s">
        <v>36</v>
      </c>
      <c r="D147" s="3"/>
      <c r="E147" s="3">
        <v>0</v>
      </c>
      <c r="F147" s="4" t="s">
        <v>39</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row>
    <row r="148" spans="1:57" x14ac:dyDescent="0.25">
      <c r="A148" s="1" t="str">
        <f>'Population Definitions'!$A$4</f>
        <v>0-9_males</v>
      </c>
      <c r="C148" t="s">
        <v>36</v>
      </c>
      <c r="D148" s="3"/>
      <c r="E148" s="3">
        <v>0</v>
      </c>
      <c r="F148" s="4" t="s">
        <v>39</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row>
    <row r="149" spans="1:57" x14ac:dyDescent="0.25">
      <c r="A149" s="1" t="str">
        <f>'Population Definitions'!$A$5</f>
        <v>0-9_females</v>
      </c>
      <c r="C149" t="s">
        <v>36</v>
      </c>
      <c r="D149" s="3"/>
      <c r="E149" s="3">
        <v>0</v>
      </c>
      <c r="F149" s="4" t="s">
        <v>39</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row>
    <row r="150" spans="1:57" x14ac:dyDescent="0.25">
      <c r="A150" s="1" t="str">
        <f>'Population Definitions'!$A$6</f>
        <v>10-17_males</v>
      </c>
      <c r="C150" t="s">
        <v>36</v>
      </c>
      <c r="D150" s="3"/>
      <c r="E150" s="3">
        <v>0</v>
      </c>
      <c r="F150" s="4" t="s">
        <v>39</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row>
    <row r="151" spans="1:57" x14ac:dyDescent="0.25">
      <c r="A151" s="1" t="str">
        <f>'Population Definitions'!$A$7</f>
        <v>10-17_females</v>
      </c>
      <c r="C151" t="s">
        <v>36</v>
      </c>
      <c r="D151" s="3"/>
      <c r="E151" s="3">
        <v>0</v>
      </c>
      <c r="F151" s="4" t="s">
        <v>39</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row>
    <row r="152" spans="1:57" x14ac:dyDescent="0.25">
      <c r="A152" s="1" t="str">
        <f>'Population Definitions'!$A$8</f>
        <v>18-64_males</v>
      </c>
      <c r="C152" t="s">
        <v>36</v>
      </c>
      <c r="D152" s="3"/>
      <c r="E152" s="3">
        <v>0</v>
      </c>
      <c r="F152" s="4" t="s">
        <v>39</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row>
    <row r="153" spans="1:57" x14ac:dyDescent="0.25">
      <c r="A153" s="1" t="str">
        <f>'Population Definitions'!$A$9</f>
        <v>18-64_females</v>
      </c>
      <c r="C153" t="s">
        <v>36</v>
      </c>
      <c r="D153" s="3"/>
      <c r="E153" s="3">
        <v>0</v>
      </c>
      <c r="F153" s="4" t="s">
        <v>39</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row>
    <row r="154" spans="1:57" x14ac:dyDescent="0.25">
      <c r="A154" s="1" t="str">
        <f>'Population Definitions'!$A$10</f>
        <v>65+_males</v>
      </c>
      <c r="C154" t="s">
        <v>36</v>
      </c>
      <c r="D154" s="3"/>
      <c r="E154" s="3">
        <v>0</v>
      </c>
      <c r="F154" s="4" t="s">
        <v>39</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row>
    <row r="155" spans="1:57" x14ac:dyDescent="0.25">
      <c r="A155" s="1" t="str">
        <f>'Population Definitions'!$A$11</f>
        <v>65+_females</v>
      </c>
      <c r="C155" t="s">
        <v>36</v>
      </c>
      <c r="D155" s="3"/>
      <c r="E155" s="3">
        <v>0</v>
      </c>
      <c r="F155" s="4" t="s">
        <v>39</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row>
    <row r="156" spans="1:57" x14ac:dyDescent="0.25">
      <c r="A156" s="1" t="str">
        <f>'Population Definitions'!$A$12</f>
        <v>Prisoners_males</v>
      </c>
      <c r="C156" t="s">
        <v>36</v>
      </c>
      <c r="D156" s="3"/>
      <c r="E156" s="3">
        <v>0</v>
      </c>
      <c r="F156" s="4" t="s">
        <v>39</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row>
    <row r="157" spans="1:57" x14ac:dyDescent="0.25">
      <c r="A157" s="1" t="str">
        <f>'Population Definitions'!$A$13</f>
        <v>Prisoners_females</v>
      </c>
      <c r="C157" t="s">
        <v>36</v>
      </c>
      <c r="D157" s="3"/>
      <c r="E157" s="3">
        <v>0</v>
      </c>
      <c r="F157" s="4" t="s">
        <v>39</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row>
    <row r="158" spans="1:57" x14ac:dyDescent="0.25">
      <c r="A158" s="1" t="str">
        <f>'Population Definitions'!$A$14</f>
        <v>Prisoners_PWID_males</v>
      </c>
      <c r="C158" t="s">
        <v>36</v>
      </c>
      <c r="D158" s="3"/>
      <c r="E158" s="3">
        <v>0</v>
      </c>
      <c r="F158" s="4" t="s">
        <v>39</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row>
    <row r="159" spans="1:57" x14ac:dyDescent="0.25">
      <c r="A159" s="1" t="str">
        <f>'Population Definitions'!$A$15</f>
        <v>Prisoners_PWID_females</v>
      </c>
      <c r="C159" t="s">
        <v>36</v>
      </c>
      <c r="D159" s="3"/>
      <c r="E159" s="3">
        <v>0</v>
      </c>
      <c r="F159" s="4" t="s">
        <v>39</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row>
    <row r="161" spans="1:57" x14ac:dyDescent="0.25">
      <c r="A161" s="1" t="s">
        <v>47</v>
      </c>
      <c r="B161" s="1" t="s">
        <v>31</v>
      </c>
      <c r="C161" s="1" t="s">
        <v>32</v>
      </c>
      <c r="D161" s="1" t="s">
        <v>33</v>
      </c>
      <c r="E161" s="1" t="s">
        <v>38</v>
      </c>
      <c r="F161" s="1"/>
      <c r="G161" s="1">
        <v>2000</v>
      </c>
      <c r="H161" s="1">
        <v>2001</v>
      </c>
      <c r="I161" s="1">
        <v>2002</v>
      </c>
      <c r="J161" s="1">
        <v>2003</v>
      </c>
      <c r="K161" s="1">
        <v>2004</v>
      </c>
      <c r="L161" s="1">
        <v>2005</v>
      </c>
      <c r="M161" s="1">
        <v>2006</v>
      </c>
      <c r="N161" s="1">
        <v>2007</v>
      </c>
      <c r="O161" s="1">
        <v>2008</v>
      </c>
      <c r="P161" s="1">
        <v>2009</v>
      </c>
      <c r="Q161" s="1">
        <v>2010</v>
      </c>
      <c r="R161" s="1">
        <v>2011</v>
      </c>
      <c r="S161" s="1">
        <v>2012</v>
      </c>
      <c r="T161" s="1">
        <v>2013</v>
      </c>
      <c r="U161" s="1">
        <v>2014</v>
      </c>
      <c r="V161" s="1">
        <v>2015</v>
      </c>
      <c r="W161" s="1">
        <v>2016</v>
      </c>
      <c r="X161" s="1">
        <v>2017</v>
      </c>
      <c r="Y161" s="1">
        <v>2018</v>
      </c>
      <c r="Z161" s="1">
        <v>2019</v>
      </c>
      <c r="AA161" s="1">
        <v>2020</v>
      </c>
      <c r="AB161" s="1">
        <v>2021</v>
      </c>
      <c r="AC161" s="1">
        <v>2022</v>
      </c>
      <c r="AD161" s="1">
        <v>2023</v>
      </c>
      <c r="AE161" s="1">
        <v>2024</v>
      </c>
      <c r="AF161" s="1">
        <v>2025</v>
      </c>
      <c r="AG161" s="1">
        <v>2026</v>
      </c>
      <c r="AH161" s="1">
        <v>2027</v>
      </c>
      <c r="AI161" s="1">
        <v>2028</v>
      </c>
      <c r="AJ161" s="1">
        <v>2029</v>
      </c>
      <c r="AK161" s="1">
        <v>2030</v>
      </c>
      <c r="AL161" s="1">
        <v>2031</v>
      </c>
      <c r="AM161" s="1">
        <v>2032</v>
      </c>
      <c r="AN161" s="1">
        <v>2033</v>
      </c>
      <c r="AO161" s="1">
        <v>2034</v>
      </c>
      <c r="AP161" s="1">
        <v>2035</v>
      </c>
      <c r="AQ161" s="1">
        <v>2036</v>
      </c>
      <c r="AR161" s="1">
        <v>2037</v>
      </c>
      <c r="AS161" s="1">
        <v>2038</v>
      </c>
      <c r="AT161" s="1">
        <v>2039</v>
      </c>
      <c r="AU161" s="1">
        <v>2040</v>
      </c>
      <c r="AV161" s="1">
        <v>2041</v>
      </c>
      <c r="AW161" s="1">
        <v>2042</v>
      </c>
      <c r="AX161" s="1">
        <v>2043</v>
      </c>
      <c r="AY161" s="1">
        <v>2044</v>
      </c>
      <c r="AZ161" s="1">
        <v>2045</v>
      </c>
      <c r="BA161" s="1">
        <v>2046</v>
      </c>
      <c r="BB161" s="1">
        <v>2047</v>
      </c>
      <c r="BC161" s="1">
        <v>2048</v>
      </c>
      <c r="BD161" s="1">
        <v>2049</v>
      </c>
      <c r="BE161" s="1">
        <v>2050</v>
      </c>
    </row>
    <row r="162" spans="1:57" x14ac:dyDescent="0.25">
      <c r="A162" s="1" t="str">
        <f>'Population Definitions'!$A$2</f>
        <v>PWID_males</v>
      </c>
      <c r="C162" t="s">
        <v>36</v>
      </c>
      <c r="D162" s="3"/>
      <c r="E162" s="3">
        <v>0</v>
      </c>
      <c r="F162" s="4" t="s">
        <v>39</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row>
    <row r="163" spans="1:57" x14ac:dyDescent="0.25">
      <c r="A163" s="1" t="str">
        <f>'Population Definitions'!$A$3</f>
        <v>PWID_females</v>
      </c>
      <c r="C163" t="s">
        <v>36</v>
      </c>
      <c r="D163" s="3"/>
      <c r="E163" s="3">
        <v>0</v>
      </c>
      <c r="F163" s="4" t="s">
        <v>39</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row>
    <row r="164" spans="1:57" x14ac:dyDescent="0.25">
      <c r="A164" s="1" t="str">
        <f>'Population Definitions'!$A$4</f>
        <v>0-9_males</v>
      </c>
      <c r="C164" t="s">
        <v>36</v>
      </c>
      <c r="D164" s="3"/>
      <c r="E164" s="3">
        <v>0</v>
      </c>
      <c r="F164" s="4" t="s">
        <v>39</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row>
    <row r="165" spans="1:57" x14ac:dyDescent="0.25">
      <c r="A165" s="1" t="str">
        <f>'Population Definitions'!$A$5</f>
        <v>0-9_females</v>
      </c>
      <c r="C165" t="s">
        <v>36</v>
      </c>
      <c r="D165" s="3"/>
      <c r="E165" s="3">
        <v>0</v>
      </c>
      <c r="F165" s="4" t="s">
        <v>39</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row>
    <row r="166" spans="1:57" x14ac:dyDescent="0.25">
      <c r="A166" s="1" t="str">
        <f>'Population Definitions'!$A$6</f>
        <v>10-17_males</v>
      </c>
      <c r="C166" t="s">
        <v>36</v>
      </c>
      <c r="D166" s="3"/>
      <c r="E166" s="3">
        <v>0</v>
      </c>
      <c r="F166" s="4" t="s">
        <v>39</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row>
    <row r="167" spans="1:57" x14ac:dyDescent="0.25">
      <c r="A167" s="1" t="str">
        <f>'Population Definitions'!$A$7</f>
        <v>10-17_females</v>
      </c>
      <c r="C167" t="s">
        <v>36</v>
      </c>
      <c r="D167" s="3"/>
      <c r="E167" s="3">
        <v>0</v>
      </c>
      <c r="F167" s="4" t="s">
        <v>39</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row>
    <row r="168" spans="1:57" x14ac:dyDescent="0.25">
      <c r="A168" s="1" t="str">
        <f>'Population Definitions'!$A$8</f>
        <v>18-64_males</v>
      </c>
      <c r="C168" t="s">
        <v>36</v>
      </c>
      <c r="D168" s="3"/>
      <c r="E168" s="3">
        <v>0</v>
      </c>
      <c r="F168" s="4" t="s">
        <v>39</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row>
    <row r="169" spans="1:57" x14ac:dyDescent="0.25">
      <c r="A169" s="1" t="str">
        <f>'Population Definitions'!$A$9</f>
        <v>18-64_females</v>
      </c>
      <c r="C169" t="s">
        <v>36</v>
      </c>
      <c r="D169" s="3"/>
      <c r="E169" s="3">
        <v>0</v>
      </c>
      <c r="F169" s="4" t="s">
        <v>39</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row>
    <row r="170" spans="1:57" x14ac:dyDescent="0.25">
      <c r="A170" s="1" t="str">
        <f>'Population Definitions'!$A$10</f>
        <v>65+_males</v>
      </c>
      <c r="C170" t="s">
        <v>36</v>
      </c>
      <c r="D170" s="3"/>
      <c r="E170" s="3">
        <v>0</v>
      </c>
      <c r="F170" s="4" t="s">
        <v>39</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row>
    <row r="171" spans="1:57" x14ac:dyDescent="0.25">
      <c r="A171" s="1" t="str">
        <f>'Population Definitions'!$A$11</f>
        <v>65+_females</v>
      </c>
      <c r="C171" t="s">
        <v>36</v>
      </c>
      <c r="D171" s="3"/>
      <c r="E171" s="3">
        <v>0</v>
      </c>
      <c r="F171" s="4" t="s">
        <v>39</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row>
    <row r="172" spans="1:57" x14ac:dyDescent="0.25">
      <c r="A172" s="1" t="str">
        <f>'Population Definitions'!$A$12</f>
        <v>Prisoners_males</v>
      </c>
      <c r="C172" t="s">
        <v>36</v>
      </c>
      <c r="D172" s="3"/>
      <c r="E172" s="3">
        <v>0</v>
      </c>
      <c r="F172" s="4" t="s">
        <v>39</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row>
    <row r="173" spans="1:57" x14ac:dyDescent="0.25">
      <c r="A173" s="1" t="str">
        <f>'Population Definitions'!$A$13</f>
        <v>Prisoners_females</v>
      </c>
      <c r="C173" t="s">
        <v>36</v>
      </c>
      <c r="D173" s="3"/>
      <c r="E173" s="3">
        <v>0</v>
      </c>
      <c r="F173" s="4" t="s">
        <v>39</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row>
    <row r="174" spans="1:57" x14ac:dyDescent="0.25">
      <c r="A174" s="1" t="str">
        <f>'Population Definitions'!$A$14</f>
        <v>Prisoners_PWID_males</v>
      </c>
      <c r="C174" t="s">
        <v>36</v>
      </c>
      <c r="D174" s="3"/>
      <c r="E174" s="3">
        <v>0</v>
      </c>
      <c r="F174" s="4" t="s">
        <v>39</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row>
    <row r="175" spans="1:57" x14ac:dyDescent="0.25">
      <c r="A175" s="1" t="str">
        <f>'Population Definitions'!$A$15</f>
        <v>Prisoners_PWID_females</v>
      </c>
      <c r="C175" t="s">
        <v>36</v>
      </c>
      <c r="D175" s="3"/>
      <c r="E175" s="3">
        <v>0</v>
      </c>
      <c r="F175" s="4" t="s">
        <v>39</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row>
    <row r="177" spans="1:57" x14ac:dyDescent="0.25">
      <c r="A177" s="1" t="s">
        <v>48</v>
      </c>
      <c r="B177" s="1" t="s">
        <v>31</v>
      </c>
      <c r="C177" s="1" t="s">
        <v>32</v>
      </c>
      <c r="D177" s="1" t="s">
        <v>33</v>
      </c>
      <c r="E177" s="1" t="s">
        <v>38</v>
      </c>
      <c r="F177" s="1"/>
      <c r="G177" s="1">
        <v>2000</v>
      </c>
      <c r="H177" s="1">
        <v>2001</v>
      </c>
      <c r="I177" s="1">
        <v>2002</v>
      </c>
      <c r="J177" s="1">
        <v>2003</v>
      </c>
      <c r="K177" s="1">
        <v>2004</v>
      </c>
      <c r="L177" s="1">
        <v>2005</v>
      </c>
      <c r="M177" s="1">
        <v>2006</v>
      </c>
      <c r="N177" s="1">
        <v>2007</v>
      </c>
      <c r="O177" s="1">
        <v>2008</v>
      </c>
      <c r="P177" s="1">
        <v>2009</v>
      </c>
      <c r="Q177" s="1">
        <v>2010</v>
      </c>
      <c r="R177" s="1">
        <v>2011</v>
      </c>
      <c r="S177" s="1">
        <v>2012</v>
      </c>
      <c r="T177" s="1">
        <v>2013</v>
      </c>
      <c r="U177" s="1">
        <v>2014</v>
      </c>
      <c r="V177" s="1">
        <v>2015</v>
      </c>
      <c r="W177" s="1">
        <v>2016</v>
      </c>
      <c r="X177" s="1">
        <v>2017</v>
      </c>
      <c r="Y177" s="1">
        <v>2018</v>
      </c>
      <c r="Z177" s="1">
        <v>2019</v>
      </c>
      <c r="AA177" s="1">
        <v>2020</v>
      </c>
      <c r="AB177" s="1">
        <v>2021</v>
      </c>
      <c r="AC177" s="1">
        <v>2022</v>
      </c>
      <c r="AD177" s="1">
        <v>2023</v>
      </c>
      <c r="AE177" s="1">
        <v>2024</v>
      </c>
      <c r="AF177" s="1">
        <v>2025</v>
      </c>
      <c r="AG177" s="1">
        <v>2026</v>
      </c>
      <c r="AH177" s="1">
        <v>2027</v>
      </c>
      <c r="AI177" s="1">
        <v>2028</v>
      </c>
      <c r="AJ177" s="1">
        <v>2029</v>
      </c>
      <c r="AK177" s="1">
        <v>2030</v>
      </c>
      <c r="AL177" s="1">
        <v>2031</v>
      </c>
      <c r="AM177" s="1">
        <v>2032</v>
      </c>
      <c r="AN177" s="1">
        <v>2033</v>
      </c>
      <c r="AO177" s="1">
        <v>2034</v>
      </c>
      <c r="AP177" s="1">
        <v>2035</v>
      </c>
      <c r="AQ177" s="1">
        <v>2036</v>
      </c>
      <c r="AR177" s="1">
        <v>2037</v>
      </c>
      <c r="AS177" s="1">
        <v>2038</v>
      </c>
      <c r="AT177" s="1">
        <v>2039</v>
      </c>
      <c r="AU177" s="1">
        <v>2040</v>
      </c>
      <c r="AV177" s="1">
        <v>2041</v>
      </c>
      <c r="AW177" s="1">
        <v>2042</v>
      </c>
      <c r="AX177" s="1">
        <v>2043</v>
      </c>
      <c r="AY177" s="1">
        <v>2044</v>
      </c>
      <c r="AZ177" s="1">
        <v>2045</v>
      </c>
      <c r="BA177" s="1">
        <v>2046</v>
      </c>
      <c r="BB177" s="1">
        <v>2047</v>
      </c>
      <c r="BC177" s="1">
        <v>2048</v>
      </c>
      <c r="BD177" s="1">
        <v>2049</v>
      </c>
      <c r="BE177" s="1">
        <v>2050</v>
      </c>
    </row>
    <row r="178" spans="1:57" x14ac:dyDescent="0.25">
      <c r="A178" s="1" t="str">
        <f>'Population Definitions'!$A$2</f>
        <v>PWID_males</v>
      </c>
      <c r="C178" t="s">
        <v>36</v>
      </c>
      <c r="D178" s="3"/>
      <c r="E178" s="3">
        <v>0</v>
      </c>
      <c r="F178" s="4" t="s">
        <v>39</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row>
    <row r="179" spans="1:57" x14ac:dyDescent="0.25">
      <c r="A179" s="1" t="str">
        <f>'Population Definitions'!$A$3</f>
        <v>PWID_females</v>
      </c>
      <c r="C179" t="s">
        <v>36</v>
      </c>
      <c r="D179" s="3"/>
      <c r="E179" s="3">
        <v>0</v>
      </c>
      <c r="F179" s="4" t="s">
        <v>39</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row>
    <row r="180" spans="1:57" x14ac:dyDescent="0.25">
      <c r="A180" s="1" t="str">
        <f>'Population Definitions'!$A$4</f>
        <v>0-9_males</v>
      </c>
      <c r="C180" t="s">
        <v>36</v>
      </c>
      <c r="D180" s="3"/>
      <c r="E180" s="3">
        <v>0</v>
      </c>
      <c r="F180" s="4" t="s">
        <v>39</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row>
    <row r="181" spans="1:57" x14ac:dyDescent="0.25">
      <c r="A181" s="1" t="str">
        <f>'Population Definitions'!$A$5</f>
        <v>0-9_females</v>
      </c>
      <c r="C181" t="s">
        <v>36</v>
      </c>
      <c r="D181" s="3"/>
      <c r="E181" s="3">
        <v>0</v>
      </c>
      <c r="F181" s="4" t="s">
        <v>39</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row>
    <row r="182" spans="1:57" x14ac:dyDescent="0.25">
      <c r="A182" s="1" t="str">
        <f>'Population Definitions'!$A$6</f>
        <v>10-17_males</v>
      </c>
      <c r="C182" t="s">
        <v>36</v>
      </c>
      <c r="D182" s="3"/>
      <c r="E182" s="3">
        <v>0</v>
      </c>
      <c r="F182" s="4" t="s">
        <v>39</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row>
    <row r="183" spans="1:57" x14ac:dyDescent="0.25">
      <c r="A183" s="1" t="str">
        <f>'Population Definitions'!$A$7</f>
        <v>10-17_females</v>
      </c>
      <c r="C183" t="s">
        <v>36</v>
      </c>
      <c r="D183" s="3"/>
      <c r="E183" s="3">
        <v>0</v>
      </c>
      <c r="F183" s="4" t="s">
        <v>39</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row>
    <row r="184" spans="1:57" x14ac:dyDescent="0.25">
      <c r="A184" s="1" t="str">
        <f>'Population Definitions'!$A$8</f>
        <v>18-64_males</v>
      </c>
      <c r="C184" t="s">
        <v>36</v>
      </c>
      <c r="D184" s="3"/>
      <c r="E184" s="3">
        <v>0</v>
      </c>
      <c r="F184" s="4" t="s">
        <v>39</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row>
    <row r="185" spans="1:57" x14ac:dyDescent="0.25">
      <c r="A185" s="1" t="str">
        <f>'Population Definitions'!$A$9</f>
        <v>18-64_females</v>
      </c>
      <c r="C185" t="s">
        <v>36</v>
      </c>
      <c r="D185" s="3"/>
      <c r="E185" s="3">
        <v>0</v>
      </c>
      <c r="F185" s="4" t="s">
        <v>39</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row>
    <row r="186" spans="1:57" x14ac:dyDescent="0.25">
      <c r="A186" s="1" t="str">
        <f>'Population Definitions'!$A$10</f>
        <v>65+_males</v>
      </c>
      <c r="C186" t="s">
        <v>36</v>
      </c>
      <c r="D186" s="3"/>
      <c r="E186" s="3">
        <v>0</v>
      </c>
      <c r="F186" s="4" t="s">
        <v>39</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row>
    <row r="187" spans="1:57" x14ac:dyDescent="0.25">
      <c r="A187" s="1" t="str">
        <f>'Population Definitions'!$A$11</f>
        <v>65+_females</v>
      </c>
      <c r="C187" t="s">
        <v>36</v>
      </c>
      <c r="D187" s="3"/>
      <c r="E187" s="3">
        <v>0</v>
      </c>
      <c r="F187" s="4" t="s">
        <v>39</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row>
    <row r="188" spans="1:57" x14ac:dyDescent="0.25">
      <c r="A188" s="1" t="str">
        <f>'Population Definitions'!$A$12</f>
        <v>Prisoners_males</v>
      </c>
      <c r="C188" t="s">
        <v>36</v>
      </c>
      <c r="D188" s="3"/>
      <c r="E188" s="3">
        <v>0</v>
      </c>
      <c r="F188" s="4" t="s">
        <v>39</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row>
    <row r="189" spans="1:57" x14ac:dyDescent="0.25">
      <c r="A189" s="1" t="str">
        <f>'Population Definitions'!$A$13</f>
        <v>Prisoners_females</v>
      </c>
      <c r="C189" t="s">
        <v>36</v>
      </c>
      <c r="D189" s="3"/>
      <c r="E189" s="3">
        <v>0</v>
      </c>
      <c r="F189" s="4" t="s">
        <v>39</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row>
    <row r="190" spans="1:57" x14ac:dyDescent="0.25">
      <c r="A190" s="1" t="str">
        <f>'Population Definitions'!$A$14</f>
        <v>Prisoners_PWID_males</v>
      </c>
      <c r="C190" t="s">
        <v>36</v>
      </c>
      <c r="D190" s="3"/>
      <c r="E190" s="3">
        <v>0</v>
      </c>
      <c r="F190" s="4" t="s">
        <v>39</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row>
    <row r="191" spans="1:57" x14ac:dyDescent="0.25">
      <c r="A191" s="1" t="str">
        <f>'Population Definitions'!$A$15</f>
        <v>Prisoners_PWID_females</v>
      </c>
      <c r="C191" t="s">
        <v>36</v>
      </c>
      <c r="D191" s="3"/>
      <c r="E191" s="3">
        <v>0</v>
      </c>
      <c r="F191" s="4" t="s">
        <v>39</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row>
    <row r="193" spans="1:57" x14ac:dyDescent="0.25">
      <c r="A193" s="1" t="s">
        <v>49</v>
      </c>
      <c r="B193" s="1" t="s">
        <v>31</v>
      </c>
      <c r="C193" s="1" t="s">
        <v>32</v>
      </c>
      <c r="D193" s="1" t="s">
        <v>33</v>
      </c>
      <c r="E193" s="1" t="s">
        <v>38</v>
      </c>
      <c r="F193" s="1"/>
      <c r="G193" s="1">
        <v>2000</v>
      </c>
      <c r="H193" s="1">
        <v>2001</v>
      </c>
      <c r="I193" s="1">
        <v>2002</v>
      </c>
      <c r="J193" s="1">
        <v>2003</v>
      </c>
      <c r="K193" s="1">
        <v>2004</v>
      </c>
      <c r="L193" s="1">
        <v>2005</v>
      </c>
      <c r="M193" s="1">
        <v>2006</v>
      </c>
      <c r="N193" s="1">
        <v>2007</v>
      </c>
      <c r="O193" s="1">
        <v>2008</v>
      </c>
      <c r="P193" s="1">
        <v>2009</v>
      </c>
      <c r="Q193" s="1">
        <v>2010</v>
      </c>
      <c r="R193" s="1">
        <v>2011</v>
      </c>
      <c r="S193" s="1">
        <v>2012</v>
      </c>
      <c r="T193" s="1">
        <v>2013</v>
      </c>
      <c r="U193" s="1">
        <v>2014</v>
      </c>
      <c r="V193" s="1">
        <v>2015</v>
      </c>
      <c r="W193" s="1">
        <v>2016</v>
      </c>
      <c r="X193" s="1">
        <v>2017</v>
      </c>
      <c r="Y193" s="1">
        <v>2018</v>
      </c>
      <c r="Z193" s="1">
        <v>2019</v>
      </c>
      <c r="AA193" s="1">
        <v>2020</v>
      </c>
      <c r="AB193" s="1">
        <v>2021</v>
      </c>
      <c r="AC193" s="1">
        <v>2022</v>
      </c>
      <c r="AD193" s="1">
        <v>2023</v>
      </c>
      <c r="AE193" s="1">
        <v>2024</v>
      </c>
      <c r="AF193" s="1">
        <v>2025</v>
      </c>
      <c r="AG193" s="1">
        <v>2026</v>
      </c>
      <c r="AH193" s="1">
        <v>2027</v>
      </c>
      <c r="AI193" s="1">
        <v>2028</v>
      </c>
      <c r="AJ193" s="1">
        <v>2029</v>
      </c>
      <c r="AK193" s="1">
        <v>2030</v>
      </c>
      <c r="AL193" s="1">
        <v>2031</v>
      </c>
      <c r="AM193" s="1">
        <v>2032</v>
      </c>
      <c r="AN193" s="1">
        <v>2033</v>
      </c>
      <c r="AO193" s="1">
        <v>2034</v>
      </c>
      <c r="AP193" s="1">
        <v>2035</v>
      </c>
      <c r="AQ193" s="1">
        <v>2036</v>
      </c>
      <c r="AR193" s="1">
        <v>2037</v>
      </c>
      <c r="AS193" s="1">
        <v>2038</v>
      </c>
      <c r="AT193" s="1">
        <v>2039</v>
      </c>
      <c r="AU193" s="1">
        <v>2040</v>
      </c>
      <c r="AV193" s="1">
        <v>2041</v>
      </c>
      <c r="AW193" s="1">
        <v>2042</v>
      </c>
      <c r="AX193" s="1">
        <v>2043</v>
      </c>
      <c r="AY193" s="1">
        <v>2044</v>
      </c>
      <c r="AZ193" s="1">
        <v>2045</v>
      </c>
      <c r="BA193" s="1">
        <v>2046</v>
      </c>
      <c r="BB193" s="1">
        <v>2047</v>
      </c>
      <c r="BC193" s="1">
        <v>2048</v>
      </c>
      <c r="BD193" s="1">
        <v>2049</v>
      </c>
      <c r="BE193" s="1">
        <v>2050</v>
      </c>
    </row>
    <row r="194" spans="1:57" x14ac:dyDescent="0.25">
      <c r="A194" s="1" t="str">
        <f>'Population Definitions'!$A$2</f>
        <v>PWID_males</v>
      </c>
      <c r="C194" t="s">
        <v>50</v>
      </c>
      <c r="D194" s="3"/>
      <c r="E194" s="3">
        <v>0</v>
      </c>
      <c r="F194" s="4" t="s">
        <v>39</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row>
    <row r="195" spans="1:57" x14ac:dyDescent="0.25">
      <c r="A195" s="1" t="str">
        <f>'Population Definitions'!$A$3</f>
        <v>PWID_females</v>
      </c>
      <c r="C195" t="s">
        <v>50</v>
      </c>
      <c r="D195" s="3"/>
      <c r="E195" s="3">
        <v>0</v>
      </c>
      <c r="F195" s="4" t="s">
        <v>39</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row>
    <row r="196" spans="1:57" x14ac:dyDescent="0.25">
      <c r="A196" s="1" t="str">
        <f>'Population Definitions'!$A$4</f>
        <v>0-9_males</v>
      </c>
      <c r="C196" t="s">
        <v>50</v>
      </c>
      <c r="D196" s="3"/>
      <c r="E196" s="3">
        <v>0</v>
      </c>
      <c r="F196" s="4" t="s">
        <v>39</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row>
    <row r="197" spans="1:57" x14ac:dyDescent="0.25">
      <c r="A197" s="1" t="str">
        <f>'Population Definitions'!$A$5</f>
        <v>0-9_females</v>
      </c>
      <c r="C197" t="s">
        <v>50</v>
      </c>
      <c r="D197" s="3"/>
      <c r="E197" s="3">
        <v>0</v>
      </c>
      <c r="F197" s="4" t="s">
        <v>39</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row>
    <row r="198" spans="1:57" x14ac:dyDescent="0.25">
      <c r="A198" s="1" t="str">
        <f>'Population Definitions'!$A$6</f>
        <v>10-17_males</v>
      </c>
      <c r="C198" t="s">
        <v>50</v>
      </c>
      <c r="D198" s="3"/>
      <c r="E198" s="3">
        <v>0</v>
      </c>
      <c r="F198" s="4" t="s">
        <v>39</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row>
    <row r="199" spans="1:57" x14ac:dyDescent="0.25">
      <c r="A199" s="1" t="str">
        <f>'Population Definitions'!$A$7</f>
        <v>10-17_females</v>
      </c>
      <c r="C199" t="s">
        <v>50</v>
      </c>
      <c r="D199" s="3"/>
      <c r="E199" s="3">
        <v>0</v>
      </c>
      <c r="F199" s="4" t="s">
        <v>39</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row>
    <row r="200" spans="1:57" x14ac:dyDescent="0.25">
      <c r="A200" s="1" t="str">
        <f>'Population Definitions'!$A$8</f>
        <v>18-64_males</v>
      </c>
      <c r="C200" t="s">
        <v>50</v>
      </c>
      <c r="D200" s="3"/>
      <c r="E200" s="3">
        <v>0</v>
      </c>
      <c r="F200" s="4" t="s">
        <v>39</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row>
    <row r="201" spans="1:57" x14ac:dyDescent="0.25">
      <c r="A201" s="1" t="str">
        <f>'Population Definitions'!$A$9</f>
        <v>18-64_females</v>
      </c>
      <c r="C201" t="s">
        <v>50</v>
      </c>
      <c r="D201" s="3"/>
      <c r="E201" s="3">
        <v>0</v>
      </c>
      <c r="F201" s="4" t="s">
        <v>39</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row>
    <row r="202" spans="1:57" x14ac:dyDescent="0.25">
      <c r="A202" s="1" t="str">
        <f>'Population Definitions'!$A$10</f>
        <v>65+_males</v>
      </c>
      <c r="C202" t="s">
        <v>50</v>
      </c>
      <c r="D202" s="3"/>
      <c r="E202" s="3">
        <v>0</v>
      </c>
      <c r="F202" s="4" t="s">
        <v>39</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row>
    <row r="203" spans="1:57" x14ac:dyDescent="0.25">
      <c r="A203" s="1" t="str">
        <f>'Population Definitions'!$A$11</f>
        <v>65+_females</v>
      </c>
      <c r="C203" t="s">
        <v>50</v>
      </c>
      <c r="D203" s="3"/>
      <c r="E203" s="3">
        <v>0</v>
      </c>
      <c r="F203" s="4" t="s">
        <v>39</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row>
    <row r="204" spans="1:57" x14ac:dyDescent="0.25">
      <c r="A204" s="1" t="str">
        <f>'Population Definitions'!$A$12</f>
        <v>Prisoners_males</v>
      </c>
      <c r="C204" t="s">
        <v>50</v>
      </c>
      <c r="D204" s="3"/>
      <c r="E204" s="3">
        <v>0</v>
      </c>
      <c r="F204" s="4" t="s">
        <v>39</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row>
    <row r="205" spans="1:57" x14ac:dyDescent="0.25">
      <c r="A205" s="1" t="str">
        <f>'Population Definitions'!$A$13</f>
        <v>Prisoners_females</v>
      </c>
      <c r="C205" t="s">
        <v>50</v>
      </c>
      <c r="D205" s="3"/>
      <c r="E205" s="3">
        <v>0</v>
      </c>
      <c r="F205" s="4" t="s">
        <v>39</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row>
    <row r="206" spans="1:57" x14ac:dyDescent="0.25">
      <c r="A206" s="1" t="str">
        <f>'Population Definitions'!$A$14</f>
        <v>Prisoners_PWID_males</v>
      </c>
      <c r="C206" t="s">
        <v>50</v>
      </c>
      <c r="D206" s="3"/>
      <c r="E206" s="3">
        <v>0</v>
      </c>
      <c r="F206" s="4" t="s">
        <v>39</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row>
    <row r="207" spans="1:57" x14ac:dyDescent="0.25">
      <c r="A207" s="1" t="str">
        <f>'Population Definitions'!$A$15</f>
        <v>Prisoners_PWID_females</v>
      </c>
      <c r="C207" t="s">
        <v>50</v>
      </c>
      <c r="D207" s="3"/>
      <c r="E207" s="3">
        <v>0</v>
      </c>
      <c r="F207" s="4" t="s">
        <v>39</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row>
  </sheetData>
  <conditionalFormatting sqref="E34:E47">
    <cfRule type="expression" dxfId="1375" priority="1">
      <formula>COUNTIF(G34:BE34,"&lt;&gt;" &amp; "")&gt;0</formula>
    </cfRule>
    <cfRule type="expression" dxfId="1374" priority="2">
      <formula>AND(COUNTIF(G34:BE34,"&lt;&gt;" &amp; "")&gt;0,NOT(ISBLANK(E34)))</formula>
    </cfRule>
  </conditionalFormatting>
  <conditionalFormatting sqref="E50:E63">
    <cfRule type="expression" dxfId="1373" priority="29">
      <formula>COUNTIF(G50:BE50,"&lt;&gt;" &amp; "")&gt;0</formula>
    </cfRule>
    <cfRule type="expression" dxfId="1372" priority="30">
      <formula>AND(COUNTIF(G50:BE50,"&lt;&gt;" &amp; "")&gt;0,NOT(ISBLANK(E50)))</formula>
    </cfRule>
  </conditionalFormatting>
  <conditionalFormatting sqref="E66:E79">
    <cfRule type="expression" dxfId="1371" priority="57">
      <formula>COUNTIF(G66:BE66,"&lt;&gt;" &amp; "")&gt;0</formula>
    </cfRule>
    <cfRule type="expression" dxfId="1370" priority="58">
      <formula>AND(COUNTIF(G66:BE66,"&lt;&gt;" &amp; "")&gt;0,NOT(ISBLANK(E66)))</formula>
    </cfRule>
  </conditionalFormatting>
  <conditionalFormatting sqref="E82:E95">
    <cfRule type="expression" dxfId="1369" priority="85">
      <formula>COUNTIF(G82:BE82,"&lt;&gt;" &amp; "")&gt;0</formula>
    </cfRule>
    <cfRule type="expression" dxfId="1368" priority="86">
      <formula>AND(COUNTIF(G82:BE82,"&lt;&gt;" &amp; "")&gt;0,NOT(ISBLANK(E82)))</formula>
    </cfRule>
  </conditionalFormatting>
  <conditionalFormatting sqref="E98:E111">
    <cfRule type="expression" dxfId="1367" priority="113">
      <formula>COUNTIF(G98:BE98,"&lt;&gt;" &amp; "")&gt;0</formula>
    </cfRule>
    <cfRule type="expression" dxfId="1366" priority="114">
      <formula>AND(COUNTIF(G98:BE98,"&lt;&gt;" &amp; "")&gt;0,NOT(ISBLANK(E98)))</formula>
    </cfRule>
  </conditionalFormatting>
  <conditionalFormatting sqref="E130:E143">
    <cfRule type="expression" dxfId="1365" priority="141">
      <formula>COUNTIF(G130:BE130,"&lt;&gt;" &amp; "")&gt;0</formula>
    </cfRule>
    <cfRule type="expression" dxfId="1364" priority="142">
      <formula>AND(COUNTIF(G130:BE130,"&lt;&gt;" &amp; "")&gt;0,NOT(ISBLANK(E130)))</formula>
    </cfRule>
  </conditionalFormatting>
  <conditionalFormatting sqref="E146:E159">
    <cfRule type="expression" dxfId="1363" priority="169">
      <formula>COUNTIF(G146:BE146,"&lt;&gt;" &amp; "")&gt;0</formula>
    </cfRule>
    <cfRule type="expression" dxfId="1362" priority="170">
      <formula>AND(COUNTIF(G146:BE146,"&lt;&gt;" &amp; "")&gt;0,NOT(ISBLANK(E146)))</formula>
    </cfRule>
  </conditionalFormatting>
  <conditionalFormatting sqref="E162:E175">
    <cfRule type="expression" dxfId="1361" priority="197">
      <formula>COUNTIF(G162:BE162,"&lt;&gt;" &amp; "")&gt;0</formula>
    </cfRule>
    <cfRule type="expression" dxfId="1360" priority="198">
      <formula>AND(COUNTIF(G162:BE162,"&lt;&gt;" &amp; "")&gt;0,NOT(ISBLANK(E162)))</formula>
    </cfRule>
  </conditionalFormatting>
  <conditionalFormatting sqref="E178:E191">
    <cfRule type="expression" dxfId="1359" priority="225">
      <formula>COUNTIF(G178:BE178,"&lt;&gt;" &amp; "")&gt;0</formula>
    </cfRule>
    <cfRule type="expression" dxfId="1358" priority="226">
      <formula>AND(COUNTIF(G178:BE178,"&lt;&gt;" &amp; "")&gt;0,NOT(ISBLANK(E178)))</formula>
    </cfRule>
  </conditionalFormatting>
  <conditionalFormatting sqref="E194:E207">
    <cfRule type="expression" dxfId="1357" priority="253">
      <formula>COUNTIF(G194:BE194,"&lt;&gt;" &amp; "")&gt;0</formula>
    </cfRule>
    <cfRule type="expression" dxfId="1356" priority="254">
      <formula>AND(COUNTIF(G194:BE194,"&lt;&gt;" &amp; "")&gt;0,NOT(ISBLANK(E194)))</formula>
    </cfRule>
  </conditionalFormatting>
  <dataValidations count="3">
    <dataValidation type="list" allowBlank="1" showInputMessage="1" showErrorMessage="1" sqref="C2:C15" xr:uid="{00000000-0002-0000-0100-000000000000}">
      <formula1>"Number"</formula1>
    </dataValidation>
    <dataValidation type="list" allowBlank="1" showInputMessage="1" showErrorMessage="1" sqref="C178:C191 C162:C175 C146:C159 C130:C143 C114:C127 C98:C111 C82:C95 C66:C79 C50:C63 C34:C47 C18:C31" xr:uid="{00000000-0002-0000-0100-00000E000000}">
      <formula1>"Fraction"</formula1>
    </dataValidation>
    <dataValidation type="list" allowBlank="1" showInputMessage="1" showErrorMessage="1" sqref="C194:C207" xr:uid="{00000000-0002-0000-0100-0000A8000000}">
      <formula1>"Proportion"</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BE63"/>
  <sheetViews>
    <sheetView workbookViewId="0"/>
  </sheetViews>
  <sheetFormatPr defaultRowHeight="15" x14ac:dyDescent="0.25"/>
  <cols>
    <col min="1" max="1" width="25.85546875" customWidth="1"/>
    <col min="2" max="2" width="12.7109375" customWidth="1"/>
    <col min="3" max="3" width="20.42578125" customWidth="1"/>
    <col min="4" max="4" width="13.85546875" customWidth="1"/>
    <col min="5" max="5" width="10.5703125" customWidth="1"/>
    <col min="6" max="57" width="9.42578125" customWidth="1"/>
  </cols>
  <sheetData>
    <row r="1" spans="1:55" x14ac:dyDescent="0.25">
      <c r="A1" s="1" t="s">
        <v>51</v>
      </c>
      <c r="B1" s="1" t="s">
        <v>31</v>
      </c>
      <c r="C1" s="1" t="s">
        <v>32</v>
      </c>
      <c r="D1" s="1" t="s">
        <v>33</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c r="AC1" s="1">
        <v>2024</v>
      </c>
      <c r="AD1" s="1">
        <v>2025</v>
      </c>
      <c r="AE1" s="1">
        <v>2026</v>
      </c>
      <c r="AF1" s="1">
        <v>2027</v>
      </c>
      <c r="AG1" s="1">
        <v>2028</v>
      </c>
      <c r="AH1" s="1">
        <v>2029</v>
      </c>
      <c r="AI1" s="1">
        <v>2030</v>
      </c>
      <c r="AJ1" s="1">
        <v>2031</v>
      </c>
      <c r="AK1" s="1">
        <v>2032</v>
      </c>
      <c r="AL1" s="1">
        <v>2033</v>
      </c>
      <c r="AM1" s="1">
        <v>2034</v>
      </c>
      <c r="AN1" s="1">
        <v>2035</v>
      </c>
      <c r="AO1" s="1">
        <v>2036</v>
      </c>
      <c r="AP1" s="1">
        <v>2037</v>
      </c>
      <c r="AQ1" s="1">
        <v>2038</v>
      </c>
      <c r="AR1" s="1">
        <v>2039</v>
      </c>
      <c r="AS1" s="1">
        <v>2040</v>
      </c>
      <c r="AT1" s="1">
        <v>2041</v>
      </c>
      <c r="AU1" s="1">
        <v>2042</v>
      </c>
      <c r="AV1" s="1">
        <v>2043</v>
      </c>
      <c r="AW1" s="1">
        <v>2044</v>
      </c>
      <c r="AX1" s="1">
        <v>2045</v>
      </c>
      <c r="AY1" s="1">
        <v>2046</v>
      </c>
      <c r="AZ1" s="1">
        <v>2047</v>
      </c>
      <c r="BA1" s="1">
        <v>2048</v>
      </c>
      <c r="BB1" s="1">
        <v>2049</v>
      </c>
      <c r="BC1" s="1">
        <v>2050</v>
      </c>
    </row>
    <row r="2" spans="1:55" x14ac:dyDescent="0.25">
      <c r="A2" s="1" t="str">
        <f>'Population Definitions'!$A$2</f>
        <v>PWID_males</v>
      </c>
      <c r="C2" t="s">
        <v>34</v>
      </c>
      <c r="D2" s="3"/>
      <c r="E2" s="3">
        <v>28357.043650682092</v>
      </c>
      <c r="F2" s="3"/>
      <c r="G2" s="3"/>
      <c r="H2" s="3"/>
      <c r="I2" s="3"/>
      <c r="J2" s="3"/>
      <c r="K2" s="3"/>
      <c r="L2" s="3"/>
      <c r="M2" s="3"/>
      <c r="N2" s="3"/>
      <c r="O2" s="3">
        <v>28357.043650682092</v>
      </c>
      <c r="P2" s="3"/>
      <c r="Q2" s="3"/>
      <c r="R2" s="3"/>
      <c r="S2" s="3"/>
      <c r="T2" s="3">
        <v>28357.043650682092</v>
      </c>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row>
    <row r="3" spans="1:55" x14ac:dyDescent="0.25">
      <c r="A3" s="1" t="str">
        <f>'Population Definitions'!$A$3</f>
        <v>PWID_females</v>
      </c>
      <c r="C3" t="s">
        <v>34</v>
      </c>
      <c r="D3" s="3"/>
      <c r="E3" s="3">
        <v>1330.2959274</v>
      </c>
      <c r="F3" s="3"/>
      <c r="G3" s="3"/>
      <c r="H3" s="3"/>
      <c r="I3" s="3"/>
      <c r="J3" s="3"/>
      <c r="K3" s="3"/>
      <c r="L3" s="3"/>
      <c r="M3" s="3"/>
      <c r="N3" s="3"/>
      <c r="O3" s="3">
        <v>1330.2959274</v>
      </c>
      <c r="P3" s="3"/>
      <c r="Q3" s="3"/>
      <c r="R3" s="3"/>
      <c r="S3" s="3"/>
      <c r="T3" s="3">
        <v>1330.2959274</v>
      </c>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spans="1:55" x14ac:dyDescent="0.25">
      <c r="A4" s="1" t="str">
        <f>'Population Definitions'!$A$4</f>
        <v>0-9_males</v>
      </c>
      <c r="C4" t="s">
        <v>34</v>
      </c>
      <c r="D4" s="3"/>
      <c r="E4" s="3">
        <v>9341226</v>
      </c>
      <c r="F4" s="3">
        <v>9403426.0000000019</v>
      </c>
      <c r="G4" s="3">
        <v>9487595.5</v>
      </c>
      <c r="H4" s="3">
        <v>9592943.0000000019</v>
      </c>
      <c r="I4" s="3">
        <v>9715335</v>
      </c>
      <c r="J4" s="3">
        <v>9856078.5000000019</v>
      </c>
      <c r="K4" s="3">
        <v>10013873.5</v>
      </c>
      <c r="L4" s="3">
        <v>10184206.5</v>
      </c>
      <c r="M4" s="3">
        <v>10361880.5</v>
      </c>
      <c r="N4" s="3">
        <v>10553564</v>
      </c>
      <c r="O4" s="3">
        <v>10773333.5</v>
      </c>
      <c r="P4" s="3">
        <v>11018581</v>
      </c>
      <c r="Q4" s="3">
        <v>11293283</v>
      </c>
      <c r="R4" s="3">
        <v>11610476.5</v>
      </c>
      <c r="S4" s="3">
        <v>11952665.5</v>
      </c>
      <c r="T4" s="3">
        <v>12293054</v>
      </c>
      <c r="U4" s="3">
        <v>12596785</v>
      </c>
      <c r="V4" s="3">
        <v>12848124.5</v>
      </c>
      <c r="W4" s="3">
        <v>13014833.5</v>
      </c>
      <c r="X4" s="3">
        <v>13074055</v>
      </c>
      <c r="Y4" s="3">
        <v>13076501</v>
      </c>
      <c r="Z4" s="3">
        <v>13036584.5</v>
      </c>
      <c r="AA4" s="3">
        <v>12948347.5</v>
      </c>
      <c r="AB4" s="3">
        <v>12826847</v>
      </c>
      <c r="AC4" s="3">
        <v>12689926</v>
      </c>
      <c r="AD4" s="3">
        <v>12534820.5</v>
      </c>
      <c r="AE4" s="3">
        <v>12390304</v>
      </c>
      <c r="AF4" s="3">
        <v>12276886.5</v>
      </c>
      <c r="AG4" s="3">
        <v>12224991</v>
      </c>
      <c r="AH4" s="3">
        <v>12258186</v>
      </c>
      <c r="AI4" s="3">
        <v>12322388</v>
      </c>
      <c r="AJ4" s="3">
        <v>12409497</v>
      </c>
      <c r="AK4" s="3">
        <v>12516908.5</v>
      </c>
      <c r="AL4" s="3">
        <v>12623038.5</v>
      </c>
      <c r="AM4" s="3">
        <v>12727948</v>
      </c>
      <c r="AN4" s="3">
        <v>12836270.5</v>
      </c>
      <c r="AO4" s="3">
        <v>12952155.5</v>
      </c>
      <c r="AP4" s="3">
        <v>13074165</v>
      </c>
      <c r="AQ4" s="3">
        <v>13199737.5</v>
      </c>
      <c r="AR4" s="3">
        <v>13326044</v>
      </c>
      <c r="AS4" s="3">
        <v>13448265.5</v>
      </c>
      <c r="AT4" s="3">
        <v>13560837</v>
      </c>
      <c r="AU4" s="3">
        <v>13658183</v>
      </c>
      <c r="AV4" s="3">
        <v>13735207.5</v>
      </c>
      <c r="AW4" s="3">
        <v>13788055.5</v>
      </c>
      <c r="AX4" s="3">
        <v>13813845.5</v>
      </c>
      <c r="AY4" s="3">
        <v>13813127</v>
      </c>
      <c r="AZ4" s="3">
        <v>13789549</v>
      </c>
      <c r="BA4" s="3">
        <v>13745089</v>
      </c>
      <c r="BB4" s="3">
        <v>13681268</v>
      </c>
      <c r="BC4" s="3">
        <v>13602721.5</v>
      </c>
    </row>
    <row r="5" spans="1:55" x14ac:dyDescent="0.25">
      <c r="A5" s="1" t="str">
        <f>'Population Definitions'!$A$5</f>
        <v>0-9_females</v>
      </c>
      <c r="C5" t="s">
        <v>34</v>
      </c>
      <c r="D5" s="3"/>
      <c r="E5" s="3">
        <v>8792800</v>
      </c>
      <c r="F5" s="3">
        <v>8860499</v>
      </c>
      <c r="G5" s="3">
        <v>8954786.4999999981</v>
      </c>
      <c r="H5" s="3">
        <v>9075198.9999999981</v>
      </c>
      <c r="I5" s="3">
        <v>9213740</v>
      </c>
      <c r="J5" s="3">
        <v>9367219</v>
      </c>
      <c r="K5" s="3">
        <v>9532463.0000000019</v>
      </c>
      <c r="L5" s="3">
        <v>9704242.5000000019</v>
      </c>
      <c r="M5" s="3">
        <v>9879201.5</v>
      </c>
      <c r="N5" s="3">
        <v>10064684.5</v>
      </c>
      <c r="O5" s="3">
        <v>10276000.5</v>
      </c>
      <c r="P5" s="3">
        <v>10511930</v>
      </c>
      <c r="Q5" s="3">
        <v>10774722.5</v>
      </c>
      <c r="R5" s="3">
        <v>11075319.5</v>
      </c>
      <c r="S5" s="3">
        <v>11397504</v>
      </c>
      <c r="T5" s="3">
        <v>11718578</v>
      </c>
      <c r="U5" s="3">
        <v>12007219.5</v>
      </c>
      <c r="V5" s="3">
        <v>12248023.5</v>
      </c>
      <c r="W5" s="3">
        <v>12409485.5</v>
      </c>
      <c r="X5" s="3">
        <v>12469570.5</v>
      </c>
      <c r="Y5" s="3">
        <v>12474892.5</v>
      </c>
      <c r="Z5" s="3">
        <v>12437452.5</v>
      </c>
      <c r="AA5" s="3">
        <v>12351055.5</v>
      </c>
      <c r="AB5" s="3">
        <v>12230677</v>
      </c>
      <c r="AC5" s="3">
        <v>12093577</v>
      </c>
      <c r="AD5" s="3">
        <v>11938420</v>
      </c>
      <c r="AE5" s="3">
        <v>11794212</v>
      </c>
      <c r="AF5" s="3">
        <v>11680078.5</v>
      </c>
      <c r="AG5" s="3">
        <v>11625430.5</v>
      </c>
      <c r="AH5" s="3">
        <v>11653005</v>
      </c>
      <c r="AI5" s="3">
        <v>11710904</v>
      </c>
      <c r="AJ5" s="3">
        <v>11790967.5</v>
      </c>
      <c r="AK5" s="3">
        <v>11890767.5</v>
      </c>
      <c r="AL5" s="3">
        <v>11989655</v>
      </c>
      <c r="AM5" s="3">
        <v>12087768.5</v>
      </c>
      <c r="AN5" s="3">
        <v>12189463</v>
      </c>
      <c r="AO5" s="3">
        <v>12298262</v>
      </c>
      <c r="AP5" s="3">
        <v>12412868.5</v>
      </c>
      <c r="AQ5" s="3">
        <v>12530881</v>
      </c>
      <c r="AR5" s="3">
        <v>12649475</v>
      </c>
      <c r="AS5" s="3">
        <v>12764290.5</v>
      </c>
      <c r="AT5" s="3">
        <v>12870110</v>
      </c>
      <c r="AU5" s="3">
        <v>12961453</v>
      </c>
      <c r="AV5" s="3">
        <v>13033621</v>
      </c>
      <c r="AW5" s="3">
        <v>13083064</v>
      </c>
      <c r="AX5" s="3">
        <v>13106858.5</v>
      </c>
      <c r="AY5" s="3">
        <v>13105460.5</v>
      </c>
      <c r="AZ5" s="3">
        <v>13082153.5</v>
      </c>
      <c r="BA5" s="3">
        <v>13039030.5</v>
      </c>
      <c r="BB5" s="3">
        <v>12977821</v>
      </c>
      <c r="BC5" s="3">
        <v>12902468</v>
      </c>
    </row>
    <row r="6" spans="1:55" x14ac:dyDescent="0.25">
      <c r="A6" s="1" t="str">
        <f>'Population Definitions'!$A$6</f>
        <v>10-17_males</v>
      </c>
      <c r="C6" t="s">
        <v>34</v>
      </c>
      <c r="D6" s="3"/>
      <c r="E6" s="3">
        <v>7085058.4999999991</v>
      </c>
      <c r="F6" s="3">
        <v>7183759.5</v>
      </c>
      <c r="G6" s="3">
        <v>7250159</v>
      </c>
      <c r="H6" s="3">
        <v>7291015</v>
      </c>
      <c r="I6" s="3">
        <v>7311170.5</v>
      </c>
      <c r="J6" s="3">
        <v>7314503</v>
      </c>
      <c r="K6" s="3">
        <v>7303454.5</v>
      </c>
      <c r="L6" s="3">
        <v>7296124.9999999991</v>
      </c>
      <c r="M6" s="3">
        <v>7313713</v>
      </c>
      <c r="N6" s="3">
        <v>7354264.5</v>
      </c>
      <c r="O6" s="3">
        <v>7409280.5000000009</v>
      </c>
      <c r="P6" s="3">
        <v>7489379.0000000009</v>
      </c>
      <c r="Q6" s="3">
        <v>7592989.0000000009</v>
      </c>
      <c r="R6" s="3">
        <v>7709073</v>
      </c>
      <c r="S6" s="3">
        <v>7827804</v>
      </c>
      <c r="T6" s="3">
        <v>7940878.5</v>
      </c>
      <c r="U6" s="3">
        <v>8055604.5</v>
      </c>
      <c r="V6" s="3">
        <v>8186380.9999999991</v>
      </c>
      <c r="W6" s="3">
        <v>8344588.5</v>
      </c>
      <c r="X6" s="3">
        <v>8525223</v>
      </c>
      <c r="Y6" s="3">
        <v>8725156</v>
      </c>
      <c r="Z6" s="3">
        <v>8942552.5</v>
      </c>
      <c r="AA6" s="3">
        <v>9189679</v>
      </c>
      <c r="AB6" s="3">
        <v>9480414.9999999981</v>
      </c>
      <c r="AC6" s="3">
        <v>9785850</v>
      </c>
      <c r="AD6" s="3">
        <v>10074704.5</v>
      </c>
      <c r="AE6" s="3">
        <v>10315956.5</v>
      </c>
      <c r="AF6" s="3">
        <v>10503069</v>
      </c>
      <c r="AG6" s="3">
        <v>10602802</v>
      </c>
      <c r="AH6" s="3">
        <v>10595362</v>
      </c>
      <c r="AI6" s="3">
        <v>10525858</v>
      </c>
      <c r="AJ6" s="3">
        <v>10390669</v>
      </c>
      <c r="AK6" s="3">
        <v>10211199.5</v>
      </c>
      <c r="AL6" s="3">
        <v>10026254.5</v>
      </c>
      <c r="AM6" s="3">
        <v>9869843.5</v>
      </c>
      <c r="AN6" s="3">
        <v>9746938.5</v>
      </c>
      <c r="AO6" s="3">
        <v>9682110.4999999981</v>
      </c>
      <c r="AP6" s="3">
        <v>9699358</v>
      </c>
      <c r="AQ6" s="3">
        <v>9744155.5</v>
      </c>
      <c r="AR6" s="3">
        <v>9808614</v>
      </c>
      <c r="AS6" s="3">
        <v>9890557</v>
      </c>
      <c r="AT6" s="3">
        <v>9969182.4999999981</v>
      </c>
      <c r="AU6" s="3">
        <v>10045574</v>
      </c>
      <c r="AV6" s="3">
        <v>10125917.5</v>
      </c>
      <c r="AW6" s="3">
        <v>10215001</v>
      </c>
      <c r="AX6" s="3">
        <v>10311526</v>
      </c>
      <c r="AY6" s="3">
        <v>10413717</v>
      </c>
      <c r="AZ6" s="3">
        <v>10519066</v>
      </c>
      <c r="BA6" s="3">
        <v>10624688</v>
      </c>
      <c r="BB6" s="3">
        <v>10727842</v>
      </c>
      <c r="BC6" s="3">
        <v>10824435</v>
      </c>
    </row>
    <row r="7" spans="1:55" x14ac:dyDescent="0.25">
      <c r="A7" s="1" t="str">
        <f>'Population Definitions'!$A$7</f>
        <v>10-17_females</v>
      </c>
      <c r="C7" t="s">
        <v>34</v>
      </c>
      <c r="D7" s="3"/>
      <c r="E7" s="3">
        <v>6709352.9999999991</v>
      </c>
      <c r="F7" s="3">
        <v>6799702.5</v>
      </c>
      <c r="G7" s="3">
        <v>6856951.4999999991</v>
      </c>
      <c r="H7" s="3">
        <v>6885860.5000000019</v>
      </c>
      <c r="I7" s="3">
        <v>6892824.5</v>
      </c>
      <c r="J7" s="3">
        <v>6886507.5</v>
      </c>
      <c r="K7" s="3">
        <v>6872131</v>
      </c>
      <c r="L7" s="3">
        <v>6866847.5</v>
      </c>
      <c r="M7" s="3">
        <v>6888451.5</v>
      </c>
      <c r="N7" s="3">
        <v>6934370.5</v>
      </c>
      <c r="O7" s="3">
        <v>6996406.9999999991</v>
      </c>
      <c r="P7" s="3">
        <v>7083879</v>
      </c>
      <c r="Q7" s="3">
        <v>7195179.5000000009</v>
      </c>
      <c r="R7" s="3">
        <v>7321800.9999999991</v>
      </c>
      <c r="S7" s="3">
        <v>7452891</v>
      </c>
      <c r="T7" s="3">
        <v>7576750.5</v>
      </c>
      <c r="U7" s="3">
        <v>7697825.0000000009</v>
      </c>
      <c r="V7" s="3">
        <v>7828580.5</v>
      </c>
      <c r="W7" s="3">
        <v>7982131.4999999991</v>
      </c>
      <c r="X7" s="3">
        <v>8154052.5000000009</v>
      </c>
      <c r="Y7" s="3">
        <v>8340919</v>
      </c>
      <c r="Z7" s="3">
        <v>8541832.5</v>
      </c>
      <c r="AA7" s="3">
        <v>8770802</v>
      </c>
      <c r="AB7" s="3">
        <v>9044674.5000000019</v>
      </c>
      <c r="AC7" s="3">
        <v>9335025.5</v>
      </c>
      <c r="AD7" s="3">
        <v>9611925.0000000019</v>
      </c>
      <c r="AE7" s="3">
        <v>9846502.4999999981</v>
      </c>
      <c r="AF7" s="3">
        <v>10030791</v>
      </c>
      <c r="AG7" s="3">
        <v>10130663</v>
      </c>
      <c r="AH7" s="3">
        <v>10125450.5</v>
      </c>
      <c r="AI7" s="3">
        <v>10057998</v>
      </c>
      <c r="AJ7" s="3">
        <v>9925278.5</v>
      </c>
      <c r="AK7" s="3">
        <v>9749215.4999999981</v>
      </c>
      <c r="AL7" s="3">
        <v>9567105.5</v>
      </c>
      <c r="AM7" s="3">
        <v>9411434</v>
      </c>
      <c r="AN7" s="3">
        <v>9288112</v>
      </c>
      <c r="AO7" s="3">
        <v>9221376</v>
      </c>
      <c r="AP7" s="3">
        <v>9234043.0000000019</v>
      </c>
      <c r="AQ7" s="3">
        <v>9273686</v>
      </c>
      <c r="AR7" s="3">
        <v>9332602</v>
      </c>
      <c r="AS7" s="3">
        <v>9408569.5</v>
      </c>
      <c r="AT7" s="3">
        <v>9481503</v>
      </c>
      <c r="AU7" s="3">
        <v>9552730.5</v>
      </c>
      <c r="AV7" s="3">
        <v>9627898</v>
      </c>
      <c r="AW7" s="3">
        <v>9711281</v>
      </c>
      <c r="AX7" s="3">
        <v>9801889.0000000019</v>
      </c>
      <c r="AY7" s="3">
        <v>9897957.4999999981</v>
      </c>
      <c r="AZ7" s="3">
        <v>9996985.5</v>
      </c>
      <c r="BA7" s="3">
        <v>10096181.5</v>
      </c>
      <c r="BB7" s="3">
        <v>10193089</v>
      </c>
      <c r="BC7" s="3">
        <v>10283805.5</v>
      </c>
    </row>
    <row r="8" spans="1:55" x14ac:dyDescent="0.25">
      <c r="A8" s="1" t="str">
        <f>'Population Definitions'!$A$8</f>
        <v>18-64_males</v>
      </c>
      <c r="C8" t="s">
        <v>34</v>
      </c>
      <c r="D8" s="3"/>
      <c r="E8" s="3">
        <v>19344341.571756002</v>
      </c>
      <c r="F8" s="3">
        <v>19954372.071756002</v>
      </c>
      <c r="G8" s="3">
        <v>20580446.571756002</v>
      </c>
      <c r="H8" s="3">
        <v>21224351.571756002</v>
      </c>
      <c r="I8" s="3">
        <v>21878987.571756002</v>
      </c>
      <c r="J8" s="3">
        <v>22532585.571756002</v>
      </c>
      <c r="K8" s="3">
        <v>23156483.642755989</v>
      </c>
      <c r="L8" s="3">
        <v>23749804.642756</v>
      </c>
      <c r="M8" s="3">
        <v>24309113.642756</v>
      </c>
      <c r="N8" s="3">
        <v>24850178.142756</v>
      </c>
      <c r="O8" s="3">
        <v>25368684.642756</v>
      </c>
      <c r="P8" s="3">
        <v>25938125.656755999</v>
      </c>
      <c r="Q8" s="3">
        <v>26545088.15675601</v>
      </c>
      <c r="R8" s="3">
        <v>27142366.656755999</v>
      </c>
      <c r="S8" s="3">
        <v>27715027.156755991</v>
      </c>
      <c r="T8" s="3">
        <v>28217421.156755991</v>
      </c>
      <c r="U8" s="3">
        <v>28702459.156755999</v>
      </c>
      <c r="V8" s="3">
        <v>29271345.156755999</v>
      </c>
      <c r="W8" s="3">
        <v>29861438.156755999</v>
      </c>
      <c r="X8" s="3">
        <v>30470258.15675601</v>
      </c>
      <c r="Y8" s="3">
        <v>31074146.156755991</v>
      </c>
      <c r="Z8" s="3">
        <v>31656756.156755999</v>
      </c>
      <c r="AA8" s="3">
        <v>32257869.156755999</v>
      </c>
      <c r="AB8" s="3">
        <v>32937555.656755999</v>
      </c>
      <c r="AC8" s="3">
        <v>33769028.292564392</v>
      </c>
      <c r="AD8" s="3">
        <v>34428482.792564407</v>
      </c>
      <c r="AE8" s="3">
        <v>35071394.2925644</v>
      </c>
      <c r="AF8" s="3">
        <v>35739014.7925644</v>
      </c>
      <c r="AG8" s="3">
        <v>36435771.292564407</v>
      </c>
      <c r="AH8" s="3">
        <v>37153331.2925644</v>
      </c>
      <c r="AI8" s="3">
        <v>37902427.292564392</v>
      </c>
      <c r="AJ8" s="3">
        <v>38696304.292564407</v>
      </c>
      <c r="AK8" s="3">
        <v>39515511.792564407</v>
      </c>
      <c r="AL8" s="3">
        <v>40342111.792564392</v>
      </c>
      <c r="AM8" s="3">
        <v>41144202.7925644</v>
      </c>
      <c r="AN8" s="3">
        <v>41910182.292564407</v>
      </c>
      <c r="AO8" s="3">
        <v>42610775.29256437</v>
      </c>
      <c r="AP8" s="3">
        <v>43224031.2925644</v>
      </c>
      <c r="AQ8" s="3">
        <v>43804415.292564407</v>
      </c>
      <c r="AR8" s="3">
        <v>44360722.292564392</v>
      </c>
      <c r="AS8" s="3">
        <v>44892302.792564392</v>
      </c>
      <c r="AT8" s="3">
        <v>45419797.7925644</v>
      </c>
      <c r="AU8" s="3">
        <v>45944839.792564392</v>
      </c>
      <c r="AV8" s="3">
        <v>46459998.792564407</v>
      </c>
      <c r="AW8" s="3">
        <v>46961906.2925644</v>
      </c>
      <c r="AX8" s="3">
        <v>47452913.292564377</v>
      </c>
      <c r="AY8" s="3">
        <v>47935012.292564392</v>
      </c>
      <c r="AZ8" s="3">
        <v>48409065.792564407</v>
      </c>
      <c r="BA8" s="3">
        <v>48870838.2925644</v>
      </c>
      <c r="BB8" s="3">
        <v>49323136.2925644</v>
      </c>
      <c r="BC8" s="3">
        <v>49772373.792564407</v>
      </c>
    </row>
    <row r="9" spans="1:55" x14ac:dyDescent="0.25">
      <c r="A9" s="1" t="str">
        <f>'Population Definitions'!$A$9</f>
        <v>18-64_females</v>
      </c>
      <c r="C9" t="s">
        <v>34</v>
      </c>
      <c r="D9" s="3"/>
      <c r="E9" s="3">
        <v>18785613.789072599</v>
      </c>
      <c r="F9" s="3">
        <v>19358101.789072599</v>
      </c>
      <c r="G9" s="3">
        <v>19951919.789072599</v>
      </c>
      <c r="H9" s="3">
        <v>20567840.289072599</v>
      </c>
      <c r="I9" s="3">
        <v>21199480.289072599</v>
      </c>
      <c r="J9" s="3">
        <v>21836749.78907261</v>
      </c>
      <c r="K9" s="3">
        <v>22468030.718072612</v>
      </c>
      <c r="L9" s="3">
        <v>23079262.718072601</v>
      </c>
      <c r="M9" s="3">
        <v>23666544.718072601</v>
      </c>
      <c r="N9" s="3">
        <v>24233972.718072601</v>
      </c>
      <c r="O9" s="3">
        <v>24776619.218072601</v>
      </c>
      <c r="P9" s="3">
        <v>25344276.204072591</v>
      </c>
      <c r="Q9" s="3">
        <v>25919999.704072598</v>
      </c>
      <c r="R9" s="3">
        <v>26490203.704072598</v>
      </c>
      <c r="S9" s="3">
        <v>27054403.70407261</v>
      </c>
      <c r="T9" s="3">
        <v>27574199.204072598</v>
      </c>
      <c r="U9" s="3">
        <v>28105268.70407261</v>
      </c>
      <c r="V9" s="3">
        <v>28653430.204072598</v>
      </c>
      <c r="W9" s="3">
        <v>29211158.204072598</v>
      </c>
      <c r="X9" s="3">
        <v>29787430.20407261</v>
      </c>
      <c r="Y9" s="3">
        <v>30363254.704072598</v>
      </c>
      <c r="Z9" s="3">
        <v>30935372.704072598</v>
      </c>
      <c r="AA9" s="3">
        <v>31516749.704072598</v>
      </c>
      <c r="AB9" s="3">
        <v>32177451.704072598</v>
      </c>
      <c r="AC9" s="3">
        <v>32874267.106045</v>
      </c>
      <c r="AD9" s="3">
        <v>33510197.106044989</v>
      </c>
      <c r="AE9" s="3">
        <v>34134428.606045</v>
      </c>
      <c r="AF9" s="3">
        <v>34781079.606045</v>
      </c>
      <c r="AG9" s="3">
        <v>35456233.106044993</v>
      </c>
      <c r="AH9" s="3">
        <v>36154714.606045</v>
      </c>
      <c r="AI9" s="3">
        <v>36887866.106045</v>
      </c>
      <c r="AJ9" s="3">
        <v>37667682.606045</v>
      </c>
      <c r="AK9" s="3">
        <v>38473773.106044993</v>
      </c>
      <c r="AL9" s="3">
        <v>39288983.106045</v>
      </c>
      <c r="AM9" s="3">
        <v>40082169.106044993</v>
      </c>
      <c r="AN9" s="3">
        <v>40840959.606044993</v>
      </c>
      <c r="AO9" s="3">
        <v>41536208.106045008</v>
      </c>
      <c r="AP9" s="3">
        <v>42145934.606044993</v>
      </c>
      <c r="AQ9" s="3">
        <v>42722325.106045008</v>
      </c>
      <c r="AR9" s="3">
        <v>43273600.606045</v>
      </c>
      <c r="AS9" s="3">
        <v>43798902.606044993</v>
      </c>
      <c r="AT9" s="3">
        <v>44317780.106045008</v>
      </c>
      <c r="AU9" s="3">
        <v>44831573.606044993</v>
      </c>
      <c r="AV9" s="3">
        <v>45333029.606044993</v>
      </c>
      <c r="AW9" s="3">
        <v>45818402.106045008</v>
      </c>
      <c r="AX9" s="3">
        <v>46290317.606045023</v>
      </c>
      <c r="AY9" s="3">
        <v>46751158.606044993</v>
      </c>
      <c r="AZ9" s="3">
        <v>47201272.106045</v>
      </c>
      <c r="BA9" s="3">
        <v>47636194.606044993</v>
      </c>
      <c r="BB9" s="3">
        <v>48058969.606045008</v>
      </c>
      <c r="BC9" s="3">
        <v>48474737.606045008</v>
      </c>
    </row>
    <row r="10" spans="1:55" x14ac:dyDescent="0.25">
      <c r="A10" s="1" t="str">
        <f>'Population Definitions'!$A$10</f>
        <v>65+_males</v>
      </c>
      <c r="C10" t="s">
        <v>34</v>
      </c>
      <c r="D10" s="3"/>
      <c r="E10" s="3">
        <v>1236309</v>
      </c>
      <c r="F10" s="3">
        <v>1263717</v>
      </c>
      <c r="G10" s="3">
        <v>1289759.5</v>
      </c>
      <c r="H10" s="3">
        <v>1312963.5</v>
      </c>
      <c r="I10" s="3">
        <v>1332008</v>
      </c>
      <c r="J10" s="3">
        <v>1347663.5</v>
      </c>
      <c r="K10" s="3">
        <v>1362652.5</v>
      </c>
      <c r="L10" s="3">
        <v>1379598</v>
      </c>
      <c r="M10" s="3">
        <v>1400752</v>
      </c>
      <c r="N10" s="3">
        <v>1428722.5</v>
      </c>
      <c r="O10" s="3">
        <v>1465956.5</v>
      </c>
      <c r="P10" s="3">
        <v>1514147.4999999991</v>
      </c>
      <c r="Q10" s="3">
        <v>1573271</v>
      </c>
      <c r="R10" s="3">
        <v>1639274</v>
      </c>
      <c r="S10" s="3">
        <v>1706639</v>
      </c>
      <c r="T10" s="3">
        <v>1773921.5</v>
      </c>
      <c r="U10" s="3">
        <v>1845624</v>
      </c>
      <c r="V10" s="3">
        <v>1925499.5</v>
      </c>
      <c r="W10" s="3">
        <v>2013506</v>
      </c>
      <c r="X10" s="3">
        <v>2108916.5</v>
      </c>
      <c r="Y10" s="3">
        <v>2190919</v>
      </c>
      <c r="Z10" s="3">
        <v>2249931.5</v>
      </c>
      <c r="AA10" s="3">
        <v>2330990.5</v>
      </c>
      <c r="AB10" s="3">
        <v>2445456</v>
      </c>
      <c r="AC10" s="3">
        <v>2568738</v>
      </c>
      <c r="AD10" s="3">
        <v>2695885.5</v>
      </c>
      <c r="AE10" s="3">
        <v>2825018.0000000009</v>
      </c>
      <c r="AF10" s="3">
        <v>2957937.5</v>
      </c>
      <c r="AG10" s="3">
        <v>3094698.5</v>
      </c>
      <c r="AH10" s="3">
        <v>3233934.5</v>
      </c>
      <c r="AI10" s="3">
        <v>3372714.5</v>
      </c>
      <c r="AJ10" s="3">
        <v>3512262</v>
      </c>
      <c r="AK10" s="3">
        <v>3654948.5</v>
      </c>
      <c r="AL10" s="3">
        <v>3800253.0000000009</v>
      </c>
      <c r="AM10" s="3">
        <v>3948234.4999999991</v>
      </c>
      <c r="AN10" s="3">
        <v>4098454</v>
      </c>
      <c r="AO10" s="3">
        <v>4251263.9999999991</v>
      </c>
      <c r="AP10" s="3">
        <v>4407657.5</v>
      </c>
      <c r="AQ10" s="3">
        <v>4566267.0000000009</v>
      </c>
      <c r="AR10" s="3">
        <v>4728340</v>
      </c>
      <c r="AS10" s="3">
        <v>4897651.0000000009</v>
      </c>
      <c r="AT10" s="3">
        <v>5075687.5000000009</v>
      </c>
      <c r="AU10" s="3">
        <v>5261593.4999999991</v>
      </c>
      <c r="AV10" s="3">
        <v>5455058.4999999991</v>
      </c>
      <c r="AW10" s="3">
        <v>5656715</v>
      </c>
      <c r="AX10" s="3">
        <v>5866141.9999999981</v>
      </c>
      <c r="AY10" s="3">
        <v>6081020.4999999972</v>
      </c>
      <c r="AZ10" s="3">
        <v>6304097.4999999991</v>
      </c>
      <c r="BA10" s="3">
        <v>6541937.4999999991</v>
      </c>
      <c r="BB10" s="3">
        <v>6791132.5000000019</v>
      </c>
      <c r="BC10" s="3">
        <v>7046565.4999999972</v>
      </c>
    </row>
    <row r="11" spans="1:55" x14ac:dyDescent="0.25">
      <c r="A11" s="1" t="str">
        <f>'Population Definitions'!$A$11</f>
        <v>65+_females</v>
      </c>
      <c r="C11" t="s">
        <v>34</v>
      </c>
      <c r="D11" s="3"/>
      <c r="E11" s="3">
        <v>1705912</v>
      </c>
      <c r="F11" s="3">
        <v>1745780.9999999991</v>
      </c>
      <c r="G11" s="3">
        <v>1784848.5</v>
      </c>
      <c r="H11" s="3">
        <v>1820705</v>
      </c>
      <c r="I11" s="3">
        <v>1851227.5</v>
      </c>
      <c r="J11" s="3">
        <v>1877026.5</v>
      </c>
      <c r="K11" s="3">
        <v>1900853</v>
      </c>
      <c r="L11" s="3">
        <v>1925677</v>
      </c>
      <c r="M11" s="3">
        <v>1954671.5</v>
      </c>
      <c r="N11" s="3">
        <v>1991417.5</v>
      </c>
      <c r="O11" s="3">
        <v>2039329.5</v>
      </c>
      <c r="P11" s="3">
        <v>2100657.5</v>
      </c>
      <c r="Q11" s="3">
        <v>2174385.5</v>
      </c>
      <c r="R11" s="3">
        <v>2252955.5</v>
      </c>
      <c r="S11" s="3">
        <v>2329636.5000000009</v>
      </c>
      <c r="T11" s="3">
        <v>2410456</v>
      </c>
      <c r="U11" s="3">
        <v>2501720</v>
      </c>
      <c r="V11" s="3">
        <v>2602590</v>
      </c>
      <c r="W11" s="3">
        <v>2712869.0000000009</v>
      </c>
      <c r="X11" s="3">
        <v>2831569</v>
      </c>
      <c r="Y11" s="3">
        <v>2937252</v>
      </c>
      <c r="Z11" s="3">
        <v>3010442.5</v>
      </c>
      <c r="AA11" s="3">
        <v>3106673</v>
      </c>
      <c r="AB11" s="3">
        <v>3246611.4999999991</v>
      </c>
      <c r="AC11" s="3">
        <v>3393703.5</v>
      </c>
      <c r="AD11" s="3">
        <v>3543417</v>
      </c>
      <c r="AE11" s="3">
        <v>3695217.5</v>
      </c>
      <c r="AF11" s="3">
        <v>3850617.5000000009</v>
      </c>
      <c r="AG11" s="3">
        <v>4009725.5</v>
      </c>
      <c r="AH11" s="3">
        <v>4170923.5000000009</v>
      </c>
      <c r="AI11" s="3">
        <v>4331023.5000000009</v>
      </c>
      <c r="AJ11" s="3">
        <v>4491448.5</v>
      </c>
      <c r="AK11" s="3">
        <v>4654611.4999999972</v>
      </c>
      <c r="AL11" s="3">
        <v>4820061.5</v>
      </c>
      <c r="AM11" s="3">
        <v>4988097.4999999991</v>
      </c>
      <c r="AN11" s="3">
        <v>5158695.4999999991</v>
      </c>
      <c r="AO11" s="3">
        <v>5332969.4999999981</v>
      </c>
      <c r="AP11" s="3">
        <v>5512496.0000000009</v>
      </c>
      <c r="AQ11" s="3">
        <v>5696221</v>
      </c>
      <c r="AR11" s="3">
        <v>5885723.4999999972</v>
      </c>
      <c r="AS11" s="3">
        <v>6084973</v>
      </c>
      <c r="AT11" s="3">
        <v>6295516.5</v>
      </c>
      <c r="AU11" s="3">
        <v>6516691.5000000009</v>
      </c>
      <c r="AV11" s="3">
        <v>6748782.9999999981</v>
      </c>
      <c r="AW11" s="3">
        <v>6992766.9999999981</v>
      </c>
      <c r="AX11" s="3">
        <v>7247555</v>
      </c>
      <c r="AY11" s="3">
        <v>7510351.9999999991</v>
      </c>
      <c r="AZ11" s="3">
        <v>7784073.9999999981</v>
      </c>
      <c r="BA11" s="3">
        <v>8075287.9999999972</v>
      </c>
      <c r="BB11" s="3">
        <v>8380212.9999999981</v>
      </c>
      <c r="BC11" s="3">
        <v>8694943.0000000037</v>
      </c>
    </row>
    <row r="12" spans="1:55" x14ac:dyDescent="0.25">
      <c r="A12" s="1" t="str">
        <f>'Population Definitions'!$A$12</f>
        <v>Prisoners_males</v>
      </c>
      <c r="C12" t="s">
        <v>34</v>
      </c>
      <c r="D12" s="3"/>
      <c r="E12" s="3">
        <v>50952.004067776397</v>
      </c>
      <c r="F12" s="3">
        <v>50952.004067776397</v>
      </c>
      <c r="G12" s="3"/>
      <c r="H12" s="3"/>
      <c r="I12" s="3"/>
      <c r="J12" s="3"/>
      <c r="K12" s="3">
        <v>58452.756525746758</v>
      </c>
      <c r="L12" s="3"/>
      <c r="M12" s="3"/>
      <c r="N12" s="3"/>
      <c r="O12" s="3"/>
      <c r="P12" s="3">
        <v>59925.470357875151</v>
      </c>
      <c r="Q12" s="3"/>
      <c r="R12" s="3"/>
      <c r="S12" s="3"/>
      <c r="T12" s="3"/>
      <c r="U12" s="3">
        <v>96243.937241435851</v>
      </c>
      <c r="V12" s="3"/>
      <c r="W12" s="3"/>
      <c r="X12" s="3"/>
      <c r="Y12" s="3"/>
      <c r="Z12" s="3">
        <v>108955.4006506821</v>
      </c>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row>
    <row r="13" spans="1:55" x14ac:dyDescent="0.25">
      <c r="A13" s="1" t="str">
        <f>'Population Definitions'!$A$13</f>
        <v>Prisoners_females</v>
      </c>
      <c r="C13" t="s">
        <v>34</v>
      </c>
      <c r="D13" s="3"/>
      <c r="E13" s="3">
        <v>2314.2322829980189</v>
      </c>
      <c r="F13" s="3">
        <v>2314.2322829980189</v>
      </c>
      <c r="G13" s="3"/>
      <c r="H13" s="3"/>
      <c r="I13" s="3"/>
      <c r="J13" s="3"/>
      <c r="K13" s="3">
        <v>2164.7959577874472</v>
      </c>
      <c r="L13" s="3"/>
      <c r="M13" s="3"/>
      <c r="N13" s="3"/>
      <c r="O13" s="3"/>
      <c r="P13" s="3">
        <v>2219.3378671902119</v>
      </c>
      <c r="Q13" s="3"/>
      <c r="R13" s="3"/>
      <c r="S13" s="3"/>
      <c r="T13" s="3"/>
      <c r="U13" s="3">
        <v>3564.3911200327648</v>
      </c>
      <c r="V13" s="3"/>
      <c r="W13" s="3"/>
      <c r="X13" s="3"/>
      <c r="Y13" s="3"/>
      <c r="Z13" s="3">
        <v>4035.1597585276581</v>
      </c>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row>
    <row r="14" spans="1:55" x14ac:dyDescent="0.25">
      <c r="A14" s="1" t="str">
        <f>'Population Definitions'!$A$14</f>
        <v>Prisoners_PWID_males</v>
      </c>
      <c r="C14" t="s">
        <v>34</v>
      </c>
      <c r="D14" s="3"/>
      <c r="E14" s="3">
        <v>3088.5809322235982</v>
      </c>
      <c r="F14" s="3">
        <v>3088.5809322235982</v>
      </c>
      <c r="G14" s="3"/>
      <c r="H14" s="3"/>
      <c r="I14" s="3"/>
      <c r="J14" s="3"/>
      <c r="K14" s="3">
        <v>3543.2574742532352</v>
      </c>
      <c r="L14" s="3"/>
      <c r="M14" s="3"/>
      <c r="N14" s="3"/>
      <c r="O14" s="3"/>
      <c r="P14" s="3">
        <v>3632.5296421248481</v>
      </c>
      <c r="Q14" s="3"/>
      <c r="R14" s="3"/>
      <c r="S14" s="3"/>
      <c r="T14" s="3"/>
      <c r="U14" s="3">
        <v>5834.0627585641496</v>
      </c>
      <c r="V14" s="3"/>
      <c r="W14" s="3"/>
      <c r="X14" s="3"/>
      <c r="Y14" s="3"/>
      <c r="Z14" s="3">
        <v>6604.5993493179058</v>
      </c>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row>
    <row r="15" spans="1:55" x14ac:dyDescent="0.25">
      <c r="A15" s="1" t="str">
        <f>'Population Definitions'!$A$15</f>
        <v>Prisoners_PWID_females</v>
      </c>
      <c r="C15" t="s">
        <v>34</v>
      </c>
      <c r="D15" s="3"/>
      <c r="E15" s="3">
        <v>232.18271700198261</v>
      </c>
      <c r="F15" s="3">
        <v>232.18271700198261</v>
      </c>
      <c r="G15" s="3"/>
      <c r="H15" s="3"/>
      <c r="I15" s="3"/>
      <c r="J15" s="3"/>
      <c r="K15" s="3">
        <v>217.19004221255551</v>
      </c>
      <c r="L15" s="3"/>
      <c r="M15" s="3"/>
      <c r="N15" s="3"/>
      <c r="O15" s="3"/>
      <c r="P15" s="3">
        <v>222.66213280979011</v>
      </c>
      <c r="Q15" s="3"/>
      <c r="R15" s="3"/>
      <c r="S15" s="3"/>
      <c r="T15" s="3"/>
      <c r="U15" s="3">
        <v>357.60887996723869</v>
      </c>
      <c r="V15" s="3"/>
      <c r="W15" s="3"/>
      <c r="X15" s="3"/>
      <c r="Y15" s="3"/>
      <c r="Z15" s="3">
        <v>404.84024147234561</v>
      </c>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row>
    <row r="17" spans="1:57" x14ac:dyDescent="0.25">
      <c r="A17" s="1" t="s">
        <v>52</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C18" t="s">
        <v>53</v>
      </c>
      <c r="D18" s="3"/>
      <c r="E18" s="3">
        <v>0</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C19" t="s">
        <v>53</v>
      </c>
      <c r="D19" s="3"/>
      <c r="E19" s="3">
        <v>0</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C20" t="s">
        <v>53</v>
      </c>
      <c r="D20" s="3"/>
      <c r="E20" s="3"/>
      <c r="F20" s="4" t="s">
        <v>39</v>
      </c>
      <c r="G20" s="3">
        <v>1030086.902912621</v>
      </c>
      <c r="H20" s="3">
        <v>1045414.6222654351</v>
      </c>
      <c r="I20" s="3">
        <v>1058266.884990254</v>
      </c>
      <c r="J20" s="3">
        <v>1069307.497556207</v>
      </c>
      <c r="K20" s="3">
        <v>1079538.4613880741</v>
      </c>
      <c r="L20" s="3">
        <v>1102509.3046875</v>
      </c>
      <c r="M20" s="3">
        <v>1125643.0346172601</v>
      </c>
      <c r="N20" s="3">
        <v>1160590.6468582561</v>
      </c>
      <c r="O20" s="3">
        <v>1189155.9562043799</v>
      </c>
      <c r="P20" s="3">
        <v>1223387.83228002</v>
      </c>
      <c r="Q20" s="3">
        <v>1258852.182481752</v>
      </c>
      <c r="R20" s="3">
        <v>1284338.512171373</v>
      </c>
      <c r="S20" s="3">
        <v>1342284.829351536</v>
      </c>
      <c r="T20" s="3">
        <v>1396081.5365853659</v>
      </c>
      <c r="U20" s="3">
        <v>1418336.926829268</v>
      </c>
      <c r="V20" s="3">
        <v>1437774.2195121951</v>
      </c>
      <c r="W20" s="3">
        <v>1388980.9756097561</v>
      </c>
      <c r="X20" s="3">
        <v>1386862.909800098</v>
      </c>
      <c r="Y20" s="3">
        <v>1278202.557504873</v>
      </c>
      <c r="Z20" s="3">
        <v>1228383.7408670241</v>
      </c>
      <c r="AA20" s="3">
        <v>1233752.348270823</v>
      </c>
      <c r="AB20" s="3">
        <v>1204470.045764362</v>
      </c>
      <c r="AC20" s="3">
        <v>1218825.279454723</v>
      </c>
      <c r="AD20" s="3">
        <v>1235051.7931873479</v>
      </c>
      <c r="AE20" s="3">
        <v>1251322.4087591241</v>
      </c>
      <c r="AF20" s="3">
        <v>1257799.7493917269</v>
      </c>
      <c r="AG20" s="3">
        <v>1263151.143968872</v>
      </c>
      <c r="AH20" s="3">
        <v>1269141.9922178991</v>
      </c>
      <c r="AI20" s="3">
        <v>1276486.225680934</v>
      </c>
      <c r="AJ20" s="3">
        <v>1286447.3463035021</v>
      </c>
      <c r="AK20" s="3">
        <v>1298259.6076810891</v>
      </c>
      <c r="AL20" s="3">
        <v>1310680</v>
      </c>
      <c r="AM20" s="3">
        <v>1324739.0763247451</v>
      </c>
      <c r="AN20" s="3">
        <v>1339054.5663587749</v>
      </c>
      <c r="AO20" s="3">
        <v>1352941.501215362</v>
      </c>
      <c r="AP20" s="3">
        <v>1366294.540593097</v>
      </c>
      <c r="AQ20" s="3">
        <v>1378744.73650948</v>
      </c>
      <c r="AR20" s="3">
        <v>1390017.690325717</v>
      </c>
      <c r="AS20" s="3">
        <v>1400300.4453087021</v>
      </c>
      <c r="AT20" s="3">
        <v>1409003.0957705399</v>
      </c>
      <c r="AU20" s="3">
        <v>1413822.029168692</v>
      </c>
      <c r="AV20" s="3">
        <v>1413709.4948954789</v>
      </c>
      <c r="AW20" s="3">
        <v>1409696.8001944581</v>
      </c>
      <c r="AX20" s="3">
        <v>1402339.4224598929</v>
      </c>
      <c r="AY20" s="3">
        <v>1389640.5206611571</v>
      </c>
      <c r="AZ20" s="3">
        <v>1374763.900826446</v>
      </c>
      <c r="BA20" s="3">
        <v>1362305.997083131</v>
      </c>
      <c r="BB20" s="3">
        <v>1351660.4603791931</v>
      </c>
      <c r="BC20" s="3">
        <v>1340986.147788041</v>
      </c>
      <c r="BD20" s="3">
        <v>1332102.1064657271</v>
      </c>
      <c r="BE20" s="3">
        <v>1324844.4166261549</v>
      </c>
    </row>
    <row r="21" spans="1:57" x14ac:dyDescent="0.25">
      <c r="A21" s="1" t="str">
        <f>'Population Definitions'!$A$5</f>
        <v>0-9_females</v>
      </c>
      <c r="C21" t="s">
        <v>53</v>
      </c>
      <c r="D21" s="3"/>
      <c r="E21" s="3"/>
      <c r="F21" s="4" t="s">
        <v>39</v>
      </c>
      <c r="G21" s="3">
        <v>971780.09708737861</v>
      </c>
      <c r="H21" s="3">
        <v>989039.37773456494</v>
      </c>
      <c r="I21" s="3">
        <v>1005957.115009747</v>
      </c>
      <c r="J21" s="3">
        <v>1022282.502443793</v>
      </c>
      <c r="K21" s="3">
        <v>1032063.538611926</v>
      </c>
      <c r="L21" s="3">
        <v>1052012.6953125</v>
      </c>
      <c r="M21" s="3">
        <v>1071020.9653827399</v>
      </c>
      <c r="N21" s="3">
        <v>1102175.3531417439</v>
      </c>
      <c r="O21" s="3">
        <v>1127162.0437956201</v>
      </c>
      <c r="P21" s="3">
        <v>1157415.1677199809</v>
      </c>
      <c r="Q21" s="3">
        <v>1193224.817518248</v>
      </c>
      <c r="R21" s="3">
        <v>1218537.487828627</v>
      </c>
      <c r="S21" s="3">
        <v>1277150.170648464</v>
      </c>
      <c r="T21" s="3">
        <v>1329601.4634146341</v>
      </c>
      <c r="U21" s="3">
        <v>1350797.073170732</v>
      </c>
      <c r="V21" s="3">
        <v>1369308.7804878049</v>
      </c>
      <c r="W21" s="3">
        <v>1322839.0243902439</v>
      </c>
      <c r="X21" s="3">
        <v>1319565.090199902</v>
      </c>
      <c r="Y21" s="3">
        <v>1215021.442495127</v>
      </c>
      <c r="Z21" s="3">
        <v>1166556.2591329759</v>
      </c>
      <c r="AA21" s="3">
        <v>1171654.651729177</v>
      </c>
      <c r="AB21" s="3">
        <v>1142760.954235638</v>
      </c>
      <c r="AC21" s="3">
        <v>1156380.720545277</v>
      </c>
      <c r="AD21" s="3">
        <v>1170665.2068126521</v>
      </c>
      <c r="AE21" s="3">
        <v>1186087.5912408759</v>
      </c>
      <c r="AF21" s="3">
        <v>1192227.2506082731</v>
      </c>
      <c r="AG21" s="3">
        <v>1196165.856031128</v>
      </c>
      <c r="AH21" s="3">
        <v>1201839.0077821009</v>
      </c>
      <c r="AI21" s="3">
        <v>1208793.774319066</v>
      </c>
      <c r="AJ21" s="3">
        <v>1218226.6536964979</v>
      </c>
      <c r="AK21" s="3">
        <v>1228249.3923189109</v>
      </c>
      <c r="AL21" s="3">
        <v>1240000</v>
      </c>
      <c r="AM21" s="3">
        <v>1253300.9236752549</v>
      </c>
      <c r="AN21" s="3">
        <v>1266844.4336412251</v>
      </c>
      <c r="AO21" s="3">
        <v>1279982.498784638</v>
      </c>
      <c r="AP21" s="3">
        <v>1292615.459406903</v>
      </c>
      <c r="AQ21" s="3">
        <v>1304394.26349052</v>
      </c>
      <c r="AR21" s="3">
        <v>1315059.309674283</v>
      </c>
      <c r="AS21" s="3">
        <v>1324787.5546912979</v>
      </c>
      <c r="AT21" s="3">
        <v>1333020.904229461</v>
      </c>
      <c r="AU21" s="3">
        <v>1337579.970831308</v>
      </c>
      <c r="AV21" s="3">
        <v>1337473.5051045211</v>
      </c>
      <c r="AW21" s="3">
        <v>1333677.1998055419</v>
      </c>
      <c r="AX21" s="3">
        <v>1326716.5775401071</v>
      </c>
      <c r="AY21" s="3">
        <v>1314702.4793388429</v>
      </c>
      <c r="AZ21" s="3">
        <v>1300628.099173554</v>
      </c>
      <c r="BA21" s="3">
        <v>1288842.002916869</v>
      </c>
      <c r="BB21" s="3">
        <v>1278770.5396208069</v>
      </c>
      <c r="BC21" s="3">
        <v>1268671.852211959</v>
      </c>
      <c r="BD21" s="3">
        <v>1260266.8935342729</v>
      </c>
      <c r="BE21" s="3">
        <v>1253400.583373846</v>
      </c>
    </row>
    <row r="22" spans="1:57" x14ac:dyDescent="0.25">
      <c r="A22" s="1" t="str">
        <f>'Population Definitions'!$A$6</f>
        <v>10-17_males</v>
      </c>
      <c r="C22" t="s">
        <v>53</v>
      </c>
      <c r="D22" s="3"/>
      <c r="E22" s="3">
        <v>0</v>
      </c>
      <c r="F22" s="4"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C23" t="s">
        <v>53</v>
      </c>
      <c r="D23" s="3"/>
      <c r="E23" s="3">
        <v>0</v>
      </c>
      <c r="F23" s="4" t="s">
        <v>39</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C24" t="s">
        <v>53</v>
      </c>
      <c r="D24" s="3"/>
      <c r="E24" s="3">
        <v>0</v>
      </c>
      <c r="F24" s="4" t="s">
        <v>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C25" t="s">
        <v>53</v>
      </c>
      <c r="D25" s="3"/>
      <c r="E25" s="3">
        <v>0</v>
      </c>
      <c r="F25" s="4" t="s">
        <v>39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C26" t="s">
        <v>53</v>
      </c>
      <c r="D26" s="3"/>
      <c r="E26" s="3">
        <v>0</v>
      </c>
      <c r="F26" s="4" t="s">
        <v>39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C27" t="s">
        <v>53</v>
      </c>
      <c r="D27" s="3"/>
      <c r="E27" s="3">
        <v>0</v>
      </c>
      <c r="F27" s="4" t="s">
        <v>39</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C28" t="s">
        <v>53</v>
      </c>
      <c r="D28" s="3"/>
      <c r="E28" s="3">
        <v>0</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C29" t="s">
        <v>53</v>
      </c>
      <c r="D29" s="3"/>
      <c r="E29" s="3">
        <v>0</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C30" t="s">
        <v>53</v>
      </c>
      <c r="D30" s="3"/>
      <c r="E30" s="3">
        <v>0</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C31" t="s">
        <v>53</v>
      </c>
      <c r="D31" s="3"/>
      <c r="E31" s="3">
        <v>0</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54</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C34" t="s">
        <v>55</v>
      </c>
      <c r="D34" s="3"/>
      <c r="E34" s="3">
        <v>0</v>
      </c>
      <c r="F34" s="4" t="s">
        <v>39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C35" t="s">
        <v>55</v>
      </c>
      <c r="D35" s="3"/>
      <c r="E35" s="3">
        <v>0</v>
      </c>
      <c r="F35" s="4" t="s">
        <v>39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C36" t="s">
        <v>55</v>
      </c>
      <c r="D36" s="3"/>
      <c r="E36" s="3"/>
      <c r="F36" s="4" t="s">
        <v>39</v>
      </c>
      <c r="G36" s="3">
        <v>9.9029796381982517E-4</v>
      </c>
      <c r="H36" s="3">
        <v>8.1851845641839707E-4</v>
      </c>
      <c r="I36" s="3">
        <v>7.5020219925575333E-4</v>
      </c>
      <c r="J36" s="3">
        <v>6.6387368754226405E-4</v>
      </c>
      <c r="K36" s="3">
        <v>1.1869934090720929E-3</v>
      </c>
      <c r="L36" s="3">
        <v>9.947866499337907E-4</v>
      </c>
      <c r="M36" s="3">
        <v>1.359460490762261E-3</v>
      </c>
      <c r="N36" s="3">
        <v>9.3555184115154432E-4</v>
      </c>
      <c r="O36" s="3">
        <v>1.1819807992979659E-3</v>
      </c>
      <c r="P36" s="3">
        <v>1.212923683409793E-3</v>
      </c>
      <c r="Q36" s="3">
        <v>1.2265300724469291E-3</v>
      </c>
      <c r="R36" s="3">
        <v>2.912760529565715E-3</v>
      </c>
      <c r="S36" s="3">
        <v>2.668636803705899E-3</v>
      </c>
      <c r="T36" s="3">
        <v>1.165409827463362E-3</v>
      </c>
      <c r="U36" s="3">
        <v>5.0181887636132911E-4</v>
      </c>
      <c r="V36" s="3">
        <v>-2.217123548972732E-3</v>
      </c>
      <c r="W36" s="3">
        <v>-2.4962525039169258E-4</v>
      </c>
      <c r="X36" s="3">
        <v>-4.2094400470744026E-3</v>
      </c>
      <c r="Y36" s="3">
        <v>-1.7854671367772211E-3</v>
      </c>
      <c r="Z36" s="3">
        <v>3.0359816697854891E-4</v>
      </c>
      <c r="AA36" s="3">
        <v>-1.0286657165263519E-3</v>
      </c>
      <c r="AB36" s="3">
        <v>6.2469999221318709E-4</v>
      </c>
      <c r="AC36" s="3">
        <v>1.1882381551217281E-3</v>
      </c>
      <c r="AD36" s="3">
        <v>1.7115435159282531E-3</v>
      </c>
      <c r="AE36" s="3">
        <v>5.6265822518421096E-4</v>
      </c>
      <c r="AF36" s="3">
        <v>-1.425029893111866E-4</v>
      </c>
      <c r="AG36" s="3">
        <v>-1.9986916291072641E-5</v>
      </c>
      <c r="AH36" s="3">
        <v>1.7219412935860469E-4</v>
      </c>
      <c r="AI36" s="3">
        <v>3.0570773582297721E-4</v>
      </c>
      <c r="AJ36" s="3">
        <v>3.4516964390154871E-4</v>
      </c>
      <c r="AK36" s="3">
        <v>3.6412522628838709E-4</v>
      </c>
      <c r="AL36" s="3">
        <v>4.4115406128052099E-4</v>
      </c>
      <c r="AM36" s="3">
        <v>4.3624379576302129E-4</v>
      </c>
      <c r="AN36" s="3">
        <v>4.3400276733885512E-4</v>
      </c>
      <c r="AO36" s="3">
        <v>4.0018224340949927E-4</v>
      </c>
      <c r="AP36" s="3">
        <v>3.6353701076200483E-4</v>
      </c>
      <c r="AQ36" s="3">
        <v>3.5397687207510331E-4</v>
      </c>
      <c r="AR36" s="3">
        <v>3.1411640240749418E-4</v>
      </c>
      <c r="AS36" s="3">
        <v>2.6053962749610782E-4</v>
      </c>
      <c r="AT36" s="3">
        <v>9.9272089260745274E-5</v>
      </c>
      <c r="AU36" s="3">
        <v>-8.6741979379657521E-5</v>
      </c>
      <c r="AV36" s="3">
        <v>-2.2741921427697271E-4</v>
      </c>
      <c r="AW36" s="3">
        <v>-3.8905615735715219E-4</v>
      </c>
      <c r="AX36" s="3">
        <v>-5.8975610378617256E-4</v>
      </c>
      <c r="AY36" s="3">
        <v>-6.5879635175210098E-4</v>
      </c>
      <c r="AZ36" s="3">
        <v>-5.7796366887454974E-4</v>
      </c>
      <c r="BA36" s="3">
        <v>-4.8399591802289591E-4</v>
      </c>
      <c r="BB36" s="3">
        <v>-4.5617593288902868E-4</v>
      </c>
      <c r="BC36" s="3">
        <v>-4.0390046132424671E-4</v>
      </c>
      <c r="BD36" s="3">
        <v>-3.4745364725880461E-4</v>
      </c>
      <c r="BE36" s="3">
        <v>-2.9835328365387861E-4</v>
      </c>
    </row>
    <row r="37" spans="1:57" x14ac:dyDescent="0.25">
      <c r="A37" s="1" t="str">
        <f>'Population Definitions'!$A$5</f>
        <v>0-9_females</v>
      </c>
      <c r="C37" t="s">
        <v>55</v>
      </c>
      <c r="D37" s="3"/>
      <c r="E37" s="3"/>
      <c r="F37" s="4" t="s">
        <v>39</v>
      </c>
      <c r="G37" s="3">
        <v>1.1925556037464631E-3</v>
      </c>
      <c r="H37" s="3">
        <v>1.1283926859461601E-3</v>
      </c>
      <c r="I37" s="3">
        <v>1.070364434736001E-3</v>
      </c>
      <c r="J37" s="3">
        <v>6.5282288093152744E-4</v>
      </c>
      <c r="K37" s="3">
        <v>1.113115997203421E-3</v>
      </c>
      <c r="L37" s="3">
        <v>8.5519562289524244E-4</v>
      </c>
      <c r="M37" s="3">
        <v>1.2231397716686489E-3</v>
      </c>
      <c r="N37" s="3">
        <v>7.463897216350967E-4</v>
      </c>
      <c r="O37" s="3">
        <v>9.9511647822747812E-4</v>
      </c>
      <c r="P37" s="3">
        <v>1.239863234661889E-3</v>
      </c>
      <c r="Q37" s="3">
        <v>1.2485579853513959E-3</v>
      </c>
      <c r="R37" s="3">
        <v>3.0655181466554019E-3</v>
      </c>
      <c r="S37" s="3">
        <v>2.6796355406405611E-3</v>
      </c>
      <c r="T37" s="3">
        <v>1.1116642355434091E-3</v>
      </c>
      <c r="U37" s="3">
        <v>4.6000657944660349E-4</v>
      </c>
      <c r="V37" s="3">
        <v>-2.2382221194249801E-3</v>
      </c>
      <c r="W37" s="3">
        <v>-3.1343846010678229E-4</v>
      </c>
      <c r="X37" s="3">
        <v>-4.2524077619465282E-3</v>
      </c>
      <c r="Y37" s="3">
        <v>-1.8065569676621351E-3</v>
      </c>
      <c r="Z37" s="3">
        <v>3.1418410658361451E-4</v>
      </c>
      <c r="AA37" s="3">
        <v>-1.0747308427048741E-3</v>
      </c>
      <c r="AB37" s="3">
        <v>6.1479999737587738E-4</v>
      </c>
      <c r="AC37" s="3">
        <v>1.1625548484276379E-3</v>
      </c>
      <c r="AD37" s="3">
        <v>1.665917036918394E-3</v>
      </c>
      <c r="AE37" s="3">
        <v>5.0914702565861428E-4</v>
      </c>
      <c r="AF37" s="3">
        <v>-1.4040807814339539E-4</v>
      </c>
      <c r="AG37" s="3">
        <v>3.3799966362364973E-5</v>
      </c>
      <c r="AH37" s="3">
        <v>1.8377378353222649E-4</v>
      </c>
      <c r="AI37" s="3">
        <v>2.9553535079260859E-4</v>
      </c>
      <c r="AJ37" s="3">
        <v>3.1853125468498061E-4</v>
      </c>
      <c r="AK37" s="3">
        <v>4.0732190111796148E-4</v>
      </c>
      <c r="AL37" s="3">
        <v>4.721834743416264E-4</v>
      </c>
      <c r="AM37" s="3">
        <v>4.5363567362227138E-4</v>
      </c>
      <c r="AN37" s="3">
        <v>4.4034347600299748E-4</v>
      </c>
      <c r="AO37" s="3">
        <v>4.0942223664871901E-4</v>
      </c>
      <c r="AP37" s="3">
        <v>3.6478560155592488E-4</v>
      </c>
      <c r="AQ37" s="3">
        <v>3.4535257985869632E-4</v>
      </c>
      <c r="AR37" s="3">
        <v>2.9116479609186008E-4</v>
      </c>
      <c r="AS37" s="3">
        <v>2.2527907724130349E-4</v>
      </c>
      <c r="AT37" s="3">
        <v>6.9061820394869817E-5</v>
      </c>
      <c r="AU37" s="3">
        <v>-1.214694096242477E-4</v>
      </c>
      <c r="AV37" s="3">
        <v>-2.6355680755831039E-4</v>
      </c>
      <c r="AW37" s="3">
        <v>-4.1844844135441382E-4</v>
      </c>
      <c r="AX37" s="3">
        <v>-6.0843241798302417E-4</v>
      </c>
      <c r="AY37" s="3">
        <v>-6.6719686908516787E-4</v>
      </c>
      <c r="AZ37" s="3">
        <v>-5.9034734933281535E-4</v>
      </c>
      <c r="BA37" s="3">
        <v>-5.1303064984779595E-4</v>
      </c>
      <c r="BB37" s="3">
        <v>-4.8887513977004791E-4</v>
      </c>
      <c r="BC37" s="3">
        <v>-4.2252774943327771E-4</v>
      </c>
      <c r="BD37" s="3">
        <v>-3.7335955968854928E-4</v>
      </c>
      <c r="BE37" s="3">
        <v>-3.3137717325420942E-4</v>
      </c>
    </row>
    <row r="38" spans="1:57" x14ac:dyDescent="0.25">
      <c r="A38" s="1" t="str">
        <f>'Population Definitions'!$A$6</f>
        <v>10-17_males</v>
      </c>
      <c r="C38" t="s">
        <v>55</v>
      </c>
      <c r="D38" s="3"/>
      <c r="E38" s="3"/>
      <c r="F38" s="4" t="s">
        <v>39</v>
      </c>
      <c r="G38" s="3">
        <v>1.236404752340596E-4</v>
      </c>
      <c r="H38" s="3">
        <v>6.4381331251364438E-5</v>
      </c>
      <c r="I38" s="3">
        <v>8.8825638168920477E-5</v>
      </c>
      <c r="J38" s="3">
        <v>5.301045190547741E-5</v>
      </c>
      <c r="K38" s="3">
        <v>-8.7263728838060808E-5</v>
      </c>
      <c r="L38" s="3">
        <v>-4.5649034527703959E-4</v>
      </c>
      <c r="M38" s="3">
        <v>-8.972466385599846E-4</v>
      </c>
      <c r="N38" s="3">
        <v>-1.139371926878883E-3</v>
      </c>
      <c r="O38" s="3">
        <v>-1.1444255469143911E-3</v>
      </c>
      <c r="P38" s="3">
        <v>-1.1460697395368339E-3</v>
      </c>
      <c r="Q38" s="3">
        <v>-2.6500548872455829E-4</v>
      </c>
      <c r="R38" s="3">
        <v>3.4248500443076658E-4</v>
      </c>
      <c r="S38" s="3">
        <v>3.4248699688614798E-4</v>
      </c>
      <c r="T38" s="3">
        <v>7.2317384982472122E-5</v>
      </c>
      <c r="U38" s="3">
        <v>-8.2328326054159206E-4</v>
      </c>
      <c r="V38" s="3">
        <v>-7.4015740198009577E-4</v>
      </c>
      <c r="W38" s="3">
        <v>-3.5695645187172739E-4</v>
      </c>
      <c r="X38" s="3">
        <v>-9.9677745269944446E-5</v>
      </c>
      <c r="Y38" s="3">
        <v>9.6289948869256455E-5</v>
      </c>
      <c r="Z38" s="3">
        <v>5.706595592876429E-5</v>
      </c>
      <c r="AA38" s="3">
        <v>3.2778783553926051E-5</v>
      </c>
      <c r="AB38" s="3">
        <v>8.6943856354228344E-5</v>
      </c>
      <c r="AC38" s="3">
        <v>6.8060048669807698E-4</v>
      </c>
      <c r="AD38" s="3">
        <v>8.5877042302489324E-4</v>
      </c>
      <c r="AE38" s="3">
        <v>6.8977145572359316E-5</v>
      </c>
      <c r="AF38" s="3">
        <v>-2.868570487598519E-4</v>
      </c>
      <c r="AG38" s="3">
        <v>-2.1825411923754291E-4</v>
      </c>
      <c r="AH38" s="3">
        <v>-1.481947800211934E-4</v>
      </c>
      <c r="AI38" s="3">
        <v>-1.3548305438503859E-4</v>
      </c>
      <c r="AJ38" s="3">
        <v>-1.4190171133393381E-4</v>
      </c>
      <c r="AK38" s="3">
        <v>-1.3642593316380431E-4</v>
      </c>
      <c r="AL38" s="3">
        <v>-1.3199342602476189E-4</v>
      </c>
      <c r="AM38" s="3">
        <v>-1.4410647838204209E-4</v>
      </c>
      <c r="AN38" s="3">
        <v>-1.4102973348610389E-4</v>
      </c>
      <c r="AO38" s="3">
        <v>-1.5187677494580301E-4</v>
      </c>
      <c r="AP38" s="3">
        <v>-1.588703981257915E-4</v>
      </c>
      <c r="AQ38" s="3">
        <v>-1.471270132683541E-4</v>
      </c>
      <c r="AR38" s="3">
        <v>-1.533606657264607E-4</v>
      </c>
      <c r="AS38" s="3">
        <v>-1.54348932547207E-4</v>
      </c>
      <c r="AT38" s="3">
        <v>-1.6271412046590361E-4</v>
      </c>
      <c r="AU38" s="3">
        <v>-1.6626970553835691E-4</v>
      </c>
      <c r="AV38" s="3">
        <v>-1.6626237908650251E-4</v>
      </c>
      <c r="AW38" s="3">
        <v>-1.8988461983368641E-4</v>
      </c>
      <c r="AX38" s="3">
        <v>-1.9321705909579009E-4</v>
      </c>
      <c r="AY38" s="3">
        <v>-1.8536464166787149E-4</v>
      </c>
      <c r="AZ38" s="3">
        <v>-1.9075741068768419E-4</v>
      </c>
      <c r="BA38" s="3">
        <v>-1.773142097102763E-4</v>
      </c>
      <c r="BB38" s="3">
        <v>-1.5980506254059779E-4</v>
      </c>
      <c r="BC38" s="3">
        <v>-1.611341434213912E-4</v>
      </c>
      <c r="BD38" s="3">
        <v>-1.6317354412955751E-4</v>
      </c>
      <c r="BE38" s="3">
        <v>-1.750668741602159E-4</v>
      </c>
    </row>
    <row r="39" spans="1:57" x14ac:dyDescent="0.25">
      <c r="A39" s="1" t="str">
        <f>'Population Definitions'!$A$7</f>
        <v>10-17_females</v>
      </c>
      <c r="C39" t="s">
        <v>55</v>
      </c>
      <c r="D39" s="3"/>
      <c r="E39" s="3"/>
      <c r="F39" s="4" t="s">
        <v>39</v>
      </c>
      <c r="G39" s="3">
        <v>8.1677026086061273E-5</v>
      </c>
      <c r="H39" s="3">
        <v>5.77966462502028E-5</v>
      </c>
      <c r="I39" s="3">
        <v>8.5096124713956311E-5</v>
      </c>
      <c r="J39" s="3">
        <v>4.2768801371760557E-5</v>
      </c>
      <c r="K39" s="3">
        <v>-6.180340149375284E-5</v>
      </c>
      <c r="L39" s="3">
        <v>-2.9870003045807893E-4</v>
      </c>
      <c r="M39" s="3">
        <v>-5.8598999349706129E-4</v>
      </c>
      <c r="N39" s="3">
        <v>-7.4408234637503908E-4</v>
      </c>
      <c r="O39" s="3">
        <v>-7.4712001674103867E-4</v>
      </c>
      <c r="P39" s="3">
        <v>-7.4844573130342811E-4</v>
      </c>
      <c r="Q39" s="3">
        <v>-1.314960664804713E-5</v>
      </c>
      <c r="R39" s="3">
        <v>3.7168901388654862E-4</v>
      </c>
      <c r="S39" s="3">
        <v>3.7434785330907908E-4</v>
      </c>
      <c r="T39" s="3">
        <v>1.972875252961009E-4</v>
      </c>
      <c r="U39" s="3">
        <v>-5.4072976513405951E-4</v>
      </c>
      <c r="V39" s="3">
        <v>-4.8899590926214701E-4</v>
      </c>
      <c r="W39" s="3">
        <v>-3.3775774325869499E-4</v>
      </c>
      <c r="X39" s="3">
        <v>-1.463228231478923E-4</v>
      </c>
      <c r="Y39" s="3">
        <v>8.2120922212527595E-5</v>
      </c>
      <c r="Z39" s="3">
        <v>4.0348035531991419E-5</v>
      </c>
      <c r="AA39" s="3">
        <v>2.7634844553877611E-5</v>
      </c>
      <c r="AB39" s="3">
        <v>7.0125467808009585E-5</v>
      </c>
      <c r="AC39" s="3">
        <v>7.6127587876245512E-4</v>
      </c>
      <c r="AD39" s="3">
        <v>9.1739067005659097E-4</v>
      </c>
      <c r="AE39" s="3">
        <v>4.2902935830390303E-5</v>
      </c>
      <c r="AF39" s="3">
        <v>-2.6415104154500671E-4</v>
      </c>
      <c r="AG39" s="3">
        <v>-2.0519976509412549E-4</v>
      </c>
      <c r="AH39" s="3">
        <v>-1.4550198483856801E-4</v>
      </c>
      <c r="AI39" s="3">
        <v>-1.354304254322948E-4</v>
      </c>
      <c r="AJ39" s="3">
        <v>-1.4182085034121451E-4</v>
      </c>
      <c r="AK39" s="3">
        <v>-1.3889444002681691E-4</v>
      </c>
      <c r="AL39" s="3">
        <v>-1.3652009865548881E-4</v>
      </c>
      <c r="AM39" s="3">
        <v>-1.4831962633281561E-4</v>
      </c>
      <c r="AN39" s="3">
        <v>-1.4617796364839201E-4</v>
      </c>
      <c r="AO39" s="3">
        <v>-1.552898314963939E-4</v>
      </c>
      <c r="AP39" s="3">
        <v>-1.6052778002657229E-4</v>
      </c>
      <c r="AQ39" s="3">
        <v>-1.4824251825306441E-4</v>
      </c>
      <c r="AR39" s="3">
        <v>-1.5296658246018169E-4</v>
      </c>
      <c r="AS39" s="3">
        <v>-1.533370873241407E-4</v>
      </c>
      <c r="AT39" s="3">
        <v>-1.600303966675633E-4</v>
      </c>
      <c r="AU39" s="3">
        <v>-1.634148528103603E-4</v>
      </c>
      <c r="AV39" s="3">
        <v>-1.6321252020895451E-4</v>
      </c>
      <c r="AW39" s="3">
        <v>-1.8350774158243149E-4</v>
      </c>
      <c r="AX39" s="3">
        <v>-1.8633350706456059E-4</v>
      </c>
      <c r="AY39" s="3">
        <v>-1.796364454904435E-4</v>
      </c>
      <c r="AZ39" s="3">
        <v>-1.8384211451520391E-4</v>
      </c>
      <c r="BA39" s="3">
        <v>-1.7210621484258781E-4</v>
      </c>
      <c r="BB39" s="3">
        <v>-1.5654719115100531E-4</v>
      </c>
      <c r="BC39" s="3">
        <v>-1.5783194864306269E-4</v>
      </c>
      <c r="BD39" s="3">
        <v>-1.59372688691318E-4</v>
      </c>
      <c r="BE39" s="3">
        <v>-1.696842671714085E-4</v>
      </c>
    </row>
    <row r="40" spans="1:57" x14ac:dyDescent="0.25">
      <c r="A40" s="1" t="str">
        <f>'Population Definitions'!$A$8</f>
        <v>18-64_males</v>
      </c>
      <c r="C40" t="s">
        <v>55</v>
      </c>
      <c r="D40" s="3"/>
      <c r="E40" s="3"/>
      <c r="F40" s="4" t="s">
        <v>39</v>
      </c>
      <c r="G40" s="3">
        <v>4.3165019447179018E-4</v>
      </c>
      <c r="H40" s="3">
        <v>1.2965998808325401E-4</v>
      </c>
      <c r="I40" s="3">
        <v>2.089137838566439E-4</v>
      </c>
      <c r="J40" s="3">
        <v>5.4076522504159008E-5</v>
      </c>
      <c r="K40" s="3">
        <v>-5.2646485544225396E-4</v>
      </c>
      <c r="L40" s="3">
        <v>-1.986433467857577E-3</v>
      </c>
      <c r="M40" s="3">
        <v>-3.6174400441070782E-3</v>
      </c>
      <c r="N40" s="3">
        <v>-4.4115018557528661E-3</v>
      </c>
      <c r="O40" s="3">
        <v>-4.3167770764407191E-3</v>
      </c>
      <c r="P40" s="3">
        <v>-4.2249993353230117E-3</v>
      </c>
      <c r="Q40" s="3">
        <v>-1.1106076822457961E-3</v>
      </c>
      <c r="R40" s="3">
        <v>1.078768505246828E-3</v>
      </c>
      <c r="S40" s="3">
        <v>1.075885958078173E-3</v>
      </c>
      <c r="T40" s="3">
        <v>1.2843969820386429E-4</v>
      </c>
      <c r="U40" s="3">
        <v>-2.8690799644271788E-3</v>
      </c>
      <c r="V40" s="3">
        <v>-2.5607180905972168E-3</v>
      </c>
      <c r="W40" s="3">
        <v>-1.170112063113537E-3</v>
      </c>
      <c r="X40" s="3">
        <v>-2.9816475688811649E-4</v>
      </c>
      <c r="Y40" s="3">
        <v>3.0770365571990122E-4</v>
      </c>
      <c r="Z40" s="3">
        <v>-5.6835472159683632E-5</v>
      </c>
      <c r="AA40" s="3">
        <v>7.3988067745766418E-5</v>
      </c>
      <c r="AB40" s="3">
        <v>4.0335478719737892E-4</v>
      </c>
      <c r="AC40" s="3">
        <v>2.285267117766126E-3</v>
      </c>
      <c r="AD40" s="3">
        <v>2.7013530209782392E-3</v>
      </c>
      <c r="AE40" s="3">
        <v>5.1764088259910804E-4</v>
      </c>
      <c r="AF40" s="3">
        <v>-4.950793184809887E-4</v>
      </c>
      <c r="AG40" s="3">
        <v>-2.9816516734784302E-4</v>
      </c>
      <c r="AH40" s="3">
        <v>-1.0328355302792249E-4</v>
      </c>
      <c r="AI40" s="3">
        <v>-7.0415054028357644E-5</v>
      </c>
      <c r="AJ40" s="3">
        <v>-9.2886126329887379E-5</v>
      </c>
      <c r="AK40" s="3">
        <v>-7.8066853779666101E-5</v>
      </c>
      <c r="AL40" s="3">
        <v>-6.1255732443236781E-5</v>
      </c>
      <c r="AM40" s="3">
        <v>-8.327829918298432E-5</v>
      </c>
      <c r="AN40" s="3">
        <v>-5.8114310998127268E-5</v>
      </c>
      <c r="AO40" s="3">
        <v>-6.7766467038805702E-5</v>
      </c>
      <c r="AP40" s="3">
        <v>-6.3488415523009974E-5</v>
      </c>
      <c r="AQ40" s="3">
        <v>-1.192615563579564E-5</v>
      </c>
      <c r="AR40" s="3">
        <v>-1.715581807584608E-5</v>
      </c>
      <c r="AS40" s="3">
        <v>-9.707737221007545E-6</v>
      </c>
      <c r="AT40" s="3">
        <v>-2.110963007046372E-5</v>
      </c>
      <c r="AU40" s="3">
        <v>-2.316396626277881E-5</v>
      </c>
      <c r="AV40" s="3">
        <v>-1.6800010562233381E-5</v>
      </c>
      <c r="AW40" s="3">
        <v>-6.2136401985821125E-5</v>
      </c>
      <c r="AX40" s="3">
        <v>-6.3351588127819026E-5</v>
      </c>
      <c r="AY40" s="3">
        <v>-4.0935540654832658E-5</v>
      </c>
      <c r="AZ40" s="3">
        <v>-4.8336634774595693E-5</v>
      </c>
      <c r="BA40" s="3">
        <v>-1.5981530395912779E-5</v>
      </c>
      <c r="BB40" s="3">
        <v>2.894561090764836E-5</v>
      </c>
      <c r="BC40" s="3">
        <v>3.1024118736994053E-5</v>
      </c>
      <c r="BD40" s="3">
        <v>2.9017377670912082E-5</v>
      </c>
      <c r="BE40" s="3">
        <v>4.9398606107720976E-6</v>
      </c>
    </row>
    <row r="41" spans="1:57" x14ac:dyDescent="0.25">
      <c r="A41" s="1" t="str">
        <f>'Population Definitions'!$A$9</f>
        <v>18-64_females</v>
      </c>
      <c r="C41" t="s">
        <v>55</v>
      </c>
      <c r="D41" s="3"/>
      <c r="E41" s="3"/>
      <c r="F41" s="4" t="s">
        <v>39</v>
      </c>
      <c r="G41" s="3">
        <v>2.6182189453194431E-4</v>
      </c>
      <c r="H41" s="3">
        <v>1.6077902369332719E-4</v>
      </c>
      <c r="I41" s="3">
        <v>2.4058172771967279E-4</v>
      </c>
      <c r="J41" s="3">
        <v>8.0134293117242909E-5</v>
      </c>
      <c r="K41" s="3">
        <v>-2.719616521096461E-4</v>
      </c>
      <c r="L41" s="3">
        <v>-1.014577123050918E-3</v>
      </c>
      <c r="M41" s="3">
        <v>-1.8564648056008839E-3</v>
      </c>
      <c r="N41" s="3">
        <v>-2.2605621675713351E-3</v>
      </c>
      <c r="O41" s="3">
        <v>-2.2025109402065992E-3</v>
      </c>
      <c r="P41" s="3">
        <v>-2.1468428193534808E-3</v>
      </c>
      <c r="Q41" s="3">
        <v>-7.8287895384604186E-6</v>
      </c>
      <c r="R41" s="3">
        <v>1.0890187463548601E-3</v>
      </c>
      <c r="S41" s="3">
        <v>1.099589211014341E-3</v>
      </c>
      <c r="T41" s="3">
        <v>5.9866439072821926E-4</v>
      </c>
      <c r="U41" s="3">
        <v>-1.4444986979167049E-3</v>
      </c>
      <c r="V41" s="3">
        <v>-1.296614582403132E-3</v>
      </c>
      <c r="W41" s="3">
        <v>-8.7383652547775236E-4</v>
      </c>
      <c r="X41" s="3">
        <v>-3.4333399659965179E-4</v>
      </c>
      <c r="Y41" s="3">
        <v>2.8150275339315943E-4</v>
      </c>
      <c r="Z41" s="3">
        <v>-1.6614818085398419E-5</v>
      </c>
      <c r="AA41" s="3">
        <v>-7.4748488625479088E-6</v>
      </c>
      <c r="AB41" s="3">
        <v>4.6762978342464471E-4</v>
      </c>
      <c r="AC41" s="3">
        <v>2.2712809762674611E-3</v>
      </c>
      <c r="AD41" s="3">
        <v>2.6613556591691791E-3</v>
      </c>
      <c r="AE41" s="3">
        <v>4.2140410423969468E-4</v>
      </c>
      <c r="AF41" s="3">
        <v>-4.3757803422692651E-4</v>
      </c>
      <c r="AG41" s="3">
        <v>-2.7304044412865069E-4</v>
      </c>
      <c r="AH41" s="3">
        <v>-1.0985371587700081E-4</v>
      </c>
      <c r="AI41" s="3">
        <v>-8.4494872252465197E-5</v>
      </c>
      <c r="AJ41" s="3">
        <v>-1.0342608911539889E-4</v>
      </c>
      <c r="AK41" s="3">
        <v>-9.2695989737639277E-5</v>
      </c>
      <c r="AL41" s="3">
        <v>-8.0636121438551603E-5</v>
      </c>
      <c r="AM41" s="3">
        <v>-9.8998544858980894E-5</v>
      </c>
      <c r="AN41" s="3">
        <v>-8.0413793423132781E-5</v>
      </c>
      <c r="AO41" s="3">
        <v>-8.8913927601005265E-5</v>
      </c>
      <c r="AP41" s="3">
        <v>-8.559711190000402E-5</v>
      </c>
      <c r="AQ41" s="3">
        <v>-4.4188722027560927E-5</v>
      </c>
      <c r="AR41" s="3">
        <v>-4.9469156212066167E-5</v>
      </c>
      <c r="AS41" s="3">
        <v>-4.3851369720448122E-5</v>
      </c>
      <c r="AT41" s="3">
        <v>-5.4442342019007311E-5</v>
      </c>
      <c r="AU41" s="3">
        <v>-5.7362434179990549E-5</v>
      </c>
      <c r="AV41" s="3">
        <v>-5.2866334592614139E-5</v>
      </c>
      <c r="AW41" s="3">
        <v>-9.1929818793448441E-5</v>
      </c>
      <c r="AX41" s="3">
        <v>-9.3515832326900464E-5</v>
      </c>
      <c r="AY41" s="3">
        <v>-7.6069498298098021E-5</v>
      </c>
      <c r="AZ41" s="3">
        <v>-8.3675622652167105E-5</v>
      </c>
      <c r="BA41" s="3">
        <v>-5.6563579960948752E-5</v>
      </c>
      <c r="BB41" s="3">
        <v>-2.0708512027110272E-5</v>
      </c>
      <c r="BC41" s="3">
        <v>-2.0897299387220791E-5</v>
      </c>
      <c r="BD41" s="3">
        <v>-2.2575707400670119E-5</v>
      </c>
      <c r="BE41" s="3">
        <v>-4.2969470995648768E-5</v>
      </c>
    </row>
    <row r="42" spans="1:57" x14ac:dyDescent="0.25">
      <c r="A42" s="1" t="str">
        <f>'Population Definitions'!$A$10</f>
        <v>65+_males</v>
      </c>
      <c r="C42" t="s">
        <v>55</v>
      </c>
      <c r="D42" s="3"/>
      <c r="E42" s="3"/>
      <c r="F42" s="4" t="s">
        <v>39</v>
      </c>
      <c r="G42" s="3">
        <v>-2.6781330557325831E-3</v>
      </c>
      <c r="H42" s="3">
        <v>-2.7367678048172048E-3</v>
      </c>
      <c r="I42" s="3">
        <v>-2.575673991934421E-3</v>
      </c>
      <c r="J42" s="3">
        <v>-2.4612260736874012E-3</v>
      </c>
      <c r="K42" s="3">
        <v>-2.56229692314161E-3</v>
      </c>
      <c r="L42" s="3">
        <v>-2.4983981535449768E-3</v>
      </c>
      <c r="M42" s="3">
        <v>-2.3817517672332202E-3</v>
      </c>
      <c r="N42" s="3">
        <v>-2.5163127229816981E-3</v>
      </c>
      <c r="O42" s="3">
        <v>-2.704975613099726E-3</v>
      </c>
      <c r="P42" s="3">
        <v>-2.9351396089865689E-3</v>
      </c>
      <c r="Q42" s="3">
        <v>-3.1811994421390502E-3</v>
      </c>
      <c r="R42" s="3">
        <v>-3.298555787992926E-3</v>
      </c>
      <c r="S42" s="3">
        <v>-3.3748159090197368E-3</v>
      </c>
      <c r="T42" s="3">
        <v>-3.155665251812555E-3</v>
      </c>
      <c r="U42" s="3">
        <v>-3.0293459835383139E-3</v>
      </c>
      <c r="V42" s="3">
        <v>-2.920084118716932E-3</v>
      </c>
      <c r="W42" s="3">
        <v>-2.9632254457029441E-3</v>
      </c>
      <c r="X42" s="3">
        <v>-2.9841607333574551E-3</v>
      </c>
      <c r="Y42" s="3">
        <v>-3.0193602601634828E-3</v>
      </c>
      <c r="Z42" s="3">
        <v>-1.2218122433960669E-2</v>
      </c>
      <c r="AA42" s="3">
        <v>-7.0536610436073947E-3</v>
      </c>
      <c r="AB42" s="3">
        <v>8.4613687127805658E-3</v>
      </c>
      <c r="AC42" s="3">
        <v>-1.825618765927747E-3</v>
      </c>
      <c r="AD42" s="3">
        <v>-2.46538886817056E-3</v>
      </c>
      <c r="AE42" s="3">
        <v>-3.0592843645402051E-3</v>
      </c>
      <c r="AF42" s="3">
        <v>-3.6195899269456742E-3</v>
      </c>
      <c r="AG42" s="3">
        <v>-3.3320141676978238E-3</v>
      </c>
      <c r="AH42" s="3">
        <v>-3.1469562828826459E-3</v>
      </c>
      <c r="AI42" s="3">
        <v>-3.0059471059945548E-3</v>
      </c>
      <c r="AJ42" s="3">
        <v>-2.9507400350871561E-3</v>
      </c>
      <c r="AK42" s="3">
        <v>-2.8066413566877209E-3</v>
      </c>
      <c r="AL42" s="3">
        <v>-2.7204690310688199E-3</v>
      </c>
      <c r="AM42" s="3">
        <v>-2.6893675793241332E-3</v>
      </c>
      <c r="AN42" s="3">
        <v>-2.5853541856296499E-3</v>
      </c>
      <c r="AO42" s="3">
        <v>-2.5425288188932931E-3</v>
      </c>
      <c r="AP42" s="3">
        <v>-2.487523344168685E-3</v>
      </c>
      <c r="AQ42" s="3">
        <v>-2.368707283292405E-3</v>
      </c>
      <c r="AR42" s="3">
        <v>-2.3290149019064019E-3</v>
      </c>
      <c r="AS42" s="3">
        <v>-2.2414370425558952E-3</v>
      </c>
      <c r="AT42" s="3">
        <v>-2.241378581066304E-3</v>
      </c>
      <c r="AU42" s="3">
        <v>-2.2192271356206651E-3</v>
      </c>
      <c r="AV42" s="3">
        <v>-2.164435852286354E-3</v>
      </c>
      <c r="AW42" s="3">
        <v>-2.1425068280170518E-3</v>
      </c>
      <c r="AX42" s="3">
        <v>-2.1206005398474279E-3</v>
      </c>
      <c r="AY42" s="3">
        <v>-2.0713435271180291E-3</v>
      </c>
      <c r="AZ42" s="3">
        <v>-2.018873733367121E-3</v>
      </c>
      <c r="BA42" s="3">
        <v>-1.984699772019944E-3</v>
      </c>
      <c r="BB42" s="3">
        <v>-1.9465910861943101E-3</v>
      </c>
      <c r="BC42" s="3">
        <v>-1.9096024686872299E-3</v>
      </c>
      <c r="BD42" s="3">
        <v>-1.872588997491228E-3</v>
      </c>
      <c r="BE42" s="3">
        <v>-1.831814378224192E-3</v>
      </c>
    </row>
    <row r="43" spans="1:57" x14ac:dyDescent="0.25">
      <c r="A43" s="1" t="str">
        <f>'Population Definitions'!$A$11</f>
        <v>65+_females</v>
      </c>
      <c r="C43" t="s">
        <v>55</v>
      </c>
      <c r="D43" s="3"/>
      <c r="E43" s="3"/>
      <c r="F43" s="4" t="s">
        <v>39</v>
      </c>
      <c r="G43" s="3">
        <v>-1.4549402313839481E-3</v>
      </c>
      <c r="H43" s="3">
        <v>-1.532551906567143E-3</v>
      </c>
      <c r="I43" s="3">
        <v>-1.5614770665412149E-3</v>
      </c>
      <c r="J43" s="3">
        <v>-1.6089921211838061E-3</v>
      </c>
      <c r="K43" s="3">
        <v>-1.6850981308350649E-3</v>
      </c>
      <c r="L43" s="3">
        <v>-1.6947016997360381E-3</v>
      </c>
      <c r="M43" s="3">
        <v>-1.6831917039352321E-3</v>
      </c>
      <c r="N43" s="3">
        <v>-1.729781266536106E-3</v>
      </c>
      <c r="O43" s="3">
        <v>-1.784698861164337E-3</v>
      </c>
      <c r="P43" s="3">
        <v>-1.859730568803302E-3</v>
      </c>
      <c r="Q43" s="3">
        <v>-1.943530949755934E-3</v>
      </c>
      <c r="R43" s="3">
        <v>-1.935108412485381E-3</v>
      </c>
      <c r="S43" s="3">
        <v>-1.900307006277727E-3</v>
      </c>
      <c r="T43" s="3">
        <v>-1.6966602314157149E-3</v>
      </c>
      <c r="U43" s="3">
        <v>-1.653476840700586E-3</v>
      </c>
      <c r="V43" s="3">
        <v>-1.6322637708386929E-3</v>
      </c>
      <c r="W43" s="3">
        <v>-1.6442687431047159E-3</v>
      </c>
      <c r="X43" s="3">
        <v>-1.654697820247822E-3</v>
      </c>
      <c r="Y43" s="3">
        <v>-1.685300690892733E-3</v>
      </c>
      <c r="Z43" s="3">
        <v>-8.6708111298007488E-3</v>
      </c>
      <c r="AA43" s="3">
        <v>-7.9816100218843868E-3</v>
      </c>
      <c r="AB43" s="3">
        <v>1.0361433576625251E-2</v>
      </c>
      <c r="AC43" s="3">
        <v>-8.3835666000292932E-4</v>
      </c>
      <c r="AD43" s="3">
        <v>-1.702390322956313E-3</v>
      </c>
      <c r="AE43" s="3">
        <v>-1.7475009234013501E-3</v>
      </c>
      <c r="AF43" s="3">
        <v>-2.1246440935403172E-3</v>
      </c>
      <c r="AG43" s="3">
        <v>-1.923432111911995E-3</v>
      </c>
      <c r="AH43" s="3">
        <v>-1.813864919068536E-3</v>
      </c>
      <c r="AI43" s="3">
        <v>-1.7482493502358979E-3</v>
      </c>
      <c r="AJ43" s="3">
        <v>-1.723838857269762E-3</v>
      </c>
      <c r="AK43" s="3">
        <v>-1.635756536532495E-3</v>
      </c>
      <c r="AL43" s="3">
        <v>-1.6151804924408541E-3</v>
      </c>
      <c r="AM43" s="3">
        <v>-1.563932886772146E-3</v>
      </c>
      <c r="AN43" s="3">
        <v>-1.531515728585728E-3</v>
      </c>
      <c r="AO43" s="3">
        <v>-1.5069873834663071E-3</v>
      </c>
      <c r="AP43" s="3">
        <v>-1.4599621163918211E-3</v>
      </c>
      <c r="AQ43" s="3">
        <v>-1.4101899513953361E-3</v>
      </c>
      <c r="AR43" s="3">
        <v>-1.392654071767234E-3</v>
      </c>
      <c r="AS43" s="3">
        <v>-1.3259668120326651E-3</v>
      </c>
      <c r="AT43" s="3">
        <v>-1.3535294344013489E-3</v>
      </c>
      <c r="AU43" s="3">
        <v>-1.3258070331618741E-3</v>
      </c>
      <c r="AV43" s="3">
        <v>-1.2775758748307239E-3</v>
      </c>
      <c r="AW43" s="3">
        <v>-1.2925270438231579E-3</v>
      </c>
      <c r="AX43" s="3">
        <v>-1.274229738902594E-3</v>
      </c>
      <c r="AY43" s="3">
        <v>-1.2467882885268771E-3</v>
      </c>
      <c r="AZ43" s="3">
        <v>-1.23041494683386E-3</v>
      </c>
      <c r="BA43" s="3">
        <v>-1.188892344859602E-3</v>
      </c>
      <c r="BB43" s="3">
        <v>-1.1763762780262711E-3</v>
      </c>
      <c r="BC43" s="3">
        <v>-1.1555625013000669E-3</v>
      </c>
      <c r="BD43" s="3">
        <v>-1.143825341909041E-3</v>
      </c>
      <c r="BE43" s="3">
        <v>-1.1297371357123489E-3</v>
      </c>
    </row>
    <row r="44" spans="1:57" x14ac:dyDescent="0.25">
      <c r="A44" s="1" t="str">
        <f>'Population Definitions'!$A$12</f>
        <v>Prisoners_males</v>
      </c>
      <c r="C44" t="s">
        <v>55</v>
      </c>
      <c r="D44" s="3"/>
      <c r="E44" s="3">
        <v>0</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C45" t="s">
        <v>55</v>
      </c>
      <c r="D45" s="3"/>
      <c r="E45" s="3">
        <v>0</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C46" t="s">
        <v>55</v>
      </c>
      <c r="D46" s="3"/>
      <c r="E46" s="3">
        <v>0</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C47" t="s">
        <v>55</v>
      </c>
      <c r="D47" s="3"/>
      <c r="E47" s="3">
        <v>0</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56</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C50" t="s">
        <v>55</v>
      </c>
      <c r="D50" s="3"/>
      <c r="E50" s="3"/>
      <c r="F50" s="4" t="s">
        <v>39</v>
      </c>
      <c r="G50" s="3">
        <v>3.5923016738416678E-3</v>
      </c>
      <c r="H50" s="3">
        <v>3.6241981867445329E-3</v>
      </c>
      <c r="I50" s="3">
        <v>3.670810002046923E-3</v>
      </c>
      <c r="J50" s="3">
        <v>3.7284770653675742E-3</v>
      </c>
      <c r="K50" s="3">
        <v>3.8000409266709771E-3</v>
      </c>
      <c r="L50" s="3">
        <v>3.8805958622852529E-3</v>
      </c>
      <c r="M50" s="3">
        <v>3.9603830647480824E-3</v>
      </c>
      <c r="N50" s="3">
        <v>4.0360135023789698E-3</v>
      </c>
      <c r="O50" s="3">
        <v>4.100134185426511E-3</v>
      </c>
      <c r="P50" s="3">
        <v>4.1404291805973922E-3</v>
      </c>
      <c r="Q50" s="3">
        <v>4.160176944788231E-3</v>
      </c>
      <c r="R50" s="3">
        <v>4.2198653742317434E-3</v>
      </c>
      <c r="S50" s="3">
        <v>4.1567269918478334E-3</v>
      </c>
      <c r="T50" s="3">
        <v>4.1296723812587303E-3</v>
      </c>
      <c r="U50" s="3">
        <v>4.036167307074498E-3</v>
      </c>
      <c r="V50" s="3">
        <v>3.990156975968895E-3</v>
      </c>
      <c r="W50" s="3">
        <v>3.865396687517121E-3</v>
      </c>
      <c r="X50" s="3">
        <v>3.7671219152922331E-3</v>
      </c>
      <c r="Y50" s="3">
        <v>3.677501529181284E-3</v>
      </c>
      <c r="Z50" s="3">
        <v>3.6050162296612262E-3</v>
      </c>
      <c r="AA50" s="3">
        <v>4.0572309225631407E-3</v>
      </c>
      <c r="AB50" s="3">
        <v>4.2640495822467359E-3</v>
      </c>
      <c r="AC50" s="3">
        <v>3.9130382774726731E-3</v>
      </c>
      <c r="AD50" s="3">
        <v>3.613744642536827E-3</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C51" t="s">
        <v>55</v>
      </c>
      <c r="D51" s="3"/>
      <c r="E51" s="3"/>
      <c r="F51" s="4" t="s">
        <v>39</v>
      </c>
      <c r="G51" s="3">
        <v>1.8821336555677581E-3</v>
      </c>
      <c r="H51" s="3">
        <v>1.880213100903712E-3</v>
      </c>
      <c r="I51" s="3">
        <v>1.8925751685260339E-3</v>
      </c>
      <c r="J51" s="3">
        <v>1.920465601243263E-3</v>
      </c>
      <c r="K51" s="3">
        <v>1.963927527743917E-3</v>
      </c>
      <c r="L51" s="3">
        <v>2.016959429544139E-3</v>
      </c>
      <c r="M51" s="3">
        <v>2.0718540461355959E-3</v>
      </c>
      <c r="N51" s="3">
        <v>2.122499646146797E-3</v>
      </c>
      <c r="O51" s="3">
        <v>2.163263679144465E-3</v>
      </c>
      <c r="P51" s="3">
        <v>2.185261190391767E-3</v>
      </c>
      <c r="Q51" s="3">
        <v>2.1920430841131161E-3</v>
      </c>
      <c r="R51" s="3">
        <v>2.2414730815234459E-3</v>
      </c>
      <c r="S51" s="3">
        <v>2.2097784767629411E-3</v>
      </c>
      <c r="T51" s="3">
        <v>2.1816705944125311E-3</v>
      </c>
      <c r="U51" s="3">
        <v>2.1422437392770739E-3</v>
      </c>
      <c r="V51" s="3">
        <v>2.1120191036639148E-3</v>
      </c>
      <c r="W51" s="3">
        <v>2.068649868043474E-3</v>
      </c>
      <c r="X51" s="3">
        <v>2.0298085988332032E-3</v>
      </c>
      <c r="Y51" s="3">
        <v>1.990719663999844E-3</v>
      </c>
      <c r="Z51" s="3">
        <v>1.959427815951674E-3</v>
      </c>
      <c r="AA51" s="3">
        <v>2.3123098088246499E-3</v>
      </c>
      <c r="AB51" s="3">
        <v>2.663179061805221E-3</v>
      </c>
      <c r="AC51" s="3">
        <v>2.1647249157561708E-3</v>
      </c>
      <c r="AD51" s="3">
        <v>1.9733395030181872E-3</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C52" t="s">
        <v>55</v>
      </c>
      <c r="D52" s="3"/>
      <c r="E52" s="3"/>
      <c r="F52" s="4" t="s">
        <v>39</v>
      </c>
      <c r="G52" s="3">
        <v>5.7292265490632597E-3</v>
      </c>
      <c r="H52" s="3">
        <v>5.4522681414199449E-3</v>
      </c>
      <c r="I52" s="3">
        <v>5.191304793717229E-3</v>
      </c>
      <c r="J52" s="3">
        <v>4.9417577066808369E-3</v>
      </c>
      <c r="K52" s="3">
        <v>4.7060652051627667E-3</v>
      </c>
      <c r="L52" s="3">
        <v>4.5180240802668121E-3</v>
      </c>
      <c r="M52" s="3">
        <v>4.3423756052041193E-3</v>
      </c>
      <c r="N52" s="3">
        <v>4.2049422308944734E-3</v>
      </c>
      <c r="O52" s="3">
        <v>4.0629690720714274E-3</v>
      </c>
      <c r="P52" s="3">
        <v>3.9288149482013864E-3</v>
      </c>
      <c r="Q52" s="3">
        <v>3.7978959808493821E-3</v>
      </c>
      <c r="R52" s="3">
        <v>3.6540095317173782E-3</v>
      </c>
      <c r="S52" s="3">
        <v>3.546444377600383E-3</v>
      </c>
      <c r="T52" s="3">
        <v>3.4604953552078589E-3</v>
      </c>
      <c r="U52" s="3">
        <v>3.2891408196774178E-3</v>
      </c>
      <c r="V52" s="3">
        <v>3.142994409688593E-3</v>
      </c>
      <c r="W52" s="3">
        <v>2.9070115906558698E-3</v>
      </c>
      <c r="X52" s="3">
        <v>2.752541820403436E-3</v>
      </c>
      <c r="Y52" s="3">
        <v>2.4900049624146168E-3</v>
      </c>
      <c r="Z52" s="3">
        <v>2.320550127714776E-3</v>
      </c>
      <c r="AA52" s="3">
        <v>2.1883529852519418E-3</v>
      </c>
      <c r="AB52" s="3">
        <v>2.0849786230434822E-3</v>
      </c>
      <c r="AC52" s="3">
        <v>2.05477957708503E-3</v>
      </c>
      <c r="AD52" s="3">
        <v>2.0736974565924108E-3</v>
      </c>
      <c r="AE52" s="3">
        <v>1.921839418133723E-3</v>
      </c>
      <c r="AF52" s="3">
        <v>1.880681099501983E-3</v>
      </c>
      <c r="AG52" s="3">
        <v>1.8371623488818349E-3</v>
      </c>
      <c r="AH52" s="3">
        <v>1.809742233912483E-3</v>
      </c>
      <c r="AI52" s="3">
        <v>1.777588220719345E-3</v>
      </c>
      <c r="AJ52" s="3">
        <v>1.740061702441128E-3</v>
      </c>
      <c r="AK52" s="3">
        <v>1.7060004927616299E-3</v>
      </c>
      <c r="AL52" s="3">
        <v>1.668641363948917E-3</v>
      </c>
      <c r="AM52" s="3">
        <v>1.6309937873237629E-3</v>
      </c>
      <c r="AN52" s="3">
        <v>1.5927227030163929E-3</v>
      </c>
      <c r="AO52" s="3">
        <v>1.557517362578791E-3</v>
      </c>
      <c r="AP52" s="3">
        <v>1.5192886438471359E-3</v>
      </c>
      <c r="AQ52" s="3">
        <v>1.485235411202406E-3</v>
      </c>
      <c r="AR52" s="3">
        <v>1.448581993572821E-3</v>
      </c>
      <c r="AS52" s="3">
        <v>1.41093714931831E-3</v>
      </c>
      <c r="AT52" s="3">
        <v>1.37002399211649E-3</v>
      </c>
      <c r="AU52" s="3">
        <v>1.332365129168516E-3</v>
      </c>
      <c r="AV52" s="3">
        <v>1.2901858491478071E-3</v>
      </c>
      <c r="AW52" s="3">
        <v>1.246432267015312E-3</v>
      </c>
      <c r="AX52" s="3">
        <v>1.209300987990171E-3</v>
      </c>
      <c r="AY52" s="3">
        <v>1.1692003995777359E-3</v>
      </c>
      <c r="AZ52" s="3">
        <v>1.130604797918147E-3</v>
      </c>
      <c r="BA52" s="3">
        <v>1.0954796839267461E-3</v>
      </c>
      <c r="BB52" s="3">
        <v>1.0624712961968519E-3</v>
      </c>
      <c r="BC52" s="3">
        <v>1.032805244113006E-3</v>
      </c>
      <c r="BD52" s="3">
        <v>1.00560854447117E-3</v>
      </c>
      <c r="BE52" s="3">
        <v>9.8002447524930944E-4</v>
      </c>
    </row>
    <row r="53" spans="1:57" x14ac:dyDescent="0.25">
      <c r="A53" s="1" t="str">
        <f>'Population Definitions'!$A$5</f>
        <v>0-9_females</v>
      </c>
      <c r="C53" t="s">
        <v>55</v>
      </c>
      <c r="D53" s="3"/>
      <c r="E53" s="3"/>
      <c r="F53" s="4" t="s">
        <v>39</v>
      </c>
      <c r="G53" s="3">
        <v>5.2723819488672543E-3</v>
      </c>
      <c r="H53" s="3">
        <v>4.99091529720843E-3</v>
      </c>
      <c r="I53" s="3">
        <v>4.7353446115102798E-3</v>
      </c>
      <c r="J53" s="3">
        <v>4.4932348039971367E-3</v>
      </c>
      <c r="K53" s="3">
        <v>4.2539728709514264E-3</v>
      </c>
      <c r="L53" s="3">
        <v>4.0533908730008344E-3</v>
      </c>
      <c r="M53" s="3">
        <v>3.8653179141634221E-3</v>
      </c>
      <c r="N53" s="3">
        <v>3.7153853069933061E-3</v>
      </c>
      <c r="O53" s="3">
        <v>3.570936375778952E-3</v>
      </c>
      <c r="P53" s="3">
        <v>3.438160431159069E-3</v>
      </c>
      <c r="Q53" s="3">
        <v>3.3188982425604212E-3</v>
      </c>
      <c r="R53" s="3">
        <v>3.1909459062227381E-3</v>
      </c>
      <c r="S53" s="3">
        <v>3.0918661710313202E-3</v>
      </c>
      <c r="T53" s="3">
        <v>3.0178813351614828E-3</v>
      </c>
      <c r="U53" s="3">
        <v>2.864662297990859E-3</v>
      </c>
      <c r="V53" s="3">
        <v>2.7371068400961281E-3</v>
      </c>
      <c r="W53" s="3">
        <v>2.5286453703957019E-3</v>
      </c>
      <c r="X53" s="3">
        <v>2.389446754408987E-3</v>
      </c>
      <c r="Y53" s="3">
        <v>2.158348950083387E-3</v>
      </c>
      <c r="Z53" s="3">
        <v>2.0074468483096508E-3</v>
      </c>
      <c r="AA53" s="3">
        <v>1.8695952690574291E-3</v>
      </c>
      <c r="AB53" s="3">
        <v>1.7796248870096201E-3</v>
      </c>
      <c r="AC53" s="3">
        <v>1.75296759050269E-3</v>
      </c>
      <c r="AD53" s="3">
        <v>1.772919029747904E-3</v>
      </c>
      <c r="AE53" s="3">
        <v>1.640540263645735E-3</v>
      </c>
      <c r="AF53" s="3">
        <v>1.5705595882872269E-3</v>
      </c>
      <c r="AG53" s="3">
        <v>1.501753572006337E-3</v>
      </c>
      <c r="AH53" s="3">
        <v>1.457695682439121E-3</v>
      </c>
      <c r="AI53" s="3">
        <v>1.4102703551494291E-3</v>
      </c>
      <c r="AJ53" s="3">
        <v>1.362824438846461E-3</v>
      </c>
      <c r="AK53" s="3">
        <v>1.3215034467023211E-3</v>
      </c>
      <c r="AL53" s="3">
        <v>1.278860280125443E-3</v>
      </c>
      <c r="AM53" s="3">
        <v>1.2347394732930401E-3</v>
      </c>
      <c r="AN53" s="3">
        <v>1.196281294165679E-3</v>
      </c>
      <c r="AO53" s="3">
        <v>1.159767412819E-3</v>
      </c>
      <c r="AP53" s="3">
        <v>1.122280776437814E-3</v>
      </c>
      <c r="AQ53" s="3">
        <v>1.090967162677133E-3</v>
      </c>
      <c r="AR53" s="3">
        <v>1.053986836322322E-3</v>
      </c>
      <c r="AS53" s="3">
        <v>1.021715871374088E-3</v>
      </c>
      <c r="AT53" s="3">
        <v>9.8889479602908416E-4</v>
      </c>
      <c r="AU53" s="3">
        <v>9.5673159428641961E-4</v>
      </c>
      <c r="AV53" s="3">
        <v>9.2485612011086152E-4</v>
      </c>
      <c r="AW53" s="3">
        <v>8.9233822782060007E-4</v>
      </c>
      <c r="AX53" s="3">
        <v>8.6138763740329716E-4</v>
      </c>
      <c r="AY53" s="3">
        <v>8.3130373741197017E-4</v>
      </c>
      <c r="AZ53" s="3">
        <v>8.0377765579753529E-4</v>
      </c>
      <c r="BA53" s="3">
        <v>7.7929348610069823E-4</v>
      </c>
      <c r="BB53" s="3">
        <v>7.5851426143256934E-4</v>
      </c>
      <c r="BC53" s="3">
        <v>7.3847514966699412E-4</v>
      </c>
      <c r="BD53" s="3">
        <v>7.2146163828272882E-4</v>
      </c>
      <c r="BE53" s="3">
        <v>7.0575644907625425E-4</v>
      </c>
    </row>
    <row r="54" spans="1:57" x14ac:dyDescent="0.25">
      <c r="A54" s="1" t="str">
        <f>'Population Definitions'!$A$6</f>
        <v>10-17_males</v>
      </c>
      <c r="C54" t="s">
        <v>55</v>
      </c>
      <c r="D54" s="3"/>
      <c r="E54" s="3"/>
      <c r="F54" s="4" t="s">
        <v>39</v>
      </c>
      <c r="G54" s="3">
        <v>7.7359982278198559E-4</v>
      </c>
      <c r="H54" s="3">
        <v>7.5239155765167249E-4</v>
      </c>
      <c r="I54" s="3">
        <v>7.3405286697850354E-4</v>
      </c>
      <c r="J54" s="3">
        <v>7.1855564691610148E-4</v>
      </c>
      <c r="K54" s="3">
        <v>7.0645322797491868E-4</v>
      </c>
      <c r="L54" s="3">
        <v>6.9738162661222506E-4</v>
      </c>
      <c r="M54" s="3">
        <v>6.8967363321014732E-4</v>
      </c>
      <c r="N54" s="3">
        <v>6.843358632150628E-4</v>
      </c>
      <c r="O54" s="3">
        <v>6.8296363283601653E-4</v>
      </c>
      <c r="P54" s="3">
        <v>6.8164532292794213E-4</v>
      </c>
      <c r="Q54" s="3">
        <v>6.8441193446516172E-4</v>
      </c>
      <c r="R54" s="3">
        <v>6.9124556254931155E-4</v>
      </c>
      <c r="S54" s="3">
        <v>6.8800310391599383E-4</v>
      </c>
      <c r="T54" s="3">
        <v>6.9645208963516102E-4</v>
      </c>
      <c r="U54" s="3">
        <v>6.8614390447180329E-4</v>
      </c>
      <c r="V54" s="3">
        <v>6.8304785169550188E-4</v>
      </c>
      <c r="W54" s="3">
        <v>6.6338907278777148E-4</v>
      </c>
      <c r="X54" s="3">
        <v>6.461951868597369E-4</v>
      </c>
      <c r="Y54" s="3">
        <v>6.2759236120510907E-4</v>
      </c>
      <c r="Z54" s="3">
        <v>6.1124500790184601E-4</v>
      </c>
      <c r="AA54" s="3">
        <v>5.9781166090325483E-4</v>
      </c>
      <c r="AB54" s="3">
        <v>6.2644306533285649E-4</v>
      </c>
      <c r="AC54" s="3">
        <v>5.7499288060007319E-4</v>
      </c>
      <c r="AD54" s="3">
        <v>5.5303486187049825E-4</v>
      </c>
      <c r="AE54" s="3">
        <v>5.1533591869893768E-4</v>
      </c>
      <c r="AF54" s="3">
        <v>5.0006429468973511E-4</v>
      </c>
      <c r="AG54" s="3">
        <v>4.8681864837254779E-4</v>
      </c>
      <c r="AH54" s="3">
        <v>4.7833637958581427E-4</v>
      </c>
      <c r="AI54" s="3">
        <v>4.7138482827463913E-4</v>
      </c>
      <c r="AJ54" s="3">
        <v>4.6916754708333701E-4</v>
      </c>
      <c r="AK54" s="3">
        <v>4.6732532397833991E-4</v>
      </c>
      <c r="AL54" s="3">
        <v>4.6291533297807881E-4</v>
      </c>
      <c r="AM54" s="3">
        <v>4.5645959615224442E-4</v>
      </c>
      <c r="AN54" s="3">
        <v>4.4782425979711572E-4</v>
      </c>
      <c r="AO54" s="3">
        <v>4.3759559105471118E-4</v>
      </c>
      <c r="AP54" s="3">
        <v>4.2680068208084013E-4</v>
      </c>
      <c r="AQ54" s="3">
        <v>4.1685126398836289E-4</v>
      </c>
      <c r="AR54" s="3">
        <v>4.0858374337765448E-4</v>
      </c>
      <c r="AS54" s="3">
        <v>4.0075304627476441E-4</v>
      </c>
      <c r="AT54" s="3">
        <v>3.9322579112604491E-4</v>
      </c>
      <c r="AU54" s="3">
        <v>3.8663141014201732E-4</v>
      </c>
      <c r="AV54" s="3">
        <v>3.7956973904329668E-4</v>
      </c>
      <c r="AW54" s="3">
        <v>3.7220371877206822E-4</v>
      </c>
      <c r="AX54" s="3">
        <v>3.6530023081858998E-4</v>
      </c>
      <c r="AY54" s="3">
        <v>3.5849237802326208E-4</v>
      </c>
      <c r="AZ54" s="3">
        <v>3.5174231243755781E-4</v>
      </c>
      <c r="BA54" s="3">
        <v>3.4492967304565703E-4</v>
      </c>
      <c r="BB54" s="3">
        <v>3.3814789259806909E-4</v>
      </c>
      <c r="BC54" s="3">
        <v>3.3196268916320181E-4</v>
      </c>
      <c r="BD54" s="3">
        <v>3.2541493433628119E-4</v>
      </c>
      <c r="BE54" s="3">
        <v>3.1909286720276862E-4</v>
      </c>
    </row>
    <row r="55" spans="1:57" x14ac:dyDescent="0.25">
      <c r="A55" s="1" t="str">
        <f>'Population Definitions'!$A$7</f>
        <v>10-17_females</v>
      </c>
      <c r="C55" t="s">
        <v>55</v>
      </c>
      <c r="D55" s="3"/>
      <c r="E55" s="3"/>
      <c r="F55" s="4" t="s">
        <v>39</v>
      </c>
      <c r="G55" s="3">
        <v>5.3239112623825282E-4</v>
      </c>
      <c r="H55" s="3">
        <v>5.0708100832352594E-4</v>
      </c>
      <c r="I55" s="3">
        <v>4.8447185312598472E-4</v>
      </c>
      <c r="J55" s="3">
        <v>4.6472042237858269E-4</v>
      </c>
      <c r="K55" s="3">
        <v>4.4756688640484031E-4</v>
      </c>
      <c r="L55" s="3">
        <v>4.3214938777021589E-4</v>
      </c>
      <c r="M55" s="3">
        <v>4.1806537157106002E-4</v>
      </c>
      <c r="N55" s="3">
        <v>4.054262163241575E-4</v>
      </c>
      <c r="O55" s="3">
        <v>3.9544446237300209E-4</v>
      </c>
      <c r="P55" s="3">
        <v>3.84894346213546E-4</v>
      </c>
      <c r="Q55" s="3">
        <v>3.7747946910464191E-4</v>
      </c>
      <c r="R55" s="3">
        <v>3.7253600746144869E-4</v>
      </c>
      <c r="S55" s="3">
        <v>3.6538351822911429E-4</v>
      </c>
      <c r="T55" s="3">
        <v>3.6507411223003739E-4</v>
      </c>
      <c r="U55" s="3">
        <v>3.586527697775266E-4</v>
      </c>
      <c r="V55" s="3">
        <v>3.5780510391625011E-4</v>
      </c>
      <c r="W55" s="3">
        <v>3.5360637582693811E-4</v>
      </c>
      <c r="X55" s="3">
        <v>3.5076601690434172E-4</v>
      </c>
      <c r="Y55" s="3">
        <v>3.4752622153619002E-4</v>
      </c>
      <c r="Z55" s="3">
        <v>3.4571766615434468E-4</v>
      </c>
      <c r="AA55" s="3">
        <v>3.4840285584837832E-4</v>
      </c>
      <c r="AB55" s="3">
        <v>3.6935868269484328E-4</v>
      </c>
      <c r="AC55" s="3">
        <v>3.3999171341457708E-4</v>
      </c>
      <c r="AD55" s="3">
        <v>3.3633051139651289E-4</v>
      </c>
      <c r="AE55" s="3">
        <v>2.7862805516706937E-4</v>
      </c>
      <c r="AF55" s="3">
        <v>2.6633582763078148E-4</v>
      </c>
      <c r="AG55" s="3">
        <v>2.5531908411133812E-4</v>
      </c>
      <c r="AH55" s="3">
        <v>2.4823565758672468E-4</v>
      </c>
      <c r="AI55" s="3">
        <v>2.419387556372174E-4</v>
      </c>
      <c r="AJ55" s="3">
        <v>2.391992336538508E-4</v>
      </c>
      <c r="AK55" s="3">
        <v>2.3662760720373981E-4</v>
      </c>
      <c r="AL55" s="3">
        <v>2.329405668566378E-4</v>
      </c>
      <c r="AM55" s="3">
        <v>2.2842863612974811E-4</v>
      </c>
      <c r="AN55" s="3">
        <v>2.2326501991642089E-4</v>
      </c>
      <c r="AO55" s="3">
        <v>2.1771389992215849E-4</v>
      </c>
      <c r="AP55" s="3">
        <v>2.117760853874286E-4</v>
      </c>
      <c r="AQ55" s="3">
        <v>2.066936648066406E-4</v>
      </c>
      <c r="AR55" s="3">
        <v>2.020783312358411E-4</v>
      </c>
      <c r="AS55" s="3">
        <v>1.9797953046933009E-4</v>
      </c>
      <c r="AT55" s="3">
        <v>1.9405091956133989E-4</v>
      </c>
      <c r="AU55" s="3">
        <v>1.9035837488366321E-4</v>
      </c>
      <c r="AV55" s="3">
        <v>1.8689020084684891E-4</v>
      </c>
      <c r="AW55" s="3">
        <v>1.830890131360871E-4</v>
      </c>
      <c r="AX55" s="3">
        <v>1.795822930404955E-4</v>
      </c>
      <c r="AY55" s="3">
        <v>1.7587793000738009E-4</v>
      </c>
      <c r="AZ55" s="3">
        <v>1.729258513333501E-4</v>
      </c>
      <c r="BA55" s="3">
        <v>1.698330185798434E-4</v>
      </c>
      <c r="BB55" s="3">
        <v>1.6695032717612719E-4</v>
      </c>
      <c r="BC55" s="3">
        <v>1.6412145522542361E-4</v>
      </c>
      <c r="BD55" s="3">
        <v>1.6138385527684489E-4</v>
      </c>
      <c r="BE55" s="3">
        <v>1.5869611691897521E-4</v>
      </c>
    </row>
    <row r="56" spans="1:57" x14ac:dyDescent="0.25">
      <c r="A56" s="1" t="str">
        <f>'Population Definitions'!$A$8</f>
        <v>18-64_males</v>
      </c>
      <c r="C56" t="s">
        <v>55</v>
      </c>
      <c r="D56" s="3"/>
      <c r="E56" s="3"/>
      <c r="F56" s="4" t="s">
        <v>39</v>
      </c>
      <c r="G56" s="3">
        <v>3.5923016738416678E-3</v>
      </c>
      <c r="H56" s="3">
        <v>3.6241981867445329E-3</v>
      </c>
      <c r="I56" s="3">
        <v>3.670810002046923E-3</v>
      </c>
      <c r="J56" s="3">
        <v>3.7284770653675742E-3</v>
      </c>
      <c r="K56" s="3">
        <v>3.8000409266709771E-3</v>
      </c>
      <c r="L56" s="3">
        <v>3.8805958622852529E-3</v>
      </c>
      <c r="M56" s="3">
        <v>3.9603830647480824E-3</v>
      </c>
      <c r="N56" s="3">
        <v>4.0360135023789698E-3</v>
      </c>
      <c r="O56" s="3">
        <v>4.100134185426511E-3</v>
      </c>
      <c r="P56" s="3">
        <v>4.1404291805973922E-3</v>
      </c>
      <c r="Q56" s="3">
        <v>4.160176944788231E-3</v>
      </c>
      <c r="R56" s="3">
        <v>4.2198653742317434E-3</v>
      </c>
      <c r="S56" s="3">
        <v>4.1567269918478334E-3</v>
      </c>
      <c r="T56" s="3">
        <v>4.1296723812587303E-3</v>
      </c>
      <c r="U56" s="3">
        <v>4.036167307074498E-3</v>
      </c>
      <c r="V56" s="3">
        <v>3.990156975968895E-3</v>
      </c>
      <c r="W56" s="3">
        <v>3.865396687517121E-3</v>
      </c>
      <c r="X56" s="3">
        <v>3.7671219152922331E-3</v>
      </c>
      <c r="Y56" s="3">
        <v>3.677501529181284E-3</v>
      </c>
      <c r="Z56" s="3">
        <v>3.6050162296612262E-3</v>
      </c>
      <c r="AA56" s="3">
        <v>4.0572309225631407E-3</v>
      </c>
      <c r="AB56" s="3">
        <v>4.2640495822467359E-3</v>
      </c>
      <c r="AC56" s="3">
        <v>3.9130382774726731E-3</v>
      </c>
      <c r="AD56" s="3">
        <v>3.613744642536827E-3</v>
      </c>
      <c r="AE56" s="3">
        <v>4.3683161940121229E-3</v>
      </c>
      <c r="AF56" s="3">
        <v>4.3440322379120506E-3</v>
      </c>
      <c r="AG56" s="3">
        <v>4.3164572086044854E-3</v>
      </c>
      <c r="AH56" s="3">
        <v>4.2815422420924548E-3</v>
      </c>
      <c r="AI56" s="3">
        <v>4.2433331993596071E-3</v>
      </c>
      <c r="AJ56" s="3">
        <v>4.2091522299253174E-3</v>
      </c>
      <c r="AK56" s="3">
        <v>4.180702804431103E-3</v>
      </c>
      <c r="AL56" s="3">
        <v>4.1444977793699466E-3</v>
      </c>
      <c r="AM56" s="3">
        <v>4.1060778895129369E-3</v>
      </c>
      <c r="AN56" s="3">
        <v>4.070776195644975E-3</v>
      </c>
      <c r="AO56" s="3">
        <v>4.0367925766814612E-3</v>
      </c>
      <c r="AP56" s="3">
        <v>4.009105657588029E-3</v>
      </c>
      <c r="AQ56" s="3">
        <v>3.9895746402320376E-3</v>
      </c>
      <c r="AR56" s="3">
        <v>3.9722423950160173E-3</v>
      </c>
      <c r="AS56" s="3">
        <v>3.9600495242895052E-3</v>
      </c>
      <c r="AT56" s="3">
        <v>3.9452028697967599E-3</v>
      </c>
      <c r="AU56" s="3">
        <v>3.9338670432861184E-3</v>
      </c>
      <c r="AV56" s="3">
        <v>3.9182421489930997E-3</v>
      </c>
      <c r="AW56" s="3">
        <v>3.89698456707101E-3</v>
      </c>
      <c r="AX56" s="3">
        <v>3.8749875474870699E-3</v>
      </c>
      <c r="AY56" s="3">
        <v>3.8507287372188028E-3</v>
      </c>
      <c r="AZ56" s="3">
        <v>3.8234594032451759E-3</v>
      </c>
      <c r="BA56" s="3">
        <v>3.7932417808829171E-3</v>
      </c>
      <c r="BB56" s="3">
        <v>3.7605551346994938E-3</v>
      </c>
      <c r="BC56" s="3">
        <v>3.721196818062491E-3</v>
      </c>
      <c r="BD56" s="3">
        <v>3.675662840645042E-3</v>
      </c>
      <c r="BE56" s="3">
        <v>3.6276448736616571E-3</v>
      </c>
    </row>
    <row r="57" spans="1:57" x14ac:dyDescent="0.25">
      <c r="A57" s="1" t="str">
        <f>'Population Definitions'!$A$9</f>
        <v>18-64_females</v>
      </c>
      <c r="C57" t="s">
        <v>55</v>
      </c>
      <c r="D57" s="3"/>
      <c r="E57" s="3"/>
      <c r="F57" s="4" t="s">
        <v>39</v>
      </c>
      <c r="G57" s="3">
        <v>1.8821336555677581E-3</v>
      </c>
      <c r="H57" s="3">
        <v>1.880213100903712E-3</v>
      </c>
      <c r="I57" s="3">
        <v>1.8925751685260339E-3</v>
      </c>
      <c r="J57" s="3">
        <v>1.920465601243263E-3</v>
      </c>
      <c r="K57" s="3">
        <v>1.963927527743917E-3</v>
      </c>
      <c r="L57" s="3">
        <v>2.016959429544139E-3</v>
      </c>
      <c r="M57" s="3">
        <v>2.0718540461355959E-3</v>
      </c>
      <c r="N57" s="3">
        <v>2.122499646146797E-3</v>
      </c>
      <c r="O57" s="3">
        <v>2.163263679144465E-3</v>
      </c>
      <c r="P57" s="3">
        <v>2.185261190391767E-3</v>
      </c>
      <c r="Q57" s="3">
        <v>2.1920430841131161E-3</v>
      </c>
      <c r="R57" s="3">
        <v>2.2414730815234459E-3</v>
      </c>
      <c r="S57" s="3">
        <v>2.2097784767629411E-3</v>
      </c>
      <c r="T57" s="3">
        <v>2.1816705944125311E-3</v>
      </c>
      <c r="U57" s="3">
        <v>2.1422437392770739E-3</v>
      </c>
      <c r="V57" s="3">
        <v>2.1120191036639148E-3</v>
      </c>
      <c r="W57" s="3">
        <v>2.068649868043474E-3</v>
      </c>
      <c r="X57" s="3">
        <v>2.0298085988332032E-3</v>
      </c>
      <c r="Y57" s="3">
        <v>1.990719663999844E-3</v>
      </c>
      <c r="Z57" s="3">
        <v>1.959427815951674E-3</v>
      </c>
      <c r="AA57" s="3">
        <v>2.3123098088246499E-3</v>
      </c>
      <c r="AB57" s="3">
        <v>2.663179061805221E-3</v>
      </c>
      <c r="AC57" s="3">
        <v>2.1647249157561708E-3</v>
      </c>
      <c r="AD57" s="3">
        <v>1.9733395030181872E-3</v>
      </c>
      <c r="AE57" s="3">
        <v>2.6332433451747659E-3</v>
      </c>
      <c r="AF57" s="3">
        <v>2.600074117315972E-3</v>
      </c>
      <c r="AG57" s="3">
        <v>2.5666475524196721E-3</v>
      </c>
      <c r="AH57" s="3">
        <v>2.529050464413699E-3</v>
      </c>
      <c r="AI57" s="3">
        <v>2.4900887035404062E-3</v>
      </c>
      <c r="AJ57" s="3">
        <v>2.457997965469571E-3</v>
      </c>
      <c r="AK57" s="3">
        <v>2.429803288239447E-3</v>
      </c>
      <c r="AL57" s="3">
        <v>2.398058521117605E-3</v>
      </c>
      <c r="AM57" s="3">
        <v>2.3678819714864959E-3</v>
      </c>
      <c r="AN57" s="3">
        <v>2.3383755925061121E-3</v>
      </c>
      <c r="AO57" s="3">
        <v>2.3128598204322859E-3</v>
      </c>
      <c r="AP57" s="3">
        <v>2.2912652542237291E-3</v>
      </c>
      <c r="AQ57" s="3">
        <v>2.2742686965119049E-3</v>
      </c>
      <c r="AR57" s="3">
        <v>2.259732074812692E-3</v>
      </c>
      <c r="AS57" s="3">
        <v>2.249819860632927E-3</v>
      </c>
      <c r="AT57" s="3">
        <v>2.2378667956028941E-3</v>
      </c>
      <c r="AU57" s="3">
        <v>2.2290870691546098E-3</v>
      </c>
      <c r="AV57" s="3">
        <v>2.217746120653476E-3</v>
      </c>
      <c r="AW57" s="3">
        <v>2.202434591119799E-3</v>
      </c>
      <c r="AX57" s="3">
        <v>2.18749182122486E-3</v>
      </c>
      <c r="AY57" s="3">
        <v>2.1709324730267011E-3</v>
      </c>
      <c r="AZ57" s="3">
        <v>2.1534024639214338E-3</v>
      </c>
      <c r="BA57" s="3">
        <v>2.1354917085695071E-3</v>
      </c>
      <c r="BB57" s="3">
        <v>2.115170596192447E-3</v>
      </c>
      <c r="BC57" s="3">
        <v>2.0911573786112771E-3</v>
      </c>
      <c r="BD57" s="3">
        <v>2.06443920449907E-3</v>
      </c>
      <c r="BE57" s="3">
        <v>2.03586176764501E-3</v>
      </c>
    </row>
    <row r="58" spans="1:57" x14ac:dyDescent="0.25">
      <c r="A58" s="1" t="str">
        <f>'Population Definitions'!$A$10</f>
        <v>65+_males</v>
      </c>
      <c r="C58" t="s">
        <v>55</v>
      </c>
      <c r="D58" s="3"/>
      <c r="E58" s="3"/>
      <c r="F58" s="4" t="s">
        <v>39</v>
      </c>
      <c r="G58" s="3">
        <v>7.5633879562215595E-2</v>
      </c>
      <c r="H58" s="3">
        <v>7.6028214289346946E-2</v>
      </c>
      <c r="I58" s="3">
        <v>7.6469493765616375E-2</v>
      </c>
      <c r="J58" s="3">
        <v>7.6930971787841279E-2</v>
      </c>
      <c r="K58" s="3">
        <v>7.7421156742325456E-2</v>
      </c>
      <c r="L58" s="3">
        <v>7.7944998214764138E-2</v>
      </c>
      <c r="M58" s="3">
        <v>7.8410155515413832E-2</v>
      </c>
      <c r="N58" s="3">
        <v>7.8819341084729141E-2</v>
      </c>
      <c r="O58" s="3">
        <v>7.9131719808998233E-2</v>
      </c>
      <c r="P58" s="3">
        <v>7.9270457661244645E-2</v>
      </c>
      <c r="Q58" s="3">
        <v>7.9156439275870322E-2</v>
      </c>
      <c r="R58" s="3">
        <v>7.8829464519295123E-2</v>
      </c>
      <c r="S58" s="3">
        <v>7.8035546305521925E-2</v>
      </c>
      <c r="T58" s="3">
        <v>7.7163321918068378E-2</v>
      </c>
      <c r="U58" s="3">
        <v>7.6083693539525571E-2</v>
      </c>
      <c r="V58" s="3">
        <v>7.5086266427538809E-2</v>
      </c>
      <c r="W58" s="3">
        <v>7.3919682539041409E-2</v>
      </c>
      <c r="X58" s="3">
        <v>7.2701237901096838E-2</v>
      </c>
      <c r="Y58" s="3">
        <v>7.1448097099295116E-2</v>
      </c>
      <c r="Z58" s="3">
        <v>7.0260496333313036E-2</v>
      </c>
      <c r="AA58" s="3">
        <v>8.7240724110021067E-2</v>
      </c>
      <c r="AB58" s="3">
        <v>9.4480425826929545E-2</v>
      </c>
      <c r="AC58" s="3">
        <v>7.0761504743462364E-2</v>
      </c>
      <c r="AD58" s="3">
        <v>6.7182440820593672E-2</v>
      </c>
      <c r="AE58" s="3">
        <v>6.6710189984342541E-2</v>
      </c>
      <c r="AF58" s="3">
        <v>6.648724509998663E-2</v>
      </c>
      <c r="AG58" s="3">
        <v>6.628453340828272E-2</v>
      </c>
      <c r="AH58" s="3">
        <v>6.591349546770342E-2</v>
      </c>
      <c r="AI58" s="3">
        <v>6.5568584467921506E-2</v>
      </c>
      <c r="AJ58" s="3">
        <v>6.5186230580736873E-2</v>
      </c>
      <c r="AK58" s="3">
        <v>6.4941162378256451E-2</v>
      </c>
      <c r="AL58" s="3">
        <v>6.4635269236748283E-2</v>
      </c>
      <c r="AM58" s="3">
        <v>6.4317458919051801E-2</v>
      </c>
      <c r="AN58" s="3">
        <v>6.4061524324827854E-2</v>
      </c>
      <c r="AO58" s="3">
        <v>6.3762676710311911E-2</v>
      </c>
      <c r="AP58" s="3">
        <v>6.3512729434074391E-2</v>
      </c>
      <c r="AQ58" s="3">
        <v>6.3285178243458931E-2</v>
      </c>
      <c r="AR58" s="3">
        <v>6.2972678798205173E-2</v>
      </c>
      <c r="AS58" s="3">
        <v>6.2705049879912864E-2</v>
      </c>
      <c r="AT58" s="3">
        <v>6.2370303319981238E-2</v>
      </c>
      <c r="AU58" s="3">
        <v>6.2055462914772798E-2</v>
      </c>
      <c r="AV58" s="3">
        <v>6.1702577237073807E-2</v>
      </c>
      <c r="AW58" s="3">
        <v>6.1282005156802787E-2</v>
      </c>
      <c r="AX58" s="3">
        <v>6.0829778452421719E-2</v>
      </c>
      <c r="AY58" s="3">
        <v>6.0379743366954161E-2</v>
      </c>
      <c r="AZ58" s="3">
        <v>5.9910585185288731E-2</v>
      </c>
      <c r="BA58" s="3">
        <v>5.9428018701795253E-2</v>
      </c>
      <c r="BB58" s="3">
        <v>5.8960382513119428E-2</v>
      </c>
      <c r="BC58" s="3">
        <v>5.8429326174394072E-2</v>
      </c>
      <c r="BD58" s="3">
        <v>5.786280859635707E-2</v>
      </c>
      <c r="BE58" s="3">
        <v>5.7326934660580399E-2</v>
      </c>
    </row>
    <row r="59" spans="1:57" x14ac:dyDescent="0.25">
      <c r="A59" s="1" t="str">
        <f>'Population Definitions'!$A$11</f>
        <v>65+_females</v>
      </c>
      <c r="C59" t="s">
        <v>55</v>
      </c>
      <c r="D59" s="3"/>
      <c r="E59" s="3"/>
      <c r="F59" s="4" t="s">
        <v>39</v>
      </c>
      <c r="G59" s="3">
        <v>6.1597045819624517E-2</v>
      </c>
      <c r="H59" s="3">
        <v>6.1245217997072332E-2</v>
      </c>
      <c r="I59" s="3">
        <v>6.1131101700403208E-2</v>
      </c>
      <c r="J59" s="3">
        <v>6.1316145365284368E-2</v>
      </c>
      <c r="K59" s="3">
        <v>6.1811113729199479E-2</v>
      </c>
      <c r="L59" s="3">
        <v>6.253788969523677E-2</v>
      </c>
      <c r="M59" s="3">
        <v>6.3367759441155011E-2</v>
      </c>
      <c r="N59" s="3">
        <v>6.4203523344684127E-2</v>
      </c>
      <c r="O59" s="3">
        <v>6.4925277818183427E-2</v>
      </c>
      <c r="P59" s="3">
        <v>6.5402317582713324E-2</v>
      </c>
      <c r="Q59" s="3">
        <v>6.5553306826439769E-2</v>
      </c>
      <c r="R59" s="3">
        <v>6.5414015278077844E-2</v>
      </c>
      <c r="S59" s="3">
        <v>6.4800713347309788E-2</v>
      </c>
      <c r="T59" s="3">
        <v>6.4086806510508743E-2</v>
      </c>
      <c r="U59" s="3">
        <v>6.321654736129774E-2</v>
      </c>
      <c r="V59" s="3">
        <v>6.2284142917478698E-2</v>
      </c>
      <c r="W59" s="3">
        <v>6.1144275910385473E-2</v>
      </c>
      <c r="X59" s="3">
        <v>5.993413750178931E-2</v>
      </c>
      <c r="Y59" s="3">
        <v>5.8691589934862398E-2</v>
      </c>
      <c r="Z59" s="3">
        <v>5.7513165871857973E-2</v>
      </c>
      <c r="AA59" s="3">
        <v>7.0071832890544847E-2</v>
      </c>
      <c r="AB59" s="3">
        <v>8.1586385129056402E-2</v>
      </c>
      <c r="AC59" s="3">
        <v>5.6722762168233937E-2</v>
      </c>
      <c r="AD59" s="3">
        <v>5.3937599223555788E-2</v>
      </c>
      <c r="AE59" s="3">
        <v>5.4268736205151692E-2</v>
      </c>
      <c r="AF59" s="3">
        <v>5.389571704374619E-2</v>
      </c>
      <c r="AG59" s="3">
        <v>5.3601445652387177E-2</v>
      </c>
      <c r="AH59" s="3">
        <v>5.3173809135807423E-2</v>
      </c>
      <c r="AI59" s="3">
        <v>5.2789399174581898E-2</v>
      </c>
      <c r="AJ59" s="3">
        <v>5.2434430888027538E-2</v>
      </c>
      <c r="AK59" s="3">
        <v>5.2191589355264419E-2</v>
      </c>
      <c r="AL59" s="3">
        <v>5.1922225090636133E-2</v>
      </c>
      <c r="AM59" s="3">
        <v>5.1714090424088047E-2</v>
      </c>
      <c r="AN59" s="3">
        <v>5.1485857597460112E-2</v>
      </c>
      <c r="AO59" s="3">
        <v>5.1292501800536183E-2</v>
      </c>
      <c r="AP59" s="3">
        <v>5.1123389624373038E-2</v>
      </c>
      <c r="AQ59" s="3">
        <v>5.0928661789646501E-2</v>
      </c>
      <c r="AR59" s="3">
        <v>5.0709696660097357E-2</v>
      </c>
      <c r="AS59" s="3">
        <v>5.050962734767489E-2</v>
      </c>
      <c r="AT59" s="3">
        <v>5.0219824291779992E-2</v>
      </c>
      <c r="AU59" s="3">
        <v>4.9975570968022347E-2</v>
      </c>
      <c r="AV59" s="3">
        <v>4.9661532933795029E-2</v>
      </c>
      <c r="AW59" s="3">
        <v>4.9260579544083041E-2</v>
      </c>
      <c r="AX59" s="3">
        <v>4.88748860350081E-2</v>
      </c>
      <c r="AY59" s="3">
        <v>4.845907206689426E-2</v>
      </c>
      <c r="AZ59" s="3">
        <v>4.8026403387073313E-2</v>
      </c>
      <c r="BA59" s="3">
        <v>4.7607755268994072E-2</v>
      </c>
      <c r="BB59" s="3">
        <v>4.7151658630172351E-2</v>
      </c>
      <c r="BC59" s="3">
        <v>4.6678211352957348E-2</v>
      </c>
      <c r="BD59" s="3">
        <v>4.6184864274929557E-2</v>
      </c>
      <c r="BE59" s="3">
        <v>4.5719793677773388E-2</v>
      </c>
    </row>
    <row r="60" spans="1:57" x14ac:dyDescent="0.25">
      <c r="A60" s="1" t="str">
        <f>'Population Definitions'!$A$12</f>
        <v>Prisoners_males</v>
      </c>
      <c r="C60" t="s">
        <v>55</v>
      </c>
      <c r="D60" s="3"/>
      <c r="E60" s="3"/>
      <c r="F60" s="4" t="s">
        <v>39</v>
      </c>
      <c r="G60" s="3">
        <v>3.5923016738416678E-3</v>
      </c>
      <c r="H60" s="3">
        <v>3.6241981867445329E-3</v>
      </c>
      <c r="I60" s="3">
        <v>3.670810002046923E-3</v>
      </c>
      <c r="J60" s="3">
        <v>3.7284770653675742E-3</v>
      </c>
      <c r="K60" s="3">
        <v>3.8000409266709771E-3</v>
      </c>
      <c r="L60" s="3">
        <v>3.8805958622852529E-3</v>
      </c>
      <c r="M60" s="3">
        <v>3.9603830647480824E-3</v>
      </c>
      <c r="N60" s="3">
        <v>4.0360135023789698E-3</v>
      </c>
      <c r="O60" s="3">
        <v>4.100134185426511E-3</v>
      </c>
      <c r="P60" s="3">
        <v>4.1404291805973922E-3</v>
      </c>
      <c r="Q60" s="3">
        <v>4.160176944788231E-3</v>
      </c>
      <c r="R60" s="3">
        <v>4.2198653742317434E-3</v>
      </c>
      <c r="S60" s="3">
        <v>4.1567269918478334E-3</v>
      </c>
      <c r="T60" s="3">
        <v>4.1296723812587303E-3</v>
      </c>
      <c r="U60" s="3">
        <v>4.036167307074498E-3</v>
      </c>
      <c r="V60" s="3">
        <v>3.990156975968895E-3</v>
      </c>
      <c r="W60" s="3">
        <v>3.865396687517121E-3</v>
      </c>
      <c r="X60" s="3">
        <v>3.7671219152922331E-3</v>
      </c>
      <c r="Y60" s="3">
        <v>3.677501529181284E-3</v>
      </c>
      <c r="Z60" s="3">
        <v>3.6050162296612262E-3</v>
      </c>
      <c r="AA60" s="3">
        <v>4.0572309225631407E-3</v>
      </c>
      <c r="AB60" s="3">
        <v>4.2640495822467359E-3</v>
      </c>
      <c r="AC60" s="3">
        <v>3.9130382774726731E-3</v>
      </c>
      <c r="AD60" s="3">
        <v>3.613744642536827E-3</v>
      </c>
      <c r="AE60" s="3">
        <v>4.3861019957224601E-3</v>
      </c>
      <c r="AF60" s="3">
        <v>4.3841167463745962E-3</v>
      </c>
      <c r="AG60" s="3">
        <v>4.3653777807463393E-3</v>
      </c>
      <c r="AH60" s="3">
        <v>4.3394179172307253E-3</v>
      </c>
      <c r="AI60" s="3">
        <v>4.3103298174002004E-3</v>
      </c>
      <c r="AJ60" s="3">
        <v>4.286011745828623E-3</v>
      </c>
      <c r="AK60" s="3">
        <v>4.2699528086617604E-3</v>
      </c>
      <c r="AL60" s="3">
        <v>4.2459994865792711E-3</v>
      </c>
      <c r="AM60" s="3">
        <v>4.2172674998133047E-3</v>
      </c>
      <c r="AN60" s="3">
        <v>4.1898599163710804E-3</v>
      </c>
      <c r="AO60" s="3">
        <v>4.1647683486526477E-3</v>
      </c>
      <c r="AP60" s="3">
        <v>4.1487383933149768E-3</v>
      </c>
      <c r="AQ60" s="3">
        <v>4.1405495451288287E-3</v>
      </c>
      <c r="AR60" s="3">
        <v>4.1314599918252388E-3</v>
      </c>
      <c r="AS60" s="3">
        <v>4.1266743105317248E-3</v>
      </c>
      <c r="AT60" s="3">
        <v>4.121533082177227E-3</v>
      </c>
      <c r="AU60" s="3">
        <v>4.1211386146511146E-3</v>
      </c>
      <c r="AV60" s="3">
        <v>4.1139560441185276E-3</v>
      </c>
      <c r="AW60" s="3">
        <v>4.108903641371329E-3</v>
      </c>
      <c r="AX60" s="3">
        <v>4.1113937395855426E-3</v>
      </c>
      <c r="AY60" s="3">
        <v>4.1066518881881118E-3</v>
      </c>
      <c r="AZ60" s="3">
        <v>4.099286389154775E-3</v>
      </c>
      <c r="BA60" s="3">
        <v>4.0957411662498637E-3</v>
      </c>
      <c r="BB60" s="3">
        <v>4.092967021440061E-3</v>
      </c>
      <c r="BC60" s="3">
        <v>4.0808911673392342E-3</v>
      </c>
      <c r="BD60" s="3">
        <v>4.0553305413528144E-3</v>
      </c>
      <c r="BE60" s="3">
        <v>4.0260523374769297E-3</v>
      </c>
    </row>
    <row r="61" spans="1:57" x14ac:dyDescent="0.25">
      <c r="A61" s="1" t="str">
        <f>'Population Definitions'!$A$13</f>
        <v>Prisoners_females</v>
      </c>
      <c r="C61" t="s">
        <v>55</v>
      </c>
      <c r="D61" s="3"/>
      <c r="E61" s="3"/>
      <c r="F61" s="4" t="s">
        <v>39</v>
      </c>
      <c r="G61" s="3">
        <v>1.8821336555677581E-3</v>
      </c>
      <c r="H61" s="3">
        <v>1.880213100903712E-3</v>
      </c>
      <c r="I61" s="3">
        <v>1.8925751685260339E-3</v>
      </c>
      <c r="J61" s="3">
        <v>1.920465601243263E-3</v>
      </c>
      <c r="K61" s="3">
        <v>1.963927527743917E-3</v>
      </c>
      <c r="L61" s="3">
        <v>2.016959429544139E-3</v>
      </c>
      <c r="M61" s="3">
        <v>2.0718540461355959E-3</v>
      </c>
      <c r="N61" s="3">
        <v>2.122499646146797E-3</v>
      </c>
      <c r="O61" s="3">
        <v>2.163263679144465E-3</v>
      </c>
      <c r="P61" s="3">
        <v>2.185261190391767E-3</v>
      </c>
      <c r="Q61" s="3">
        <v>2.1920430841131161E-3</v>
      </c>
      <c r="R61" s="3">
        <v>2.2414730815234459E-3</v>
      </c>
      <c r="S61" s="3">
        <v>2.2097784767629411E-3</v>
      </c>
      <c r="T61" s="3">
        <v>2.1816705944125311E-3</v>
      </c>
      <c r="U61" s="3">
        <v>2.1422437392770739E-3</v>
      </c>
      <c r="V61" s="3">
        <v>2.1120191036639148E-3</v>
      </c>
      <c r="W61" s="3">
        <v>2.068649868043474E-3</v>
      </c>
      <c r="X61" s="3">
        <v>2.0298085988332032E-3</v>
      </c>
      <c r="Y61" s="3">
        <v>1.990719663999844E-3</v>
      </c>
      <c r="Z61" s="3">
        <v>1.959427815951674E-3</v>
      </c>
      <c r="AA61" s="3">
        <v>2.3123098088246499E-3</v>
      </c>
      <c r="AB61" s="3">
        <v>2.663179061805221E-3</v>
      </c>
      <c r="AC61" s="3">
        <v>2.1647249157561708E-3</v>
      </c>
      <c r="AD61" s="3">
        <v>1.9733395030181872E-3</v>
      </c>
      <c r="AE61" s="3">
        <v>2.642431753917015E-3</v>
      </c>
      <c r="AF61" s="3">
        <v>2.6206382510743599E-3</v>
      </c>
      <c r="AG61" s="3">
        <v>2.5914588695971929E-3</v>
      </c>
      <c r="AH61" s="3">
        <v>2.5581495103830492E-3</v>
      </c>
      <c r="AI61" s="3">
        <v>2.5232889744163361E-3</v>
      </c>
      <c r="AJ61" s="3">
        <v>2.4955116172285601E-3</v>
      </c>
      <c r="AK61" s="3">
        <v>2.47303844836192E-3</v>
      </c>
      <c r="AL61" s="3">
        <v>2.446793515492035E-3</v>
      </c>
      <c r="AM61" s="3">
        <v>2.4209936477316732E-3</v>
      </c>
      <c r="AN61" s="3">
        <v>2.3949763833713911E-3</v>
      </c>
      <c r="AO61" s="3">
        <v>2.373467425235482E-3</v>
      </c>
      <c r="AP61" s="3">
        <v>2.357062353744633E-3</v>
      </c>
      <c r="AQ61" s="3">
        <v>2.3451281761283139E-3</v>
      </c>
      <c r="AR61" s="3">
        <v>2.3340485318294872E-3</v>
      </c>
      <c r="AS61" s="3">
        <v>2.327356717441074E-3</v>
      </c>
      <c r="AT61" s="3">
        <v>2.3202410352042178E-3</v>
      </c>
      <c r="AU61" s="3">
        <v>2.3166650729158781E-3</v>
      </c>
      <c r="AV61" s="3">
        <v>2.3095314998723389E-3</v>
      </c>
      <c r="AW61" s="3">
        <v>2.302124439124845E-3</v>
      </c>
      <c r="AX61" s="3">
        <v>2.2995666880832222E-3</v>
      </c>
      <c r="AY61" s="3">
        <v>2.2932559619191139E-3</v>
      </c>
      <c r="AZ61" s="3">
        <v>2.2859164267688531E-3</v>
      </c>
      <c r="BA61" s="3">
        <v>2.281651318803285E-3</v>
      </c>
      <c r="BB61" s="3">
        <v>2.2765124431333621E-3</v>
      </c>
      <c r="BC61" s="3">
        <v>2.2671973301236631E-3</v>
      </c>
      <c r="BD61" s="3">
        <v>2.2513206069965882E-3</v>
      </c>
      <c r="BE61" s="3">
        <v>2.2328067196789509E-3</v>
      </c>
    </row>
    <row r="62" spans="1:57" x14ac:dyDescent="0.25">
      <c r="A62" s="1" t="str">
        <f>'Population Definitions'!$A$14</f>
        <v>Prisoners_PWID_males</v>
      </c>
      <c r="C62" t="s">
        <v>55</v>
      </c>
      <c r="D62" s="3"/>
      <c r="E62" s="3"/>
      <c r="F62" s="4" t="s">
        <v>39</v>
      </c>
      <c r="G62" s="3">
        <v>3.5923016738416678E-3</v>
      </c>
      <c r="H62" s="3">
        <v>3.6241981867445329E-3</v>
      </c>
      <c r="I62" s="3">
        <v>3.670810002046923E-3</v>
      </c>
      <c r="J62" s="3">
        <v>3.7284770653675742E-3</v>
      </c>
      <c r="K62" s="3">
        <v>3.8000409266709771E-3</v>
      </c>
      <c r="L62" s="3">
        <v>3.8805958622852529E-3</v>
      </c>
      <c r="M62" s="3">
        <v>3.9603830647480824E-3</v>
      </c>
      <c r="N62" s="3">
        <v>4.0360135023789698E-3</v>
      </c>
      <c r="O62" s="3">
        <v>4.100134185426511E-3</v>
      </c>
      <c r="P62" s="3">
        <v>4.1404291805973922E-3</v>
      </c>
      <c r="Q62" s="3">
        <v>4.160176944788231E-3</v>
      </c>
      <c r="R62" s="3">
        <v>4.2198653742317434E-3</v>
      </c>
      <c r="S62" s="3">
        <v>4.1567269918478334E-3</v>
      </c>
      <c r="T62" s="3">
        <v>4.1296723812587303E-3</v>
      </c>
      <c r="U62" s="3">
        <v>4.036167307074498E-3</v>
      </c>
      <c r="V62" s="3">
        <v>3.990156975968895E-3</v>
      </c>
      <c r="W62" s="3">
        <v>3.865396687517121E-3</v>
      </c>
      <c r="X62" s="3">
        <v>3.7671219152922331E-3</v>
      </c>
      <c r="Y62" s="3">
        <v>3.677501529181284E-3</v>
      </c>
      <c r="Z62" s="3">
        <v>3.6050162296612262E-3</v>
      </c>
      <c r="AA62" s="3">
        <v>4.0572309225631407E-3</v>
      </c>
      <c r="AB62" s="3">
        <v>4.2640495822467359E-3</v>
      </c>
      <c r="AC62" s="3">
        <v>3.9130382774726731E-3</v>
      </c>
      <c r="AD62" s="3">
        <v>3.613744642536827E-3</v>
      </c>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C63" t="s">
        <v>55</v>
      </c>
      <c r="D63" s="3"/>
      <c r="E63" s="3"/>
      <c r="F63" s="4" t="s">
        <v>39</v>
      </c>
      <c r="G63" s="3">
        <v>1.8821336555677581E-3</v>
      </c>
      <c r="H63" s="3">
        <v>1.880213100903712E-3</v>
      </c>
      <c r="I63" s="3">
        <v>1.8925751685260339E-3</v>
      </c>
      <c r="J63" s="3">
        <v>1.920465601243263E-3</v>
      </c>
      <c r="K63" s="3">
        <v>1.963927527743917E-3</v>
      </c>
      <c r="L63" s="3">
        <v>2.016959429544139E-3</v>
      </c>
      <c r="M63" s="3">
        <v>2.0718540461355959E-3</v>
      </c>
      <c r="N63" s="3">
        <v>2.122499646146797E-3</v>
      </c>
      <c r="O63" s="3">
        <v>2.163263679144465E-3</v>
      </c>
      <c r="P63" s="3">
        <v>2.185261190391767E-3</v>
      </c>
      <c r="Q63" s="3">
        <v>2.1920430841131161E-3</v>
      </c>
      <c r="R63" s="3">
        <v>2.2414730815234459E-3</v>
      </c>
      <c r="S63" s="3">
        <v>2.2097784767629411E-3</v>
      </c>
      <c r="T63" s="3">
        <v>2.1816705944125311E-3</v>
      </c>
      <c r="U63" s="3">
        <v>2.1422437392770739E-3</v>
      </c>
      <c r="V63" s="3">
        <v>2.1120191036639148E-3</v>
      </c>
      <c r="W63" s="3">
        <v>2.068649868043474E-3</v>
      </c>
      <c r="X63" s="3">
        <v>2.0298085988332032E-3</v>
      </c>
      <c r="Y63" s="3">
        <v>1.990719663999844E-3</v>
      </c>
      <c r="Z63" s="3">
        <v>1.959427815951674E-3</v>
      </c>
      <c r="AA63" s="3">
        <v>2.3123098088246499E-3</v>
      </c>
      <c r="AB63" s="3">
        <v>2.663179061805221E-3</v>
      </c>
      <c r="AC63" s="3">
        <v>2.1647249157561708E-3</v>
      </c>
      <c r="AD63" s="3">
        <v>1.9733395030181872E-3</v>
      </c>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sheetData>
  <conditionalFormatting sqref="E18:E31">
    <cfRule type="expression" dxfId="1355" priority="1">
      <formula>COUNTIF(G18:BE18,"&lt;&gt;" &amp; "")&gt;0</formula>
    </cfRule>
    <cfRule type="expression" dxfId="1354" priority="2">
      <formula>AND(COUNTIF(G18:BE18,"&lt;&gt;" &amp; "")&gt;0,NOT(ISBLANK(E18)))</formula>
    </cfRule>
  </conditionalFormatting>
  <conditionalFormatting sqref="E34:E47">
    <cfRule type="expression" dxfId="1353" priority="29">
      <formula>COUNTIF(G34:BE34,"&lt;&gt;" &amp; "")&gt;0</formula>
    </cfRule>
    <cfRule type="expression" dxfId="1352" priority="30">
      <formula>AND(COUNTIF(G34:BE34,"&lt;&gt;" &amp; "")&gt;0,NOT(ISBLANK(E34)))</formula>
    </cfRule>
  </conditionalFormatting>
  <conditionalFormatting sqref="E50:E63">
    <cfRule type="expression" dxfId="1351" priority="57">
      <formula>COUNTIF(G50:BE50,"&lt;&gt;" &amp; "")&gt;0</formula>
    </cfRule>
    <cfRule type="expression" dxfId="1350" priority="58">
      <formula>AND(COUNTIF(G50:BE50,"&lt;&gt;" &amp; "")&gt;0,NOT(ISBLANK(E50)))</formula>
    </cfRule>
  </conditionalFormatting>
  <dataValidations count="3">
    <dataValidation type="list" allowBlank="1" showInputMessage="1" showErrorMessage="1" sqref="C2:C15" xr:uid="{00000000-0002-0000-0200-000000000000}">
      <formula1>"Number"</formula1>
    </dataValidation>
    <dataValidation type="list" allowBlank="1" showInputMessage="1" showErrorMessage="1" sqref="C18:C31" xr:uid="{00000000-0002-0000-0200-00000E000000}">
      <formula1>"Number (per year)"</formula1>
    </dataValidation>
    <dataValidation type="list" allowBlank="1" showInputMessage="1" showErrorMessage="1" sqref="C50:C63 C34:C47" xr:uid="{00000000-0002-0000-0200-00001C000000}">
      <formula1>"Rate (per year)"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BE31"/>
  <sheetViews>
    <sheetView workbookViewId="0"/>
  </sheetViews>
  <sheetFormatPr defaultRowHeight="15" x14ac:dyDescent="0.25"/>
  <cols>
    <col min="1" max="1" width="45.7109375" customWidth="1"/>
    <col min="2" max="2" width="12.7109375" customWidth="1"/>
    <col min="3" max="3" width="7.28515625" customWidth="1"/>
    <col min="4" max="4" width="13.85546875" customWidth="1"/>
    <col min="5" max="5" width="10.5703125" customWidth="1"/>
    <col min="6" max="6" width="3.85546875" customWidth="1"/>
    <col min="7" max="57" width="9.42578125" customWidth="1"/>
  </cols>
  <sheetData>
    <row r="1" spans="1:57" x14ac:dyDescent="0.25">
      <c r="A1" s="1" t="s">
        <v>57</v>
      </c>
      <c r="B1" s="1" t="s">
        <v>31</v>
      </c>
      <c r="C1" s="1" t="s">
        <v>32</v>
      </c>
      <c r="D1" s="1" t="s">
        <v>33</v>
      </c>
      <c r="E1" s="1" t="s">
        <v>38</v>
      </c>
      <c r="F1" s="1"/>
      <c r="G1" s="1">
        <v>2000</v>
      </c>
      <c r="H1" s="1">
        <v>2001</v>
      </c>
      <c r="I1" s="1">
        <v>2002</v>
      </c>
      <c r="J1" s="1">
        <v>2003</v>
      </c>
      <c r="K1" s="1">
        <v>2004</v>
      </c>
      <c r="L1" s="1">
        <v>2005</v>
      </c>
      <c r="M1" s="1">
        <v>2006</v>
      </c>
      <c r="N1" s="1">
        <v>2007</v>
      </c>
      <c r="O1" s="1">
        <v>2008</v>
      </c>
      <c r="P1" s="1">
        <v>2009</v>
      </c>
      <c r="Q1" s="1">
        <v>2010</v>
      </c>
      <c r="R1" s="1">
        <v>2011</v>
      </c>
      <c r="S1" s="1">
        <v>2012</v>
      </c>
      <c r="T1" s="1">
        <v>2013</v>
      </c>
      <c r="U1" s="1">
        <v>2014</v>
      </c>
      <c r="V1" s="1">
        <v>2015</v>
      </c>
      <c r="W1" s="1">
        <v>2016</v>
      </c>
      <c r="X1" s="1">
        <v>2017</v>
      </c>
      <c r="Y1" s="1">
        <v>2018</v>
      </c>
      <c r="Z1" s="1">
        <v>2019</v>
      </c>
      <c r="AA1" s="1">
        <v>2020</v>
      </c>
      <c r="AB1" s="1">
        <v>2021</v>
      </c>
      <c r="AC1" s="1">
        <v>2022</v>
      </c>
      <c r="AD1" s="1">
        <v>2023</v>
      </c>
      <c r="AE1" s="1">
        <v>2024</v>
      </c>
      <c r="AF1" s="1">
        <v>2025</v>
      </c>
      <c r="AG1" s="1">
        <v>2026</v>
      </c>
      <c r="AH1" s="1">
        <v>2027</v>
      </c>
      <c r="AI1" s="1">
        <v>2028</v>
      </c>
      <c r="AJ1" s="1">
        <v>2029</v>
      </c>
      <c r="AK1" s="1">
        <v>2030</v>
      </c>
      <c r="AL1" s="1">
        <v>2031</v>
      </c>
      <c r="AM1" s="1">
        <v>2032</v>
      </c>
      <c r="AN1" s="1">
        <v>2033</v>
      </c>
      <c r="AO1" s="1">
        <v>2034</v>
      </c>
      <c r="AP1" s="1">
        <v>2035</v>
      </c>
      <c r="AQ1" s="1">
        <v>2036</v>
      </c>
      <c r="AR1" s="1">
        <v>2037</v>
      </c>
      <c r="AS1" s="1">
        <v>2038</v>
      </c>
      <c r="AT1" s="1">
        <v>2039</v>
      </c>
      <c r="AU1" s="1">
        <v>2040</v>
      </c>
      <c r="AV1" s="1">
        <v>2041</v>
      </c>
      <c r="AW1" s="1">
        <v>2042</v>
      </c>
      <c r="AX1" s="1">
        <v>2043</v>
      </c>
      <c r="AY1" s="1">
        <v>2044</v>
      </c>
      <c r="AZ1" s="1">
        <v>2045</v>
      </c>
      <c r="BA1" s="1">
        <v>2046</v>
      </c>
      <c r="BB1" s="1">
        <v>2047</v>
      </c>
      <c r="BC1" s="1">
        <v>2048</v>
      </c>
      <c r="BD1" s="1">
        <v>2049</v>
      </c>
      <c r="BE1" s="1">
        <v>2050</v>
      </c>
    </row>
    <row r="2" spans="1:57" x14ac:dyDescent="0.25">
      <c r="A2" s="1" t="str">
        <f>'Population Definitions'!$A$2</f>
        <v>PWID_males</v>
      </c>
      <c r="C2" t="s">
        <v>58</v>
      </c>
      <c r="D2" s="3"/>
      <c r="E2" s="3">
        <v>0.1</v>
      </c>
      <c r="F2" s="4" t="s">
        <v>39</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spans="1:57" x14ac:dyDescent="0.25">
      <c r="A3" s="1" t="str">
        <f>'Population Definitions'!$A$3</f>
        <v>PWID_females</v>
      </c>
      <c r="C3" t="s">
        <v>58</v>
      </c>
      <c r="D3" s="3"/>
      <c r="E3" s="3">
        <v>0.1</v>
      </c>
      <c r="F3" s="4" t="s">
        <v>39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row>
    <row r="4" spans="1:57" x14ac:dyDescent="0.25">
      <c r="A4" s="1" t="str">
        <f>'Population Definitions'!$A$4</f>
        <v>0-9_males</v>
      </c>
      <c r="C4" t="s">
        <v>58</v>
      </c>
      <c r="D4" s="3"/>
      <c r="E4" s="3">
        <v>0</v>
      </c>
      <c r="F4" s="4" t="s">
        <v>39</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row>
    <row r="5" spans="1:57" x14ac:dyDescent="0.25">
      <c r="A5" s="1" t="str">
        <f>'Population Definitions'!$A$5</f>
        <v>0-9_females</v>
      </c>
      <c r="C5" t="s">
        <v>58</v>
      </c>
      <c r="D5" s="3"/>
      <c r="E5" s="3">
        <v>0</v>
      </c>
      <c r="F5" s="4" t="s">
        <v>39</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row>
    <row r="6" spans="1:57" x14ac:dyDescent="0.25">
      <c r="A6" s="1" t="str">
        <f>'Population Definitions'!$A$6</f>
        <v>10-17_males</v>
      </c>
      <c r="C6" t="s">
        <v>58</v>
      </c>
      <c r="D6" s="3"/>
      <c r="E6" s="3">
        <v>0</v>
      </c>
      <c r="F6" s="4" t="s">
        <v>39</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row>
    <row r="7" spans="1:57" x14ac:dyDescent="0.25">
      <c r="A7" s="1" t="str">
        <f>'Population Definitions'!$A$7</f>
        <v>10-17_females</v>
      </c>
      <c r="C7" t="s">
        <v>58</v>
      </c>
      <c r="D7" s="3"/>
      <c r="E7" s="3">
        <v>0</v>
      </c>
      <c r="F7" s="4" t="s">
        <v>39</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row>
    <row r="8" spans="1:57" x14ac:dyDescent="0.25">
      <c r="A8" s="1" t="str">
        <f>'Population Definitions'!$A$8</f>
        <v>18-64_males</v>
      </c>
      <c r="C8" t="s">
        <v>58</v>
      </c>
      <c r="D8" s="3"/>
      <c r="E8" s="3">
        <v>0</v>
      </c>
      <c r="F8" s="4" t="s">
        <v>39</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57" x14ac:dyDescent="0.25">
      <c r="A9" s="1" t="str">
        <f>'Population Definitions'!$A$9</f>
        <v>18-64_females</v>
      </c>
      <c r="C9" t="s">
        <v>58</v>
      </c>
      <c r="D9" s="3"/>
      <c r="E9" s="3">
        <v>0</v>
      </c>
      <c r="F9" s="4" t="s">
        <v>39</v>
      </c>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57" x14ac:dyDescent="0.25">
      <c r="A10" s="1" t="str">
        <f>'Population Definitions'!$A$10</f>
        <v>65+_males</v>
      </c>
      <c r="C10" t="s">
        <v>58</v>
      </c>
      <c r="D10" s="3"/>
      <c r="E10" s="3">
        <v>0</v>
      </c>
      <c r="F10" s="4" t="s">
        <v>39</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57" x14ac:dyDescent="0.25">
      <c r="A11" s="1" t="str">
        <f>'Population Definitions'!$A$11</f>
        <v>65+_females</v>
      </c>
      <c r="C11" t="s">
        <v>58</v>
      </c>
      <c r="D11" s="3"/>
      <c r="E11" s="3">
        <v>0</v>
      </c>
      <c r="F11" s="4" t="s">
        <v>39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57" x14ac:dyDescent="0.25">
      <c r="A12" s="1" t="str">
        <f>'Population Definitions'!$A$12</f>
        <v>Prisoners_males</v>
      </c>
      <c r="C12" t="s">
        <v>58</v>
      </c>
      <c r="D12" s="3"/>
      <c r="E12" s="3">
        <v>0</v>
      </c>
      <c r="F12" s="4" t="s">
        <v>39</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57" x14ac:dyDescent="0.25">
      <c r="A13" s="1" t="str">
        <f>'Population Definitions'!$A$13</f>
        <v>Prisoners_females</v>
      </c>
      <c r="C13" t="s">
        <v>58</v>
      </c>
      <c r="D13" s="3"/>
      <c r="E13" s="3">
        <v>0</v>
      </c>
      <c r="F13" s="4" t="s">
        <v>39</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57" x14ac:dyDescent="0.25">
      <c r="A14" s="1" t="str">
        <f>'Population Definitions'!$A$14</f>
        <v>Prisoners_PWID_males</v>
      </c>
      <c r="C14" t="s">
        <v>58</v>
      </c>
      <c r="D14" s="3"/>
      <c r="E14" s="3">
        <v>0.1</v>
      </c>
      <c r="F14" s="4" t="s">
        <v>39</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57" x14ac:dyDescent="0.25">
      <c r="A15" s="1" t="str">
        <f>'Population Definitions'!$A$15</f>
        <v>Prisoners_PWID_females</v>
      </c>
      <c r="C15" t="s">
        <v>58</v>
      </c>
      <c r="D15" s="3"/>
      <c r="E15" s="3">
        <v>0.1</v>
      </c>
      <c r="F15" s="4" t="s">
        <v>39</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7" spans="1:57" x14ac:dyDescent="0.25">
      <c r="A17" s="1" t="s">
        <v>59</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C18" t="s">
        <v>58</v>
      </c>
      <c r="D18" s="3"/>
      <c r="E18" s="3">
        <v>0</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C19" t="s">
        <v>58</v>
      </c>
      <c r="D19" s="3"/>
      <c r="E19" s="3">
        <v>0</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C20" t="s">
        <v>58</v>
      </c>
      <c r="D20" s="3"/>
      <c r="E20" s="3">
        <v>0</v>
      </c>
      <c r="F20" s="4" t="s">
        <v>39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C21" t="s">
        <v>58</v>
      </c>
      <c r="D21" s="3"/>
      <c r="E21" s="3">
        <v>0</v>
      </c>
      <c r="F21" s="4" t="s">
        <v>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C22" t="s">
        <v>58</v>
      </c>
      <c r="D22" s="3"/>
      <c r="E22" s="3">
        <v>0</v>
      </c>
      <c r="F22" s="4"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C23" t="s">
        <v>58</v>
      </c>
      <c r="D23" s="3"/>
      <c r="E23" s="3">
        <v>0</v>
      </c>
      <c r="F23" s="4" t="s">
        <v>39</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C24" t="s">
        <v>58</v>
      </c>
      <c r="D24" s="3"/>
      <c r="E24" s="3">
        <v>0.1</v>
      </c>
      <c r="F24" s="4" t="s">
        <v>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C25" t="s">
        <v>58</v>
      </c>
      <c r="D25" s="3"/>
      <c r="E25" s="3">
        <v>0.1</v>
      </c>
      <c r="F25" s="4" t="s">
        <v>39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C26" t="s">
        <v>58</v>
      </c>
      <c r="D26" s="3"/>
      <c r="E26" s="3">
        <v>0.1</v>
      </c>
      <c r="F26" s="4" t="s">
        <v>39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C27" t="s">
        <v>58</v>
      </c>
      <c r="D27" s="3"/>
      <c r="E27" s="3">
        <v>0.1</v>
      </c>
      <c r="F27" s="4" t="s">
        <v>39</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C28" t="s">
        <v>58</v>
      </c>
      <c r="D28" s="3"/>
      <c r="E28" s="3">
        <v>0</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C29" t="s">
        <v>58</v>
      </c>
      <c r="D29" s="3"/>
      <c r="E29" s="3">
        <v>0</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C30" t="s">
        <v>58</v>
      </c>
      <c r="D30" s="3"/>
      <c r="E30" s="3">
        <v>0</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C31" t="s">
        <v>58</v>
      </c>
      <c r="D31" s="3"/>
      <c r="E31" s="3">
        <v>0</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sheetData>
  <conditionalFormatting sqref="E2:E15">
    <cfRule type="expression" dxfId="1349" priority="1">
      <formula>COUNTIF(G2:BE2,"&lt;&gt;" &amp; "")&gt;0</formula>
    </cfRule>
    <cfRule type="expression" dxfId="1348" priority="2">
      <formula>AND(COUNTIF(G2:BE2,"&lt;&gt;" &amp; "")&gt;0,NOT(ISBLANK(E2)))</formula>
    </cfRule>
  </conditionalFormatting>
  <conditionalFormatting sqref="E18:E31">
    <cfRule type="expression" dxfId="1347" priority="29">
      <formula>COUNTIF(G18:BE18,"&lt;&gt;" &amp; "")&gt;0</formula>
    </cfRule>
    <cfRule type="expression" dxfId="1346" priority="30">
      <formula>AND(COUNTIF(G18:BE18,"&lt;&gt;" &amp; "")&gt;0,NOT(ISBLANK(E18)))</formula>
    </cfRule>
  </conditionalFormatting>
  <dataValidations count="1">
    <dataValidation type="list" allowBlank="1" showInputMessage="1" showErrorMessage="1" sqref="C18:C31 C2:C15" xr:uid="{00000000-0002-0000-0300-000000000000}">
      <formula1>"N.A."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8080"/>
  </sheetPr>
  <dimension ref="A1:BE287"/>
  <sheetViews>
    <sheetView workbookViewId="0"/>
  </sheetViews>
  <sheetFormatPr defaultRowHeight="15" x14ac:dyDescent="0.25"/>
  <cols>
    <col min="1" max="1" width="67.7109375" customWidth="1"/>
    <col min="2" max="2" width="30.28515625" customWidth="1"/>
    <col min="3" max="3" width="19.28515625" customWidth="1"/>
    <col min="4" max="4" width="13.85546875" customWidth="1"/>
    <col min="5" max="5" width="10.5703125" customWidth="1"/>
    <col min="6" max="6" width="3.85546875" customWidth="1"/>
    <col min="7" max="57" width="9.42578125" customWidth="1"/>
  </cols>
  <sheetData>
    <row r="1" spans="1:57" x14ac:dyDescent="0.25">
      <c r="A1" s="1" t="s">
        <v>60</v>
      </c>
      <c r="B1" s="1" t="s">
        <v>31</v>
      </c>
      <c r="C1" s="1" t="s">
        <v>32</v>
      </c>
      <c r="D1" s="1" t="s">
        <v>33</v>
      </c>
      <c r="E1" s="1" t="s">
        <v>38</v>
      </c>
      <c r="F1" s="1"/>
      <c r="G1" s="1">
        <v>2000</v>
      </c>
      <c r="H1" s="1">
        <v>2001</v>
      </c>
      <c r="I1" s="1">
        <v>2002</v>
      </c>
      <c r="J1" s="1">
        <v>2003</v>
      </c>
      <c r="K1" s="1">
        <v>2004</v>
      </c>
      <c r="L1" s="1">
        <v>2005</v>
      </c>
      <c r="M1" s="1">
        <v>2006</v>
      </c>
      <c r="N1" s="1">
        <v>2007</v>
      </c>
      <c r="O1" s="1">
        <v>2008</v>
      </c>
      <c r="P1" s="1">
        <v>2009</v>
      </c>
      <c r="Q1" s="1">
        <v>2010</v>
      </c>
      <c r="R1" s="1">
        <v>2011</v>
      </c>
      <c r="S1" s="1">
        <v>2012</v>
      </c>
      <c r="T1" s="1">
        <v>2013</v>
      </c>
      <c r="U1" s="1">
        <v>2014</v>
      </c>
      <c r="V1" s="1">
        <v>2015</v>
      </c>
      <c r="W1" s="1">
        <v>2016</v>
      </c>
      <c r="X1" s="1">
        <v>2017</v>
      </c>
      <c r="Y1" s="1">
        <v>2018</v>
      </c>
      <c r="Z1" s="1">
        <v>2019</v>
      </c>
      <c r="AA1" s="1">
        <v>2020</v>
      </c>
      <c r="AB1" s="1">
        <v>2021</v>
      </c>
      <c r="AC1" s="1">
        <v>2022</v>
      </c>
      <c r="AD1" s="1">
        <v>2023</v>
      </c>
      <c r="AE1" s="1">
        <v>2024</v>
      </c>
      <c r="AF1" s="1">
        <v>2025</v>
      </c>
      <c r="AG1" s="1">
        <v>2026</v>
      </c>
      <c r="AH1" s="1">
        <v>2027</v>
      </c>
      <c r="AI1" s="1">
        <v>2028</v>
      </c>
      <c r="AJ1" s="1">
        <v>2029</v>
      </c>
      <c r="AK1" s="1">
        <v>2030</v>
      </c>
      <c r="AL1" s="1">
        <v>2031</v>
      </c>
      <c r="AM1" s="1">
        <v>2032</v>
      </c>
      <c r="AN1" s="1">
        <v>2033</v>
      </c>
      <c r="AO1" s="1">
        <v>2034</v>
      </c>
      <c r="AP1" s="1">
        <v>2035</v>
      </c>
      <c r="AQ1" s="1">
        <v>2036</v>
      </c>
      <c r="AR1" s="1">
        <v>2037</v>
      </c>
      <c r="AS1" s="1">
        <v>2038</v>
      </c>
      <c r="AT1" s="1">
        <v>2039</v>
      </c>
      <c r="AU1" s="1">
        <v>2040</v>
      </c>
      <c r="AV1" s="1">
        <v>2041</v>
      </c>
      <c r="AW1" s="1">
        <v>2042</v>
      </c>
      <c r="AX1" s="1">
        <v>2043</v>
      </c>
      <c r="AY1" s="1">
        <v>2044</v>
      </c>
      <c r="AZ1" s="1">
        <v>2045</v>
      </c>
      <c r="BA1" s="1">
        <v>2046</v>
      </c>
      <c r="BB1" s="1">
        <v>2047</v>
      </c>
      <c r="BC1" s="1">
        <v>2048</v>
      </c>
      <c r="BD1" s="1">
        <v>2049</v>
      </c>
      <c r="BE1" s="1">
        <v>2050</v>
      </c>
    </row>
    <row r="2" spans="1:57" x14ac:dyDescent="0.25">
      <c r="A2" s="1" t="str">
        <f>'Population Definitions'!$A$2</f>
        <v>PWID_males</v>
      </c>
      <c r="C2" t="s">
        <v>50</v>
      </c>
      <c r="D2" s="3">
        <v>2.8061224489795918E-2</v>
      </c>
      <c r="E2" s="3">
        <v>0.19889502762430941</v>
      </c>
      <c r="F2" s="4" t="s">
        <v>39</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spans="1:57" x14ac:dyDescent="0.25">
      <c r="A3" s="1" t="str">
        <f>'Population Definitions'!$A$3</f>
        <v>PWID_females</v>
      </c>
      <c r="C3" t="s">
        <v>50</v>
      </c>
      <c r="D3" s="3">
        <v>3.3163265306122451E-2</v>
      </c>
      <c r="E3" s="3">
        <v>0.42105263157894729</v>
      </c>
      <c r="F3" s="4" t="s">
        <v>39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row>
    <row r="4" spans="1:57" x14ac:dyDescent="0.25">
      <c r="A4" s="1" t="str">
        <f>'Population Definitions'!$A$4</f>
        <v>0-9_males</v>
      </c>
      <c r="C4" t="s">
        <v>50</v>
      </c>
      <c r="D4" s="3">
        <v>2.8061224489795918E-2</v>
      </c>
      <c r="E4" s="3">
        <v>0.19889502762430941</v>
      </c>
      <c r="F4" s="4" t="s">
        <v>39</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row>
    <row r="5" spans="1:57" x14ac:dyDescent="0.25">
      <c r="A5" s="1" t="str">
        <f>'Population Definitions'!$A$5</f>
        <v>0-9_females</v>
      </c>
      <c r="C5" t="s">
        <v>50</v>
      </c>
      <c r="D5" s="3">
        <v>3.3163265306122451E-2</v>
      </c>
      <c r="E5" s="3">
        <v>0.42105263157894729</v>
      </c>
      <c r="F5" s="4" t="s">
        <v>39</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row>
    <row r="6" spans="1:57" x14ac:dyDescent="0.25">
      <c r="A6" s="1" t="str">
        <f>'Population Definitions'!$A$6</f>
        <v>10-17_males</v>
      </c>
      <c r="C6" t="s">
        <v>50</v>
      </c>
      <c r="D6" s="3">
        <v>2.8061224489795918E-2</v>
      </c>
      <c r="E6" s="3">
        <v>0.19889502762430941</v>
      </c>
      <c r="F6" s="4" t="s">
        <v>39</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row>
    <row r="7" spans="1:57" x14ac:dyDescent="0.25">
      <c r="A7" s="1" t="str">
        <f>'Population Definitions'!$A$7</f>
        <v>10-17_females</v>
      </c>
      <c r="C7" t="s">
        <v>50</v>
      </c>
      <c r="D7" s="3">
        <v>3.3163265306122451E-2</v>
      </c>
      <c r="E7" s="3">
        <v>0.42105263157894729</v>
      </c>
      <c r="F7" s="4" t="s">
        <v>39</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row>
    <row r="8" spans="1:57" x14ac:dyDescent="0.25">
      <c r="A8" s="1" t="str">
        <f>'Population Definitions'!$A$8</f>
        <v>18-64_males</v>
      </c>
      <c r="C8" t="s">
        <v>50</v>
      </c>
      <c r="D8" s="3">
        <v>2.8061224489795918E-2</v>
      </c>
      <c r="E8" s="3">
        <v>0.19889502762430941</v>
      </c>
      <c r="F8" s="4" t="s">
        <v>39</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57" x14ac:dyDescent="0.25">
      <c r="A9" s="1" t="str">
        <f>'Population Definitions'!$A$9</f>
        <v>18-64_females</v>
      </c>
      <c r="C9" t="s">
        <v>50</v>
      </c>
      <c r="D9" s="3">
        <v>3.3163265306122451E-2</v>
      </c>
      <c r="E9" s="3">
        <v>0.42105263157894729</v>
      </c>
      <c r="F9" s="4" t="s">
        <v>39</v>
      </c>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57" x14ac:dyDescent="0.25">
      <c r="A10" s="1" t="str">
        <f>'Population Definitions'!$A$10</f>
        <v>65+_males</v>
      </c>
      <c r="C10" t="s">
        <v>50</v>
      </c>
      <c r="D10" s="3">
        <v>2.8061224489795918E-2</v>
      </c>
      <c r="E10" s="3">
        <v>0.19889502762430941</v>
      </c>
      <c r="F10" s="4" t="s">
        <v>39</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57" x14ac:dyDescent="0.25">
      <c r="A11" s="1" t="str">
        <f>'Population Definitions'!$A$11</f>
        <v>65+_females</v>
      </c>
      <c r="C11" t="s">
        <v>50</v>
      </c>
      <c r="D11" s="3">
        <v>3.3163265306122451E-2</v>
      </c>
      <c r="E11" s="3">
        <v>0.42105263157894729</v>
      </c>
      <c r="F11" s="4" t="s">
        <v>39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57" x14ac:dyDescent="0.25">
      <c r="A12" s="1" t="str">
        <f>'Population Definitions'!$A$12</f>
        <v>Prisoners_males</v>
      </c>
      <c r="C12" t="s">
        <v>50</v>
      </c>
      <c r="D12" s="3">
        <v>2.8061224489795918E-2</v>
      </c>
      <c r="E12" s="3">
        <v>0.19889502762430941</v>
      </c>
      <c r="F12" s="4" t="s">
        <v>39</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57" x14ac:dyDescent="0.25">
      <c r="A13" s="1" t="str">
        <f>'Population Definitions'!$A$13</f>
        <v>Prisoners_females</v>
      </c>
      <c r="C13" t="s">
        <v>50</v>
      </c>
      <c r="D13" s="3">
        <v>3.3163265306122451E-2</v>
      </c>
      <c r="E13" s="3">
        <v>0.42105263157894729</v>
      </c>
      <c r="F13" s="4" t="s">
        <v>39</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57" x14ac:dyDescent="0.25">
      <c r="A14" s="1" t="str">
        <f>'Population Definitions'!$A$14</f>
        <v>Prisoners_PWID_males</v>
      </c>
      <c r="C14" t="s">
        <v>50</v>
      </c>
      <c r="D14" s="3">
        <v>2.8061224489795918E-2</v>
      </c>
      <c r="E14" s="3">
        <v>0.19889502762430941</v>
      </c>
      <c r="F14" s="4" t="s">
        <v>39</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57" x14ac:dyDescent="0.25">
      <c r="A15" s="1" t="str">
        <f>'Population Definitions'!$A$15</f>
        <v>Prisoners_PWID_females</v>
      </c>
      <c r="C15" t="s">
        <v>50</v>
      </c>
      <c r="D15" s="3">
        <v>3.3163265306122451E-2</v>
      </c>
      <c r="E15" s="3">
        <v>0.42105263157894729</v>
      </c>
      <c r="F15" s="4" t="s">
        <v>39</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7" spans="1:57" x14ac:dyDescent="0.25">
      <c r="A17" s="1" t="s">
        <v>61</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B18" t="s">
        <v>62</v>
      </c>
      <c r="C18" t="s">
        <v>63</v>
      </c>
      <c r="D18" s="3"/>
      <c r="E18" s="3">
        <v>1</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B19" t="s">
        <v>62</v>
      </c>
      <c r="C19" t="s">
        <v>63</v>
      </c>
      <c r="D19" s="3"/>
      <c r="E19" s="3">
        <v>1</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B20" t="s">
        <v>62</v>
      </c>
      <c r="C20" t="s">
        <v>63</v>
      </c>
      <c r="D20" s="3"/>
      <c r="E20" s="3">
        <v>1</v>
      </c>
      <c r="F20" s="4" t="s">
        <v>39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B21" t="s">
        <v>62</v>
      </c>
      <c r="C21" t="s">
        <v>63</v>
      </c>
      <c r="D21" s="3"/>
      <c r="E21" s="3">
        <v>1</v>
      </c>
      <c r="F21" s="4" t="s">
        <v>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B22" t="s">
        <v>62</v>
      </c>
      <c r="C22" t="s">
        <v>63</v>
      </c>
      <c r="D22" s="3"/>
      <c r="E22" s="3">
        <v>1</v>
      </c>
      <c r="F22" s="4"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B23" t="s">
        <v>62</v>
      </c>
      <c r="C23" t="s">
        <v>63</v>
      </c>
      <c r="D23" s="3"/>
      <c r="E23" s="3">
        <v>1</v>
      </c>
      <c r="F23" s="4" t="s">
        <v>39</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B24" t="s">
        <v>62</v>
      </c>
      <c r="C24" t="s">
        <v>63</v>
      </c>
      <c r="D24" s="3"/>
      <c r="E24" s="3">
        <v>1</v>
      </c>
      <c r="F24" s="4" t="s">
        <v>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B25" t="s">
        <v>62</v>
      </c>
      <c r="C25" t="s">
        <v>63</v>
      </c>
      <c r="D25" s="3"/>
      <c r="E25" s="3">
        <v>1</v>
      </c>
      <c r="F25" s="4" t="s">
        <v>39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B26" t="s">
        <v>62</v>
      </c>
      <c r="C26" t="s">
        <v>63</v>
      </c>
      <c r="D26" s="3"/>
      <c r="E26" s="3">
        <v>1</v>
      </c>
      <c r="F26" s="4" t="s">
        <v>39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B27" t="s">
        <v>62</v>
      </c>
      <c r="C27" t="s">
        <v>63</v>
      </c>
      <c r="D27" s="3"/>
      <c r="E27" s="3">
        <v>1</v>
      </c>
      <c r="F27" s="4" t="s">
        <v>39</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B28" t="s">
        <v>62</v>
      </c>
      <c r="C28" t="s">
        <v>63</v>
      </c>
      <c r="D28" s="3"/>
      <c r="E28" s="3">
        <v>1</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B29" t="s">
        <v>62</v>
      </c>
      <c r="C29" t="s">
        <v>63</v>
      </c>
      <c r="D29" s="3"/>
      <c r="E29" s="3">
        <v>1</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B30" t="s">
        <v>62</v>
      </c>
      <c r="C30" t="s">
        <v>63</v>
      </c>
      <c r="D30" s="3"/>
      <c r="E30" s="3">
        <v>1</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B31" t="s">
        <v>62</v>
      </c>
      <c r="C31" t="s">
        <v>63</v>
      </c>
      <c r="D31" s="3"/>
      <c r="E31" s="3">
        <v>1</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64</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C34" t="s">
        <v>55</v>
      </c>
      <c r="D34" s="3">
        <v>9.438775510204081E-2</v>
      </c>
      <c r="E34" s="3">
        <v>0.25</v>
      </c>
      <c r="F34" s="4" t="s">
        <v>39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C35" t="s">
        <v>55</v>
      </c>
      <c r="D35" s="3">
        <v>9.438775510204081E-2</v>
      </c>
      <c r="E35" s="3">
        <v>0.25</v>
      </c>
      <c r="F35" s="4" t="s">
        <v>39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C36" t="s">
        <v>55</v>
      </c>
      <c r="D36" s="3">
        <v>9.438775510204081E-2</v>
      </c>
      <c r="E36" s="3">
        <v>0.25</v>
      </c>
      <c r="F36" s="4" t="s">
        <v>39</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C37" t="s">
        <v>55</v>
      </c>
      <c r="D37" s="3">
        <v>9.438775510204081E-2</v>
      </c>
      <c r="E37" s="3">
        <v>0.25</v>
      </c>
      <c r="F37" s="4" t="s">
        <v>39</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C38" t="s">
        <v>55</v>
      </c>
      <c r="D38" s="3">
        <v>9.438775510204081E-2</v>
      </c>
      <c r="E38" s="3">
        <v>0.25</v>
      </c>
      <c r="F38" s="4" t="s">
        <v>39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C39" t="s">
        <v>55</v>
      </c>
      <c r="D39" s="3">
        <v>9.438775510204081E-2</v>
      </c>
      <c r="E39" s="3">
        <v>0.25</v>
      </c>
      <c r="F39" s="4" t="s">
        <v>39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C40" t="s">
        <v>55</v>
      </c>
      <c r="D40" s="3">
        <v>9.438775510204081E-2</v>
      </c>
      <c r="E40" s="3">
        <v>0.25</v>
      </c>
      <c r="F40" s="4" t="s">
        <v>39</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C41" t="s">
        <v>55</v>
      </c>
      <c r="D41" s="3">
        <v>9.438775510204081E-2</v>
      </c>
      <c r="E41" s="3">
        <v>0.25</v>
      </c>
      <c r="F41" s="4" t="s">
        <v>39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C42" t="s">
        <v>55</v>
      </c>
      <c r="D42" s="3">
        <v>9.438775510204081E-2</v>
      </c>
      <c r="E42" s="3">
        <v>0.25</v>
      </c>
      <c r="F42" s="4" t="s">
        <v>39</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C43" t="s">
        <v>55</v>
      </c>
      <c r="D43" s="3">
        <v>9.438775510204081E-2</v>
      </c>
      <c r="E43" s="3">
        <v>0.25</v>
      </c>
      <c r="F43" s="4" t="s">
        <v>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C44" t="s">
        <v>55</v>
      </c>
      <c r="D44" s="3">
        <v>9.438775510204081E-2</v>
      </c>
      <c r="E44" s="3">
        <v>0.25</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C45" t="s">
        <v>55</v>
      </c>
      <c r="D45" s="3">
        <v>9.438775510204081E-2</v>
      </c>
      <c r="E45" s="3">
        <v>0.25</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C46" t="s">
        <v>55</v>
      </c>
      <c r="D46" s="3">
        <v>9.438775510204081E-2</v>
      </c>
      <c r="E46" s="3">
        <v>0.25</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C47" t="s">
        <v>55</v>
      </c>
      <c r="D47" s="3">
        <v>9.438775510204081E-2</v>
      </c>
      <c r="E47" s="3">
        <v>0.25</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65</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C50" t="s">
        <v>55</v>
      </c>
      <c r="D50" s="3">
        <v>3.061224489795919E-2</v>
      </c>
      <c r="E50" s="3">
        <v>0.08</v>
      </c>
      <c r="F50" s="4" t="s">
        <v>39</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C51" t="s">
        <v>55</v>
      </c>
      <c r="D51" s="3">
        <v>3.061224489795919E-2</v>
      </c>
      <c r="E51" s="3">
        <v>0.08</v>
      </c>
      <c r="F51" s="4" t="s">
        <v>39</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C52" t="s">
        <v>55</v>
      </c>
      <c r="D52" s="3">
        <v>3.061224489795919E-2</v>
      </c>
      <c r="E52" s="3">
        <v>0.08</v>
      </c>
      <c r="F52" s="4" t="s">
        <v>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C53" t="s">
        <v>55</v>
      </c>
      <c r="D53" s="3">
        <v>3.061224489795919E-2</v>
      </c>
      <c r="E53" s="3">
        <v>0.08</v>
      </c>
      <c r="F53" s="4" t="s">
        <v>39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C54" t="s">
        <v>55</v>
      </c>
      <c r="D54" s="3">
        <v>3.061224489795919E-2</v>
      </c>
      <c r="E54" s="3">
        <v>0.08</v>
      </c>
      <c r="F54" s="4" t="s">
        <v>39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C55" t="s">
        <v>55</v>
      </c>
      <c r="D55" s="3">
        <v>3.061224489795919E-2</v>
      </c>
      <c r="E55" s="3">
        <v>0.08</v>
      </c>
      <c r="F55" s="4" t="s">
        <v>39</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C56" t="s">
        <v>55</v>
      </c>
      <c r="D56" s="3">
        <v>3.061224489795919E-2</v>
      </c>
      <c r="E56" s="3">
        <v>0.08</v>
      </c>
      <c r="F56" s="4" t="s">
        <v>39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C57" t="s">
        <v>55</v>
      </c>
      <c r="D57" s="3">
        <v>3.061224489795919E-2</v>
      </c>
      <c r="E57" s="3">
        <v>0.08</v>
      </c>
      <c r="F57" s="4" t="s">
        <v>39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C58" t="s">
        <v>55</v>
      </c>
      <c r="D58" s="3">
        <v>3.061224489795919E-2</v>
      </c>
      <c r="E58" s="3">
        <v>0.08</v>
      </c>
      <c r="F58" s="4" t="s">
        <v>39</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C59" t="s">
        <v>55</v>
      </c>
      <c r="D59" s="3">
        <v>3.061224489795919E-2</v>
      </c>
      <c r="E59" s="3">
        <v>0.08</v>
      </c>
      <c r="F59" s="4" t="s">
        <v>39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C60" t="s">
        <v>55</v>
      </c>
      <c r="D60" s="3">
        <v>3.061224489795919E-2</v>
      </c>
      <c r="E60" s="3">
        <v>0.08</v>
      </c>
      <c r="F60" s="4" t="s">
        <v>39</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C61" t="s">
        <v>55</v>
      </c>
      <c r="D61" s="3">
        <v>3.061224489795919E-2</v>
      </c>
      <c r="E61" s="3">
        <v>0.08</v>
      </c>
      <c r="F61" s="4" t="s">
        <v>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C62" t="s">
        <v>55</v>
      </c>
      <c r="D62" s="3">
        <v>3.061224489795919E-2</v>
      </c>
      <c r="E62" s="3">
        <v>0.08</v>
      </c>
      <c r="F62" s="4" t="s">
        <v>39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C63" t="s">
        <v>55</v>
      </c>
      <c r="D63" s="3">
        <v>3.061224489795919E-2</v>
      </c>
      <c r="E63" s="3">
        <v>0.08</v>
      </c>
      <c r="F63" s="4" t="s">
        <v>39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row r="65" spans="1:57" x14ac:dyDescent="0.25">
      <c r="A65" s="1" t="s">
        <v>66</v>
      </c>
      <c r="B65" s="1" t="s">
        <v>31</v>
      </c>
      <c r="C65" s="1" t="s">
        <v>32</v>
      </c>
      <c r="D65" s="1" t="s">
        <v>33</v>
      </c>
      <c r="E65" s="1" t="s">
        <v>38</v>
      </c>
      <c r="F65" s="1"/>
      <c r="G65" s="1">
        <v>2000</v>
      </c>
      <c r="H65" s="1">
        <v>2001</v>
      </c>
      <c r="I65" s="1">
        <v>2002</v>
      </c>
      <c r="J65" s="1">
        <v>2003</v>
      </c>
      <c r="K65" s="1">
        <v>2004</v>
      </c>
      <c r="L65" s="1">
        <v>2005</v>
      </c>
      <c r="M65" s="1">
        <v>2006</v>
      </c>
      <c r="N65" s="1">
        <v>2007</v>
      </c>
      <c r="O65" s="1">
        <v>2008</v>
      </c>
      <c r="P65" s="1">
        <v>2009</v>
      </c>
      <c r="Q65" s="1">
        <v>2010</v>
      </c>
      <c r="R65" s="1">
        <v>2011</v>
      </c>
      <c r="S65" s="1">
        <v>2012</v>
      </c>
      <c r="T65" s="1">
        <v>2013</v>
      </c>
      <c r="U65" s="1">
        <v>2014</v>
      </c>
      <c r="V65" s="1">
        <v>2015</v>
      </c>
      <c r="W65" s="1">
        <v>2016</v>
      </c>
      <c r="X65" s="1">
        <v>2017</v>
      </c>
      <c r="Y65" s="1">
        <v>2018</v>
      </c>
      <c r="Z65" s="1">
        <v>2019</v>
      </c>
      <c r="AA65" s="1">
        <v>2020</v>
      </c>
      <c r="AB65" s="1">
        <v>2021</v>
      </c>
      <c r="AC65" s="1">
        <v>2022</v>
      </c>
      <c r="AD65" s="1">
        <v>2023</v>
      </c>
      <c r="AE65" s="1">
        <v>2024</v>
      </c>
      <c r="AF65" s="1">
        <v>2025</v>
      </c>
      <c r="AG65" s="1">
        <v>2026</v>
      </c>
      <c r="AH65" s="1">
        <v>2027</v>
      </c>
      <c r="AI65" s="1">
        <v>2028</v>
      </c>
      <c r="AJ65" s="1">
        <v>2029</v>
      </c>
      <c r="AK65" s="1">
        <v>2030</v>
      </c>
      <c r="AL65" s="1">
        <v>2031</v>
      </c>
      <c r="AM65" s="1">
        <v>2032</v>
      </c>
      <c r="AN65" s="1">
        <v>2033</v>
      </c>
      <c r="AO65" s="1">
        <v>2034</v>
      </c>
      <c r="AP65" s="1">
        <v>2035</v>
      </c>
      <c r="AQ65" s="1">
        <v>2036</v>
      </c>
      <c r="AR65" s="1">
        <v>2037</v>
      </c>
      <c r="AS65" s="1">
        <v>2038</v>
      </c>
      <c r="AT65" s="1">
        <v>2039</v>
      </c>
      <c r="AU65" s="1">
        <v>2040</v>
      </c>
      <c r="AV65" s="1">
        <v>2041</v>
      </c>
      <c r="AW65" s="1">
        <v>2042</v>
      </c>
      <c r="AX65" s="1">
        <v>2043</v>
      </c>
      <c r="AY65" s="1">
        <v>2044</v>
      </c>
      <c r="AZ65" s="1">
        <v>2045</v>
      </c>
      <c r="BA65" s="1">
        <v>2046</v>
      </c>
      <c r="BB65" s="1">
        <v>2047</v>
      </c>
      <c r="BC65" s="1">
        <v>2048</v>
      </c>
      <c r="BD65" s="1">
        <v>2049</v>
      </c>
      <c r="BE65" s="1">
        <v>2050</v>
      </c>
    </row>
    <row r="66" spans="1:57" x14ac:dyDescent="0.25">
      <c r="A66" s="1" t="str">
        <f>'Population Definitions'!$A$2</f>
        <v>PWID_males</v>
      </c>
      <c r="C66" t="s">
        <v>55</v>
      </c>
      <c r="D66" s="3">
        <v>1.530612244897959E-2</v>
      </c>
      <c r="E66" s="3">
        <v>0.03</v>
      </c>
      <c r="F66" s="4" t="s">
        <v>39</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row>
    <row r="67" spans="1:57" x14ac:dyDescent="0.25">
      <c r="A67" s="1" t="str">
        <f>'Population Definitions'!$A$3</f>
        <v>PWID_females</v>
      </c>
      <c r="C67" t="s">
        <v>55</v>
      </c>
      <c r="D67" s="3">
        <v>1.530612244897959E-2</v>
      </c>
      <c r="E67" s="3">
        <v>0.03</v>
      </c>
      <c r="F67" s="4" t="s">
        <v>39</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row>
    <row r="68" spans="1:57" x14ac:dyDescent="0.25">
      <c r="A68" s="1" t="str">
        <f>'Population Definitions'!$A$4</f>
        <v>0-9_males</v>
      </c>
      <c r="C68" t="s">
        <v>55</v>
      </c>
      <c r="D68" s="3">
        <v>1.530612244897959E-2</v>
      </c>
      <c r="E68" s="3">
        <v>0.03</v>
      </c>
      <c r="F68" s="4" t="s">
        <v>39</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row>
    <row r="69" spans="1:57" x14ac:dyDescent="0.25">
      <c r="A69" s="1" t="str">
        <f>'Population Definitions'!$A$5</f>
        <v>0-9_females</v>
      </c>
      <c r="C69" t="s">
        <v>55</v>
      </c>
      <c r="D69" s="3">
        <v>1.530612244897959E-2</v>
      </c>
      <c r="E69" s="3">
        <v>0.03</v>
      </c>
      <c r="F69" s="4" t="s">
        <v>39</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row>
    <row r="70" spans="1:57" x14ac:dyDescent="0.25">
      <c r="A70" s="1" t="str">
        <f>'Population Definitions'!$A$6</f>
        <v>10-17_males</v>
      </c>
      <c r="C70" t="s">
        <v>55</v>
      </c>
      <c r="D70" s="3">
        <v>1.530612244897959E-2</v>
      </c>
      <c r="E70" s="3">
        <v>0.03</v>
      </c>
      <c r="F70" s="4" t="s">
        <v>39</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spans="1:57" x14ac:dyDescent="0.25">
      <c r="A71" s="1" t="str">
        <f>'Population Definitions'!$A$7</f>
        <v>10-17_females</v>
      </c>
      <c r="C71" t="s">
        <v>55</v>
      </c>
      <c r="D71" s="3">
        <v>1.530612244897959E-2</v>
      </c>
      <c r="E71" s="3">
        <v>0.03</v>
      </c>
      <c r="F71" s="4" t="s">
        <v>39</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spans="1:57" x14ac:dyDescent="0.25">
      <c r="A72" s="1" t="str">
        <f>'Population Definitions'!$A$8</f>
        <v>18-64_males</v>
      </c>
      <c r="C72" t="s">
        <v>55</v>
      </c>
      <c r="D72" s="3">
        <v>1.530612244897959E-2</v>
      </c>
      <c r="E72" s="3">
        <v>0.03</v>
      </c>
      <c r="F72" s="4" t="s">
        <v>39</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spans="1:57" x14ac:dyDescent="0.25">
      <c r="A73" s="1" t="str">
        <f>'Population Definitions'!$A$9</f>
        <v>18-64_females</v>
      </c>
      <c r="C73" t="s">
        <v>55</v>
      </c>
      <c r="D73" s="3">
        <v>1.530612244897959E-2</v>
      </c>
      <c r="E73" s="3">
        <v>0.03</v>
      </c>
      <c r="F73" s="4" t="s">
        <v>39</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spans="1:57" x14ac:dyDescent="0.25">
      <c r="A74" s="1" t="str">
        <f>'Population Definitions'!$A$10</f>
        <v>65+_males</v>
      </c>
      <c r="C74" t="s">
        <v>55</v>
      </c>
      <c r="D74" s="3">
        <v>1.530612244897959E-2</v>
      </c>
      <c r="E74" s="3">
        <v>0.03</v>
      </c>
      <c r="F74" s="4" t="s">
        <v>39</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spans="1:57" x14ac:dyDescent="0.25">
      <c r="A75" s="1" t="str">
        <f>'Population Definitions'!$A$11</f>
        <v>65+_females</v>
      </c>
      <c r="C75" t="s">
        <v>55</v>
      </c>
      <c r="D75" s="3">
        <v>1.530612244897959E-2</v>
      </c>
      <c r="E75" s="3">
        <v>0.03</v>
      </c>
      <c r="F75" s="4" t="s">
        <v>39</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spans="1:57" x14ac:dyDescent="0.25">
      <c r="A76" s="1" t="str">
        <f>'Population Definitions'!$A$12</f>
        <v>Prisoners_males</v>
      </c>
      <c r="C76" t="s">
        <v>55</v>
      </c>
      <c r="D76" s="3">
        <v>1.530612244897959E-2</v>
      </c>
      <c r="E76" s="3">
        <v>0.03</v>
      </c>
      <c r="F76" s="4" t="s">
        <v>39</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row>
    <row r="77" spans="1:57" x14ac:dyDescent="0.25">
      <c r="A77" s="1" t="str">
        <f>'Population Definitions'!$A$13</f>
        <v>Prisoners_females</v>
      </c>
      <c r="C77" t="s">
        <v>55</v>
      </c>
      <c r="D77" s="3">
        <v>1.530612244897959E-2</v>
      </c>
      <c r="E77" s="3">
        <v>0.03</v>
      </c>
      <c r="F77" s="4" t="s">
        <v>39</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row>
    <row r="78" spans="1:57" x14ac:dyDescent="0.25">
      <c r="A78" s="1" t="str">
        <f>'Population Definitions'!$A$14</f>
        <v>Prisoners_PWID_males</v>
      </c>
      <c r="C78" t="s">
        <v>55</v>
      </c>
      <c r="D78" s="3">
        <v>1.530612244897959E-2</v>
      </c>
      <c r="E78" s="3">
        <v>0.03</v>
      </c>
      <c r="F78" s="4" t="s">
        <v>39</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row>
    <row r="79" spans="1:57" x14ac:dyDescent="0.25">
      <c r="A79" s="1" t="str">
        <f>'Population Definitions'!$A$15</f>
        <v>Prisoners_PWID_females</v>
      </c>
      <c r="C79" t="s">
        <v>55</v>
      </c>
      <c r="D79" s="3">
        <v>1.530612244897959E-2</v>
      </c>
      <c r="E79" s="3">
        <v>0.03</v>
      </c>
      <c r="F79" s="4" t="s">
        <v>39</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row>
    <row r="81" spans="1:57" x14ac:dyDescent="0.25">
      <c r="A81" s="1" t="s">
        <v>67</v>
      </c>
      <c r="B81" s="1" t="s">
        <v>31</v>
      </c>
      <c r="C81" s="1" t="s">
        <v>32</v>
      </c>
      <c r="D81" s="1" t="s">
        <v>33</v>
      </c>
      <c r="E81" s="1" t="s">
        <v>38</v>
      </c>
      <c r="F81" s="1"/>
      <c r="G81" s="1">
        <v>2000</v>
      </c>
      <c r="H81" s="1">
        <v>2001</v>
      </c>
      <c r="I81" s="1">
        <v>2002</v>
      </c>
      <c r="J81" s="1">
        <v>2003</v>
      </c>
      <c r="K81" s="1">
        <v>2004</v>
      </c>
      <c r="L81" s="1">
        <v>2005</v>
      </c>
      <c r="M81" s="1">
        <v>2006</v>
      </c>
      <c r="N81" s="1">
        <v>2007</v>
      </c>
      <c r="O81" s="1">
        <v>2008</v>
      </c>
      <c r="P81" s="1">
        <v>2009</v>
      </c>
      <c r="Q81" s="1">
        <v>2010</v>
      </c>
      <c r="R81" s="1">
        <v>2011</v>
      </c>
      <c r="S81" s="1">
        <v>2012</v>
      </c>
      <c r="T81" s="1">
        <v>2013</v>
      </c>
      <c r="U81" s="1">
        <v>2014</v>
      </c>
      <c r="V81" s="1">
        <v>2015</v>
      </c>
      <c r="W81" s="1">
        <v>2016</v>
      </c>
      <c r="X81" s="1">
        <v>2017</v>
      </c>
      <c r="Y81" s="1">
        <v>2018</v>
      </c>
      <c r="Z81" s="1">
        <v>2019</v>
      </c>
      <c r="AA81" s="1">
        <v>2020</v>
      </c>
      <c r="AB81" s="1">
        <v>2021</v>
      </c>
      <c r="AC81" s="1">
        <v>2022</v>
      </c>
      <c r="AD81" s="1">
        <v>2023</v>
      </c>
      <c r="AE81" s="1">
        <v>2024</v>
      </c>
      <c r="AF81" s="1">
        <v>2025</v>
      </c>
      <c r="AG81" s="1">
        <v>2026</v>
      </c>
      <c r="AH81" s="1">
        <v>2027</v>
      </c>
      <c r="AI81" s="1">
        <v>2028</v>
      </c>
      <c r="AJ81" s="1">
        <v>2029</v>
      </c>
      <c r="AK81" s="1">
        <v>2030</v>
      </c>
      <c r="AL81" s="1">
        <v>2031</v>
      </c>
      <c r="AM81" s="1">
        <v>2032</v>
      </c>
      <c r="AN81" s="1">
        <v>2033</v>
      </c>
      <c r="AO81" s="1">
        <v>2034</v>
      </c>
      <c r="AP81" s="1">
        <v>2035</v>
      </c>
      <c r="AQ81" s="1">
        <v>2036</v>
      </c>
      <c r="AR81" s="1">
        <v>2037</v>
      </c>
      <c r="AS81" s="1">
        <v>2038</v>
      </c>
      <c r="AT81" s="1">
        <v>2039</v>
      </c>
      <c r="AU81" s="1">
        <v>2040</v>
      </c>
      <c r="AV81" s="1">
        <v>2041</v>
      </c>
      <c r="AW81" s="1">
        <v>2042</v>
      </c>
      <c r="AX81" s="1">
        <v>2043</v>
      </c>
      <c r="AY81" s="1">
        <v>2044</v>
      </c>
      <c r="AZ81" s="1">
        <v>2045</v>
      </c>
      <c r="BA81" s="1">
        <v>2046</v>
      </c>
      <c r="BB81" s="1">
        <v>2047</v>
      </c>
      <c r="BC81" s="1">
        <v>2048</v>
      </c>
      <c r="BD81" s="1">
        <v>2049</v>
      </c>
      <c r="BE81" s="1">
        <v>2050</v>
      </c>
    </row>
    <row r="82" spans="1:57" x14ac:dyDescent="0.25">
      <c r="A82" s="1" t="str">
        <f>'Population Definitions'!$A$2</f>
        <v>PWID_males</v>
      </c>
      <c r="C82" t="s">
        <v>55</v>
      </c>
      <c r="D82" s="3">
        <v>5.1020408163265307E-2</v>
      </c>
      <c r="E82" s="3">
        <v>0.1</v>
      </c>
      <c r="F82" s="4" t="s">
        <v>39</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row>
    <row r="83" spans="1:57" x14ac:dyDescent="0.25">
      <c r="A83" s="1" t="str">
        <f>'Population Definitions'!$A$3</f>
        <v>PWID_females</v>
      </c>
      <c r="C83" t="s">
        <v>55</v>
      </c>
      <c r="D83" s="3">
        <v>5.1020408163265307E-2</v>
      </c>
      <c r="E83" s="3">
        <v>0.1</v>
      </c>
      <c r="F83" s="4" t="s">
        <v>39</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spans="1:57" x14ac:dyDescent="0.25">
      <c r="A84" s="1" t="str">
        <f>'Population Definitions'!$A$4</f>
        <v>0-9_males</v>
      </c>
      <c r="C84" t="s">
        <v>55</v>
      </c>
      <c r="D84" s="3">
        <v>5.1020408163265307E-2</v>
      </c>
      <c r="E84" s="3">
        <v>0.1</v>
      </c>
      <c r="F84" s="4" t="s">
        <v>39</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5" spans="1:57" x14ac:dyDescent="0.25">
      <c r="A85" s="1" t="str">
        <f>'Population Definitions'!$A$5</f>
        <v>0-9_females</v>
      </c>
      <c r="C85" t="s">
        <v>55</v>
      </c>
      <c r="D85" s="3">
        <v>5.1020408163265307E-2</v>
      </c>
      <c r="E85" s="3">
        <v>0.1</v>
      </c>
      <c r="F85" s="4" t="s">
        <v>39</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row>
    <row r="86" spans="1:57" x14ac:dyDescent="0.25">
      <c r="A86" s="1" t="str">
        <f>'Population Definitions'!$A$6</f>
        <v>10-17_males</v>
      </c>
      <c r="C86" t="s">
        <v>55</v>
      </c>
      <c r="D86" s="3">
        <v>5.1020408163265307E-2</v>
      </c>
      <c r="E86" s="3">
        <v>0.1</v>
      </c>
      <c r="F86" s="4" t="s">
        <v>39</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row>
    <row r="87" spans="1:57" x14ac:dyDescent="0.25">
      <c r="A87" s="1" t="str">
        <f>'Population Definitions'!$A$7</f>
        <v>10-17_females</v>
      </c>
      <c r="C87" t="s">
        <v>55</v>
      </c>
      <c r="D87" s="3">
        <v>5.1020408163265307E-2</v>
      </c>
      <c r="E87" s="3">
        <v>0.1</v>
      </c>
      <c r="F87" s="4" t="s">
        <v>39</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spans="1:57" x14ac:dyDescent="0.25">
      <c r="A88" s="1" t="str">
        <f>'Population Definitions'!$A$8</f>
        <v>18-64_males</v>
      </c>
      <c r="C88" t="s">
        <v>55</v>
      </c>
      <c r="D88" s="3">
        <v>5.1020408163265307E-2</v>
      </c>
      <c r="E88" s="3">
        <v>0.1</v>
      </c>
      <c r="F88" s="4" t="s">
        <v>39</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spans="1:57" x14ac:dyDescent="0.25">
      <c r="A89" s="1" t="str">
        <f>'Population Definitions'!$A$9</f>
        <v>18-64_females</v>
      </c>
      <c r="C89" t="s">
        <v>55</v>
      </c>
      <c r="D89" s="3">
        <v>5.1020408163265307E-2</v>
      </c>
      <c r="E89" s="3">
        <v>0.1</v>
      </c>
      <c r="F89" s="4" t="s">
        <v>39</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spans="1:57" x14ac:dyDescent="0.25">
      <c r="A90" s="1" t="str">
        <f>'Population Definitions'!$A$10</f>
        <v>65+_males</v>
      </c>
      <c r="C90" t="s">
        <v>55</v>
      </c>
      <c r="D90" s="3">
        <v>5.1020408163265307E-2</v>
      </c>
      <c r="E90" s="3">
        <v>0.1</v>
      </c>
      <c r="F90" s="4" t="s">
        <v>39</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spans="1:57" x14ac:dyDescent="0.25">
      <c r="A91" s="1" t="str">
        <f>'Population Definitions'!$A$11</f>
        <v>65+_females</v>
      </c>
      <c r="C91" t="s">
        <v>55</v>
      </c>
      <c r="D91" s="3">
        <v>5.1020408163265307E-2</v>
      </c>
      <c r="E91" s="3">
        <v>0.1</v>
      </c>
      <c r="F91" s="4" t="s">
        <v>39</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spans="1:57" x14ac:dyDescent="0.25">
      <c r="A92" s="1" t="str">
        <f>'Population Definitions'!$A$12</f>
        <v>Prisoners_males</v>
      </c>
      <c r="C92" t="s">
        <v>55</v>
      </c>
      <c r="D92" s="3">
        <v>5.1020408163265307E-2</v>
      </c>
      <c r="E92" s="3">
        <v>0.1</v>
      </c>
      <c r="F92" s="4" t="s">
        <v>39</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spans="1:57" x14ac:dyDescent="0.25">
      <c r="A93" s="1" t="str">
        <f>'Population Definitions'!$A$13</f>
        <v>Prisoners_females</v>
      </c>
      <c r="C93" t="s">
        <v>55</v>
      </c>
      <c r="D93" s="3">
        <v>5.1020408163265307E-2</v>
      </c>
      <c r="E93" s="3">
        <v>0.1</v>
      </c>
      <c r="F93" s="4" t="s">
        <v>39</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spans="1:57" x14ac:dyDescent="0.25">
      <c r="A94" s="1" t="str">
        <f>'Population Definitions'!$A$14</f>
        <v>Prisoners_PWID_males</v>
      </c>
      <c r="C94" t="s">
        <v>55</v>
      </c>
      <c r="D94" s="3">
        <v>5.1020408163265307E-2</v>
      </c>
      <c r="E94" s="3">
        <v>0.1</v>
      </c>
      <c r="F94" s="4" t="s">
        <v>39</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spans="1:57" x14ac:dyDescent="0.25">
      <c r="A95" s="1" t="str">
        <f>'Population Definitions'!$A$15</f>
        <v>Prisoners_PWID_females</v>
      </c>
      <c r="C95" t="s">
        <v>55</v>
      </c>
      <c r="D95" s="3">
        <v>5.1020408163265307E-2</v>
      </c>
      <c r="E95" s="3">
        <v>0.1</v>
      </c>
      <c r="F95" s="4" t="s">
        <v>39</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row r="97" spans="1:57" x14ac:dyDescent="0.25">
      <c r="A97" s="1" t="s">
        <v>68</v>
      </c>
      <c r="B97" s="1" t="s">
        <v>31</v>
      </c>
      <c r="C97" s="1" t="s">
        <v>32</v>
      </c>
      <c r="D97" s="1" t="s">
        <v>33</v>
      </c>
      <c r="E97" s="1" t="s">
        <v>38</v>
      </c>
      <c r="F97" s="1"/>
      <c r="G97" s="1">
        <v>2000</v>
      </c>
      <c r="H97" s="1">
        <v>2001</v>
      </c>
      <c r="I97" s="1">
        <v>2002</v>
      </c>
      <c r="J97" s="1">
        <v>2003</v>
      </c>
      <c r="K97" s="1">
        <v>2004</v>
      </c>
      <c r="L97" s="1">
        <v>2005</v>
      </c>
      <c r="M97" s="1">
        <v>2006</v>
      </c>
      <c r="N97" s="1">
        <v>2007</v>
      </c>
      <c r="O97" s="1">
        <v>2008</v>
      </c>
      <c r="P97" s="1">
        <v>2009</v>
      </c>
      <c r="Q97" s="1">
        <v>2010</v>
      </c>
      <c r="R97" s="1">
        <v>2011</v>
      </c>
      <c r="S97" s="1">
        <v>2012</v>
      </c>
      <c r="T97" s="1">
        <v>2013</v>
      </c>
      <c r="U97" s="1">
        <v>2014</v>
      </c>
      <c r="V97" s="1">
        <v>2015</v>
      </c>
      <c r="W97" s="1">
        <v>2016</v>
      </c>
      <c r="X97" s="1">
        <v>2017</v>
      </c>
      <c r="Y97" s="1">
        <v>2018</v>
      </c>
      <c r="Z97" s="1">
        <v>2019</v>
      </c>
      <c r="AA97" s="1">
        <v>2020</v>
      </c>
      <c r="AB97" s="1">
        <v>2021</v>
      </c>
      <c r="AC97" s="1">
        <v>2022</v>
      </c>
      <c r="AD97" s="1">
        <v>2023</v>
      </c>
      <c r="AE97" s="1">
        <v>2024</v>
      </c>
      <c r="AF97" s="1">
        <v>2025</v>
      </c>
      <c r="AG97" s="1">
        <v>2026</v>
      </c>
      <c r="AH97" s="1">
        <v>2027</v>
      </c>
      <c r="AI97" s="1">
        <v>2028</v>
      </c>
      <c r="AJ97" s="1">
        <v>2029</v>
      </c>
      <c r="AK97" s="1">
        <v>2030</v>
      </c>
      <c r="AL97" s="1">
        <v>2031</v>
      </c>
      <c r="AM97" s="1">
        <v>2032</v>
      </c>
      <c r="AN97" s="1">
        <v>2033</v>
      </c>
      <c r="AO97" s="1">
        <v>2034</v>
      </c>
      <c r="AP97" s="1">
        <v>2035</v>
      </c>
      <c r="AQ97" s="1">
        <v>2036</v>
      </c>
      <c r="AR97" s="1">
        <v>2037</v>
      </c>
      <c r="AS97" s="1">
        <v>2038</v>
      </c>
      <c r="AT97" s="1">
        <v>2039</v>
      </c>
      <c r="AU97" s="1">
        <v>2040</v>
      </c>
      <c r="AV97" s="1">
        <v>2041</v>
      </c>
      <c r="AW97" s="1">
        <v>2042</v>
      </c>
      <c r="AX97" s="1">
        <v>2043</v>
      </c>
      <c r="AY97" s="1">
        <v>2044</v>
      </c>
      <c r="AZ97" s="1">
        <v>2045</v>
      </c>
      <c r="BA97" s="1">
        <v>2046</v>
      </c>
      <c r="BB97" s="1">
        <v>2047</v>
      </c>
      <c r="BC97" s="1">
        <v>2048</v>
      </c>
      <c r="BD97" s="1">
        <v>2049</v>
      </c>
      <c r="BE97" s="1">
        <v>2050</v>
      </c>
    </row>
    <row r="98" spans="1:57" x14ac:dyDescent="0.25">
      <c r="A98" s="1" t="str">
        <f>'Population Definitions'!$A$2</f>
        <v>PWID_males</v>
      </c>
      <c r="C98" t="s">
        <v>55</v>
      </c>
      <c r="D98" s="3">
        <v>3.5714285714285709E-3</v>
      </c>
      <c r="E98" s="3">
        <v>5.5E-2</v>
      </c>
      <c r="F98" s="4" t="s">
        <v>39</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row>
    <row r="99" spans="1:57" x14ac:dyDescent="0.25">
      <c r="A99" s="1" t="str">
        <f>'Population Definitions'!$A$3</f>
        <v>PWID_females</v>
      </c>
      <c r="C99" t="s">
        <v>55</v>
      </c>
      <c r="D99" s="3">
        <v>3.5714285714285709E-3</v>
      </c>
      <c r="E99" s="3">
        <v>5.5E-2</v>
      </c>
      <c r="F99" s="4" t="s">
        <v>39</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row>
    <row r="100" spans="1:57" x14ac:dyDescent="0.25">
      <c r="A100" s="1" t="str">
        <f>'Population Definitions'!$A$4</f>
        <v>0-9_males</v>
      </c>
      <c r="C100" t="s">
        <v>55</v>
      </c>
      <c r="D100" s="3">
        <v>3.5714285714285709E-3</v>
      </c>
      <c r="E100" s="3">
        <v>5.5E-2</v>
      </c>
      <c r="F100" s="4" t="s">
        <v>39</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row>
    <row r="101" spans="1:57" x14ac:dyDescent="0.25">
      <c r="A101" s="1" t="str">
        <f>'Population Definitions'!$A$5</f>
        <v>0-9_females</v>
      </c>
      <c r="C101" t="s">
        <v>55</v>
      </c>
      <c r="D101" s="3">
        <v>3.5714285714285709E-3</v>
      </c>
      <c r="E101" s="3">
        <v>5.5E-2</v>
      </c>
      <c r="F101" s="4" t="s">
        <v>39</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row>
    <row r="102" spans="1:57" x14ac:dyDescent="0.25">
      <c r="A102" s="1" t="str">
        <f>'Population Definitions'!$A$6</f>
        <v>10-17_males</v>
      </c>
      <c r="C102" t="s">
        <v>55</v>
      </c>
      <c r="D102" s="3">
        <v>3.5714285714285709E-3</v>
      </c>
      <c r="E102" s="3">
        <v>5.5E-2</v>
      </c>
      <c r="F102" s="4" t="s">
        <v>39</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row>
    <row r="103" spans="1:57" x14ac:dyDescent="0.25">
      <c r="A103" s="1" t="str">
        <f>'Population Definitions'!$A$7</f>
        <v>10-17_females</v>
      </c>
      <c r="C103" t="s">
        <v>55</v>
      </c>
      <c r="D103" s="3">
        <v>3.5714285714285709E-3</v>
      </c>
      <c r="E103" s="3">
        <v>5.5E-2</v>
      </c>
      <c r="F103" s="4" t="s">
        <v>39</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row>
    <row r="104" spans="1:57" x14ac:dyDescent="0.25">
      <c r="A104" s="1" t="str">
        <f>'Population Definitions'!$A$8</f>
        <v>18-64_males</v>
      </c>
      <c r="C104" t="s">
        <v>55</v>
      </c>
      <c r="D104" s="3">
        <v>3.5714285714285709E-3</v>
      </c>
      <c r="E104" s="3">
        <v>5.5E-2</v>
      </c>
      <c r="F104" s="4" t="s">
        <v>39</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row>
    <row r="105" spans="1:57" x14ac:dyDescent="0.25">
      <c r="A105" s="1" t="str">
        <f>'Population Definitions'!$A$9</f>
        <v>18-64_females</v>
      </c>
      <c r="C105" t="s">
        <v>55</v>
      </c>
      <c r="D105" s="3">
        <v>3.5714285714285709E-3</v>
      </c>
      <c r="E105" s="3">
        <v>5.5E-2</v>
      </c>
      <c r="F105" s="4" t="s">
        <v>39</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row>
    <row r="106" spans="1:57" x14ac:dyDescent="0.25">
      <c r="A106" s="1" t="str">
        <f>'Population Definitions'!$A$10</f>
        <v>65+_males</v>
      </c>
      <c r="C106" t="s">
        <v>55</v>
      </c>
      <c r="D106" s="3">
        <v>3.5714285714285709E-3</v>
      </c>
      <c r="E106" s="3">
        <v>5.5E-2</v>
      </c>
      <c r="F106" s="4" t="s">
        <v>39</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row>
    <row r="107" spans="1:57" x14ac:dyDescent="0.25">
      <c r="A107" s="1" t="str">
        <f>'Population Definitions'!$A$11</f>
        <v>65+_females</v>
      </c>
      <c r="C107" t="s">
        <v>55</v>
      </c>
      <c r="D107" s="3">
        <v>3.5714285714285709E-3</v>
      </c>
      <c r="E107" s="3">
        <v>5.5E-2</v>
      </c>
      <c r="F107" s="4" t="s">
        <v>39</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row>
    <row r="108" spans="1:57" x14ac:dyDescent="0.25">
      <c r="A108" s="1" t="str">
        <f>'Population Definitions'!$A$12</f>
        <v>Prisoners_males</v>
      </c>
      <c r="C108" t="s">
        <v>55</v>
      </c>
      <c r="D108" s="3">
        <v>3.5714285714285709E-3</v>
      </c>
      <c r="E108" s="3">
        <v>5.5E-2</v>
      </c>
      <c r="F108" s="4" t="s">
        <v>39</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row>
    <row r="109" spans="1:57" x14ac:dyDescent="0.25">
      <c r="A109" s="1" t="str">
        <f>'Population Definitions'!$A$13</f>
        <v>Prisoners_females</v>
      </c>
      <c r="C109" t="s">
        <v>55</v>
      </c>
      <c r="D109" s="3">
        <v>3.5714285714285709E-3</v>
      </c>
      <c r="E109" s="3">
        <v>5.5E-2</v>
      </c>
      <c r="F109" s="4" t="s">
        <v>39</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row>
    <row r="110" spans="1:57" x14ac:dyDescent="0.25">
      <c r="A110" s="1" t="str">
        <f>'Population Definitions'!$A$14</f>
        <v>Prisoners_PWID_males</v>
      </c>
      <c r="C110" t="s">
        <v>55</v>
      </c>
      <c r="D110" s="3">
        <v>3.5714285714285709E-3</v>
      </c>
      <c r="E110" s="3">
        <v>5.5E-2</v>
      </c>
      <c r="F110" s="4" t="s">
        <v>39</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row>
    <row r="111" spans="1:57" x14ac:dyDescent="0.25">
      <c r="A111" s="1" t="str">
        <f>'Population Definitions'!$A$15</f>
        <v>Prisoners_PWID_females</v>
      </c>
      <c r="C111" t="s">
        <v>55</v>
      </c>
      <c r="D111" s="3">
        <v>3.5714285714285709E-3</v>
      </c>
      <c r="E111" s="3">
        <v>5.5E-2</v>
      </c>
      <c r="F111" s="4" t="s">
        <v>39</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row>
    <row r="113" spans="1:57" x14ac:dyDescent="0.25">
      <c r="A113" s="1" t="s">
        <v>69</v>
      </c>
      <c r="B113" s="1" t="s">
        <v>31</v>
      </c>
      <c r="C113" s="1" t="s">
        <v>32</v>
      </c>
      <c r="D113" s="1" t="s">
        <v>33</v>
      </c>
      <c r="E113" s="1" t="s">
        <v>38</v>
      </c>
      <c r="F113" s="1"/>
      <c r="G113" s="1">
        <v>2000</v>
      </c>
      <c r="H113" s="1">
        <v>2001</v>
      </c>
      <c r="I113" s="1">
        <v>2002</v>
      </c>
      <c r="J113" s="1">
        <v>2003</v>
      </c>
      <c r="K113" s="1">
        <v>2004</v>
      </c>
      <c r="L113" s="1">
        <v>2005</v>
      </c>
      <c r="M113" s="1">
        <v>2006</v>
      </c>
      <c r="N113" s="1">
        <v>2007</v>
      </c>
      <c r="O113" s="1">
        <v>2008</v>
      </c>
      <c r="P113" s="1">
        <v>2009</v>
      </c>
      <c r="Q113" s="1">
        <v>2010</v>
      </c>
      <c r="R113" s="1">
        <v>2011</v>
      </c>
      <c r="S113" s="1">
        <v>2012</v>
      </c>
      <c r="T113" s="1">
        <v>2013</v>
      </c>
      <c r="U113" s="1">
        <v>2014</v>
      </c>
      <c r="V113" s="1">
        <v>2015</v>
      </c>
      <c r="W113" s="1">
        <v>2016</v>
      </c>
      <c r="X113" s="1">
        <v>2017</v>
      </c>
      <c r="Y113" s="1">
        <v>2018</v>
      </c>
      <c r="Z113" s="1">
        <v>2019</v>
      </c>
      <c r="AA113" s="1">
        <v>2020</v>
      </c>
      <c r="AB113" s="1">
        <v>2021</v>
      </c>
      <c r="AC113" s="1">
        <v>2022</v>
      </c>
      <c r="AD113" s="1">
        <v>2023</v>
      </c>
      <c r="AE113" s="1">
        <v>2024</v>
      </c>
      <c r="AF113" s="1">
        <v>2025</v>
      </c>
      <c r="AG113" s="1">
        <v>2026</v>
      </c>
      <c r="AH113" s="1">
        <v>2027</v>
      </c>
      <c r="AI113" s="1">
        <v>2028</v>
      </c>
      <c r="AJ113" s="1">
        <v>2029</v>
      </c>
      <c r="AK113" s="1">
        <v>2030</v>
      </c>
      <c r="AL113" s="1">
        <v>2031</v>
      </c>
      <c r="AM113" s="1">
        <v>2032</v>
      </c>
      <c r="AN113" s="1">
        <v>2033</v>
      </c>
      <c r="AO113" s="1">
        <v>2034</v>
      </c>
      <c r="AP113" s="1">
        <v>2035</v>
      </c>
      <c r="AQ113" s="1">
        <v>2036</v>
      </c>
      <c r="AR113" s="1">
        <v>2037</v>
      </c>
      <c r="AS113" s="1">
        <v>2038</v>
      </c>
      <c r="AT113" s="1">
        <v>2039</v>
      </c>
      <c r="AU113" s="1">
        <v>2040</v>
      </c>
      <c r="AV113" s="1">
        <v>2041</v>
      </c>
      <c r="AW113" s="1">
        <v>2042</v>
      </c>
      <c r="AX113" s="1">
        <v>2043</v>
      </c>
      <c r="AY113" s="1">
        <v>2044</v>
      </c>
      <c r="AZ113" s="1">
        <v>2045</v>
      </c>
      <c r="BA113" s="1">
        <v>2046</v>
      </c>
      <c r="BB113" s="1">
        <v>2047</v>
      </c>
      <c r="BC113" s="1">
        <v>2048</v>
      </c>
      <c r="BD113" s="1">
        <v>2049</v>
      </c>
      <c r="BE113" s="1">
        <v>2050</v>
      </c>
    </row>
    <row r="114" spans="1:57" x14ac:dyDescent="0.25">
      <c r="A114" s="1" t="str">
        <f>'Population Definitions'!$A$2</f>
        <v>PWID_males</v>
      </c>
      <c r="C114" t="s">
        <v>55</v>
      </c>
      <c r="D114" s="3"/>
      <c r="E114" s="3">
        <v>1.4999999999999999E-2</v>
      </c>
      <c r="F114" s="4" t="s">
        <v>39</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row>
    <row r="115" spans="1:57" x14ac:dyDescent="0.25">
      <c r="A115" s="1" t="str">
        <f>'Population Definitions'!$A$3</f>
        <v>PWID_females</v>
      </c>
      <c r="C115" t="s">
        <v>55</v>
      </c>
      <c r="D115" s="3"/>
      <c r="E115" s="3">
        <v>1.4999999999999999E-2</v>
      </c>
      <c r="F115" s="4" t="s">
        <v>39</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row>
    <row r="116" spans="1:57" x14ac:dyDescent="0.25">
      <c r="A116" s="1" t="str">
        <f>'Population Definitions'!$A$4</f>
        <v>0-9_males</v>
      </c>
      <c r="C116" t="s">
        <v>55</v>
      </c>
      <c r="D116" s="3"/>
      <c r="E116" s="3">
        <v>1.4999999999999999E-2</v>
      </c>
      <c r="F116" s="4" t="s">
        <v>39</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row>
    <row r="117" spans="1:57" x14ac:dyDescent="0.25">
      <c r="A117" s="1" t="str">
        <f>'Population Definitions'!$A$5</f>
        <v>0-9_females</v>
      </c>
      <c r="C117" t="s">
        <v>55</v>
      </c>
      <c r="D117" s="3"/>
      <c r="E117" s="3">
        <v>1.4999999999999999E-2</v>
      </c>
      <c r="F117" s="4" t="s">
        <v>39</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row>
    <row r="118" spans="1:57" x14ac:dyDescent="0.25">
      <c r="A118" s="1" t="str">
        <f>'Population Definitions'!$A$6</f>
        <v>10-17_males</v>
      </c>
      <c r="C118" t="s">
        <v>55</v>
      </c>
      <c r="D118" s="3"/>
      <c r="E118" s="3">
        <v>1.4999999999999999E-2</v>
      </c>
      <c r="F118" s="4" t="s">
        <v>39</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row>
    <row r="119" spans="1:57" x14ac:dyDescent="0.25">
      <c r="A119" s="1" t="str">
        <f>'Population Definitions'!$A$7</f>
        <v>10-17_females</v>
      </c>
      <c r="C119" t="s">
        <v>55</v>
      </c>
      <c r="D119" s="3"/>
      <c r="E119" s="3">
        <v>1.4999999999999999E-2</v>
      </c>
      <c r="F119" s="4" t="s">
        <v>39</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row>
    <row r="120" spans="1:57" x14ac:dyDescent="0.25">
      <c r="A120" s="1" t="str">
        <f>'Population Definitions'!$A$8</f>
        <v>18-64_males</v>
      </c>
      <c r="C120" t="s">
        <v>55</v>
      </c>
      <c r="D120" s="3"/>
      <c r="E120" s="3">
        <v>1.4999999999999999E-2</v>
      </c>
      <c r="F120" s="4" t="s">
        <v>39</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row>
    <row r="121" spans="1:57" x14ac:dyDescent="0.25">
      <c r="A121" s="1" t="str">
        <f>'Population Definitions'!$A$9</f>
        <v>18-64_females</v>
      </c>
      <c r="C121" t="s">
        <v>55</v>
      </c>
      <c r="D121" s="3"/>
      <c r="E121" s="3">
        <v>1.4999999999999999E-2</v>
      </c>
      <c r="F121" s="4" t="s">
        <v>39</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row>
    <row r="122" spans="1:57" x14ac:dyDescent="0.25">
      <c r="A122" s="1" t="str">
        <f>'Population Definitions'!$A$10</f>
        <v>65+_males</v>
      </c>
      <c r="C122" t="s">
        <v>55</v>
      </c>
      <c r="D122" s="3"/>
      <c r="E122" s="3">
        <v>1.4999999999999999E-2</v>
      </c>
      <c r="F122" s="4" t="s">
        <v>39</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row>
    <row r="123" spans="1:57" x14ac:dyDescent="0.25">
      <c r="A123" s="1" t="str">
        <f>'Population Definitions'!$A$11</f>
        <v>65+_females</v>
      </c>
      <c r="C123" t="s">
        <v>55</v>
      </c>
      <c r="D123" s="3"/>
      <c r="E123" s="3">
        <v>1.4999999999999999E-2</v>
      </c>
      <c r="F123" s="4" t="s">
        <v>39</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row>
    <row r="124" spans="1:57" x14ac:dyDescent="0.25">
      <c r="A124" s="1" t="str">
        <f>'Population Definitions'!$A$12</f>
        <v>Prisoners_males</v>
      </c>
      <c r="C124" t="s">
        <v>55</v>
      </c>
      <c r="D124" s="3"/>
      <c r="E124" s="3">
        <v>1.4999999999999999E-2</v>
      </c>
      <c r="F124" s="4" t="s">
        <v>39</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row>
    <row r="125" spans="1:57" x14ac:dyDescent="0.25">
      <c r="A125" s="1" t="str">
        <f>'Population Definitions'!$A$13</f>
        <v>Prisoners_females</v>
      </c>
      <c r="C125" t="s">
        <v>55</v>
      </c>
      <c r="D125" s="3"/>
      <c r="E125" s="3">
        <v>1.4999999999999999E-2</v>
      </c>
      <c r="F125" s="4" t="s">
        <v>39</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row>
    <row r="126" spans="1:57" x14ac:dyDescent="0.25">
      <c r="A126" s="1" t="str">
        <f>'Population Definitions'!$A$14</f>
        <v>Prisoners_PWID_males</v>
      </c>
      <c r="C126" t="s">
        <v>55</v>
      </c>
      <c r="D126" s="3"/>
      <c r="E126" s="3">
        <v>1.4999999999999999E-2</v>
      </c>
      <c r="F126" s="4" t="s">
        <v>39</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row>
    <row r="127" spans="1:57" x14ac:dyDescent="0.25">
      <c r="A127" s="1" t="str">
        <f>'Population Definitions'!$A$15</f>
        <v>Prisoners_PWID_females</v>
      </c>
      <c r="C127" t="s">
        <v>55</v>
      </c>
      <c r="D127" s="3"/>
      <c r="E127" s="3">
        <v>1.4999999999999999E-2</v>
      </c>
      <c r="F127" s="4" t="s">
        <v>39</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row>
    <row r="129" spans="1:57" x14ac:dyDescent="0.25">
      <c r="A129" s="1" t="s">
        <v>70</v>
      </c>
      <c r="B129" s="1" t="s">
        <v>31</v>
      </c>
      <c r="C129" s="1" t="s">
        <v>32</v>
      </c>
      <c r="D129" s="1" t="s">
        <v>33</v>
      </c>
      <c r="E129" s="1" t="s">
        <v>38</v>
      </c>
      <c r="F129" s="1"/>
      <c r="G129" s="1">
        <v>2000</v>
      </c>
      <c r="H129" s="1">
        <v>2001</v>
      </c>
      <c r="I129" s="1">
        <v>2002</v>
      </c>
      <c r="J129" s="1">
        <v>2003</v>
      </c>
      <c r="K129" s="1">
        <v>2004</v>
      </c>
      <c r="L129" s="1">
        <v>2005</v>
      </c>
      <c r="M129" s="1">
        <v>2006</v>
      </c>
      <c r="N129" s="1">
        <v>2007</v>
      </c>
      <c r="O129" s="1">
        <v>2008</v>
      </c>
      <c r="P129" s="1">
        <v>2009</v>
      </c>
      <c r="Q129" s="1">
        <v>2010</v>
      </c>
      <c r="R129" s="1">
        <v>2011</v>
      </c>
      <c r="S129" s="1">
        <v>2012</v>
      </c>
      <c r="T129" s="1">
        <v>2013</v>
      </c>
      <c r="U129" s="1">
        <v>2014</v>
      </c>
      <c r="V129" s="1">
        <v>2015</v>
      </c>
      <c r="W129" s="1">
        <v>2016</v>
      </c>
      <c r="X129" s="1">
        <v>2017</v>
      </c>
      <c r="Y129" s="1">
        <v>2018</v>
      </c>
      <c r="Z129" s="1">
        <v>2019</v>
      </c>
      <c r="AA129" s="1">
        <v>2020</v>
      </c>
      <c r="AB129" s="1">
        <v>2021</v>
      </c>
      <c r="AC129" s="1">
        <v>2022</v>
      </c>
      <c r="AD129" s="1">
        <v>2023</v>
      </c>
      <c r="AE129" s="1">
        <v>2024</v>
      </c>
      <c r="AF129" s="1">
        <v>2025</v>
      </c>
      <c r="AG129" s="1">
        <v>2026</v>
      </c>
      <c r="AH129" s="1">
        <v>2027</v>
      </c>
      <c r="AI129" s="1">
        <v>2028</v>
      </c>
      <c r="AJ129" s="1">
        <v>2029</v>
      </c>
      <c r="AK129" s="1">
        <v>2030</v>
      </c>
      <c r="AL129" s="1">
        <v>2031</v>
      </c>
      <c r="AM129" s="1">
        <v>2032</v>
      </c>
      <c r="AN129" s="1">
        <v>2033</v>
      </c>
      <c r="AO129" s="1">
        <v>2034</v>
      </c>
      <c r="AP129" s="1">
        <v>2035</v>
      </c>
      <c r="AQ129" s="1">
        <v>2036</v>
      </c>
      <c r="AR129" s="1">
        <v>2037</v>
      </c>
      <c r="AS129" s="1">
        <v>2038</v>
      </c>
      <c r="AT129" s="1">
        <v>2039</v>
      </c>
      <c r="AU129" s="1">
        <v>2040</v>
      </c>
      <c r="AV129" s="1">
        <v>2041</v>
      </c>
      <c r="AW129" s="1">
        <v>2042</v>
      </c>
      <c r="AX129" s="1">
        <v>2043</v>
      </c>
      <c r="AY129" s="1">
        <v>2044</v>
      </c>
      <c r="AZ129" s="1">
        <v>2045</v>
      </c>
      <c r="BA129" s="1">
        <v>2046</v>
      </c>
      <c r="BB129" s="1">
        <v>2047</v>
      </c>
      <c r="BC129" s="1">
        <v>2048</v>
      </c>
      <c r="BD129" s="1">
        <v>2049</v>
      </c>
      <c r="BE129" s="1">
        <v>2050</v>
      </c>
    </row>
    <row r="130" spans="1:57" x14ac:dyDescent="0.25">
      <c r="A130" s="1" t="str">
        <f>'Population Definitions'!$A$2</f>
        <v>PWID_males</v>
      </c>
      <c r="C130" t="s">
        <v>55</v>
      </c>
      <c r="D130" s="3"/>
      <c r="E130" s="3">
        <v>0.02</v>
      </c>
      <c r="F130" s="4" t="s">
        <v>39</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row>
    <row r="131" spans="1:57" x14ac:dyDescent="0.25">
      <c r="A131" s="1" t="str">
        <f>'Population Definitions'!$A$3</f>
        <v>PWID_females</v>
      </c>
      <c r="C131" t="s">
        <v>55</v>
      </c>
      <c r="D131" s="3"/>
      <c r="E131" s="3">
        <v>0.02</v>
      </c>
      <c r="F131" s="4" t="s">
        <v>39</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row>
    <row r="132" spans="1:57" x14ac:dyDescent="0.25">
      <c r="A132" s="1" t="str">
        <f>'Population Definitions'!$A$4</f>
        <v>0-9_males</v>
      </c>
      <c r="C132" t="s">
        <v>55</v>
      </c>
      <c r="D132" s="3"/>
      <c r="E132" s="3">
        <v>0.02</v>
      </c>
      <c r="F132" s="4" t="s">
        <v>39</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row>
    <row r="133" spans="1:57" x14ac:dyDescent="0.25">
      <c r="A133" s="1" t="str">
        <f>'Population Definitions'!$A$5</f>
        <v>0-9_females</v>
      </c>
      <c r="C133" t="s">
        <v>55</v>
      </c>
      <c r="D133" s="3"/>
      <c r="E133" s="3">
        <v>0.02</v>
      </c>
      <c r="F133" s="4" t="s">
        <v>39</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row>
    <row r="134" spans="1:57" x14ac:dyDescent="0.25">
      <c r="A134" s="1" t="str">
        <f>'Population Definitions'!$A$6</f>
        <v>10-17_males</v>
      </c>
      <c r="C134" t="s">
        <v>55</v>
      </c>
      <c r="D134" s="3"/>
      <c r="E134" s="3">
        <v>0.02</v>
      </c>
      <c r="F134" s="4" t="s">
        <v>39</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row>
    <row r="135" spans="1:57" x14ac:dyDescent="0.25">
      <c r="A135" s="1" t="str">
        <f>'Population Definitions'!$A$7</f>
        <v>10-17_females</v>
      </c>
      <c r="C135" t="s">
        <v>55</v>
      </c>
      <c r="D135" s="3"/>
      <c r="E135" s="3">
        <v>0.02</v>
      </c>
      <c r="F135" s="4" t="s">
        <v>39</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row>
    <row r="136" spans="1:57" x14ac:dyDescent="0.25">
      <c r="A136" s="1" t="str">
        <f>'Population Definitions'!$A$8</f>
        <v>18-64_males</v>
      </c>
      <c r="C136" t="s">
        <v>55</v>
      </c>
      <c r="D136" s="3"/>
      <c r="E136" s="3">
        <v>0.02</v>
      </c>
      <c r="F136" s="4" t="s">
        <v>39</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row>
    <row r="137" spans="1:57" x14ac:dyDescent="0.25">
      <c r="A137" s="1" t="str">
        <f>'Population Definitions'!$A$9</f>
        <v>18-64_females</v>
      </c>
      <c r="C137" t="s">
        <v>55</v>
      </c>
      <c r="D137" s="3"/>
      <c r="E137" s="3">
        <v>0.02</v>
      </c>
      <c r="F137" s="4" t="s">
        <v>39</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row>
    <row r="138" spans="1:57" x14ac:dyDescent="0.25">
      <c r="A138" s="1" t="str">
        <f>'Population Definitions'!$A$10</f>
        <v>65+_males</v>
      </c>
      <c r="C138" t="s">
        <v>55</v>
      </c>
      <c r="D138" s="3"/>
      <c r="E138" s="3">
        <v>0.02</v>
      </c>
      <c r="F138" s="4" t="s">
        <v>39</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row>
    <row r="139" spans="1:57" x14ac:dyDescent="0.25">
      <c r="A139" s="1" t="str">
        <f>'Population Definitions'!$A$11</f>
        <v>65+_females</v>
      </c>
      <c r="C139" t="s">
        <v>55</v>
      </c>
      <c r="D139" s="3"/>
      <c r="E139" s="3">
        <v>0.02</v>
      </c>
      <c r="F139" s="4" t="s">
        <v>39</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row>
    <row r="140" spans="1:57" x14ac:dyDescent="0.25">
      <c r="A140" s="1" t="str">
        <f>'Population Definitions'!$A$12</f>
        <v>Prisoners_males</v>
      </c>
      <c r="C140" t="s">
        <v>55</v>
      </c>
      <c r="D140" s="3"/>
      <c r="E140" s="3">
        <v>0.02</v>
      </c>
      <c r="F140" s="4" t="s">
        <v>39</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row>
    <row r="141" spans="1:57" x14ac:dyDescent="0.25">
      <c r="A141" s="1" t="str">
        <f>'Population Definitions'!$A$13</f>
        <v>Prisoners_females</v>
      </c>
      <c r="C141" t="s">
        <v>55</v>
      </c>
      <c r="D141" s="3"/>
      <c r="E141" s="3">
        <v>0.02</v>
      </c>
      <c r="F141" s="4" t="s">
        <v>39</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row>
    <row r="142" spans="1:57" x14ac:dyDescent="0.25">
      <c r="A142" s="1" t="str">
        <f>'Population Definitions'!$A$14</f>
        <v>Prisoners_PWID_males</v>
      </c>
      <c r="C142" t="s">
        <v>55</v>
      </c>
      <c r="D142" s="3"/>
      <c r="E142" s="3">
        <v>0.02</v>
      </c>
      <c r="F142" s="4" t="s">
        <v>39</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row>
    <row r="143" spans="1:57" x14ac:dyDescent="0.25">
      <c r="A143" s="1" t="str">
        <f>'Population Definitions'!$A$15</f>
        <v>Prisoners_PWID_females</v>
      </c>
      <c r="C143" t="s">
        <v>55</v>
      </c>
      <c r="D143" s="3"/>
      <c r="E143" s="3">
        <v>0.02</v>
      </c>
      <c r="F143" s="4" t="s">
        <v>39</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row>
    <row r="145" spans="1:57" x14ac:dyDescent="0.25">
      <c r="A145" s="1" t="s">
        <v>71</v>
      </c>
      <c r="B145" s="1" t="s">
        <v>31</v>
      </c>
      <c r="C145" s="1" t="s">
        <v>32</v>
      </c>
      <c r="D145" s="1" t="s">
        <v>33</v>
      </c>
      <c r="E145" s="1" t="s">
        <v>38</v>
      </c>
      <c r="F145" s="1"/>
      <c r="G145" s="1">
        <v>2000</v>
      </c>
      <c r="H145" s="1">
        <v>2001</v>
      </c>
      <c r="I145" s="1">
        <v>2002</v>
      </c>
      <c r="J145" s="1">
        <v>2003</v>
      </c>
      <c r="K145" s="1">
        <v>2004</v>
      </c>
      <c r="L145" s="1">
        <v>2005</v>
      </c>
      <c r="M145" s="1">
        <v>2006</v>
      </c>
      <c r="N145" s="1">
        <v>2007</v>
      </c>
      <c r="O145" s="1">
        <v>2008</v>
      </c>
      <c r="P145" s="1">
        <v>2009</v>
      </c>
      <c r="Q145" s="1">
        <v>2010</v>
      </c>
      <c r="R145" s="1">
        <v>2011</v>
      </c>
      <c r="S145" s="1">
        <v>2012</v>
      </c>
      <c r="T145" s="1">
        <v>2013</v>
      </c>
      <c r="U145" s="1">
        <v>2014</v>
      </c>
      <c r="V145" s="1">
        <v>2015</v>
      </c>
      <c r="W145" s="1">
        <v>2016</v>
      </c>
      <c r="X145" s="1">
        <v>2017</v>
      </c>
      <c r="Y145" s="1">
        <v>2018</v>
      </c>
      <c r="Z145" s="1">
        <v>2019</v>
      </c>
      <c r="AA145" s="1">
        <v>2020</v>
      </c>
      <c r="AB145" s="1">
        <v>2021</v>
      </c>
      <c r="AC145" s="1">
        <v>2022</v>
      </c>
      <c r="AD145" s="1">
        <v>2023</v>
      </c>
      <c r="AE145" s="1">
        <v>2024</v>
      </c>
      <c r="AF145" s="1">
        <v>2025</v>
      </c>
      <c r="AG145" s="1">
        <v>2026</v>
      </c>
      <c r="AH145" s="1">
        <v>2027</v>
      </c>
      <c r="AI145" s="1">
        <v>2028</v>
      </c>
      <c r="AJ145" s="1">
        <v>2029</v>
      </c>
      <c r="AK145" s="1">
        <v>2030</v>
      </c>
      <c r="AL145" s="1">
        <v>2031</v>
      </c>
      <c r="AM145" s="1">
        <v>2032</v>
      </c>
      <c r="AN145" s="1">
        <v>2033</v>
      </c>
      <c r="AO145" s="1">
        <v>2034</v>
      </c>
      <c r="AP145" s="1">
        <v>2035</v>
      </c>
      <c r="AQ145" s="1">
        <v>2036</v>
      </c>
      <c r="AR145" s="1">
        <v>2037</v>
      </c>
      <c r="AS145" s="1">
        <v>2038</v>
      </c>
      <c r="AT145" s="1">
        <v>2039</v>
      </c>
      <c r="AU145" s="1">
        <v>2040</v>
      </c>
      <c r="AV145" s="1">
        <v>2041</v>
      </c>
      <c r="AW145" s="1">
        <v>2042</v>
      </c>
      <c r="AX145" s="1">
        <v>2043</v>
      </c>
      <c r="AY145" s="1">
        <v>2044</v>
      </c>
      <c r="AZ145" s="1">
        <v>2045</v>
      </c>
      <c r="BA145" s="1">
        <v>2046</v>
      </c>
      <c r="BB145" s="1">
        <v>2047</v>
      </c>
      <c r="BC145" s="1">
        <v>2048</v>
      </c>
      <c r="BD145" s="1">
        <v>2049</v>
      </c>
      <c r="BE145" s="1">
        <v>2050</v>
      </c>
    </row>
    <row r="146" spans="1:57" x14ac:dyDescent="0.25">
      <c r="A146" s="1" t="str">
        <f>'Population Definitions'!$A$2</f>
        <v>PWID_males</v>
      </c>
      <c r="C146" t="s">
        <v>55</v>
      </c>
      <c r="D146" s="3">
        <v>2.551020408163265E-2</v>
      </c>
      <c r="E146" s="3">
        <v>0.18325814637483101</v>
      </c>
      <c r="F146" s="4" t="s">
        <v>39</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row>
    <row r="147" spans="1:57" x14ac:dyDescent="0.25">
      <c r="A147" s="1" t="str">
        <f>'Population Definitions'!$A$3</f>
        <v>PWID_females</v>
      </c>
      <c r="C147" t="s">
        <v>55</v>
      </c>
      <c r="D147" s="3">
        <v>2.551020408163265E-2</v>
      </c>
      <c r="E147" s="3">
        <v>0.18325814637483101</v>
      </c>
      <c r="F147" s="4" t="s">
        <v>39</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row>
    <row r="148" spans="1:57" x14ac:dyDescent="0.25">
      <c r="A148" s="1" t="str">
        <f>'Population Definitions'!$A$4</f>
        <v>0-9_males</v>
      </c>
      <c r="C148" t="s">
        <v>55</v>
      </c>
      <c r="D148" s="3">
        <v>2.551020408163265E-2</v>
      </c>
      <c r="E148" s="3">
        <v>0.18325814637483101</v>
      </c>
      <c r="F148" s="4" t="s">
        <v>39</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row>
    <row r="149" spans="1:57" x14ac:dyDescent="0.25">
      <c r="A149" s="1" t="str">
        <f>'Population Definitions'!$A$5</f>
        <v>0-9_females</v>
      </c>
      <c r="C149" t="s">
        <v>55</v>
      </c>
      <c r="D149" s="3">
        <v>2.551020408163265E-2</v>
      </c>
      <c r="E149" s="3">
        <v>0.18325814637483101</v>
      </c>
      <c r="F149" s="4" t="s">
        <v>39</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row>
    <row r="150" spans="1:57" x14ac:dyDescent="0.25">
      <c r="A150" s="1" t="str">
        <f>'Population Definitions'!$A$6</f>
        <v>10-17_males</v>
      </c>
      <c r="C150" t="s">
        <v>55</v>
      </c>
      <c r="D150" s="3">
        <v>2.551020408163265E-2</v>
      </c>
      <c r="E150" s="3">
        <v>0.18325814637483101</v>
      </c>
      <c r="F150" s="4" t="s">
        <v>39</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row>
    <row r="151" spans="1:57" x14ac:dyDescent="0.25">
      <c r="A151" s="1" t="str">
        <f>'Population Definitions'!$A$7</f>
        <v>10-17_females</v>
      </c>
      <c r="C151" t="s">
        <v>55</v>
      </c>
      <c r="D151" s="3">
        <v>2.551020408163265E-2</v>
      </c>
      <c r="E151" s="3">
        <v>0.18325814637483101</v>
      </c>
      <c r="F151" s="4" t="s">
        <v>39</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row>
    <row r="152" spans="1:57" x14ac:dyDescent="0.25">
      <c r="A152" s="1" t="str">
        <f>'Population Definitions'!$A$8</f>
        <v>18-64_males</v>
      </c>
      <c r="C152" t="s">
        <v>55</v>
      </c>
      <c r="D152" s="3">
        <v>2.551020408163265E-2</v>
      </c>
      <c r="E152" s="3">
        <v>0.18325814637483101</v>
      </c>
      <c r="F152" s="4" t="s">
        <v>39</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row>
    <row r="153" spans="1:57" x14ac:dyDescent="0.25">
      <c r="A153" s="1" t="str">
        <f>'Population Definitions'!$A$9</f>
        <v>18-64_females</v>
      </c>
      <c r="C153" t="s">
        <v>55</v>
      </c>
      <c r="D153" s="3">
        <v>2.551020408163265E-2</v>
      </c>
      <c r="E153" s="3">
        <v>0.18325814637483101</v>
      </c>
      <c r="F153" s="4" t="s">
        <v>39</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row>
    <row r="154" spans="1:57" x14ac:dyDescent="0.25">
      <c r="A154" s="1" t="str">
        <f>'Population Definitions'!$A$10</f>
        <v>65+_males</v>
      </c>
      <c r="C154" t="s">
        <v>55</v>
      </c>
      <c r="D154" s="3">
        <v>2.551020408163265E-2</v>
      </c>
      <c r="E154" s="3">
        <v>0.18325814637483101</v>
      </c>
      <c r="F154" s="4" t="s">
        <v>39</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row>
    <row r="155" spans="1:57" x14ac:dyDescent="0.25">
      <c r="A155" s="1" t="str">
        <f>'Population Definitions'!$A$11</f>
        <v>65+_females</v>
      </c>
      <c r="C155" t="s">
        <v>55</v>
      </c>
      <c r="D155" s="3">
        <v>2.551020408163265E-2</v>
      </c>
      <c r="E155" s="3">
        <v>0.18325814637483101</v>
      </c>
      <c r="F155" s="4" t="s">
        <v>39</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row>
    <row r="156" spans="1:57" x14ac:dyDescent="0.25">
      <c r="A156" s="1" t="str">
        <f>'Population Definitions'!$A$12</f>
        <v>Prisoners_males</v>
      </c>
      <c r="C156" t="s">
        <v>55</v>
      </c>
      <c r="D156" s="3">
        <v>2.551020408163265E-2</v>
      </c>
      <c r="E156" s="3">
        <v>0.18325814637483101</v>
      </c>
      <c r="F156" s="4" t="s">
        <v>39</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row>
    <row r="157" spans="1:57" x14ac:dyDescent="0.25">
      <c r="A157" s="1" t="str">
        <f>'Population Definitions'!$A$13</f>
        <v>Prisoners_females</v>
      </c>
      <c r="C157" t="s">
        <v>55</v>
      </c>
      <c r="D157" s="3">
        <v>2.551020408163265E-2</v>
      </c>
      <c r="E157" s="3">
        <v>0.18325814637483101</v>
      </c>
      <c r="F157" s="4" t="s">
        <v>39</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row>
    <row r="158" spans="1:57" x14ac:dyDescent="0.25">
      <c r="A158" s="1" t="str">
        <f>'Population Definitions'!$A$14</f>
        <v>Prisoners_PWID_males</v>
      </c>
      <c r="C158" t="s">
        <v>55</v>
      </c>
      <c r="D158" s="3">
        <v>2.551020408163265E-2</v>
      </c>
      <c r="E158" s="3">
        <v>0.18325814637483101</v>
      </c>
      <c r="F158" s="4" t="s">
        <v>39</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row>
    <row r="159" spans="1:57" x14ac:dyDescent="0.25">
      <c r="A159" s="1" t="str">
        <f>'Population Definitions'!$A$15</f>
        <v>Prisoners_PWID_females</v>
      </c>
      <c r="C159" t="s">
        <v>55</v>
      </c>
      <c r="D159" s="3">
        <v>2.551020408163265E-2</v>
      </c>
      <c r="E159" s="3">
        <v>0.18325814637483101</v>
      </c>
      <c r="F159" s="4" t="s">
        <v>39</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row>
    <row r="161" spans="1:57" x14ac:dyDescent="0.25">
      <c r="A161" s="1" t="s">
        <v>72</v>
      </c>
      <c r="B161" s="1" t="s">
        <v>31</v>
      </c>
      <c r="C161" s="1" t="s">
        <v>32</v>
      </c>
      <c r="D161" s="1" t="s">
        <v>33</v>
      </c>
      <c r="E161" s="1" t="s">
        <v>38</v>
      </c>
      <c r="F161" s="1"/>
      <c r="G161" s="1">
        <v>2000</v>
      </c>
      <c r="H161" s="1">
        <v>2001</v>
      </c>
      <c r="I161" s="1">
        <v>2002</v>
      </c>
      <c r="J161" s="1">
        <v>2003</v>
      </c>
      <c r="K161" s="1">
        <v>2004</v>
      </c>
      <c r="L161" s="1">
        <v>2005</v>
      </c>
      <c r="M161" s="1">
        <v>2006</v>
      </c>
      <c r="N161" s="1">
        <v>2007</v>
      </c>
      <c r="O161" s="1">
        <v>2008</v>
      </c>
      <c r="P161" s="1">
        <v>2009</v>
      </c>
      <c r="Q161" s="1">
        <v>2010</v>
      </c>
      <c r="R161" s="1">
        <v>2011</v>
      </c>
      <c r="S161" s="1">
        <v>2012</v>
      </c>
      <c r="T161" s="1">
        <v>2013</v>
      </c>
      <c r="U161" s="1">
        <v>2014</v>
      </c>
      <c r="V161" s="1">
        <v>2015</v>
      </c>
      <c r="W161" s="1">
        <v>2016</v>
      </c>
      <c r="X161" s="1">
        <v>2017</v>
      </c>
      <c r="Y161" s="1">
        <v>2018</v>
      </c>
      <c r="Z161" s="1">
        <v>2019</v>
      </c>
      <c r="AA161" s="1">
        <v>2020</v>
      </c>
      <c r="AB161" s="1">
        <v>2021</v>
      </c>
      <c r="AC161" s="1">
        <v>2022</v>
      </c>
      <c r="AD161" s="1">
        <v>2023</v>
      </c>
      <c r="AE161" s="1">
        <v>2024</v>
      </c>
      <c r="AF161" s="1">
        <v>2025</v>
      </c>
      <c r="AG161" s="1">
        <v>2026</v>
      </c>
      <c r="AH161" s="1">
        <v>2027</v>
      </c>
      <c r="AI161" s="1">
        <v>2028</v>
      </c>
      <c r="AJ161" s="1">
        <v>2029</v>
      </c>
      <c r="AK161" s="1">
        <v>2030</v>
      </c>
      <c r="AL161" s="1">
        <v>2031</v>
      </c>
      <c r="AM161" s="1">
        <v>2032</v>
      </c>
      <c r="AN161" s="1">
        <v>2033</v>
      </c>
      <c r="AO161" s="1">
        <v>2034</v>
      </c>
      <c r="AP161" s="1">
        <v>2035</v>
      </c>
      <c r="AQ161" s="1">
        <v>2036</v>
      </c>
      <c r="AR161" s="1">
        <v>2037</v>
      </c>
      <c r="AS161" s="1">
        <v>2038</v>
      </c>
      <c r="AT161" s="1">
        <v>2039</v>
      </c>
      <c r="AU161" s="1">
        <v>2040</v>
      </c>
      <c r="AV161" s="1">
        <v>2041</v>
      </c>
      <c r="AW161" s="1">
        <v>2042</v>
      </c>
      <c r="AX161" s="1">
        <v>2043</v>
      </c>
      <c r="AY161" s="1">
        <v>2044</v>
      </c>
      <c r="AZ161" s="1">
        <v>2045</v>
      </c>
      <c r="BA161" s="1">
        <v>2046</v>
      </c>
      <c r="BB161" s="1">
        <v>2047</v>
      </c>
      <c r="BC161" s="1">
        <v>2048</v>
      </c>
      <c r="BD161" s="1">
        <v>2049</v>
      </c>
      <c r="BE161" s="1">
        <v>2050</v>
      </c>
    </row>
    <row r="162" spans="1:57" x14ac:dyDescent="0.25">
      <c r="A162" s="1" t="str">
        <f>'Population Definitions'!$A$2</f>
        <v>PWID_males</v>
      </c>
      <c r="C162" t="s">
        <v>55</v>
      </c>
      <c r="D162" s="3"/>
      <c r="E162" s="3">
        <v>6.8000000000000005E-2</v>
      </c>
      <c r="F162" s="4" t="s">
        <v>39</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row>
    <row r="163" spans="1:57" x14ac:dyDescent="0.25">
      <c r="A163" s="1" t="str">
        <f>'Population Definitions'!$A$3</f>
        <v>PWID_females</v>
      </c>
      <c r="C163" t="s">
        <v>55</v>
      </c>
      <c r="D163" s="3"/>
      <c r="E163" s="3">
        <v>6.8000000000000005E-2</v>
      </c>
      <c r="F163" s="4" t="s">
        <v>39</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row>
    <row r="164" spans="1:57" x14ac:dyDescent="0.25">
      <c r="A164" s="1" t="str">
        <f>'Population Definitions'!$A$4</f>
        <v>0-9_males</v>
      </c>
      <c r="C164" t="s">
        <v>55</v>
      </c>
      <c r="D164" s="3"/>
      <c r="E164" s="3">
        <v>6.8000000000000005E-2</v>
      </c>
      <c r="F164" s="4" t="s">
        <v>39</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row>
    <row r="165" spans="1:57" x14ac:dyDescent="0.25">
      <c r="A165" s="1" t="str">
        <f>'Population Definitions'!$A$5</f>
        <v>0-9_females</v>
      </c>
      <c r="C165" t="s">
        <v>55</v>
      </c>
      <c r="D165" s="3"/>
      <c r="E165" s="3">
        <v>6.8000000000000005E-2</v>
      </c>
      <c r="F165" s="4" t="s">
        <v>39</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row>
    <row r="166" spans="1:57" x14ac:dyDescent="0.25">
      <c r="A166" s="1" t="str">
        <f>'Population Definitions'!$A$6</f>
        <v>10-17_males</v>
      </c>
      <c r="C166" t="s">
        <v>55</v>
      </c>
      <c r="D166" s="3"/>
      <c r="E166" s="3">
        <v>6.8000000000000005E-2</v>
      </c>
      <c r="F166" s="4" t="s">
        <v>39</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row>
    <row r="167" spans="1:57" x14ac:dyDescent="0.25">
      <c r="A167" s="1" t="str">
        <f>'Population Definitions'!$A$7</f>
        <v>10-17_females</v>
      </c>
      <c r="C167" t="s">
        <v>55</v>
      </c>
      <c r="D167" s="3"/>
      <c r="E167" s="3">
        <v>6.8000000000000005E-2</v>
      </c>
      <c r="F167" s="4" t="s">
        <v>39</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row>
    <row r="168" spans="1:57" x14ac:dyDescent="0.25">
      <c r="A168" s="1" t="str">
        <f>'Population Definitions'!$A$8</f>
        <v>18-64_males</v>
      </c>
      <c r="C168" t="s">
        <v>55</v>
      </c>
      <c r="D168" s="3"/>
      <c r="E168" s="3">
        <v>6.8000000000000005E-2</v>
      </c>
      <c r="F168" s="4" t="s">
        <v>39</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row>
    <row r="169" spans="1:57" x14ac:dyDescent="0.25">
      <c r="A169" s="1" t="str">
        <f>'Population Definitions'!$A$9</f>
        <v>18-64_females</v>
      </c>
      <c r="C169" t="s">
        <v>55</v>
      </c>
      <c r="D169" s="3"/>
      <c r="E169" s="3">
        <v>6.8000000000000005E-2</v>
      </c>
      <c r="F169" s="4" t="s">
        <v>39</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row>
    <row r="170" spans="1:57" x14ac:dyDescent="0.25">
      <c r="A170" s="1" t="str">
        <f>'Population Definitions'!$A$10</f>
        <v>65+_males</v>
      </c>
      <c r="C170" t="s">
        <v>55</v>
      </c>
      <c r="D170" s="3"/>
      <c r="E170" s="3">
        <v>6.8000000000000005E-2</v>
      </c>
      <c r="F170" s="4" t="s">
        <v>39</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row>
    <row r="171" spans="1:57" x14ac:dyDescent="0.25">
      <c r="A171" s="1" t="str">
        <f>'Population Definitions'!$A$11</f>
        <v>65+_females</v>
      </c>
      <c r="C171" t="s">
        <v>55</v>
      </c>
      <c r="D171" s="3"/>
      <c r="E171" s="3">
        <v>6.8000000000000005E-2</v>
      </c>
      <c r="F171" s="4" t="s">
        <v>39</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row>
    <row r="172" spans="1:57" x14ac:dyDescent="0.25">
      <c r="A172" s="1" t="str">
        <f>'Population Definitions'!$A$12</f>
        <v>Prisoners_males</v>
      </c>
      <c r="C172" t="s">
        <v>55</v>
      </c>
      <c r="D172" s="3"/>
      <c r="E172" s="3">
        <v>6.8000000000000005E-2</v>
      </c>
      <c r="F172" s="4" t="s">
        <v>39</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row>
    <row r="173" spans="1:57" x14ac:dyDescent="0.25">
      <c r="A173" s="1" t="str">
        <f>'Population Definitions'!$A$13</f>
        <v>Prisoners_females</v>
      </c>
      <c r="C173" t="s">
        <v>55</v>
      </c>
      <c r="D173" s="3"/>
      <c r="E173" s="3">
        <v>6.8000000000000005E-2</v>
      </c>
      <c r="F173" s="4" t="s">
        <v>39</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row>
    <row r="174" spans="1:57" x14ac:dyDescent="0.25">
      <c r="A174" s="1" t="str">
        <f>'Population Definitions'!$A$14</f>
        <v>Prisoners_PWID_males</v>
      </c>
      <c r="C174" t="s">
        <v>55</v>
      </c>
      <c r="D174" s="3"/>
      <c r="E174" s="3">
        <v>6.8000000000000005E-2</v>
      </c>
      <c r="F174" s="4" t="s">
        <v>39</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row>
    <row r="175" spans="1:57" x14ac:dyDescent="0.25">
      <c r="A175" s="1" t="str">
        <f>'Population Definitions'!$A$15</f>
        <v>Prisoners_PWID_females</v>
      </c>
      <c r="C175" t="s">
        <v>55</v>
      </c>
      <c r="D175" s="3"/>
      <c r="E175" s="3">
        <v>6.8000000000000005E-2</v>
      </c>
      <c r="F175" s="4" t="s">
        <v>39</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row>
    <row r="177" spans="1:57" x14ac:dyDescent="0.25">
      <c r="A177" s="1" t="s">
        <v>73</v>
      </c>
      <c r="B177" s="1" t="s">
        <v>31</v>
      </c>
      <c r="C177" s="1" t="s">
        <v>32</v>
      </c>
      <c r="D177" s="1" t="s">
        <v>33</v>
      </c>
      <c r="E177" s="1" t="s">
        <v>38</v>
      </c>
      <c r="F177" s="1"/>
      <c r="G177" s="1">
        <v>2000</v>
      </c>
      <c r="H177" s="1">
        <v>2001</v>
      </c>
      <c r="I177" s="1">
        <v>2002</v>
      </c>
      <c r="J177" s="1">
        <v>2003</v>
      </c>
      <c r="K177" s="1">
        <v>2004</v>
      </c>
      <c r="L177" s="1">
        <v>2005</v>
      </c>
      <c r="M177" s="1">
        <v>2006</v>
      </c>
      <c r="N177" s="1">
        <v>2007</v>
      </c>
      <c r="O177" s="1">
        <v>2008</v>
      </c>
      <c r="P177" s="1">
        <v>2009</v>
      </c>
      <c r="Q177" s="1">
        <v>2010</v>
      </c>
      <c r="R177" s="1">
        <v>2011</v>
      </c>
      <c r="S177" s="1">
        <v>2012</v>
      </c>
      <c r="T177" s="1">
        <v>2013</v>
      </c>
      <c r="U177" s="1">
        <v>2014</v>
      </c>
      <c r="V177" s="1">
        <v>2015</v>
      </c>
      <c r="W177" s="1">
        <v>2016</v>
      </c>
      <c r="X177" s="1">
        <v>2017</v>
      </c>
      <c r="Y177" s="1">
        <v>2018</v>
      </c>
      <c r="Z177" s="1">
        <v>2019</v>
      </c>
      <c r="AA177" s="1">
        <v>2020</v>
      </c>
      <c r="AB177" s="1">
        <v>2021</v>
      </c>
      <c r="AC177" s="1">
        <v>2022</v>
      </c>
      <c r="AD177" s="1">
        <v>2023</v>
      </c>
      <c r="AE177" s="1">
        <v>2024</v>
      </c>
      <c r="AF177" s="1">
        <v>2025</v>
      </c>
      <c r="AG177" s="1">
        <v>2026</v>
      </c>
      <c r="AH177" s="1">
        <v>2027</v>
      </c>
      <c r="AI177" s="1">
        <v>2028</v>
      </c>
      <c r="AJ177" s="1">
        <v>2029</v>
      </c>
      <c r="AK177" s="1">
        <v>2030</v>
      </c>
      <c r="AL177" s="1">
        <v>2031</v>
      </c>
      <c r="AM177" s="1">
        <v>2032</v>
      </c>
      <c r="AN177" s="1">
        <v>2033</v>
      </c>
      <c r="AO177" s="1">
        <v>2034</v>
      </c>
      <c r="AP177" s="1">
        <v>2035</v>
      </c>
      <c r="AQ177" s="1">
        <v>2036</v>
      </c>
      <c r="AR177" s="1">
        <v>2037</v>
      </c>
      <c r="AS177" s="1">
        <v>2038</v>
      </c>
      <c r="AT177" s="1">
        <v>2039</v>
      </c>
      <c r="AU177" s="1">
        <v>2040</v>
      </c>
      <c r="AV177" s="1">
        <v>2041</v>
      </c>
      <c r="AW177" s="1">
        <v>2042</v>
      </c>
      <c r="AX177" s="1">
        <v>2043</v>
      </c>
      <c r="AY177" s="1">
        <v>2044</v>
      </c>
      <c r="AZ177" s="1">
        <v>2045</v>
      </c>
      <c r="BA177" s="1">
        <v>2046</v>
      </c>
      <c r="BB177" s="1">
        <v>2047</v>
      </c>
      <c r="BC177" s="1">
        <v>2048</v>
      </c>
      <c r="BD177" s="1">
        <v>2049</v>
      </c>
      <c r="BE177" s="1">
        <v>2050</v>
      </c>
    </row>
    <row r="178" spans="1:57" x14ac:dyDescent="0.25">
      <c r="A178" s="1" t="str">
        <f>'Population Definitions'!$A$2</f>
        <v>PWID_males</v>
      </c>
      <c r="C178" t="s">
        <v>55</v>
      </c>
      <c r="D178" s="3"/>
      <c r="E178" s="3">
        <v>0.03</v>
      </c>
      <c r="F178" s="4" t="s">
        <v>39</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row>
    <row r="179" spans="1:57" x14ac:dyDescent="0.25">
      <c r="A179" s="1" t="str">
        <f>'Population Definitions'!$A$3</f>
        <v>PWID_females</v>
      </c>
      <c r="C179" t="s">
        <v>55</v>
      </c>
      <c r="D179" s="3"/>
      <c r="E179" s="3">
        <v>0.03</v>
      </c>
      <c r="F179" s="4" t="s">
        <v>39</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row>
    <row r="180" spans="1:57" x14ac:dyDescent="0.25">
      <c r="A180" s="1" t="str">
        <f>'Population Definitions'!$A$4</f>
        <v>0-9_males</v>
      </c>
      <c r="C180" t="s">
        <v>55</v>
      </c>
      <c r="D180" s="3"/>
      <c r="E180" s="3">
        <v>0.03</v>
      </c>
      <c r="F180" s="4" t="s">
        <v>39</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row>
    <row r="181" spans="1:57" x14ac:dyDescent="0.25">
      <c r="A181" s="1" t="str">
        <f>'Population Definitions'!$A$5</f>
        <v>0-9_females</v>
      </c>
      <c r="C181" t="s">
        <v>55</v>
      </c>
      <c r="D181" s="3"/>
      <c r="E181" s="3">
        <v>0.03</v>
      </c>
      <c r="F181" s="4" t="s">
        <v>39</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row>
    <row r="182" spans="1:57" x14ac:dyDescent="0.25">
      <c r="A182" s="1" t="str">
        <f>'Population Definitions'!$A$6</f>
        <v>10-17_males</v>
      </c>
      <c r="C182" t="s">
        <v>55</v>
      </c>
      <c r="D182" s="3"/>
      <c r="E182" s="3">
        <v>0.03</v>
      </c>
      <c r="F182" s="4" t="s">
        <v>39</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row>
    <row r="183" spans="1:57" x14ac:dyDescent="0.25">
      <c r="A183" s="1" t="str">
        <f>'Population Definitions'!$A$7</f>
        <v>10-17_females</v>
      </c>
      <c r="C183" t="s">
        <v>55</v>
      </c>
      <c r="D183" s="3"/>
      <c r="E183" s="3">
        <v>0.03</v>
      </c>
      <c r="F183" s="4" t="s">
        <v>39</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row>
    <row r="184" spans="1:57" x14ac:dyDescent="0.25">
      <c r="A184" s="1" t="str">
        <f>'Population Definitions'!$A$8</f>
        <v>18-64_males</v>
      </c>
      <c r="C184" t="s">
        <v>55</v>
      </c>
      <c r="D184" s="3"/>
      <c r="E184" s="3">
        <v>0.03</v>
      </c>
      <c r="F184" s="4" t="s">
        <v>39</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row>
    <row r="185" spans="1:57" x14ac:dyDescent="0.25">
      <c r="A185" s="1" t="str">
        <f>'Population Definitions'!$A$9</f>
        <v>18-64_females</v>
      </c>
      <c r="C185" t="s">
        <v>55</v>
      </c>
      <c r="D185" s="3"/>
      <c r="E185" s="3">
        <v>0.03</v>
      </c>
      <c r="F185" s="4" t="s">
        <v>39</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row>
    <row r="186" spans="1:57" x14ac:dyDescent="0.25">
      <c r="A186" s="1" t="str">
        <f>'Population Definitions'!$A$10</f>
        <v>65+_males</v>
      </c>
      <c r="C186" t="s">
        <v>55</v>
      </c>
      <c r="D186" s="3"/>
      <c r="E186" s="3">
        <v>0.03</v>
      </c>
      <c r="F186" s="4" t="s">
        <v>39</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row>
    <row r="187" spans="1:57" x14ac:dyDescent="0.25">
      <c r="A187" s="1" t="str">
        <f>'Population Definitions'!$A$11</f>
        <v>65+_females</v>
      </c>
      <c r="C187" t="s">
        <v>55</v>
      </c>
      <c r="D187" s="3"/>
      <c r="E187" s="3">
        <v>0.03</v>
      </c>
      <c r="F187" s="4" t="s">
        <v>39</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row>
    <row r="188" spans="1:57" x14ac:dyDescent="0.25">
      <c r="A188" s="1" t="str">
        <f>'Population Definitions'!$A$12</f>
        <v>Prisoners_males</v>
      </c>
      <c r="C188" t="s">
        <v>55</v>
      </c>
      <c r="D188" s="3"/>
      <c r="E188" s="3">
        <v>0.03</v>
      </c>
      <c r="F188" s="4" t="s">
        <v>39</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row>
    <row r="189" spans="1:57" x14ac:dyDescent="0.25">
      <c r="A189" s="1" t="str">
        <f>'Population Definitions'!$A$13</f>
        <v>Prisoners_females</v>
      </c>
      <c r="C189" t="s">
        <v>55</v>
      </c>
      <c r="D189" s="3"/>
      <c r="E189" s="3">
        <v>0.03</v>
      </c>
      <c r="F189" s="4" t="s">
        <v>39</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row>
    <row r="190" spans="1:57" x14ac:dyDescent="0.25">
      <c r="A190" s="1" t="str">
        <f>'Population Definitions'!$A$14</f>
        <v>Prisoners_PWID_males</v>
      </c>
      <c r="C190" t="s">
        <v>55</v>
      </c>
      <c r="D190" s="3"/>
      <c r="E190" s="3">
        <v>0.03</v>
      </c>
      <c r="F190" s="4" t="s">
        <v>39</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row>
    <row r="191" spans="1:57" x14ac:dyDescent="0.25">
      <c r="A191" s="1" t="str">
        <f>'Population Definitions'!$A$15</f>
        <v>Prisoners_PWID_females</v>
      </c>
      <c r="C191" t="s">
        <v>55</v>
      </c>
      <c r="D191" s="3"/>
      <c r="E191" s="3">
        <v>0.03</v>
      </c>
      <c r="F191" s="4" t="s">
        <v>39</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row>
    <row r="193" spans="1:57" x14ac:dyDescent="0.25">
      <c r="A193" s="1" t="s">
        <v>74</v>
      </c>
      <c r="B193" s="1" t="s">
        <v>31</v>
      </c>
      <c r="C193" s="1" t="s">
        <v>32</v>
      </c>
      <c r="D193" s="1" t="s">
        <v>33</v>
      </c>
      <c r="E193" s="1" t="s">
        <v>38</v>
      </c>
      <c r="F193" s="1"/>
      <c r="G193" s="1">
        <v>2000</v>
      </c>
      <c r="H193" s="1">
        <v>2001</v>
      </c>
      <c r="I193" s="1">
        <v>2002</v>
      </c>
      <c r="J193" s="1">
        <v>2003</v>
      </c>
      <c r="K193" s="1">
        <v>2004</v>
      </c>
      <c r="L193" s="1">
        <v>2005</v>
      </c>
      <c r="M193" s="1">
        <v>2006</v>
      </c>
      <c r="N193" s="1">
        <v>2007</v>
      </c>
      <c r="O193" s="1">
        <v>2008</v>
      </c>
      <c r="P193" s="1">
        <v>2009</v>
      </c>
      <c r="Q193" s="1">
        <v>2010</v>
      </c>
      <c r="R193" s="1">
        <v>2011</v>
      </c>
      <c r="S193" s="1">
        <v>2012</v>
      </c>
      <c r="T193" s="1">
        <v>2013</v>
      </c>
      <c r="U193" s="1">
        <v>2014</v>
      </c>
      <c r="V193" s="1">
        <v>2015</v>
      </c>
      <c r="W193" s="1">
        <v>2016</v>
      </c>
      <c r="X193" s="1">
        <v>2017</v>
      </c>
      <c r="Y193" s="1">
        <v>2018</v>
      </c>
      <c r="Z193" s="1">
        <v>2019</v>
      </c>
      <c r="AA193" s="1">
        <v>2020</v>
      </c>
      <c r="AB193" s="1">
        <v>2021</v>
      </c>
      <c r="AC193" s="1">
        <v>2022</v>
      </c>
      <c r="AD193" s="1">
        <v>2023</v>
      </c>
      <c r="AE193" s="1">
        <v>2024</v>
      </c>
      <c r="AF193" s="1">
        <v>2025</v>
      </c>
      <c r="AG193" s="1">
        <v>2026</v>
      </c>
      <c r="AH193" s="1">
        <v>2027</v>
      </c>
      <c r="AI193" s="1">
        <v>2028</v>
      </c>
      <c r="AJ193" s="1">
        <v>2029</v>
      </c>
      <c r="AK193" s="1">
        <v>2030</v>
      </c>
      <c r="AL193" s="1">
        <v>2031</v>
      </c>
      <c r="AM193" s="1">
        <v>2032</v>
      </c>
      <c r="AN193" s="1">
        <v>2033</v>
      </c>
      <c r="AO193" s="1">
        <v>2034</v>
      </c>
      <c r="AP193" s="1">
        <v>2035</v>
      </c>
      <c r="AQ193" s="1">
        <v>2036</v>
      </c>
      <c r="AR193" s="1">
        <v>2037</v>
      </c>
      <c r="AS193" s="1">
        <v>2038</v>
      </c>
      <c r="AT193" s="1">
        <v>2039</v>
      </c>
      <c r="AU193" s="1">
        <v>2040</v>
      </c>
      <c r="AV193" s="1">
        <v>2041</v>
      </c>
      <c r="AW193" s="1">
        <v>2042</v>
      </c>
      <c r="AX193" s="1">
        <v>2043</v>
      </c>
      <c r="AY193" s="1">
        <v>2044</v>
      </c>
      <c r="AZ193" s="1">
        <v>2045</v>
      </c>
      <c r="BA193" s="1">
        <v>2046</v>
      </c>
      <c r="BB193" s="1">
        <v>2047</v>
      </c>
      <c r="BC193" s="1">
        <v>2048</v>
      </c>
      <c r="BD193" s="1">
        <v>2049</v>
      </c>
      <c r="BE193" s="1">
        <v>2050</v>
      </c>
    </row>
    <row r="194" spans="1:57" x14ac:dyDescent="0.25">
      <c r="A194" s="1" t="str">
        <f>'Population Definitions'!$A$2</f>
        <v>PWID_males</v>
      </c>
      <c r="C194" t="s">
        <v>55</v>
      </c>
      <c r="D194" s="3"/>
      <c r="E194" s="3">
        <v>0.13800000000000001</v>
      </c>
      <c r="F194" s="4" t="s">
        <v>39</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row>
    <row r="195" spans="1:57" x14ac:dyDescent="0.25">
      <c r="A195" s="1" t="str">
        <f>'Population Definitions'!$A$3</f>
        <v>PWID_females</v>
      </c>
      <c r="C195" t="s">
        <v>55</v>
      </c>
      <c r="D195" s="3"/>
      <c r="E195" s="3">
        <v>0.13800000000000001</v>
      </c>
      <c r="F195" s="4" t="s">
        <v>39</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row>
    <row r="196" spans="1:57" x14ac:dyDescent="0.25">
      <c r="A196" s="1" t="str">
        <f>'Population Definitions'!$A$4</f>
        <v>0-9_males</v>
      </c>
      <c r="C196" t="s">
        <v>55</v>
      </c>
      <c r="D196" s="3"/>
      <c r="E196" s="3">
        <v>0.13800000000000001</v>
      </c>
      <c r="F196" s="4" t="s">
        <v>39</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row>
    <row r="197" spans="1:57" x14ac:dyDescent="0.25">
      <c r="A197" s="1" t="str">
        <f>'Population Definitions'!$A$5</f>
        <v>0-9_females</v>
      </c>
      <c r="C197" t="s">
        <v>55</v>
      </c>
      <c r="D197" s="3"/>
      <c r="E197" s="3">
        <v>0.13800000000000001</v>
      </c>
      <c r="F197" s="4" t="s">
        <v>39</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row>
    <row r="198" spans="1:57" x14ac:dyDescent="0.25">
      <c r="A198" s="1" t="str">
        <f>'Population Definitions'!$A$6</f>
        <v>10-17_males</v>
      </c>
      <c r="C198" t="s">
        <v>55</v>
      </c>
      <c r="D198" s="3"/>
      <c r="E198" s="3">
        <v>0.13800000000000001</v>
      </c>
      <c r="F198" s="4" t="s">
        <v>39</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row>
    <row r="199" spans="1:57" x14ac:dyDescent="0.25">
      <c r="A199" s="1" t="str">
        <f>'Population Definitions'!$A$7</f>
        <v>10-17_females</v>
      </c>
      <c r="C199" t="s">
        <v>55</v>
      </c>
      <c r="D199" s="3"/>
      <c r="E199" s="3">
        <v>0.13800000000000001</v>
      </c>
      <c r="F199" s="4" t="s">
        <v>39</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row>
    <row r="200" spans="1:57" x14ac:dyDescent="0.25">
      <c r="A200" s="1" t="str">
        <f>'Population Definitions'!$A$8</f>
        <v>18-64_males</v>
      </c>
      <c r="C200" t="s">
        <v>55</v>
      </c>
      <c r="D200" s="3"/>
      <c r="E200" s="3">
        <v>0.13800000000000001</v>
      </c>
      <c r="F200" s="4" t="s">
        <v>39</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row>
    <row r="201" spans="1:57" x14ac:dyDescent="0.25">
      <c r="A201" s="1" t="str">
        <f>'Population Definitions'!$A$9</f>
        <v>18-64_females</v>
      </c>
      <c r="C201" t="s">
        <v>55</v>
      </c>
      <c r="D201" s="3"/>
      <c r="E201" s="3">
        <v>0.13800000000000001</v>
      </c>
      <c r="F201" s="4" t="s">
        <v>39</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row>
    <row r="202" spans="1:57" x14ac:dyDescent="0.25">
      <c r="A202" s="1" t="str">
        <f>'Population Definitions'!$A$10</f>
        <v>65+_males</v>
      </c>
      <c r="C202" t="s">
        <v>55</v>
      </c>
      <c r="D202" s="3"/>
      <c r="E202" s="3">
        <v>0.13800000000000001</v>
      </c>
      <c r="F202" s="4" t="s">
        <v>39</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row>
    <row r="203" spans="1:57" x14ac:dyDescent="0.25">
      <c r="A203" s="1" t="str">
        <f>'Population Definitions'!$A$11</f>
        <v>65+_females</v>
      </c>
      <c r="C203" t="s">
        <v>55</v>
      </c>
      <c r="D203" s="3"/>
      <c r="E203" s="3">
        <v>0.13800000000000001</v>
      </c>
      <c r="F203" s="4" t="s">
        <v>39</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row>
    <row r="204" spans="1:57" x14ac:dyDescent="0.25">
      <c r="A204" s="1" t="str">
        <f>'Population Definitions'!$A$12</f>
        <v>Prisoners_males</v>
      </c>
      <c r="C204" t="s">
        <v>55</v>
      </c>
      <c r="D204" s="3"/>
      <c r="E204" s="3">
        <v>0.13800000000000001</v>
      </c>
      <c r="F204" s="4" t="s">
        <v>39</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row>
    <row r="205" spans="1:57" x14ac:dyDescent="0.25">
      <c r="A205" s="1" t="str">
        <f>'Population Definitions'!$A$13</f>
        <v>Prisoners_females</v>
      </c>
      <c r="C205" t="s">
        <v>55</v>
      </c>
      <c r="D205" s="3"/>
      <c r="E205" s="3">
        <v>0.13800000000000001</v>
      </c>
      <c r="F205" s="4" t="s">
        <v>39</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row>
    <row r="206" spans="1:57" x14ac:dyDescent="0.25">
      <c r="A206" s="1" t="str">
        <f>'Population Definitions'!$A$14</f>
        <v>Prisoners_PWID_males</v>
      </c>
      <c r="C206" t="s">
        <v>55</v>
      </c>
      <c r="D206" s="3"/>
      <c r="E206" s="3">
        <v>0.13800000000000001</v>
      </c>
      <c r="F206" s="4" t="s">
        <v>39</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row>
    <row r="207" spans="1:57" x14ac:dyDescent="0.25">
      <c r="A207" s="1" t="str">
        <f>'Population Definitions'!$A$15</f>
        <v>Prisoners_PWID_females</v>
      </c>
      <c r="C207" t="s">
        <v>55</v>
      </c>
      <c r="D207" s="3"/>
      <c r="E207" s="3">
        <v>0.13800000000000001</v>
      </c>
      <c r="F207" s="4" t="s">
        <v>39</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row>
    <row r="209" spans="1:57" x14ac:dyDescent="0.25">
      <c r="A209" s="1" t="s">
        <v>75</v>
      </c>
      <c r="B209" s="1" t="s">
        <v>31</v>
      </c>
      <c r="C209" s="1" t="s">
        <v>32</v>
      </c>
      <c r="D209" s="1" t="s">
        <v>33</v>
      </c>
      <c r="E209" s="1" t="s">
        <v>38</v>
      </c>
      <c r="F209" s="1"/>
      <c r="G209" s="1">
        <v>2000</v>
      </c>
      <c r="H209" s="1">
        <v>2001</v>
      </c>
      <c r="I209" s="1">
        <v>2002</v>
      </c>
      <c r="J209" s="1">
        <v>2003</v>
      </c>
      <c r="K209" s="1">
        <v>2004</v>
      </c>
      <c r="L209" s="1">
        <v>2005</v>
      </c>
      <c r="M209" s="1">
        <v>2006</v>
      </c>
      <c r="N209" s="1">
        <v>2007</v>
      </c>
      <c r="O209" s="1">
        <v>2008</v>
      </c>
      <c r="P209" s="1">
        <v>2009</v>
      </c>
      <c r="Q209" s="1">
        <v>2010</v>
      </c>
      <c r="R209" s="1">
        <v>2011</v>
      </c>
      <c r="S209" s="1">
        <v>2012</v>
      </c>
      <c r="T209" s="1">
        <v>2013</v>
      </c>
      <c r="U209" s="1">
        <v>2014</v>
      </c>
      <c r="V209" s="1">
        <v>2015</v>
      </c>
      <c r="W209" s="1">
        <v>2016</v>
      </c>
      <c r="X209" s="1">
        <v>2017</v>
      </c>
      <c r="Y209" s="1">
        <v>2018</v>
      </c>
      <c r="Z209" s="1">
        <v>2019</v>
      </c>
      <c r="AA209" s="1">
        <v>2020</v>
      </c>
      <c r="AB209" s="1">
        <v>2021</v>
      </c>
      <c r="AC209" s="1">
        <v>2022</v>
      </c>
      <c r="AD209" s="1">
        <v>2023</v>
      </c>
      <c r="AE209" s="1">
        <v>2024</v>
      </c>
      <c r="AF209" s="1">
        <v>2025</v>
      </c>
      <c r="AG209" s="1">
        <v>2026</v>
      </c>
      <c r="AH209" s="1">
        <v>2027</v>
      </c>
      <c r="AI209" s="1">
        <v>2028</v>
      </c>
      <c r="AJ209" s="1">
        <v>2029</v>
      </c>
      <c r="AK209" s="1">
        <v>2030</v>
      </c>
      <c r="AL209" s="1">
        <v>2031</v>
      </c>
      <c r="AM209" s="1">
        <v>2032</v>
      </c>
      <c r="AN209" s="1">
        <v>2033</v>
      </c>
      <c r="AO209" s="1">
        <v>2034</v>
      </c>
      <c r="AP209" s="1">
        <v>2035</v>
      </c>
      <c r="AQ209" s="1">
        <v>2036</v>
      </c>
      <c r="AR209" s="1">
        <v>2037</v>
      </c>
      <c r="AS209" s="1">
        <v>2038</v>
      </c>
      <c r="AT209" s="1">
        <v>2039</v>
      </c>
      <c r="AU209" s="1">
        <v>2040</v>
      </c>
      <c r="AV209" s="1">
        <v>2041</v>
      </c>
      <c r="AW209" s="1">
        <v>2042</v>
      </c>
      <c r="AX209" s="1">
        <v>2043</v>
      </c>
      <c r="AY209" s="1">
        <v>2044</v>
      </c>
      <c r="AZ209" s="1">
        <v>2045</v>
      </c>
      <c r="BA209" s="1">
        <v>2046</v>
      </c>
      <c r="BB209" s="1">
        <v>2047</v>
      </c>
      <c r="BC209" s="1">
        <v>2048</v>
      </c>
      <c r="BD209" s="1">
        <v>2049</v>
      </c>
      <c r="BE209" s="1">
        <v>2050</v>
      </c>
    </row>
    <row r="210" spans="1:57" x14ac:dyDescent="0.25">
      <c r="A210" s="1" t="str">
        <f>'Population Definitions'!$A$2</f>
        <v>PWID_males</v>
      </c>
      <c r="C210" t="s">
        <v>55</v>
      </c>
      <c r="D210" s="3"/>
      <c r="E210" s="3">
        <v>0.3</v>
      </c>
      <c r="F210" s="4" t="s">
        <v>39</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row>
    <row r="211" spans="1:57" x14ac:dyDescent="0.25">
      <c r="A211" s="1" t="str">
        <f>'Population Definitions'!$A$3</f>
        <v>PWID_females</v>
      </c>
      <c r="C211" t="s">
        <v>55</v>
      </c>
      <c r="D211" s="3"/>
      <c r="E211" s="3">
        <v>0.3</v>
      </c>
      <c r="F211" s="4" t="s">
        <v>39</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row>
    <row r="212" spans="1:57" x14ac:dyDescent="0.25">
      <c r="A212" s="1" t="str">
        <f>'Population Definitions'!$A$4</f>
        <v>0-9_males</v>
      </c>
      <c r="C212" t="s">
        <v>55</v>
      </c>
      <c r="D212" s="3"/>
      <c r="E212" s="3">
        <v>0.3</v>
      </c>
      <c r="F212" s="4" t="s">
        <v>39</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row>
    <row r="213" spans="1:57" x14ac:dyDescent="0.25">
      <c r="A213" s="1" t="str">
        <f>'Population Definitions'!$A$5</f>
        <v>0-9_females</v>
      </c>
      <c r="C213" t="s">
        <v>55</v>
      </c>
      <c r="D213" s="3"/>
      <c r="E213" s="3">
        <v>0.3</v>
      </c>
      <c r="F213" s="4" t="s">
        <v>39</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row>
    <row r="214" spans="1:57" x14ac:dyDescent="0.25">
      <c r="A214" s="1" t="str">
        <f>'Population Definitions'!$A$6</f>
        <v>10-17_males</v>
      </c>
      <c r="C214" t="s">
        <v>55</v>
      </c>
      <c r="D214" s="3"/>
      <c r="E214" s="3">
        <v>0.3</v>
      </c>
      <c r="F214" s="4" t="s">
        <v>39</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row>
    <row r="215" spans="1:57" x14ac:dyDescent="0.25">
      <c r="A215" s="1" t="str">
        <f>'Population Definitions'!$A$7</f>
        <v>10-17_females</v>
      </c>
      <c r="C215" t="s">
        <v>55</v>
      </c>
      <c r="D215" s="3"/>
      <c r="E215" s="3">
        <v>0.3</v>
      </c>
      <c r="F215" s="4" t="s">
        <v>39</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row>
    <row r="216" spans="1:57" x14ac:dyDescent="0.25">
      <c r="A216" s="1" t="str">
        <f>'Population Definitions'!$A$8</f>
        <v>18-64_males</v>
      </c>
      <c r="C216" t="s">
        <v>55</v>
      </c>
      <c r="D216" s="3"/>
      <c r="E216" s="3">
        <v>0.3</v>
      </c>
      <c r="F216" s="4" t="s">
        <v>39</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row>
    <row r="217" spans="1:57" x14ac:dyDescent="0.25">
      <c r="A217" s="1" t="str">
        <f>'Population Definitions'!$A$9</f>
        <v>18-64_females</v>
      </c>
      <c r="C217" t="s">
        <v>55</v>
      </c>
      <c r="D217" s="3"/>
      <c r="E217" s="3">
        <v>0.3</v>
      </c>
      <c r="F217" s="4" t="s">
        <v>39</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row>
    <row r="218" spans="1:57" x14ac:dyDescent="0.25">
      <c r="A218" s="1" t="str">
        <f>'Population Definitions'!$A$10</f>
        <v>65+_males</v>
      </c>
      <c r="C218" t="s">
        <v>55</v>
      </c>
      <c r="D218" s="3"/>
      <c r="E218" s="3">
        <v>0.3</v>
      </c>
      <c r="F218" s="4" t="s">
        <v>39</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row>
    <row r="219" spans="1:57" x14ac:dyDescent="0.25">
      <c r="A219" s="1" t="str">
        <f>'Population Definitions'!$A$11</f>
        <v>65+_females</v>
      </c>
      <c r="C219" t="s">
        <v>55</v>
      </c>
      <c r="D219" s="3"/>
      <c r="E219" s="3">
        <v>0.3</v>
      </c>
      <c r="F219" s="4" t="s">
        <v>39</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row>
    <row r="220" spans="1:57" x14ac:dyDescent="0.25">
      <c r="A220" s="1" t="str">
        <f>'Population Definitions'!$A$12</f>
        <v>Prisoners_males</v>
      </c>
      <c r="C220" t="s">
        <v>55</v>
      </c>
      <c r="D220" s="3"/>
      <c r="E220" s="3">
        <v>0.3</v>
      </c>
      <c r="F220" s="4" t="s">
        <v>39</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row>
    <row r="221" spans="1:57" x14ac:dyDescent="0.25">
      <c r="A221" s="1" t="str">
        <f>'Population Definitions'!$A$13</f>
        <v>Prisoners_females</v>
      </c>
      <c r="C221" t="s">
        <v>55</v>
      </c>
      <c r="D221" s="3"/>
      <c r="E221" s="3">
        <v>0.3</v>
      </c>
      <c r="F221" s="4" t="s">
        <v>39</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row>
    <row r="222" spans="1:57" x14ac:dyDescent="0.25">
      <c r="A222" s="1" t="str">
        <f>'Population Definitions'!$A$14</f>
        <v>Prisoners_PWID_males</v>
      </c>
      <c r="C222" t="s">
        <v>55</v>
      </c>
      <c r="D222" s="3"/>
      <c r="E222" s="3">
        <v>0.3</v>
      </c>
      <c r="F222" s="4" t="s">
        <v>39</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row>
    <row r="223" spans="1:57" x14ac:dyDescent="0.25">
      <c r="A223" s="1" t="str">
        <f>'Population Definitions'!$A$15</f>
        <v>Prisoners_PWID_females</v>
      </c>
      <c r="C223" t="s">
        <v>55</v>
      </c>
      <c r="D223" s="3"/>
      <c r="E223" s="3">
        <v>0.3</v>
      </c>
      <c r="F223" s="4" t="s">
        <v>39</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row>
    <row r="225" spans="1:57" x14ac:dyDescent="0.25">
      <c r="A225" s="1" t="s">
        <v>76</v>
      </c>
      <c r="B225" s="1" t="s">
        <v>31</v>
      </c>
      <c r="C225" s="1" t="s">
        <v>32</v>
      </c>
      <c r="D225" s="1" t="s">
        <v>33</v>
      </c>
      <c r="E225" s="1" t="s">
        <v>38</v>
      </c>
      <c r="F225" s="1"/>
      <c r="G225" s="1">
        <v>2000</v>
      </c>
      <c r="H225" s="1">
        <v>2001</v>
      </c>
      <c r="I225" s="1">
        <v>2002</v>
      </c>
      <c r="J225" s="1">
        <v>2003</v>
      </c>
      <c r="K225" s="1">
        <v>2004</v>
      </c>
      <c r="L225" s="1">
        <v>2005</v>
      </c>
      <c r="M225" s="1">
        <v>2006</v>
      </c>
      <c r="N225" s="1">
        <v>2007</v>
      </c>
      <c r="O225" s="1">
        <v>2008</v>
      </c>
      <c r="P225" s="1">
        <v>2009</v>
      </c>
      <c r="Q225" s="1">
        <v>2010</v>
      </c>
      <c r="R225" s="1">
        <v>2011</v>
      </c>
      <c r="S225" s="1">
        <v>2012</v>
      </c>
      <c r="T225" s="1">
        <v>2013</v>
      </c>
      <c r="U225" s="1">
        <v>2014</v>
      </c>
      <c r="V225" s="1">
        <v>2015</v>
      </c>
      <c r="W225" s="1">
        <v>2016</v>
      </c>
      <c r="X225" s="1">
        <v>2017</v>
      </c>
      <c r="Y225" s="1">
        <v>2018</v>
      </c>
      <c r="Z225" s="1">
        <v>2019</v>
      </c>
      <c r="AA225" s="1">
        <v>2020</v>
      </c>
      <c r="AB225" s="1">
        <v>2021</v>
      </c>
      <c r="AC225" s="1">
        <v>2022</v>
      </c>
      <c r="AD225" s="1">
        <v>2023</v>
      </c>
      <c r="AE225" s="1">
        <v>2024</v>
      </c>
      <c r="AF225" s="1">
        <v>2025</v>
      </c>
      <c r="AG225" s="1">
        <v>2026</v>
      </c>
      <c r="AH225" s="1">
        <v>2027</v>
      </c>
      <c r="AI225" s="1">
        <v>2028</v>
      </c>
      <c r="AJ225" s="1">
        <v>2029</v>
      </c>
      <c r="AK225" s="1">
        <v>2030</v>
      </c>
      <c r="AL225" s="1">
        <v>2031</v>
      </c>
      <c r="AM225" s="1">
        <v>2032</v>
      </c>
      <c r="AN225" s="1">
        <v>2033</v>
      </c>
      <c r="AO225" s="1">
        <v>2034</v>
      </c>
      <c r="AP225" s="1">
        <v>2035</v>
      </c>
      <c r="AQ225" s="1">
        <v>2036</v>
      </c>
      <c r="AR225" s="1">
        <v>2037</v>
      </c>
      <c r="AS225" s="1">
        <v>2038</v>
      </c>
      <c r="AT225" s="1">
        <v>2039</v>
      </c>
      <c r="AU225" s="1">
        <v>2040</v>
      </c>
      <c r="AV225" s="1">
        <v>2041</v>
      </c>
      <c r="AW225" s="1">
        <v>2042</v>
      </c>
      <c r="AX225" s="1">
        <v>2043</v>
      </c>
      <c r="AY225" s="1">
        <v>2044</v>
      </c>
      <c r="AZ225" s="1">
        <v>2045</v>
      </c>
      <c r="BA225" s="1">
        <v>2046</v>
      </c>
      <c r="BB225" s="1">
        <v>2047</v>
      </c>
      <c r="BC225" s="1">
        <v>2048</v>
      </c>
      <c r="BD225" s="1">
        <v>2049</v>
      </c>
      <c r="BE225" s="1">
        <v>2050</v>
      </c>
    </row>
    <row r="226" spans="1:57" x14ac:dyDescent="0.25">
      <c r="A226" s="1" t="str">
        <f>'Population Definitions'!$A$2</f>
        <v>PWID_males</v>
      </c>
      <c r="C226" t="s">
        <v>55</v>
      </c>
      <c r="D226" s="3"/>
      <c r="E226" s="3">
        <v>0.09</v>
      </c>
      <c r="F226" s="4" t="s">
        <v>39</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row>
    <row r="227" spans="1:57" x14ac:dyDescent="0.25">
      <c r="A227" s="1" t="str">
        <f>'Population Definitions'!$A$3</f>
        <v>PWID_females</v>
      </c>
      <c r="C227" t="s">
        <v>55</v>
      </c>
      <c r="D227" s="3"/>
      <c r="E227" s="3">
        <v>0.09</v>
      </c>
      <c r="F227" s="4" t="s">
        <v>39</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row>
    <row r="228" spans="1:57" x14ac:dyDescent="0.25">
      <c r="A228" s="1" t="str">
        <f>'Population Definitions'!$A$4</f>
        <v>0-9_males</v>
      </c>
      <c r="C228" t="s">
        <v>55</v>
      </c>
      <c r="D228" s="3"/>
      <c r="E228" s="3">
        <v>0.09</v>
      </c>
      <c r="F228" s="4" t="s">
        <v>39</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row>
    <row r="229" spans="1:57" x14ac:dyDescent="0.25">
      <c r="A229" s="1" t="str">
        <f>'Population Definitions'!$A$5</f>
        <v>0-9_females</v>
      </c>
      <c r="C229" t="s">
        <v>55</v>
      </c>
      <c r="D229" s="3"/>
      <c r="E229" s="3">
        <v>0.09</v>
      </c>
      <c r="F229" s="4" t="s">
        <v>39</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row>
    <row r="230" spans="1:57" x14ac:dyDescent="0.25">
      <c r="A230" s="1" t="str">
        <f>'Population Definitions'!$A$6</f>
        <v>10-17_males</v>
      </c>
      <c r="C230" t="s">
        <v>55</v>
      </c>
      <c r="D230" s="3"/>
      <c r="E230" s="3">
        <v>0.09</v>
      </c>
      <c r="F230" s="4" t="s">
        <v>39</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row>
    <row r="231" spans="1:57" x14ac:dyDescent="0.25">
      <c r="A231" s="1" t="str">
        <f>'Population Definitions'!$A$7</f>
        <v>10-17_females</v>
      </c>
      <c r="C231" t="s">
        <v>55</v>
      </c>
      <c r="D231" s="3"/>
      <c r="E231" s="3">
        <v>0.09</v>
      </c>
      <c r="F231" s="4" t="s">
        <v>39</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row>
    <row r="232" spans="1:57" x14ac:dyDescent="0.25">
      <c r="A232" s="1" t="str">
        <f>'Population Definitions'!$A$8</f>
        <v>18-64_males</v>
      </c>
      <c r="C232" t="s">
        <v>55</v>
      </c>
      <c r="D232" s="3"/>
      <c r="E232" s="3">
        <v>0.09</v>
      </c>
      <c r="F232" s="4" t="s">
        <v>39</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row>
    <row r="233" spans="1:57" x14ac:dyDescent="0.25">
      <c r="A233" s="1" t="str">
        <f>'Population Definitions'!$A$9</f>
        <v>18-64_females</v>
      </c>
      <c r="C233" t="s">
        <v>55</v>
      </c>
      <c r="D233" s="3"/>
      <c r="E233" s="3">
        <v>0.09</v>
      </c>
      <c r="F233" s="4" t="s">
        <v>39</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row>
    <row r="234" spans="1:57" x14ac:dyDescent="0.25">
      <c r="A234" s="1" t="str">
        <f>'Population Definitions'!$A$10</f>
        <v>65+_males</v>
      </c>
      <c r="C234" t="s">
        <v>55</v>
      </c>
      <c r="D234" s="3"/>
      <c r="E234" s="3">
        <v>0.09</v>
      </c>
      <c r="F234" s="4" t="s">
        <v>39</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row>
    <row r="235" spans="1:57" x14ac:dyDescent="0.25">
      <c r="A235" s="1" t="str">
        <f>'Population Definitions'!$A$11</f>
        <v>65+_females</v>
      </c>
      <c r="C235" t="s">
        <v>55</v>
      </c>
      <c r="D235" s="3"/>
      <c r="E235" s="3">
        <v>0.09</v>
      </c>
      <c r="F235" s="4" t="s">
        <v>39</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row>
    <row r="236" spans="1:57" x14ac:dyDescent="0.25">
      <c r="A236" s="1" t="str">
        <f>'Population Definitions'!$A$12</f>
        <v>Prisoners_males</v>
      </c>
      <c r="C236" t="s">
        <v>55</v>
      </c>
      <c r="D236" s="3"/>
      <c r="E236" s="3">
        <v>0.09</v>
      </c>
      <c r="F236" s="4" t="s">
        <v>39</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row>
    <row r="237" spans="1:57" x14ac:dyDescent="0.25">
      <c r="A237" s="1" t="str">
        <f>'Population Definitions'!$A$13</f>
        <v>Prisoners_females</v>
      </c>
      <c r="C237" t="s">
        <v>55</v>
      </c>
      <c r="D237" s="3"/>
      <c r="E237" s="3">
        <v>0.09</v>
      </c>
      <c r="F237" s="4" t="s">
        <v>39</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row>
    <row r="238" spans="1:57" x14ac:dyDescent="0.25">
      <c r="A238" s="1" t="str">
        <f>'Population Definitions'!$A$14</f>
        <v>Prisoners_PWID_males</v>
      </c>
      <c r="C238" t="s">
        <v>55</v>
      </c>
      <c r="D238" s="3"/>
      <c r="E238" s="3">
        <v>0.09</v>
      </c>
      <c r="F238" s="4" t="s">
        <v>39</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row>
    <row r="239" spans="1:57" x14ac:dyDescent="0.25">
      <c r="A239" s="1" t="str">
        <f>'Population Definitions'!$A$15</f>
        <v>Prisoners_PWID_females</v>
      </c>
      <c r="C239" t="s">
        <v>55</v>
      </c>
      <c r="D239" s="3"/>
      <c r="E239" s="3">
        <v>0.09</v>
      </c>
      <c r="F239" s="4" t="s">
        <v>39</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row>
    <row r="241" spans="1:57" x14ac:dyDescent="0.25">
      <c r="A241" s="1" t="s">
        <v>77</v>
      </c>
      <c r="B241" s="1" t="s">
        <v>31</v>
      </c>
      <c r="C241" s="1" t="s">
        <v>32</v>
      </c>
      <c r="D241" s="1" t="s">
        <v>33</v>
      </c>
      <c r="E241" s="1" t="s">
        <v>38</v>
      </c>
      <c r="F241" s="1"/>
      <c r="G241" s="1">
        <v>2000</v>
      </c>
      <c r="H241" s="1">
        <v>2001</v>
      </c>
      <c r="I241" s="1">
        <v>2002</v>
      </c>
      <c r="J241" s="1">
        <v>2003</v>
      </c>
      <c r="K241" s="1">
        <v>2004</v>
      </c>
      <c r="L241" s="1">
        <v>2005</v>
      </c>
      <c r="M241" s="1">
        <v>2006</v>
      </c>
      <c r="N241" s="1">
        <v>2007</v>
      </c>
      <c r="O241" s="1">
        <v>2008</v>
      </c>
      <c r="P241" s="1">
        <v>2009</v>
      </c>
      <c r="Q241" s="1">
        <v>2010</v>
      </c>
      <c r="R241" s="1">
        <v>2011</v>
      </c>
      <c r="S241" s="1">
        <v>2012</v>
      </c>
      <c r="T241" s="1">
        <v>2013</v>
      </c>
      <c r="U241" s="1">
        <v>2014</v>
      </c>
      <c r="V241" s="1">
        <v>2015</v>
      </c>
      <c r="W241" s="1">
        <v>2016</v>
      </c>
      <c r="X241" s="1">
        <v>2017</v>
      </c>
      <c r="Y241" s="1">
        <v>2018</v>
      </c>
      <c r="Z241" s="1">
        <v>2019</v>
      </c>
      <c r="AA241" s="1">
        <v>2020</v>
      </c>
      <c r="AB241" s="1">
        <v>2021</v>
      </c>
      <c r="AC241" s="1">
        <v>2022</v>
      </c>
      <c r="AD241" s="1">
        <v>2023</v>
      </c>
      <c r="AE241" s="1">
        <v>2024</v>
      </c>
      <c r="AF241" s="1">
        <v>2025</v>
      </c>
      <c r="AG241" s="1">
        <v>2026</v>
      </c>
      <c r="AH241" s="1">
        <v>2027</v>
      </c>
      <c r="AI241" s="1">
        <v>2028</v>
      </c>
      <c r="AJ241" s="1">
        <v>2029</v>
      </c>
      <c r="AK241" s="1">
        <v>2030</v>
      </c>
      <c r="AL241" s="1">
        <v>2031</v>
      </c>
      <c r="AM241" s="1">
        <v>2032</v>
      </c>
      <c r="AN241" s="1">
        <v>2033</v>
      </c>
      <c r="AO241" s="1">
        <v>2034</v>
      </c>
      <c r="AP241" s="1">
        <v>2035</v>
      </c>
      <c r="AQ241" s="1">
        <v>2036</v>
      </c>
      <c r="AR241" s="1">
        <v>2037</v>
      </c>
      <c r="AS241" s="1">
        <v>2038</v>
      </c>
      <c r="AT241" s="1">
        <v>2039</v>
      </c>
      <c r="AU241" s="1">
        <v>2040</v>
      </c>
      <c r="AV241" s="1">
        <v>2041</v>
      </c>
      <c r="AW241" s="1">
        <v>2042</v>
      </c>
      <c r="AX241" s="1">
        <v>2043</v>
      </c>
      <c r="AY241" s="1">
        <v>2044</v>
      </c>
      <c r="AZ241" s="1">
        <v>2045</v>
      </c>
      <c r="BA241" s="1">
        <v>2046</v>
      </c>
      <c r="BB241" s="1">
        <v>2047</v>
      </c>
      <c r="BC241" s="1">
        <v>2048</v>
      </c>
      <c r="BD241" s="1">
        <v>2049</v>
      </c>
      <c r="BE241" s="1">
        <v>2050</v>
      </c>
    </row>
    <row r="242" spans="1:57" x14ac:dyDescent="0.25">
      <c r="A242" s="1" t="str">
        <f>'Population Definitions'!$A$2</f>
        <v>PWID_males</v>
      </c>
      <c r="C242" t="s">
        <v>55</v>
      </c>
      <c r="D242" s="3"/>
      <c r="E242" s="3">
        <v>0.03</v>
      </c>
      <c r="F242" s="4" t="s">
        <v>39</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row>
    <row r="243" spans="1:57" x14ac:dyDescent="0.25">
      <c r="A243" s="1" t="str">
        <f>'Population Definitions'!$A$3</f>
        <v>PWID_females</v>
      </c>
      <c r="C243" t="s">
        <v>55</v>
      </c>
      <c r="D243" s="3"/>
      <c r="E243" s="3">
        <v>0.03</v>
      </c>
      <c r="F243" s="4" t="s">
        <v>39</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row>
    <row r="244" spans="1:57" x14ac:dyDescent="0.25">
      <c r="A244" s="1" t="str">
        <f>'Population Definitions'!$A$4</f>
        <v>0-9_males</v>
      </c>
      <c r="C244" t="s">
        <v>55</v>
      </c>
      <c r="D244" s="3"/>
      <c r="E244" s="3">
        <v>0.03</v>
      </c>
      <c r="F244" s="4" t="s">
        <v>39</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row>
    <row r="245" spans="1:57" x14ac:dyDescent="0.25">
      <c r="A245" s="1" t="str">
        <f>'Population Definitions'!$A$5</f>
        <v>0-9_females</v>
      </c>
      <c r="C245" t="s">
        <v>55</v>
      </c>
      <c r="D245" s="3"/>
      <c r="E245" s="3">
        <v>0.03</v>
      </c>
      <c r="F245" s="4" t="s">
        <v>39</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row>
    <row r="246" spans="1:57" x14ac:dyDescent="0.25">
      <c r="A246" s="1" t="str">
        <f>'Population Definitions'!$A$6</f>
        <v>10-17_males</v>
      </c>
      <c r="C246" t="s">
        <v>55</v>
      </c>
      <c r="D246" s="3"/>
      <c r="E246" s="3">
        <v>0.03</v>
      </c>
      <c r="F246" s="4" t="s">
        <v>39</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row>
    <row r="247" spans="1:57" x14ac:dyDescent="0.25">
      <c r="A247" s="1" t="str">
        <f>'Population Definitions'!$A$7</f>
        <v>10-17_females</v>
      </c>
      <c r="C247" t="s">
        <v>55</v>
      </c>
      <c r="D247" s="3"/>
      <c r="E247" s="3">
        <v>0.03</v>
      </c>
      <c r="F247" s="4" t="s">
        <v>39</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row>
    <row r="248" spans="1:57" x14ac:dyDescent="0.25">
      <c r="A248" s="1" t="str">
        <f>'Population Definitions'!$A$8</f>
        <v>18-64_males</v>
      </c>
      <c r="C248" t="s">
        <v>55</v>
      </c>
      <c r="D248" s="3"/>
      <c r="E248" s="3">
        <v>0.03</v>
      </c>
      <c r="F248" s="4" t="s">
        <v>39</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row>
    <row r="249" spans="1:57" x14ac:dyDescent="0.25">
      <c r="A249" s="1" t="str">
        <f>'Population Definitions'!$A$9</f>
        <v>18-64_females</v>
      </c>
      <c r="C249" t="s">
        <v>55</v>
      </c>
      <c r="D249" s="3"/>
      <c r="E249" s="3">
        <v>0.03</v>
      </c>
      <c r="F249" s="4" t="s">
        <v>39</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row>
    <row r="250" spans="1:57" x14ac:dyDescent="0.25">
      <c r="A250" s="1" t="str">
        <f>'Population Definitions'!$A$10</f>
        <v>65+_males</v>
      </c>
      <c r="C250" t="s">
        <v>55</v>
      </c>
      <c r="D250" s="3"/>
      <c r="E250" s="3">
        <v>0.03</v>
      </c>
      <c r="F250" s="4" t="s">
        <v>39</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row>
    <row r="251" spans="1:57" x14ac:dyDescent="0.25">
      <c r="A251" s="1" t="str">
        <f>'Population Definitions'!$A$11</f>
        <v>65+_females</v>
      </c>
      <c r="C251" t="s">
        <v>55</v>
      </c>
      <c r="D251" s="3"/>
      <c r="E251" s="3">
        <v>0.03</v>
      </c>
      <c r="F251" s="4" t="s">
        <v>39</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row>
    <row r="252" spans="1:57" x14ac:dyDescent="0.25">
      <c r="A252" s="1" t="str">
        <f>'Population Definitions'!$A$12</f>
        <v>Prisoners_males</v>
      </c>
      <c r="C252" t="s">
        <v>55</v>
      </c>
      <c r="D252" s="3"/>
      <c r="E252" s="3">
        <v>0.03</v>
      </c>
      <c r="F252" s="4" t="s">
        <v>39</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row>
    <row r="253" spans="1:57" x14ac:dyDescent="0.25">
      <c r="A253" s="1" t="str">
        <f>'Population Definitions'!$A$13</f>
        <v>Prisoners_females</v>
      </c>
      <c r="C253" t="s">
        <v>55</v>
      </c>
      <c r="D253" s="3"/>
      <c r="E253" s="3">
        <v>0.03</v>
      </c>
      <c r="F253" s="4" t="s">
        <v>39</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row>
    <row r="254" spans="1:57" x14ac:dyDescent="0.25">
      <c r="A254" s="1" t="str">
        <f>'Population Definitions'!$A$14</f>
        <v>Prisoners_PWID_males</v>
      </c>
      <c r="C254" t="s">
        <v>55</v>
      </c>
      <c r="D254" s="3"/>
      <c r="E254" s="3">
        <v>0.03</v>
      </c>
      <c r="F254" s="4" t="s">
        <v>39</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row>
    <row r="255" spans="1:57" x14ac:dyDescent="0.25">
      <c r="A255" s="1" t="str">
        <f>'Population Definitions'!$A$15</f>
        <v>Prisoners_PWID_females</v>
      </c>
      <c r="C255" t="s">
        <v>55</v>
      </c>
      <c r="D255" s="3"/>
      <c r="E255" s="3">
        <v>0.03</v>
      </c>
      <c r="F255" s="4" t="s">
        <v>39</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row>
    <row r="257" spans="1:57" x14ac:dyDescent="0.25">
      <c r="A257" s="1" t="s">
        <v>78</v>
      </c>
      <c r="B257" s="1" t="s">
        <v>31</v>
      </c>
      <c r="C257" s="1" t="s">
        <v>32</v>
      </c>
      <c r="D257" s="1" t="s">
        <v>33</v>
      </c>
      <c r="E257" s="1" t="s">
        <v>38</v>
      </c>
      <c r="F257" s="1"/>
      <c r="G257" s="1">
        <v>2000</v>
      </c>
      <c r="H257" s="1">
        <v>2001</v>
      </c>
      <c r="I257" s="1">
        <v>2002</v>
      </c>
      <c r="J257" s="1">
        <v>2003</v>
      </c>
      <c r="K257" s="1">
        <v>2004</v>
      </c>
      <c r="L257" s="1">
        <v>2005</v>
      </c>
      <c r="M257" s="1">
        <v>2006</v>
      </c>
      <c r="N257" s="1">
        <v>2007</v>
      </c>
      <c r="O257" s="1">
        <v>2008</v>
      </c>
      <c r="P257" s="1">
        <v>2009</v>
      </c>
      <c r="Q257" s="1">
        <v>2010</v>
      </c>
      <c r="R257" s="1">
        <v>2011</v>
      </c>
      <c r="S257" s="1">
        <v>2012</v>
      </c>
      <c r="T257" s="1">
        <v>2013</v>
      </c>
      <c r="U257" s="1">
        <v>2014</v>
      </c>
      <c r="V257" s="1">
        <v>2015</v>
      </c>
      <c r="W257" s="1">
        <v>2016</v>
      </c>
      <c r="X257" s="1">
        <v>2017</v>
      </c>
      <c r="Y257" s="1">
        <v>2018</v>
      </c>
      <c r="Z257" s="1">
        <v>2019</v>
      </c>
      <c r="AA257" s="1">
        <v>2020</v>
      </c>
      <c r="AB257" s="1">
        <v>2021</v>
      </c>
      <c r="AC257" s="1">
        <v>2022</v>
      </c>
      <c r="AD257" s="1">
        <v>2023</v>
      </c>
      <c r="AE257" s="1">
        <v>2024</v>
      </c>
      <c r="AF257" s="1">
        <v>2025</v>
      </c>
      <c r="AG257" s="1">
        <v>2026</v>
      </c>
      <c r="AH257" s="1">
        <v>2027</v>
      </c>
      <c r="AI257" s="1">
        <v>2028</v>
      </c>
      <c r="AJ257" s="1">
        <v>2029</v>
      </c>
      <c r="AK257" s="1">
        <v>2030</v>
      </c>
      <c r="AL257" s="1">
        <v>2031</v>
      </c>
      <c r="AM257" s="1">
        <v>2032</v>
      </c>
      <c r="AN257" s="1">
        <v>2033</v>
      </c>
      <c r="AO257" s="1">
        <v>2034</v>
      </c>
      <c r="AP257" s="1">
        <v>2035</v>
      </c>
      <c r="AQ257" s="1">
        <v>2036</v>
      </c>
      <c r="AR257" s="1">
        <v>2037</v>
      </c>
      <c r="AS257" s="1">
        <v>2038</v>
      </c>
      <c r="AT257" s="1">
        <v>2039</v>
      </c>
      <c r="AU257" s="1">
        <v>2040</v>
      </c>
      <c r="AV257" s="1">
        <v>2041</v>
      </c>
      <c r="AW257" s="1">
        <v>2042</v>
      </c>
      <c r="AX257" s="1">
        <v>2043</v>
      </c>
      <c r="AY257" s="1">
        <v>2044</v>
      </c>
      <c r="AZ257" s="1">
        <v>2045</v>
      </c>
      <c r="BA257" s="1">
        <v>2046</v>
      </c>
      <c r="BB257" s="1">
        <v>2047</v>
      </c>
      <c r="BC257" s="1">
        <v>2048</v>
      </c>
      <c r="BD257" s="1">
        <v>2049</v>
      </c>
      <c r="BE257" s="1">
        <v>2050</v>
      </c>
    </row>
    <row r="258" spans="1:57" x14ac:dyDescent="0.25">
      <c r="A258" s="1" t="str">
        <f>'Population Definitions'!$A$2</f>
        <v>PWID_males</v>
      </c>
      <c r="C258" t="s">
        <v>58</v>
      </c>
      <c r="D258" s="3"/>
      <c r="E258" s="3">
        <v>0.5</v>
      </c>
      <c r="F258" s="4" t="s">
        <v>39</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row>
    <row r="259" spans="1:57" x14ac:dyDescent="0.25">
      <c r="A259" s="1" t="str">
        <f>'Population Definitions'!$A$3</f>
        <v>PWID_females</v>
      </c>
      <c r="C259" t="s">
        <v>58</v>
      </c>
      <c r="D259" s="3"/>
      <c r="E259" s="3">
        <v>0.5</v>
      </c>
      <c r="F259" s="4" t="s">
        <v>39</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row>
    <row r="260" spans="1:57" x14ac:dyDescent="0.25">
      <c r="A260" s="1" t="str">
        <f>'Population Definitions'!$A$4</f>
        <v>0-9_males</v>
      </c>
      <c r="C260" t="s">
        <v>58</v>
      </c>
      <c r="D260" s="3"/>
      <c r="E260" s="3">
        <v>0.5</v>
      </c>
      <c r="F260" s="4" t="s">
        <v>39</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row>
    <row r="261" spans="1:57" x14ac:dyDescent="0.25">
      <c r="A261" s="1" t="str">
        <f>'Population Definitions'!$A$5</f>
        <v>0-9_females</v>
      </c>
      <c r="C261" t="s">
        <v>58</v>
      </c>
      <c r="D261" s="3"/>
      <c r="E261" s="3">
        <v>0.5</v>
      </c>
      <c r="F261" s="4" t="s">
        <v>39</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row>
    <row r="262" spans="1:57" x14ac:dyDescent="0.25">
      <c r="A262" s="1" t="str">
        <f>'Population Definitions'!$A$6</f>
        <v>10-17_males</v>
      </c>
      <c r="C262" t="s">
        <v>58</v>
      </c>
      <c r="D262" s="3"/>
      <c r="E262" s="3">
        <v>0.5</v>
      </c>
      <c r="F262" s="4" t="s">
        <v>39</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row>
    <row r="263" spans="1:57" x14ac:dyDescent="0.25">
      <c r="A263" s="1" t="str">
        <f>'Population Definitions'!$A$7</f>
        <v>10-17_females</v>
      </c>
      <c r="C263" t="s">
        <v>58</v>
      </c>
      <c r="D263" s="3"/>
      <c r="E263" s="3">
        <v>0.5</v>
      </c>
      <c r="F263" s="4" t="s">
        <v>39</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row>
    <row r="264" spans="1:57" x14ac:dyDescent="0.25">
      <c r="A264" s="1" t="str">
        <f>'Population Definitions'!$A$8</f>
        <v>18-64_males</v>
      </c>
      <c r="C264" t="s">
        <v>58</v>
      </c>
      <c r="D264" s="3"/>
      <c r="E264" s="3">
        <v>0.5</v>
      </c>
      <c r="F264" s="4" t="s">
        <v>39</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row>
    <row r="265" spans="1:57" x14ac:dyDescent="0.25">
      <c r="A265" s="1" t="str">
        <f>'Population Definitions'!$A$9</f>
        <v>18-64_females</v>
      </c>
      <c r="C265" t="s">
        <v>58</v>
      </c>
      <c r="D265" s="3"/>
      <c r="E265" s="3">
        <v>0.5</v>
      </c>
      <c r="F265" s="4" t="s">
        <v>39</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row>
    <row r="266" spans="1:57" x14ac:dyDescent="0.25">
      <c r="A266" s="1" t="str">
        <f>'Population Definitions'!$A$10</f>
        <v>65+_males</v>
      </c>
      <c r="C266" t="s">
        <v>58</v>
      </c>
      <c r="D266" s="3"/>
      <c r="E266" s="3">
        <v>0.5</v>
      </c>
      <c r="F266" s="4" t="s">
        <v>39</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row>
    <row r="267" spans="1:57" x14ac:dyDescent="0.25">
      <c r="A267" s="1" t="str">
        <f>'Population Definitions'!$A$11</f>
        <v>65+_females</v>
      </c>
      <c r="C267" t="s">
        <v>58</v>
      </c>
      <c r="D267" s="3"/>
      <c r="E267" s="3">
        <v>0.5</v>
      </c>
      <c r="F267" s="4" t="s">
        <v>39</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row>
    <row r="268" spans="1:57" x14ac:dyDescent="0.25">
      <c r="A268" s="1" t="str">
        <f>'Population Definitions'!$A$12</f>
        <v>Prisoners_males</v>
      </c>
      <c r="C268" t="s">
        <v>58</v>
      </c>
      <c r="D268" s="3"/>
      <c r="E268" s="3">
        <v>0.5</v>
      </c>
      <c r="F268" s="4" t="s">
        <v>39</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row>
    <row r="269" spans="1:57" x14ac:dyDescent="0.25">
      <c r="A269" s="1" t="str">
        <f>'Population Definitions'!$A$13</f>
        <v>Prisoners_females</v>
      </c>
      <c r="C269" t="s">
        <v>58</v>
      </c>
      <c r="D269" s="3"/>
      <c r="E269" s="3">
        <v>0.5</v>
      </c>
      <c r="F269" s="4" t="s">
        <v>39</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row>
    <row r="270" spans="1:57" x14ac:dyDescent="0.25">
      <c r="A270" s="1" t="str">
        <f>'Population Definitions'!$A$14</f>
        <v>Prisoners_PWID_males</v>
      </c>
      <c r="C270" t="s">
        <v>58</v>
      </c>
      <c r="D270" s="3"/>
      <c r="E270" s="3">
        <v>0.5</v>
      </c>
      <c r="F270" s="4" t="s">
        <v>39</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row>
    <row r="271" spans="1:57" x14ac:dyDescent="0.25">
      <c r="A271" s="1" t="str">
        <f>'Population Definitions'!$A$15</f>
        <v>Prisoners_PWID_females</v>
      </c>
      <c r="C271" t="s">
        <v>58</v>
      </c>
      <c r="D271" s="3"/>
      <c r="E271" s="3">
        <v>0.5</v>
      </c>
      <c r="F271" s="4" t="s">
        <v>39</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row>
    <row r="273" spans="1:57" x14ac:dyDescent="0.25">
      <c r="A273" s="1" t="s">
        <v>79</v>
      </c>
      <c r="B273" s="1" t="s">
        <v>31</v>
      </c>
      <c r="C273" s="1" t="s">
        <v>32</v>
      </c>
      <c r="D273" s="1" t="s">
        <v>33</v>
      </c>
      <c r="E273" s="1" t="s">
        <v>38</v>
      </c>
      <c r="F273" s="1"/>
      <c r="G273" s="1">
        <v>2000</v>
      </c>
      <c r="H273" s="1">
        <v>2001</v>
      </c>
      <c r="I273" s="1">
        <v>2002</v>
      </c>
      <c r="J273" s="1">
        <v>2003</v>
      </c>
      <c r="K273" s="1">
        <v>2004</v>
      </c>
      <c r="L273" s="1">
        <v>2005</v>
      </c>
      <c r="M273" s="1">
        <v>2006</v>
      </c>
      <c r="N273" s="1">
        <v>2007</v>
      </c>
      <c r="O273" s="1">
        <v>2008</v>
      </c>
      <c r="P273" s="1">
        <v>2009</v>
      </c>
      <c r="Q273" s="1">
        <v>2010</v>
      </c>
      <c r="R273" s="1">
        <v>2011</v>
      </c>
      <c r="S273" s="1">
        <v>2012</v>
      </c>
      <c r="T273" s="1">
        <v>2013</v>
      </c>
      <c r="U273" s="1">
        <v>2014</v>
      </c>
      <c r="V273" s="1">
        <v>2015</v>
      </c>
      <c r="W273" s="1">
        <v>2016</v>
      </c>
      <c r="X273" s="1">
        <v>2017</v>
      </c>
      <c r="Y273" s="1">
        <v>2018</v>
      </c>
      <c r="Z273" s="1">
        <v>2019</v>
      </c>
      <c r="AA273" s="1">
        <v>2020</v>
      </c>
      <c r="AB273" s="1">
        <v>2021</v>
      </c>
      <c r="AC273" s="1">
        <v>2022</v>
      </c>
      <c r="AD273" s="1">
        <v>2023</v>
      </c>
      <c r="AE273" s="1">
        <v>2024</v>
      </c>
      <c r="AF273" s="1">
        <v>2025</v>
      </c>
      <c r="AG273" s="1">
        <v>2026</v>
      </c>
      <c r="AH273" s="1">
        <v>2027</v>
      </c>
      <c r="AI273" s="1">
        <v>2028</v>
      </c>
      <c r="AJ273" s="1">
        <v>2029</v>
      </c>
      <c r="AK273" s="1">
        <v>2030</v>
      </c>
      <c r="AL273" s="1">
        <v>2031</v>
      </c>
      <c r="AM273" s="1">
        <v>2032</v>
      </c>
      <c r="AN273" s="1">
        <v>2033</v>
      </c>
      <c r="AO273" s="1">
        <v>2034</v>
      </c>
      <c r="AP273" s="1">
        <v>2035</v>
      </c>
      <c r="AQ273" s="1">
        <v>2036</v>
      </c>
      <c r="AR273" s="1">
        <v>2037</v>
      </c>
      <c r="AS273" s="1">
        <v>2038</v>
      </c>
      <c r="AT273" s="1">
        <v>2039</v>
      </c>
      <c r="AU273" s="1">
        <v>2040</v>
      </c>
      <c r="AV273" s="1">
        <v>2041</v>
      </c>
      <c r="AW273" s="1">
        <v>2042</v>
      </c>
      <c r="AX273" s="1">
        <v>2043</v>
      </c>
      <c r="AY273" s="1">
        <v>2044</v>
      </c>
      <c r="AZ273" s="1">
        <v>2045</v>
      </c>
      <c r="BA273" s="1">
        <v>2046</v>
      </c>
      <c r="BB273" s="1">
        <v>2047</v>
      </c>
      <c r="BC273" s="1">
        <v>2048</v>
      </c>
      <c r="BD273" s="1">
        <v>2049</v>
      </c>
      <c r="BE273" s="1">
        <v>2050</v>
      </c>
    </row>
    <row r="274" spans="1:57" x14ac:dyDescent="0.25">
      <c r="A274" s="1" t="str">
        <f>'Population Definitions'!$A$2</f>
        <v>PWID_males</v>
      </c>
      <c r="C274" t="s">
        <v>58</v>
      </c>
      <c r="D274" s="3"/>
      <c r="E274" s="3">
        <v>0.5</v>
      </c>
      <c r="F274" s="4" t="s">
        <v>39</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row>
    <row r="275" spans="1:57" x14ac:dyDescent="0.25">
      <c r="A275" s="1" t="str">
        <f>'Population Definitions'!$A$3</f>
        <v>PWID_females</v>
      </c>
      <c r="C275" t="s">
        <v>58</v>
      </c>
      <c r="D275" s="3"/>
      <c r="E275" s="3">
        <v>0.5</v>
      </c>
      <c r="F275" s="4" t="s">
        <v>39</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row>
    <row r="276" spans="1:57" x14ac:dyDescent="0.25">
      <c r="A276" s="1" t="str">
        <f>'Population Definitions'!$A$4</f>
        <v>0-9_males</v>
      </c>
      <c r="C276" t="s">
        <v>58</v>
      </c>
      <c r="D276" s="3"/>
      <c r="E276" s="3">
        <v>0.5</v>
      </c>
      <c r="F276" s="4" t="s">
        <v>39</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row>
    <row r="277" spans="1:57" x14ac:dyDescent="0.25">
      <c r="A277" s="1" t="str">
        <f>'Population Definitions'!$A$5</f>
        <v>0-9_females</v>
      </c>
      <c r="C277" t="s">
        <v>58</v>
      </c>
      <c r="D277" s="3"/>
      <c r="E277" s="3">
        <v>0.5</v>
      </c>
      <c r="F277" s="4" t="s">
        <v>39</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row>
    <row r="278" spans="1:57" x14ac:dyDescent="0.25">
      <c r="A278" s="1" t="str">
        <f>'Population Definitions'!$A$6</f>
        <v>10-17_males</v>
      </c>
      <c r="C278" t="s">
        <v>58</v>
      </c>
      <c r="D278" s="3"/>
      <c r="E278" s="3">
        <v>0.5</v>
      </c>
      <c r="F278" s="4" t="s">
        <v>39</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row>
    <row r="279" spans="1:57" x14ac:dyDescent="0.25">
      <c r="A279" s="1" t="str">
        <f>'Population Definitions'!$A$7</f>
        <v>10-17_females</v>
      </c>
      <c r="C279" t="s">
        <v>58</v>
      </c>
      <c r="D279" s="3"/>
      <c r="E279" s="3">
        <v>0.5</v>
      </c>
      <c r="F279" s="4" t="s">
        <v>39</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row>
    <row r="280" spans="1:57" x14ac:dyDescent="0.25">
      <c r="A280" s="1" t="str">
        <f>'Population Definitions'!$A$8</f>
        <v>18-64_males</v>
      </c>
      <c r="C280" t="s">
        <v>58</v>
      </c>
      <c r="D280" s="3"/>
      <c r="E280" s="3">
        <v>0.5</v>
      </c>
      <c r="F280" s="4" t="s">
        <v>39</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row>
    <row r="281" spans="1:57" x14ac:dyDescent="0.25">
      <c r="A281" s="1" t="str">
        <f>'Population Definitions'!$A$9</f>
        <v>18-64_females</v>
      </c>
      <c r="C281" t="s">
        <v>58</v>
      </c>
      <c r="D281" s="3"/>
      <c r="E281" s="3">
        <v>0.5</v>
      </c>
      <c r="F281" s="4" t="s">
        <v>39</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row>
    <row r="282" spans="1:57" x14ac:dyDescent="0.25">
      <c r="A282" s="1" t="str">
        <f>'Population Definitions'!$A$10</f>
        <v>65+_males</v>
      </c>
      <c r="C282" t="s">
        <v>58</v>
      </c>
      <c r="D282" s="3"/>
      <c r="E282" s="3">
        <v>0.5</v>
      </c>
      <c r="F282" s="4" t="s">
        <v>39</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row>
    <row r="283" spans="1:57" x14ac:dyDescent="0.25">
      <c r="A283" s="1" t="str">
        <f>'Population Definitions'!$A$11</f>
        <v>65+_females</v>
      </c>
      <c r="C283" t="s">
        <v>58</v>
      </c>
      <c r="D283" s="3"/>
      <c r="E283" s="3">
        <v>0.5</v>
      </c>
      <c r="F283" s="4" t="s">
        <v>39</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row>
    <row r="284" spans="1:57" x14ac:dyDescent="0.25">
      <c r="A284" s="1" t="str">
        <f>'Population Definitions'!$A$12</f>
        <v>Prisoners_males</v>
      </c>
      <c r="C284" t="s">
        <v>58</v>
      </c>
      <c r="D284" s="3"/>
      <c r="E284" s="3">
        <v>0.5</v>
      </c>
      <c r="F284" s="4" t="s">
        <v>39</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row>
    <row r="285" spans="1:57" x14ac:dyDescent="0.25">
      <c r="A285" s="1" t="str">
        <f>'Population Definitions'!$A$13</f>
        <v>Prisoners_females</v>
      </c>
      <c r="C285" t="s">
        <v>58</v>
      </c>
      <c r="D285" s="3"/>
      <c r="E285" s="3">
        <v>0.5</v>
      </c>
      <c r="F285" s="4" t="s">
        <v>39</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row>
    <row r="286" spans="1:57" x14ac:dyDescent="0.25">
      <c r="A286" s="1" t="str">
        <f>'Population Definitions'!$A$14</f>
        <v>Prisoners_PWID_males</v>
      </c>
      <c r="C286" t="s">
        <v>58</v>
      </c>
      <c r="D286" s="3"/>
      <c r="E286" s="3">
        <v>0.5</v>
      </c>
      <c r="F286" s="4" t="s">
        <v>39</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row>
    <row r="287" spans="1:57" x14ac:dyDescent="0.25">
      <c r="A287" s="1" t="str">
        <f>'Population Definitions'!$A$15</f>
        <v>Prisoners_PWID_females</v>
      </c>
      <c r="C287" t="s">
        <v>58</v>
      </c>
      <c r="D287" s="3"/>
      <c r="E287" s="3">
        <v>0.5</v>
      </c>
      <c r="F287" s="4" t="s">
        <v>39</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row>
  </sheetData>
  <conditionalFormatting sqref="E2:E15">
    <cfRule type="expression" dxfId="1345" priority="1">
      <formula>COUNTIF(G2:BE2,"&lt;&gt;" &amp; "")&gt;0</formula>
    </cfRule>
    <cfRule type="expression" dxfId="1344" priority="2">
      <formula>AND(COUNTIF(G2:BE2,"&lt;&gt;" &amp; "")&gt;0,NOT(ISBLANK(E2)))</formula>
    </cfRule>
  </conditionalFormatting>
  <conditionalFormatting sqref="E18:E31">
    <cfRule type="expression" dxfId="1343" priority="29">
      <formula>COUNTIF(G18:BE18,"&lt;&gt;" &amp; "")&gt;0</formula>
    </cfRule>
    <cfRule type="expression" dxfId="1342" priority="30">
      <formula>AND(COUNTIF(G18:BE18,"&lt;&gt;" &amp; "")&gt;0,NOT(ISBLANK(E18)))</formula>
    </cfRule>
  </conditionalFormatting>
  <conditionalFormatting sqref="E34:E47">
    <cfRule type="expression" dxfId="1341" priority="57">
      <formula>COUNTIF(G34:BE34,"&lt;&gt;" &amp; "")&gt;0</formula>
    </cfRule>
    <cfRule type="expression" dxfId="1340" priority="58">
      <formula>AND(COUNTIF(G34:BE34,"&lt;&gt;" &amp; "")&gt;0,NOT(ISBLANK(E34)))</formula>
    </cfRule>
  </conditionalFormatting>
  <conditionalFormatting sqref="E50:E63">
    <cfRule type="expression" dxfId="1339" priority="85">
      <formula>COUNTIF(G50:BE50,"&lt;&gt;" &amp; "")&gt;0</formula>
    </cfRule>
    <cfRule type="expression" dxfId="1338" priority="86">
      <formula>AND(COUNTIF(G50:BE50,"&lt;&gt;" &amp; "")&gt;0,NOT(ISBLANK(E50)))</formula>
    </cfRule>
  </conditionalFormatting>
  <conditionalFormatting sqref="E66:E79">
    <cfRule type="expression" dxfId="1337" priority="113">
      <formula>COUNTIF(G66:BE66,"&lt;&gt;" &amp; "")&gt;0</formula>
    </cfRule>
    <cfRule type="expression" dxfId="1336" priority="114">
      <formula>AND(COUNTIF(G66:BE66,"&lt;&gt;" &amp; "")&gt;0,NOT(ISBLANK(E66)))</formula>
    </cfRule>
  </conditionalFormatting>
  <conditionalFormatting sqref="E82:E95">
    <cfRule type="expression" dxfId="1335" priority="141">
      <formula>COUNTIF(G82:BE82,"&lt;&gt;" &amp; "")&gt;0</formula>
    </cfRule>
    <cfRule type="expression" dxfId="1334" priority="142">
      <formula>AND(COUNTIF(G82:BE82,"&lt;&gt;" &amp; "")&gt;0,NOT(ISBLANK(E82)))</formula>
    </cfRule>
  </conditionalFormatting>
  <conditionalFormatting sqref="E98:E111">
    <cfRule type="expression" dxfId="1333" priority="169">
      <formula>COUNTIF(G98:BE98,"&lt;&gt;" &amp; "")&gt;0</formula>
    </cfRule>
    <cfRule type="expression" dxfId="1332" priority="170">
      <formula>AND(COUNTIF(G98:BE98,"&lt;&gt;" &amp; "")&gt;0,NOT(ISBLANK(E98)))</formula>
    </cfRule>
  </conditionalFormatting>
  <conditionalFormatting sqref="E114:E127">
    <cfRule type="expression" dxfId="1331" priority="197">
      <formula>COUNTIF(G114:BE114,"&lt;&gt;" &amp; "")&gt;0</formula>
    </cfRule>
    <cfRule type="expression" dxfId="1330" priority="198">
      <formula>AND(COUNTIF(G114:BE114,"&lt;&gt;" &amp; "")&gt;0,NOT(ISBLANK(E114)))</formula>
    </cfRule>
  </conditionalFormatting>
  <conditionalFormatting sqref="E130:E143">
    <cfRule type="expression" dxfId="1329" priority="225">
      <formula>COUNTIF(G130:BE130,"&lt;&gt;" &amp; "")&gt;0</formula>
    </cfRule>
    <cfRule type="expression" dxfId="1328" priority="226">
      <formula>AND(COUNTIF(G130:BE130,"&lt;&gt;" &amp; "")&gt;0,NOT(ISBLANK(E130)))</formula>
    </cfRule>
  </conditionalFormatting>
  <conditionalFormatting sqref="E146:E159">
    <cfRule type="expression" dxfId="1327" priority="253">
      <formula>COUNTIF(G146:BE146,"&lt;&gt;" &amp; "")&gt;0</formula>
    </cfRule>
    <cfRule type="expression" dxfId="1326" priority="254">
      <formula>AND(COUNTIF(G146:BE146,"&lt;&gt;" &amp; "")&gt;0,NOT(ISBLANK(E146)))</formula>
    </cfRule>
  </conditionalFormatting>
  <conditionalFormatting sqref="E162:E175">
    <cfRule type="expression" dxfId="1325" priority="281">
      <formula>COUNTIF(G162:BE162,"&lt;&gt;" &amp; "")&gt;0</formula>
    </cfRule>
    <cfRule type="expression" dxfId="1324" priority="282">
      <formula>AND(COUNTIF(G162:BE162,"&lt;&gt;" &amp; "")&gt;0,NOT(ISBLANK(E162)))</formula>
    </cfRule>
  </conditionalFormatting>
  <conditionalFormatting sqref="E178:E191">
    <cfRule type="expression" dxfId="1323" priority="309">
      <formula>COUNTIF(G178:BE178,"&lt;&gt;" &amp; "")&gt;0</formula>
    </cfRule>
    <cfRule type="expression" dxfId="1322" priority="310">
      <formula>AND(COUNTIF(G178:BE178,"&lt;&gt;" &amp; "")&gt;0,NOT(ISBLANK(E178)))</formula>
    </cfRule>
  </conditionalFormatting>
  <conditionalFormatting sqref="E194:E207">
    <cfRule type="expression" dxfId="1321" priority="337">
      <formula>COUNTIF(G194:BE194,"&lt;&gt;" &amp; "")&gt;0</formula>
    </cfRule>
    <cfRule type="expression" dxfId="1320" priority="338">
      <formula>AND(COUNTIF(G194:BE194,"&lt;&gt;" &amp; "")&gt;0,NOT(ISBLANK(E194)))</formula>
    </cfRule>
  </conditionalFormatting>
  <conditionalFormatting sqref="E210:E223">
    <cfRule type="expression" dxfId="1319" priority="365">
      <formula>COUNTIF(G210:BE210,"&lt;&gt;" &amp; "")&gt;0</formula>
    </cfRule>
    <cfRule type="expression" dxfId="1318" priority="366">
      <formula>AND(COUNTIF(G210:BE210,"&lt;&gt;" &amp; "")&gt;0,NOT(ISBLANK(E210)))</formula>
    </cfRule>
  </conditionalFormatting>
  <conditionalFormatting sqref="E226:E239">
    <cfRule type="expression" dxfId="1317" priority="393">
      <formula>COUNTIF(G226:BE226,"&lt;&gt;" &amp; "")&gt;0</formula>
    </cfRule>
    <cfRule type="expression" dxfId="1316" priority="394">
      <formula>AND(COUNTIF(G226:BE226,"&lt;&gt;" &amp; "")&gt;0,NOT(ISBLANK(E226)))</formula>
    </cfRule>
  </conditionalFormatting>
  <conditionalFormatting sqref="E242:E255">
    <cfRule type="expression" dxfId="1315" priority="421">
      <formula>COUNTIF(G242:BE242,"&lt;&gt;" &amp; "")&gt;0</formula>
    </cfRule>
    <cfRule type="expression" dxfId="1314" priority="422">
      <formula>AND(COUNTIF(G242:BE242,"&lt;&gt;" &amp; "")&gt;0,NOT(ISBLANK(E242)))</formula>
    </cfRule>
  </conditionalFormatting>
  <conditionalFormatting sqref="E258:E271">
    <cfRule type="expression" dxfId="1313" priority="449">
      <formula>COUNTIF(G258:BE258,"&lt;&gt;" &amp; "")&gt;0</formula>
    </cfRule>
    <cfRule type="expression" dxfId="1312" priority="450">
      <formula>AND(COUNTIF(G258:BE258,"&lt;&gt;" &amp; "")&gt;0,NOT(ISBLANK(E258)))</formula>
    </cfRule>
  </conditionalFormatting>
  <conditionalFormatting sqref="E274:E287">
    <cfRule type="expression" dxfId="1311" priority="477">
      <formula>COUNTIF(G274:BE274,"&lt;&gt;" &amp; "")&gt;0</formula>
    </cfRule>
    <cfRule type="expression" dxfId="1310" priority="478">
      <formula>AND(COUNTIF(G274:BE274,"&lt;&gt;" &amp; "")&gt;0,NOT(ISBLANK(E274)))</formula>
    </cfRule>
  </conditionalFormatting>
  <dataValidations count="4">
    <dataValidation type="list" allowBlank="1" showInputMessage="1" showErrorMessage="1" sqref="C2:C15" xr:uid="{00000000-0002-0000-0400-000000000000}">
      <formula1>"Proportion"</formula1>
    </dataValidation>
    <dataValidation type="list" allowBlank="1" showInputMessage="1" showErrorMessage="1" sqref="C18:C31" xr:uid="{00000000-0002-0000-0400-00000E000000}">
      <formula1>"Duration (years)"</formula1>
    </dataValidation>
    <dataValidation type="list" allowBlank="1" showInputMessage="1" showErrorMessage="1" sqref="C242:C255 C226:C239 C210:C223 C194:C207 C178:C191 C162:C175 C146:C159 C130:C143 C114:C127 C98:C111 C82:C95 C66:C79 C50:C63 C34:C47" xr:uid="{00000000-0002-0000-0400-00001C000000}">
      <formula1>"Rate (per year)"</formula1>
    </dataValidation>
    <dataValidation type="list" allowBlank="1" showInputMessage="1" showErrorMessage="1" sqref="C274:C287 C258:C271" xr:uid="{00000000-0002-0000-0400-0000E0000000}">
      <formula1>"N.A."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BE63"/>
  <sheetViews>
    <sheetView topLeftCell="E7" workbookViewId="0">
      <selection activeCell="Z46" sqref="Z46"/>
    </sheetView>
  </sheetViews>
  <sheetFormatPr defaultRowHeight="15" x14ac:dyDescent="0.25"/>
  <cols>
    <col min="1" max="1" width="80.85546875" customWidth="1"/>
    <col min="2" max="2" width="12.7109375" customWidth="1"/>
    <col min="3" max="3" width="18.28515625" customWidth="1"/>
    <col min="4" max="4" width="13.85546875" customWidth="1"/>
    <col min="5" max="5" width="10.5703125" customWidth="1"/>
    <col min="6" max="6" width="3.85546875" customWidth="1"/>
    <col min="7" max="57" width="9.42578125" customWidth="1"/>
  </cols>
  <sheetData>
    <row r="1" spans="1:57" x14ac:dyDescent="0.25">
      <c r="A1" s="1" t="s">
        <v>80</v>
      </c>
      <c r="B1" s="1" t="s">
        <v>31</v>
      </c>
      <c r="C1" s="1" t="s">
        <v>32</v>
      </c>
      <c r="D1" s="1" t="s">
        <v>33</v>
      </c>
      <c r="E1" s="1" t="s">
        <v>38</v>
      </c>
      <c r="F1" s="1"/>
      <c r="G1" s="1">
        <v>2000</v>
      </c>
      <c r="H1" s="1">
        <v>2001</v>
      </c>
      <c r="I1" s="1">
        <v>2002</v>
      </c>
      <c r="J1" s="1">
        <v>2003</v>
      </c>
      <c r="K1" s="1">
        <v>2004</v>
      </c>
      <c r="L1" s="1">
        <v>2005</v>
      </c>
      <c r="M1" s="1">
        <v>2006</v>
      </c>
      <c r="N1" s="1">
        <v>2007</v>
      </c>
      <c r="O1" s="1">
        <v>2008</v>
      </c>
      <c r="P1" s="1">
        <v>2009</v>
      </c>
      <c r="Q1" s="1">
        <v>2010</v>
      </c>
      <c r="R1" s="1">
        <v>2011</v>
      </c>
      <c r="S1" s="1">
        <v>2012</v>
      </c>
      <c r="T1" s="1">
        <v>2013</v>
      </c>
      <c r="U1" s="1">
        <v>2014</v>
      </c>
      <c r="V1" s="1">
        <v>2015</v>
      </c>
      <c r="W1" s="1">
        <v>2016</v>
      </c>
      <c r="X1" s="1">
        <v>2017</v>
      </c>
      <c r="Y1" s="1">
        <v>2018</v>
      </c>
      <c r="Z1" s="1">
        <v>2019</v>
      </c>
      <c r="AA1" s="1">
        <v>2020</v>
      </c>
      <c r="AB1" s="1">
        <v>2021</v>
      </c>
      <c r="AC1" s="1">
        <v>2022</v>
      </c>
      <c r="AD1" s="1">
        <v>2023</v>
      </c>
      <c r="AE1" s="1">
        <v>2024</v>
      </c>
      <c r="AF1" s="1">
        <v>2025</v>
      </c>
      <c r="AG1" s="1">
        <v>2026</v>
      </c>
      <c r="AH1" s="1">
        <v>2027</v>
      </c>
      <c r="AI1" s="1">
        <v>2028</v>
      </c>
      <c r="AJ1" s="1">
        <v>2029</v>
      </c>
      <c r="AK1" s="1">
        <v>2030</v>
      </c>
      <c r="AL1" s="1">
        <v>2031</v>
      </c>
      <c r="AM1" s="1">
        <v>2032</v>
      </c>
      <c r="AN1" s="1">
        <v>2033</v>
      </c>
      <c r="AO1" s="1">
        <v>2034</v>
      </c>
      <c r="AP1" s="1">
        <v>2035</v>
      </c>
      <c r="AQ1" s="1">
        <v>2036</v>
      </c>
      <c r="AR1" s="1">
        <v>2037</v>
      </c>
      <c r="AS1" s="1">
        <v>2038</v>
      </c>
      <c r="AT1" s="1">
        <v>2039</v>
      </c>
      <c r="AU1" s="1">
        <v>2040</v>
      </c>
      <c r="AV1" s="1">
        <v>2041</v>
      </c>
      <c r="AW1" s="1">
        <v>2042</v>
      </c>
      <c r="AX1" s="1">
        <v>2043</v>
      </c>
      <c r="AY1" s="1">
        <v>2044</v>
      </c>
      <c r="AZ1" s="1">
        <v>2045</v>
      </c>
      <c r="BA1" s="1">
        <v>2046</v>
      </c>
      <c r="BB1" s="1">
        <v>2047</v>
      </c>
      <c r="BC1" s="1">
        <v>2048</v>
      </c>
      <c r="BD1" s="1">
        <v>2049</v>
      </c>
      <c r="BE1" s="1">
        <v>2050</v>
      </c>
    </row>
    <row r="2" spans="1:57" x14ac:dyDescent="0.25">
      <c r="A2" s="1" t="str">
        <f>'Population Definitions'!$A$2</f>
        <v>PWID_males</v>
      </c>
      <c r="C2" t="s">
        <v>55</v>
      </c>
      <c r="D2" s="3">
        <v>2.576530612244899E-2</v>
      </c>
      <c r="E2" s="3"/>
      <c r="F2" s="4" t="s">
        <v>39</v>
      </c>
      <c r="G2" s="3">
        <v>5.1749999999999997E-2</v>
      </c>
      <c r="H2" s="3"/>
      <c r="I2" s="3"/>
      <c r="J2" s="3"/>
      <c r="K2" s="3"/>
      <c r="L2" s="3"/>
      <c r="M2" s="3"/>
      <c r="N2" s="3"/>
      <c r="O2" s="3"/>
      <c r="P2" s="3"/>
      <c r="Q2" s="3"/>
      <c r="R2" s="3"/>
      <c r="S2" s="3"/>
      <c r="T2" s="3"/>
      <c r="U2" s="3"/>
      <c r="V2" s="3">
        <v>0.10349999999999999</v>
      </c>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spans="1:57" x14ac:dyDescent="0.25">
      <c r="A3" s="1" t="str">
        <f>'Population Definitions'!$A$3</f>
        <v>PWID_females</v>
      </c>
      <c r="C3" t="s">
        <v>55</v>
      </c>
      <c r="D3" s="3">
        <v>2.576530612244899E-2</v>
      </c>
      <c r="E3" s="3"/>
      <c r="F3" s="4" t="s">
        <v>39</v>
      </c>
      <c r="G3" s="3">
        <v>5.1749999999999997E-2</v>
      </c>
      <c r="H3" s="3"/>
      <c r="I3" s="3"/>
      <c r="J3" s="3"/>
      <c r="K3" s="3"/>
      <c r="L3" s="3"/>
      <c r="M3" s="3"/>
      <c r="N3" s="3"/>
      <c r="O3" s="3"/>
      <c r="P3" s="3"/>
      <c r="Q3" s="3"/>
      <c r="R3" s="3"/>
      <c r="S3" s="3"/>
      <c r="T3" s="3"/>
      <c r="U3" s="3"/>
      <c r="V3" s="3">
        <v>0.10349999999999999</v>
      </c>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row>
    <row r="4" spans="1:57" x14ac:dyDescent="0.25">
      <c r="A4" s="1" t="str">
        <f>'Population Definitions'!$A$4</f>
        <v>0-9_males</v>
      </c>
      <c r="C4" t="s">
        <v>55</v>
      </c>
      <c r="D4" s="3"/>
      <c r="E4" s="3"/>
      <c r="F4" s="4" t="s">
        <v>39</v>
      </c>
      <c r="G4" s="3">
        <v>0.01</v>
      </c>
      <c r="H4" s="3"/>
      <c r="I4" s="3"/>
      <c r="J4" s="3"/>
      <c r="K4" s="3"/>
      <c r="L4" s="3"/>
      <c r="M4" s="3"/>
      <c r="N4" s="3"/>
      <c r="O4" s="3"/>
      <c r="P4" s="3"/>
      <c r="Q4" s="3"/>
      <c r="R4" s="3"/>
      <c r="S4" s="3"/>
      <c r="T4" s="3"/>
      <c r="U4" s="3"/>
      <c r="V4" s="3">
        <v>0.8</v>
      </c>
      <c r="W4" s="3"/>
      <c r="X4" s="3"/>
      <c r="Y4" s="3"/>
      <c r="Z4" s="3"/>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row>
    <row r="5" spans="1:57" x14ac:dyDescent="0.25">
      <c r="A5" s="1" t="str">
        <f>'Population Definitions'!$A$5</f>
        <v>0-9_females</v>
      </c>
      <c r="C5" t="s">
        <v>55</v>
      </c>
      <c r="D5" s="3"/>
      <c r="E5" s="3"/>
      <c r="F5" s="4" t="s">
        <v>39</v>
      </c>
      <c r="G5" s="3">
        <v>0.01</v>
      </c>
      <c r="H5" s="3"/>
      <c r="I5" s="3"/>
      <c r="J5" s="3"/>
      <c r="K5" s="3"/>
      <c r="L5" s="3"/>
      <c r="M5" s="3"/>
      <c r="N5" s="3"/>
      <c r="O5" s="3"/>
      <c r="P5" s="3"/>
      <c r="Q5" s="3"/>
      <c r="R5" s="3"/>
      <c r="S5" s="3"/>
      <c r="T5" s="3"/>
      <c r="U5" s="3"/>
      <c r="V5" s="3">
        <v>0.8</v>
      </c>
      <c r="W5" s="3"/>
      <c r="X5" s="3"/>
      <c r="Y5" s="3"/>
      <c r="Z5" s="3"/>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row>
    <row r="6" spans="1:57" x14ac:dyDescent="0.25">
      <c r="A6" s="1" t="str">
        <f>'Population Definitions'!$A$6</f>
        <v>10-17_males</v>
      </c>
      <c r="C6" t="s">
        <v>55</v>
      </c>
      <c r="D6" s="3"/>
      <c r="E6" s="3"/>
      <c r="F6" s="4" t="s">
        <v>39</v>
      </c>
      <c r="G6" s="3">
        <v>0.01</v>
      </c>
      <c r="H6" s="3"/>
      <c r="I6" s="3"/>
      <c r="J6" s="3"/>
      <c r="K6" s="3"/>
      <c r="L6" s="3"/>
      <c r="M6" s="3"/>
      <c r="N6" s="3"/>
      <c r="O6" s="3"/>
      <c r="P6" s="3"/>
      <c r="Q6" s="3"/>
      <c r="R6" s="3"/>
      <c r="S6" s="3"/>
      <c r="T6" s="3"/>
      <c r="U6" s="3"/>
      <c r="V6" s="3">
        <v>0.8</v>
      </c>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row>
    <row r="7" spans="1:57" x14ac:dyDescent="0.25">
      <c r="A7" s="1" t="str">
        <f>'Population Definitions'!$A$7</f>
        <v>10-17_females</v>
      </c>
      <c r="C7" t="s">
        <v>55</v>
      </c>
      <c r="D7" s="3"/>
      <c r="E7" s="3"/>
      <c r="F7" s="4" t="s">
        <v>39</v>
      </c>
      <c r="G7" s="3">
        <v>0.01</v>
      </c>
      <c r="H7" s="3"/>
      <c r="I7" s="3"/>
      <c r="J7" s="3"/>
      <c r="K7" s="3"/>
      <c r="L7" s="3"/>
      <c r="M7" s="3"/>
      <c r="N7" s="3"/>
      <c r="O7" s="3"/>
      <c r="P7" s="3"/>
      <c r="Q7" s="3"/>
      <c r="R7" s="3"/>
      <c r="S7" s="3"/>
      <c r="T7" s="3"/>
      <c r="U7" s="3"/>
      <c r="V7" s="3">
        <v>0.8</v>
      </c>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row>
    <row r="8" spans="1:57" x14ac:dyDescent="0.25">
      <c r="A8" s="1" t="str">
        <f>'Population Definitions'!$A$8</f>
        <v>18-64_males</v>
      </c>
      <c r="C8" t="s">
        <v>55</v>
      </c>
      <c r="D8" s="3"/>
      <c r="E8" s="3"/>
      <c r="F8" s="4" t="s">
        <v>39</v>
      </c>
      <c r="G8" s="3">
        <v>0.05</v>
      </c>
      <c r="H8" s="3"/>
      <c r="I8" s="3"/>
      <c r="J8" s="3"/>
      <c r="K8" s="3"/>
      <c r="L8" s="3"/>
      <c r="M8" s="3"/>
      <c r="N8" s="3"/>
      <c r="O8" s="3"/>
      <c r="P8" s="3"/>
      <c r="Q8" s="3"/>
      <c r="R8" s="3"/>
      <c r="S8" s="3"/>
      <c r="T8" s="3"/>
      <c r="U8" s="3"/>
      <c r="V8" s="3">
        <v>0.8</v>
      </c>
      <c r="W8" s="3"/>
      <c r="X8" s="3"/>
      <c r="Y8" s="3"/>
      <c r="Z8" s="3"/>
      <c r="AA8" s="3">
        <v>1</v>
      </c>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57" x14ac:dyDescent="0.25">
      <c r="A9" s="1" t="str">
        <f>'Population Definitions'!$A$9</f>
        <v>18-64_females</v>
      </c>
      <c r="C9" t="s">
        <v>55</v>
      </c>
      <c r="D9" s="3"/>
      <c r="E9" s="3"/>
      <c r="F9" s="4" t="s">
        <v>39</v>
      </c>
      <c r="G9" s="3">
        <v>0.05</v>
      </c>
      <c r="H9" s="3"/>
      <c r="I9" s="3"/>
      <c r="J9" s="3"/>
      <c r="K9" s="3"/>
      <c r="L9" s="3"/>
      <c r="M9" s="3"/>
      <c r="N9" s="3"/>
      <c r="O9" s="3"/>
      <c r="P9" s="3"/>
      <c r="Q9" s="3"/>
      <c r="R9" s="3"/>
      <c r="S9" s="3"/>
      <c r="T9" s="3"/>
      <c r="U9" s="3"/>
      <c r="V9" s="3">
        <v>0.8</v>
      </c>
      <c r="W9" s="3"/>
      <c r="X9" s="3"/>
      <c r="Y9" s="3"/>
      <c r="Z9" s="3"/>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57" x14ac:dyDescent="0.25">
      <c r="A10" s="1" t="str">
        <f>'Population Definitions'!$A$10</f>
        <v>65+_males</v>
      </c>
      <c r="C10" t="s">
        <v>55</v>
      </c>
      <c r="D10" s="3"/>
      <c r="E10" s="3"/>
      <c r="F10" s="4" t="s">
        <v>39</v>
      </c>
      <c r="G10" s="3">
        <v>0.05</v>
      </c>
      <c r="H10" s="3"/>
      <c r="I10" s="3"/>
      <c r="J10" s="3"/>
      <c r="K10" s="3"/>
      <c r="L10" s="3"/>
      <c r="M10" s="3"/>
      <c r="N10" s="3"/>
      <c r="O10" s="3"/>
      <c r="P10" s="3"/>
      <c r="Q10" s="3"/>
      <c r="R10" s="3"/>
      <c r="S10" s="3"/>
      <c r="T10" s="3"/>
      <c r="U10" s="3"/>
      <c r="V10" s="3">
        <v>0.8</v>
      </c>
      <c r="W10" s="3"/>
      <c r="X10" s="3"/>
      <c r="Y10" s="3"/>
      <c r="Z10" s="3"/>
      <c r="AA10" s="3">
        <v>1</v>
      </c>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57" x14ac:dyDescent="0.25">
      <c r="A11" s="1" t="str">
        <f>'Population Definitions'!$A$11</f>
        <v>65+_females</v>
      </c>
      <c r="C11" t="s">
        <v>55</v>
      </c>
      <c r="D11" s="3"/>
      <c r="E11" s="3"/>
      <c r="F11" s="4" t="s">
        <v>39</v>
      </c>
      <c r="G11" s="3">
        <v>0.05</v>
      </c>
      <c r="H11" s="3"/>
      <c r="I11" s="3"/>
      <c r="J11" s="3"/>
      <c r="K11" s="3"/>
      <c r="L11" s="3"/>
      <c r="M11" s="3"/>
      <c r="N11" s="3"/>
      <c r="O11" s="3"/>
      <c r="P11" s="3"/>
      <c r="Q11" s="3"/>
      <c r="R11" s="3"/>
      <c r="S11" s="3"/>
      <c r="T11" s="3"/>
      <c r="U11" s="3"/>
      <c r="V11" s="3">
        <v>0.8</v>
      </c>
      <c r="W11" s="3"/>
      <c r="X11" s="3"/>
      <c r="Y11" s="3"/>
      <c r="Z11" s="3"/>
      <c r="AA11" s="3">
        <v>1</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57" x14ac:dyDescent="0.25">
      <c r="A12" s="1" t="str">
        <f>'Population Definitions'!$A$12</f>
        <v>Prisoners_males</v>
      </c>
      <c r="C12" t="s">
        <v>55</v>
      </c>
      <c r="D12" s="3"/>
      <c r="E12" s="3">
        <v>0</v>
      </c>
      <c r="F12" s="4" t="s">
        <v>39</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57" x14ac:dyDescent="0.25">
      <c r="A13" s="1" t="str">
        <f>'Population Definitions'!$A$13</f>
        <v>Prisoners_females</v>
      </c>
      <c r="C13" t="s">
        <v>55</v>
      </c>
      <c r="D13" s="3"/>
      <c r="E13" s="3">
        <v>0</v>
      </c>
      <c r="F13" s="4" t="s">
        <v>39</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57" x14ac:dyDescent="0.25">
      <c r="A14" s="1" t="str">
        <f>'Population Definitions'!$A$14</f>
        <v>Prisoners_PWID_males</v>
      </c>
      <c r="C14" t="s">
        <v>55</v>
      </c>
      <c r="D14" s="3"/>
      <c r="E14" s="3">
        <v>0</v>
      </c>
      <c r="F14" s="4" t="s">
        <v>39</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57" x14ac:dyDescent="0.25">
      <c r="A15" s="1" t="str">
        <f>'Population Definitions'!$A$15</f>
        <v>Prisoners_PWID_females</v>
      </c>
      <c r="C15" t="s">
        <v>55</v>
      </c>
      <c r="D15" s="3"/>
      <c r="E15" s="3">
        <v>0</v>
      </c>
      <c r="F15" s="4" t="s">
        <v>39</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7" spans="1:57" x14ac:dyDescent="0.25">
      <c r="A17" s="1" t="s">
        <v>81</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C18" t="s">
        <v>55</v>
      </c>
      <c r="D18" s="3">
        <v>2.576530612244899E-2</v>
      </c>
      <c r="E18" s="3"/>
      <c r="F18" s="4" t="s">
        <v>39</v>
      </c>
      <c r="G18" s="3">
        <v>5.1749999999999997E-2</v>
      </c>
      <c r="H18" s="3"/>
      <c r="I18" s="3"/>
      <c r="J18" s="3"/>
      <c r="K18" s="3"/>
      <c r="L18" s="3"/>
      <c r="M18" s="3"/>
      <c r="N18" s="3"/>
      <c r="O18" s="3"/>
      <c r="P18" s="3"/>
      <c r="Q18" s="3"/>
      <c r="R18" s="3"/>
      <c r="S18" s="3"/>
      <c r="T18" s="3"/>
      <c r="U18" s="3"/>
      <c r="V18" s="3">
        <v>0.10349999999999999</v>
      </c>
      <c r="W18" s="3"/>
      <c r="X18" s="3"/>
      <c r="Y18" s="3"/>
      <c r="Z18" s="3"/>
      <c r="AA18" s="3">
        <v>1</v>
      </c>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C19" t="s">
        <v>55</v>
      </c>
      <c r="D19" s="3">
        <v>2.576530612244899E-2</v>
      </c>
      <c r="E19" s="3"/>
      <c r="F19" s="4" t="s">
        <v>39</v>
      </c>
      <c r="G19" s="3">
        <v>5.1749999999999997E-2</v>
      </c>
      <c r="H19" s="3"/>
      <c r="I19" s="3"/>
      <c r="J19" s="3"/>
      <c r="K19" s="3"/>
      <c r="L19" s="3"/>
      <c r="M19" s="3"/>
      <c r="N19" s="3"/>
      <c r="O19" s="3"/>
      <c r="P19" s="3"/>
      <c r="Q19" s="3"/>
      <c r="R19" s="3"/>
      <c r="S19" s="3"/>
      <c r="T19" s="3"/>
      <c r="U19" s="3"/>
      <c r="V19" s="3">
        <v>0.10349999999999999</v>
      </c>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C20" t="s">
        <v>55</v>
      </c>
      <c r="D20" s="3"/>
      <c r="E20" s="3"/>
      <c r="F20" s="4" t="s">
        <v>39</v>
      </c>
      <c r="G20" s="3">
        <v>0.01</v>
      </c>
      <c r="H20" s="3"/>
      <c r="I20" s="3"/>
      <c r="J20" s="3"/>
      <c r="K20" s="3"/>
      <c r="L20" s="3"/>
      <c r="M20" s="3"/>
      <c r="N20" s="3"/>
      <c r="O20" s="3"/>
      <c r="P20" s="3"/>
      <c r="Q20" s="3"/>
      <c r="R20" s="3"/>
      <c r="S20" s="3"/>
      <c r="T20" s="3"/>
      <c r="U20" s="3"/>
      <c r="V20" s="3">
        <v>0.8</v>
      </c>
      <c r="W20" s="3"/>
      <c r="X20" s="3"/>
      <c r="Y20" s="3"/>
      <c r="Z20" s="3"/>
      <c r="AA20" s="3">
        <v>1</v>
      </c>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C21" t="s">
        <v>55</v>
      </c>
      <c r="D21" s="3"/>
      <c r="E21" s="3"/>
      <c r="F21" s="4" t="s">
        <v>39</v>
      </c>
      <c r="G21" s="3">
        <v>0.01</v>
      </c>
      <c r="H21" s="3"/>
      <c r="I21" s="3"/>
      <c r="J21" s="3"/>
      <c r="K21" s="3"/>
      <c r="L21" s="3"/>
      <c r="M21" s="3"/>
      <c r="N21" s="3"/>
      <c r="O21" s="3"/>
      <c r="P21" s="3"/>
      <c r="Q21" s="3"/>
      <c r="R21" s="3"/>
      <c r="S21" s="3"/>
      <c r="T21" s="3"/>
      <c r="U21" s="3"/>
      <c r="V21" s="3">
        <v>0.8</v>
      </c>
      <c r="W21" s="3"/>
      <c r="X21" s="3"/>
      <c r="Y21" s="3"/>
      <c r="Z21" s="3"/>
      <c r="AA21" s="3">
        <v>1</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C22" t="s">
        <v>55</v>
      </c>
      <c r="D22" s="3"/>
      <c r="E22" s="3"/>
      <c r="F22" s="4" t="s">
        <v>39</v>
      </c>
      <c r="G22" s="3">
        <v>0.01</v>
      </c>
      <c r="H22" s="3"/>
      <c r="I22" s="3"/>
      <c r="J22" s="3"/>
      <c r="K22" s="3"/>
      <c r="L22" s="3"/>
      <c r="M22" s="3"/>
      <c r="N22" s="3"/>
      <c r="O22" s="3"/>
      <c r="P22" s="3"/>
      <c r="Q22" s="3"/>
      <c r="R22" s="3"/>
      <c r="S22" s="3"/>
      <c r="T22" s="3"/>
      <c r="U22" s="3"/>
      <c r="V22" s="3">
        <v>0.8</v>
      </c>
      <c r="W22" s="3"/>
      <c r="X22" s="3"/>
      <c r="Y22" s="3"/>
      <c r="Z22" s="3"/>
      <c r="AA22" s="3">
        <v>1</v>
      </c>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C23" t="s">
        <v>55</v>
      </c>
      <c r="D23" s="3"/>
      <c r="E23" s="3"/>
      <c r="F23" s="4" t="s">
        <v>39</v>
      </c>
      <c r="G23" s="3">
        <v>0.01</v>
      </c>
      <c r="H23" s="3"/>
      <c r="I23" s="3"/>
      <c r="J23" s="3"/>
      <c r="K23" s="3"/>
      <c r="L23" s="3"/>
      <c r="M23" s="3"/>
      <c r="N23" s="3"/>
      <c r="O23" s="3"/>
      <c r="P23" s="3"/>
      <c r="Q23" s="3"/>
      <c r="R23" s="3"/>
      <c r="S23" s="3"/>
      <c r="T23" s="3"/>
      <c r="U23" s="3"/>
      <c r="V23" s="3">
        <v>0.8</v>
      </c>
      <c r="W23" s="3"/>
      <c r="X23" s="3"/>
      <c r="Y23" s="3"/>
      <c r="Z23" s="3"/>
      <c r="AA23" s="3">
        <v>1</v>
      </c>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C24" t="s">
        <v>55</v>
      </c>
      <c r="D24" s="3"/>
      <c r="E24" s="3"/>
      <c r="F24" s="4" t="s">
        <v>39</v>
      </c>
      <c r="G24" s="3">
        <v>0.05</v>
      </c>
      <c r="H24" s="3"/>
      <c r="I24" s="3"/>
      <c r="J24" s="3"/>
      <c r="K24" s="3"/>
      <c r="L24" s="3"/>
      <c r="M24" s="3"/>
      <c r="N24" s="3"/>
      <c r="O24" s="3"/>
      <c r="P24" s="3"/>
      <c r="Q24" s="3"/>
      <c r="R24" s="3"/>
      <c r="S24" s="3"/>
      <c r="T24" s="3"/>
      <c r="U24" s="3"/>
      <c r="V24" s="3">
        <v>0.8</v>
      </c>
      <c r="W24" s="3"/>
      <c r="X24" s="3"/>
      <c r="Y24" s="3"/>
      <c r="Z24" s="3"/>
      <c r="AA24" s="3">
        <v>1</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C25" t="s">
        <v>55</v>
      </c>
      <c r="D25" s="3"/>
      <c r="E25" s="3"/>
      <c r="F25" s="4" t="s">
        <v>39</v>
      </c>
      <c r="G25" s="3">
        <v>0.05</v>
      </c>
      <c r="H25" s="3"/>
      <c r="I25" s="3"/>
      <c r="J25" s="3"/>
      <c r="K25" s="3"/>
      <c r="L25" s="3"/>
      <c r="M25" s="3"/>
      <c r="N25" s="3"/>
      <c r="O25" s="3"/>
      <c r="P25" s="3"/>
      <c r="Q25" s="3"/>
      <c r="R25" s="3"/>
      <c r="S25" s="3"/>
      <c r="T25" s="3"/>
      <c r="U25" s="3"/>
      <c r="V25" s="3">
        <v>0.8</v>
      </c>
      <c r="W25" s="3"/>
      <c r="X25" s="3"/>
      <c r="Y25" s="3"/>
      <c r="Z25" s="3"/>
      <c r="AA25" s="3">
        <v>1</v>
      </c>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C26" t="s">
        <v>55</v>
      </c>
      <c r="D26" s="3"/>
      <c r="E26" s="3"/>
      <c r="F26" s="4" t="s">
        <v>39</v>
      </c>
      <c r="G26" s="3">
        <v>0.05</v>
      </c>
      <c r="H26" s="3"/>
      <c r="I26" s="3"/>
      <c r="J26" s="3"/>
      <c r="K26" s="3"/>
      <c r="L26" s="3"/>
      <c r="M26" s="3"/>
      <c r="N26" s="3"/>
      <c r="O26" s="3"/>
      <c r="P26" s="3"/>
      <c r="Q26" s="3"/>
      <c r="R26" s="3"/>
      <c r="S26" s="3"/>
      <c r="T26" s="3"/>
      <c r="U26" s="3"/>
      <c r="V26" s="3">
        <v>0.8</v>
      </c>
      <c r="W26" s="3"/>
      <c r="X26" s="3"/>
      <c r="Y26" s="3"/>
      <c r="Z26" s="3"/>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C27" t="s">
        <v>55</v>
      </c>
      <c r="D27" s="3"/>
      <c r="E27" s="3"/>
      <c r="F27" s="4" t="s">
        <v>39</v>
      </c>
      <c r="G27" s="3">
        <v>0.05</v>
      </c>
      <c r="H27" s="3"/>
      <c r="I27" s="3"/>
      <c r="J27" s="3"/>
      <c r="K27" s="3"/>
      <c r="L27" s="3"/>
      <c r="M27" s="3"/>
      <c r="N27" s="3"/>
      <c r="O27" s="3"/>
      <c r="P27" s="3"/>
      <c r="Q27" s="3"/>
      <c r="R27" s="3"/>
      <c r="S27" s="3"/>
      <c r="T27" s="3"/>
      <c r="U27" s="3"/>
      <c r="V27" s="3">
        <v>0.8</v>
      </c>
      <c r="W27" s="3"/>
      <c r="X27" s="3"/>
      <c r="Y27" s="3"/>
      <c r="Z27" s="3"/>
      <c r="AA27" s="3">
        <v>1</v>
      </c>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C28" t="s">
        <v>55</v>
      </c>
      <c r="D28" s="3"/>
      <c r="E28" s="3">
        <v>0</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C29" t="s">
        <v>55</v>
      </c>
      <c r="D29" s="3"/>
      <c r="E29" s="3">
        <v>0</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C30" t="s">
        <v>55</v>
      </c>
      <c r="D30" s="3"/>
      <c r="E30" s="3">
        <v>0</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C31" t="s">
        <v>55</v>
      </c>
      <c r="D31" s="3"/>
      <c r="E31" s="3">
        <v>0</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82</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C34" t="s">
        <v>55</v>
      </c>
      <c r="D34" s="3"/>
      <c r="E34" s="3"/>
      <c r="F34" s="4" t="s">
        <v>39</v>
      </c>
      <c r="G34" s="3">
        <v>0.4</v>
      </c>
      <c r="H34" s="3"/>
      <c r="I34" s="3"/>
      <c r="J34" s="3"/>
      <c r="K34" s="3"/>
      <c r="L34" s="3"/>
      <c r="M34" s="3"/>
      <c r="N34" s="3"/>
      <c r="O34" s="3"/>
      <c r="P34" s="3"/>
      <c r="Q34" s="3"/>
      <c r="R34" s="3"/>
      <c r="S34" s="3"/>
      <c r="T34" s="3"/>
      <c r="U34" s="3"/>
      <c r="V34" s="3">
        <v>1</v>
      </c>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C35" t="s">
        <v>55</v>
      </c>
      <c r="D35" s="3"/>
      <c r="E35" s="3"/>
      <c r="F35" s="4" t="s">
        <v>39</v>
      </c>
      <c r="G35" s="3">
        <v>0.4</v>
      </c>
      <c r="H35" s="3"/>
      <c r="I35" s="3"/>
      <c r="J35" s="3"/>
      <c r="K35" s="3"/>
      <c r="L35" s="3"/>
      <c r="M35" s="3"/>
      <c r="N35" s="3"/>
      <c r="O35" s="3"/>
      <c r="P35" s="3"/>
      <c r="Q35" s="3"/>
      <c r="R35" s="3"/>
      <c r="S35" s="3"/>
      <c r="T35" s="3"/>
      <c r="U35" s="3"/>
      <c r="V35" s="3">
        <v>1</v>
      </c>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C36" t="s">
        <v>55</v>
      </c>
      <c r="D36" s="3"/>
      <c r="E36" s="3"/>
      <c r="F36" s="4" t="s">
        <v>39</v>
      </c>
      <c r="G36" s="3">
        <v>0.4</v>
      </c>
      <c r="H36" s="3"/>
      <c r="I36" s="3"/>
      <c r="J36" s="3"/>
      <c r="K36" s="3"/>
      <c r="L36" s="3"/>
      <c r="M36" s="3"/>
      <c r="N36" s="3"/>
      <c r="O36" s="3"/>
      <c r="P36" s="3"/>
      <c r="Q36" s="3"/>
      <c r="R36" s="3"/>
      <c r="S36" s="3"/>
      <c r="T36" s="3"/>
      <c r="U36" s="3"/>
      <c r="V36" s="3">
        <v>1</v>
      </c>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C37" t="s">
        <v>55</v>
      </c>
      <c r="D37" s="3"/>
      <c r="E37" s="3"/>
      <c r="F37" s="4" t="s">
        <v>39</v>
      </c>
      <c r="G37" s="3">
        <v>0.4</v>
      </c>
      <c r="H37" s="3"/>
      <c r="I37" s="3"/>
      <c r="J37" s="3"/>
      <c r="K37" s="3"/>
      <c r="L37" s="3"/>
      <c r="M37" s="3"/>
      <c r="N37" s="3"/>
      <c r="O37" s="3"/>
      <c r="P37" s="3"/>
      <c r="Q37" s="3"/>
      <c r="R37" s="3"/>
      <c r="S37" s="3"/>
      <c r="T37" s="3"/>
      <c r="U37" s="3"/>
      <c r="V37" s="3">
        <v>1</v>
      </c>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C38" t="s">
        <v>55</v>
      </c>
      <c r="D38" s="3"/>
      <c r="E38" s="3"/>
      <c r="F38" s="4" t="s">
        <v>39</v>
      </c>
      <c r="G38" s="3">
        <v>0.4</v>
      </c>
      <c r="H38" s="3"/>
      <c r="I38" s="3"/>
      <c r="J38" s="3"/>
      <c r="K38" s="3"/>
      <c r="L38" s="3"/>
      <c r="M38" s="3"/>
      <c r="N38" s="3"/>
      <c r="O38" s="3"/>
      <c r="P38" s="3"/>
      <c r="Q38" s="3"/>
      <c r="R38" s="3"/>
      <c r="S38" s="3"/>
      <c r="T38" s="3"/>
      <c r="U38" s="3"/>
      <c r="V38" s="3">
        <v>1</v>
      </c>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C39" t="s">
        <v>55</v>
      </c>
      <c r="D39" s="3"/>
      <c r="E39" s="3"/>
      <c r="F39" s="4" t="s">
        <v>39</v>
      </c>
      <c r="G39" s="3">
        <v>0.4</v>
      </c>
      <c r="H39" s="3"/>
      <c r="I39" s="3"/>
      <c r="J39" s="3"/>
      <c r="K39" s="3"/>
      <c r="L39" s="3"/>
      <c r="M39" s="3"/>
      <c r="N39" s="3"/>
      <c r="O39" s="3"/>
      <c r="P39" s="3"/>
      <c r="Q39" s="3"/>
      <c r="R39" s="3"/>
      <c r="S39" s="3"/>
      <c r="T39" s="3"/>
      <c r="U39" s="3"/>
      <c r="V39" s="3">
        <v>1</v>
      </c>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C40" t="s">
        <v>55</v>
      </c>
      <c r="D40" s="3"/>
      <c r="E40" s="3"/>
      <c r="F40" s="4" t="s">
        <v>39</v>
      </c>
      <c r="G40" s="3">
        <v>0.4</v>
      </c>
      <c r="H40" s="3"/>
      <c r="I40" s="3"/>
      <c r="J40" s="3"/>
      <c r="K40" s="3"/>
      <c r="L40" s="3"/>
      <c r="M40" s="3"/>
      <c r="N40" s="3"/>
      <c r="O40" s="3"/>
      <c r="P40" s="3"/>
      <c r="Q40" s="3"/>
      <c r="R40" s="3"/>
      <c r="S40" s="3"/>
      <c r="T40" s="3"/>
      <c r="U40" s="3"/>
      <c r="V40" s="3">
        <v>1</v>
      </c>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C41" t="s">
        <v>55</v>
      </c>
      <c r="D41" s="3"/>
      <c r="E41" s="3"/>
      <c r="F41" s="4" t="s">
        <v>39</v>
      </c>
      <c r="G41" s="3">
        <v>0.4</v>
      </c>
      <c r="H41" s="3"/>
      <c r="I41" s="3"/>
      <c r="J41" s="3"/>
      <c r="K41" s="3"/>
      <c r="L41" s="3"/>
      <c r="M41" s="3"/>
      <c r="N41" s="3"/>
      <c r="O41" s="3"/>
      <c r="P41" s="3"/>
      <c r="Q41" s="3"/>
      <c r="R41" s="3"/>
      <c r="S41" s="3"/>
      <c r="T41" s="3"/>
      <c r="U41" s="3"/>
      <c r="V41" s="3">
        <v>1</v>
      </c>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C42" t="s">
        <v>55</v>
      </c>
      <c r="D42" s="3"/>
      <c r="E42" s="3"/>
      <c r="F42" s="4" t="s">
        <v>39</v>
      </c>
      <c r="G42" s="3">
        <v>0.4</v>
      </c>
      <c r="H42" s="3"/>
      <c r="I42" s="3"/>
      <c r="J42" s="3"/>
      <c r="K42" s="3"/>
      <c r="L42" s="3"/>
      <c r="M42" s="3"/>
      <c r="N42" s="3"/>
      <c r="O42" s="3"/>
      <c r="P42" s="3"/>
      <c r="Q42" s="3"/>
      <c r="R42" s="3"/>
      <c r="S42" s="3"/>
      <c r="T42" s="3"/>
      <c r="U42" s="3"/>
      <c r="V42" s="3">
        <v>1</v>
      </c>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C43" t="s">
        <v>55</v>
      </c>
      <c r="D43" s="3"/>
      <c r="E43" s="3"/>
      <c r="F43" s="4" t="s">
        <v>39</v>
      </c>
      <c r="G43" s="3">
        <v>0.4</v>
      </c>
      <c r="H43" s="3"/>
      <c r="I43" s="3"/>
      <c r="J43" s="3"/>
      <c r="K43" s="3"/>
      <c r="L43" s="3"/>
      <c r="M43" s="3"/>
      <c r="N43" s="3"/>
      <c r="O43" s="3"/>
      <c r="P43" s="3"/>
      <c r="Q43" s="3"/>
      <c r="R43" s="3"/>
      <c r="S43" s="3"/>
      <c r="T43" s="3"/>
      <c r="U43" s="3"/>
      <c r="V43" s="3">
        <v>1</v>
      </c>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C44" t="s">
        <v>55</v>
      </c>
      <c r="D44" s="3"/>
      <c r="E44" s="3"/>
      <c r="F44" s="4" t="s">
        <v>39</v>
      </c>
      <c r="G44" s="3">
        <v>0.4</v>
      </c>
      <c r="H44" s="3"/>
      <c r="I44" s="3"/>
      <c r="J44" s="3"/>
      <c r="K44" s="3"/>
      <c r="L44" s="3"/>
      <c r="M44" s="3"/>
      <c r="N44" s="3"/>
      <c r="O44" s="3"/>
      <c r="P44" s="3"/>
      <c r="Q44" s="3"/>
      <c r="R44" s="3"/>
      <c r="S44" s="3"/>
      <c r="T44" s="3"/>
      <c r="U44" s="3"/>
      <c r="V44" s="3">
        <v>1</v>
      </c>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C45" t="s">
        <v>55</v>
      </c>
      <c r="D45" s="3"/>
      <c r="E45" s="3"/>
      <c r="F45" s="4" t="s">
        <v>39</v>
      </c>
      <c r="G45" s="3">
        <v>0.4</v>
      </c>
      <c r="H45" s="3"/>
      <c r="I45" s="3"/>
      <c r="J45" s="3"/>
      <c r="K45" s="3"/>
      <c r="L45" s="3"/>
      <c r="M45" s="3"/>
      <c r="N45" s="3"/>
      <c r="O45" s="3"/>
      <c r="P45" s="3"/>
      <c r="Q45" s="3"/>
      <c r="R45" s="3"/>
      <c r="S45" s="3"/>
      <c r="T45" s="3"/>
      <c r="U45" s="3"/>
      <c r="V45" s="3">
        <v>1</v>
      </c>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C46" t="s">
        <v>55</v>
      </c>
      <c r="D46" s="3"/>
      <c r="E46" s="3"/>
      <c r="F46" s="4" t="s">
        <v>39</v>
      </c>
      <c r="G46" s="3">
        <v>0.4</v>
      </c>
      <c r="H46" s="3"/>
      <c r="I46" s="3"/>
      <c r="J46" s="3"/>
      <c r="K46" s="3"/>
      <c r="L46" s="3"/>
      <c r="M46" s="3"/>
      <c r="N46" s="3"/>
      <c r="O46" s="3"/>
      <c r="P46" s="3"/>
      <c r="Q46" s="3"/>
      <c r="R46" s="3"/>
      <c r="S46" s="3"/>
      <c r="T46" s="3"/>
      <c r="U46" s="3"/>
      <c r="V46" s="3">
        <v>1</v>
      </c>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C47" t="s">
        <v>55</v>
      </c>
      <c r="D47" s="3"/>
      <c r="E47" s="3"/>
      <c r="F47" s="4" t="s">
        <v>39</v>
      </c>
      <c r="G47" s="3">
        <v>0.4</v>
      </c>
      <c r="H47" s="3"/>
      <c r="I47" s="3"/>
      <c r="J47" s="3"/>
      <c r="K47" s="3"/>
      <c r="L47" s="3"/>
      <c r="M47" s="3"/>
      <c r="N47" s="3"/>
      <c r="O47" s="3"/>
      <c r="P47" s="3"/>
      <c r="Q47" s="3"/>
      <c r="R47" s="3"/>
      <c r="S47" s="3"/>
      <c r="T47" s="3"/>
      <c r="U47" s="3"/>
      <c r="V47" s="3">
        <v>1</v>
      </c>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83</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C50" t="s">
        <v>55</v>
      </c>
      <c r="D50" s="3"/>
      <c r="E50" s="3"/>
      <c r="F50" s="4" t="s">
        <v>39</v>
      </c>
      <c r="G50" s="3">
        <v>0.4</v>
      </c>
      <c r="H50" s="3"/>
      <c r="I50" s="3"/>
      <c r="J50" s="3"/>
      <c r="K50" s="3"/>
      <c r="L50" s="3"/>
      <c r="M50" s="3"/>
      <c r="N50" s="3"/>
      <c r="O50" s="3"/>
      <c r="P50" s="3"/>
      <c r="Q50" s="3"/>
      <c r="R50" s="3"/>
      <c r="S50" s="3"/>
      <c r="T50" s="3"/>
      <c r="U50" s="3"/>
      <c r="V50" s="3">
        <v>1</v>
      </c>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C51" t="s">
        <v>55</v>
      </c>
      <c r="D51" s="3"/>
      <c r="E51" s="3"/>
      <c r="F51" s="4" t="s">
        <v>39</v>
      </c>
      <c r="G51" s="3">
        <v>0.4</v>
      </c>
      <c r="H51" s="3"/>
      <c r="I51" s="3"/>
      <c r="J51" s="3"/>
      <c r="K51" s="3"/>
      <c r="L51" s="3"/>
      <c r="M51" s="3"/>
      <c r="N51" s="3"/>
      <c r="O51" s="3"/>
      <c r="P51" s="3"/>
      <c r="Q51" s="3"/>
      <c r="R51" s="3"/>
      <c r="S51" s="3"/>
      <c r="T51" s="3"/>
      <c r="U51" s="3"/>
      <c r="V51" s="3">
        <v>1</v>
      </c>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C52" t="s">
        <v>55</v>
      </c>
      <c r="D52" s="3"/>
      <c r="E52" s="3"/>
      <c r="F52" s="4" t="s">
        <v>39</v>
      </c>
      <c r="G52" s="3">
        <v>0.4</v>
      </c>
      <c r="H52" s="3"/>
      <c r="I52" s="3"/>
      <c r="J52" s="3"/>
      <c r="K52" s="3"/>
      <c r="L52" s="3"/>
      <c r="M52" s="3"/>
      <c r="N52" s="3"/>
      <c r="O52" s="3"/>
      <c r="P52" s="3"/>
      <c r="Q52" s="3"/>
      <c r="R52" s="3"/>
      <c r="S52" s="3"/>
      <c r="T52" s="3"/>
      <c r="U52" s="3"/>
      <c r="V52" s="3">
        <v>1</v>
      </c>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C53" t="s">
        <v>55</v>
      </c>
      <c r="D53" s="3"/>
      <c r="E53" s="3"/>
      <c r="F53" s="4" t="s">
        <v>39</v>
      </c>
      <c r="G53" s="3">
        <v>0.4</v>
      </c>
      <c r="H53" s="3"/>
      <c r="I53" s="3"/>
      <c r="J53" s="3"/>
      <c r="K53" s="3"/>
      <c r="L53" s="3"/>
      <c r="M53" s="3"/>
      <c r="N53" s="3"/>
      <c r="O53" s="3"/>
      <c r="P53" s="3"/>
      <c r="Q53" s="3"/>
      <c r="R53" s="3"/>
      <c r="S53" s="3"/>
      <c r="T53" s="3"/>
      <c r="U53" s="3"/>
      <c r="V53" s="3">
        <v>1</v>
      </c>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C54" t="s">
        <v>55</v>
      </c>
      <c r="D54" s="3"/>
      <c r="E54" s="3"/>
      <c r="F54" s="4" t="s">
        <v>39</v>
      </c>
      <c r="G54" s="3">
        <v>0.4</v>
      </c>
      <c r="H54" s="3"/>
      <c r="I54" s="3"/>
      <c r="J54" s="3"/>
      <c r="K54" s="3"/>
      <c r="L54" s="3"/>
      <c r="M54" s="3"/>
      <c r="N54" s="3"/>
      <c r="O54" s="3"/>
      <c r="P54" s="3"/>
      <c r="Q54" s="3"/>
      <c r="R54" s="3"/>
      <c r="S54" s="3"/>
      <c r="T54" s="3"/>
      <c r="U54" s="3"/>
      <c r="V54" s="3">
        <v>1</v>
      </c>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C55" t="s">
        <v>55</v>
      </c>
      <c r="D55" s="3"/>
      <c r="E55" s="3"/>
      <c r="F55" s="4" t="s">
        <v>39</v>
      </c>
      <c r="G55" s="3">
        <v>0.4</v>
      </c>
      <c r="H55" s="3"/>
      <c r="I55" s="3"/>
      <c r="J55" s="3"/>
      <c r="K55" s="3"/>
      <c r="L55" s="3"/>
      <c r="M55" s="3"/>
      <c r="N55" s="3"/>
      <c r="O55" s="3"/>
      <c r="P55" s="3"/>
      <c r="Q55" s="3"/>
      <c r="R55" s="3"/>
      <c r="S55" s="3"/>
      <c r="T55" s="3"/>
      <c r="U55" s="3"/>
      <c r="V55" s="3">
        <v>1</v>
      </c>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C56" t="s">
        <v>55</v>
      </c>
      <c r="D56" s="3"/>
      <c r="E56" s="3"/>
      <c r="F56" s="4" t="s">
        <v>39</v>
      </c>
      <c r="G56" s="3">
        <v>0.4</v>
      </c>
      <c r="H56" s="3"/>
      <c r="I56" s="3"/>
      <c r="J56" s="3"/>
      <c r="K56" s="3"/>
      <c r="L56" s="3"/>
      <c r="M56" s="3"/>
      <c r="N56" s="3"/>
      <c r="O56" s="3"/>
      <c r="P56" s="3"/>
      <c r="Q56" s="3"/>
      <c r="R56" s="3"/>
      <c r="S56" s="3"/>
      <c r="T56" s="3"/>
      <c r="U56" s="3"/>
      <c r="V56" s="3">
        <v>1</v>
      </c>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C57" t="s">
        <v>55</v>
      </c>
      <c r="D57" s="3"/>
      <c r="E57" s="3"/>
      <c r="F57" s="4" t="s">
        <v>39</v>
      </c>
      <c r="G57" s="3">
        <v>0.4</v>
      </c>
      <c r="H57" s="3"/>
      <c r="I57" s="3"/>
      <c r="J57" s="3"/>
      <c r="K57" s="3"/>
      <c r="L57" s="3"/>
      <c r="M57" s="3"/>
      <c r="N57" s="3"/>
      <c r="O57" s="3"/>
      <c r="P57" s="3"/>
      <c r="Q57" s="3"/>
      <c r="R57" s="3"/>
      <c r="S57" s="3"/>
      <c r="T57" s="3"/>
      <c r="U57" s="3"/>
      <c r="V57" s="3">
        <v>1</v>
      </c>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C58" t="s">
        <v>55</v>
      </c>
      <c r="D58" s="3"/>
      <c r="E58" s="3"/>
      <c r="F58" s="4" t="s">
        <v>39</v>
      </c>
      <c r="G58" s="3">
        <v>0.4</v>
      </c>
      <c r="H58" s="3"/>
      <c r="I58" s="3"/>
      <c r="J58" s="3"/>
      <c r="K58" s="3"/>
      <c r="L58" s="3"/>
      <c r="M58" s="3"/>
      <c r="N58" s="3"/>
      <c r="O58" s="3"/>
      <c r="P58" s="3"/>
      <c r="Q58" s="3"/>
      <c r="R58" s="3"/>
      <c r="S58" s="3"/>
      <c r="T58" s="3"/>
      <c r="U58" s="3"/>
      <c r="V58" s="3">
        <v>1</v>
      </c>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C59" t="s">
        <v>55</v>
      </c>
      <c r="D59" s="3"/>
      <c r="E59" s="3"/>
      <c r="F59" s="4" t="s">
        <v>39</v>
      </c>
      <c r="G59" s="3">
        <v>0.4</v>
      </c>
      <c r="H59" s="3"/>
      <c r="I59" s="3"/>
      <c r="J59" s="3"/>
      <c r="K59" s="3"/>
      <c r="L59" s="3"/>
      <c r="M59" s="3"/>
      <c r="N59" s="3"/>
      <c r="O59" s="3"/>
      <c r="P59" s="3"/>
      <c r="Q59" s="3"/>
      <c r="R59" s="3"/>
      <c r="S59" s="3"/>
      <c r="T59" s="3"/>
      <c r="U59" s="3"/>
      <c r="V59" s="3">
        <v>1</v>
      </c>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C60" t="s">
        <v>55</v>
      </c>
      <c r="D60" s="3"/>
      <c r="E60" s="3"/>
      <c r="F60" s="4" t="s">
        <v>39</v>
      </c>
      <c r="G60" s="3">
        <v>0.4</v>
      </c>
      <c r="H60" s="3"/>
      <c r="I60" s="3"/>
      <c r="J60" s="3"/>
      <c r="K60" s="3"/>
      <c r="L60" s="3"/>
      <c r="M60" s="3"/>
      <c r="N60" s="3"/>
      <c r="O60" s="3"/>
      <c r="P60" s="3"/>
      <c r="Q60" s="3"/>
      <c r="R60" s="3"/>
      <c r="S60" s="3"/>
      <c r="T60" s="3"/>
      <c r="U60" s="3"/>
      <c r="V60" s="3">
        <v>1</v>
      </c>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C61" t="s">
        <v>55</v>
      </c>
      <c r="D61" s="3"/>
      <c r="E61" s="3"/>
      <c r="F61" s="4" t="s">
        <v>39</v>
      </c>
      <c r="G61" s="3">
        <v>0.4</v>
      </c>
      <c r="H61" s="3"/>
      <c r="I61" s="3"/>
      <c r="J61" s="3"/>
      <c r="K61" s="3"/>
      <c r="L61" s="3"/>
      <c r="M61" s="3"/>
      <c r="N61" s="3"/>
      <c r="O61" s="3"/>
      <c r="P61" s="3"/>
      <c r="Q61" s="3"/>
      <c r="R61" s="3"/>
      <c r="S61" s="3"/>
      <c r="T61" s="3"/>
      <c r="U61" s="3"/>
      <c r="V61" s="3">
        <v>1</v>
      </c>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C62" t="s">
        <v>55</v>
      </c>
      <c r="D62" s="3"/>
      <c r="E62" s="3"/>
      <c r="F62" s="4" t="s">
        <v>39</v>
      </c>
      <c r="G62" s="3">
        <v>0.4</v>
      </c>
      <c r="H62" s="3"/>
      <c r="I62" s="3"/>
      <c r="J62" s="3"/>
      <c r="K62" s="3"/>
      <c r="L62" s="3"/>
      <c r="M62" s="3"/>
      <c r="N62" s="3"/>
      <c r="O62" s="3"/>
      <c r="P62" s="3"/>
      <c r="Q62" s="3"/>
      <c r="R62" s="3"/>
      <c r="S62" s="3"/>
      <c r="T62" s="3"/>
      <c r="U62" s="3"/>
      <c r="V62" s="3">
        <v>1</v>
      </c>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C63" t="s">
        <v>55</v>
      </c>
      <c r="D63" s="3"/>
      <c r="E63" s="3"/>
      <c r="F63" s="4" t="s">
        <v>39</v>
      </c>
      <c r="G63" s="3">
        <v>0.4</v>
      </c>
      <c r="H63" s="3"/>
      <c r="I63" s="3"/>
      <c r="J63" s="3"/>
      <c r="K63" s="3"/>
      <c r="L63" s="3"/>
      <c r="M63" s="3"/>
      <c r="N63" s="3"/>
      <c r="O63" s="3"/>
      <c r="P63" s="3"/>
      <c r="Q63" s="3"/>
      <c r="R63" s="3"/>
      <c r="S63" s="3"/>
      <c r="T63" s="3"/>
      <c r="U63" s="3"/>
      <c r="V63" s="3">
        <v>1</v>
      </c>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sheetData>
  <conditionalFormatting sqref="E2:E15">
    <cfRule type="expression" dxfId="1309" priority="9">
      <formula>COUNTIF(G2:BE2,"&lt;&gt;" &amp; "")&gt;0</formula>
    </cfRule>
    <cfRule type="expression" dxfId="1308" priority="10">
      <formula>AND(COUNTIF(G2:BE2,"&lt;&gt;" &amp; "")&gt;0,NOT(ISBLANK(E2)))</formula>
    </cfRule>
  </conditionalFormatting>
  <conditionalFormatting sqref="E18:E31">
    <cfRule type="expression" dxfId="1307" priority="37">
      <formula>COUNTIF(G18:BE18,"&lt;&gt;" &amp; "")&gt;0</formula>
    </cfRule>
    <cfRule type="expression" dxfId="1306" priority="38">
      <formula>AND(COUNTIF(G18:BE18,"&lt;&gt;" &amp; "")&gt;0,NOT(ISBLANK(E18)))</formula>
    </cfRule>
  </conditionalFormatting>
  <conditionalFormatting sqref="E34:E47">
    <cfRule type="expression" dxfId="1305" priority="65">
      <formula>COUNTIF(G34:BE34,"&lt;&gt;" &amp; "")&gt;0</formula>
    </cfRule>
    <cfRule type="expression" dxfId="1304" priority="66">
      <formula>AND(COUNTIF(G34:BE34,"&lt;&gt;" &amp; "")&gt;0,NOT(ISBLANK(E34)))</formula>
    </cfRule>
  </conditionalFormatting>
  <conditionalFormatting sqref="E50:E63">
    <cfRule type="expression" dxfId="1303" priority="93">
      <formula>COUNTIF(G50:BE50,"&lt;&gt;" &amp; "")&gt;0</formula>
    </cfRule>
    <cfRule type="expression" dxfId="1302" priority="94">
      <formula>AND(COUNTIF(G50:BE50,"&lt;&gt;" &amp; "")&gt;0,NOT(ISBLANK(E50)))</formula>
    </cfRule>
  </conditionalFormatting>
  <conditionalFormatting sqref="G4:G11">
    <cfRule type="expression" dxfId="1301" priority="1">
      <formula>COUNTIF(I4:BG4,"&lt;&gt;" &amp; "")&gt;0</formula>
    </cfRule>
    <cfRule type="expression" dxfId="1300" priority="2">
      <formula>AND(COUNTIF(I4:BG4,"&lt;&gt;" &amp; "")&gt;0,NOT(ISBLANK(G4)))</formula>
    </cfRule>
  </conditionalFormatting>
  <conditionalFormatting sqref="G20:G27">
    <cfRule type="expression" dxfId="1299" priority="7">
      <formula>COUNTIF(I20:BG20,"&lt;&gt;" &amp; "")&gt;0</formula>
    </cfRule>
    <cfRule type="expression" dxfId="1298" priority="8">
      <formula>AND(COUNTIF(I20:BG20,"&lt;&gt;" &amp; "")&gt;0,NOT(ISBLANK(G20)))</formula>
    </cfRule>
  </conditionalFormatting>
  <conditionalFormatting sqref="G34:G47">
    <cfRule type="expression" dxfId="1297" priority="5">
      <formula>COUNTIF(I34:BG34,"&lt;&gt;" &amp; "")&gt;0</formula>
    </cfRule>
    <cfRule type="expression" dxfId="1296" priority="6">
      <formula>AND(COUNTIF(I34:BG34,"&lt;&gt;" &amp; "")&gt;0,NOT(ISBLANK(G34)))</formula>
    </cfRule>
  </conditionalFormatting>
  <conditionalFormatting sqref="G50:G63">
    <cfRule type="expression" dxfId="1295" priority="3">
      <formula>COUNTIF(I50:BG50,"&lt;&gt;" &amp; "")&gt;0</formula>
    </cfRule>
    <cfRule type="expression" dxfId="1294" priority="4">
      <formula>AND(COUNTIF(I50:BG50,"&lt;&gt;" &amp; "")&gt;0,NOT(ISBLANK(G50)))</formula>
    </cfRule>
  </conditionalFormatting>
  <dataValidations count="1">
    <dataValidation type="list" allowBlank="1" showInputMessage="1" showErrorMessage="1" sqref="C50:C63 C34:C47 C18:C31 C2:C15" xr:uid="{00000000-0002-0000-0500-000000000000}">
      <formula1>"Rate (per year)"</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sheetPr>
  <dimension ref="A1:BE95"/>
  <sheetViews>
    <sheetView workbookViewId="0"/>
  </sheetViews>
  <sheetFormatPr defaultRowHeight="15" x14ac:dyDescent="0.25"/>
  <cols>
    <col min="1" max="1" width="65.5703125" customWidth="1"/>
    <col min="2" max="2" width="30.28515625" customWidth="1"/>
    <col min="3" max="3" width="12.7109375" customWidth="1"/>
    <col min="4" max="4" width="13.85546875" customWidth="1"/>
    <col min="5" max="5" width="10.5703125" customWidth="1"/>
    <col min="6" max="6" width="3.85546875" customWidth="1"/>
    <col min="7" max="57" width="9.42578125" customWidth="1"/>
  </cols>
  <sheetData>
    <row r="1" spans="1:57" x14ac:dyDescent="0.25">
      <c r="A1" s="1" t="s">
        <v>84</v>
      </c>
      <c r="B1" s="1" t="s">
        <v>31</v>
      </c>
      <c r="C1" s="1" t="s">
        <v>32</v>
      </c>
      <c r="D1" s="1" t="s">
        <v>33</v>
      </c>
      <c r="E1" s="1" t="s">
        <v>38</v>
      </c>
      <c r="F1" s="1"/>
      <c r="G1" s="1">
        <v>2000</v>
      </c>
      <c r="H1" s="1">
        <v>2001</v>
      </c>
      <c r="I1" s="1">
        <v>2002</v>
      </c>
      <c r="J1" s="1">
        <v>2003</v>
      </c>
      <c r="K1" s="1">
        <v>2004</v>
      </c>
      <c r="L1" s="1">
        <v>2005</v>
      </c>
      <c r="M1" s="1">
        <v>2006</v>
      </c>
      <c r="N1" s="1">
        <v>2007</v>
      </c>
      <c r="O1" s="1">
        <v>2008</v>
      </c>
      <c r="P1" s="1">
        <v>2009</v>
      </c>
      <c r="Q1" s="1">
        <v>2010</v>
      </c>
      <c r="R1" s="1">
        <v>2011</v>
      </c>
      <c r="S1" s="1">
        <v>2012</v>
      </c>
      <c r="T1" s="1">
        <v>2013</v>
      </c>
      <c r="U1" s="1">
        <v>2014</v>
      </c>
      <c r="V1" s="1">
        <v>2015</v>
      </c>
      <c r="W1" s="1">
        <v>2016</v>
      </c>
      <c r="X1" s="1">
        <v>2017</v>
      </c>
      <c r="Y1" s="1">
        <v>2018</v>
      </c>
      <c r="Z1" s="1">
        <v>2019</v>
      </c>
      <c r="AA1" s="1">
        <v>2020</v>
      </c>
      <c r="AB1" s="1">
        <v>2021</v>
      </c>
      <c r="AC1" s="1">
        <v>2022</v>
      </c>
      <c r="AD1" s="1">
        <v>2023</v>
      </c>
      <c r="AE1" s="1">
        <v>2024</v>
      </c>
      <c r="AF1" s="1">
        <v>2025</v>
      </c>
      <c r="AG1" s="1">
        <v>2026</v>
      </c>
      <c r="AH1" s="1">
        <v>2027</v>
      </c>
      <c r="AI1" s="1">
        <v>2028</v>
      </c>
      <c r="AJ1" s="1">
        <v>2029</v>
      </c>
      <c r="AK1" s="1">
        <v>2030</v>
      </c>
      <c r="AL1" s="1">
        <v>2031</v>
      </c>
      <c r="AM1" s="1">
        <v>2032</v>
      </c>
      <c r="AN1" s="1">
        <v>2033</v>
      </c>
      <c r="AO1" s="1">
        <v>2034</v>
      </c>
      <c r="AP1" s="1">
        <v>2035</v>
      </c>
      <c r="AQ1" s="1">
        <v>2036</v>
      </c>
      <c r="AR1" s="1">
        <v>2037</v>
      </c>
      <c r="AS1" s="1">
        <v>2038</v>
      </c>
      <c r="AT1" s="1">
        <v>2039</v>
      </c>
      <c r="AU1" s="1">
        <v>2040</v>
      </c>
      <c r="AV1" s="1">
        <v>2041</v>
      </c>
      <c r="AW1" s="1">
        <v>2042</v>
      </c>
      <c r="AX1" s="1">
        <v>2043</v>
      </c>
      <c r="AY1" s="1">
        <v>2044</v>
      </c>
      <c r="AZ1" s="1">
        <v>2045</v>
      </c>
      <c r="BA1" s="1">
        <v>2046</v>
      </c>
      <c r="BB1" s="1">
        <v>2047</v>
      </c>
      <c r="BC1" s="1">
        <v>2048</v>
      </c>
      <c r="BD1" s="1">
        <v>2049</v>
      </c>
      <c r="BE1" s="1">
        <v>2050</v>
      </c>
    </row>
    <row r="2" spans="1:57" x14ac:dyDescent="0.25">
      <c r="A2" s="1" t="str">
        <f>'Population Definitions'!$A$2</f>
        <v>PWID_males</v>
      </c>
      <c r="B2" t="s">
        <v>62</v>
      </c>
      <c r="C2" t="s">
        <v>50</v>
      </c>
      <c r="D2" s="3"/>
      <c r="E2" s="3">
        <v>0</v>
      </c>
      <c r="F2" s="4" t="s">
        <v>39</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spans="1:57" x14ac:dyDescent="0.25">
      <c r="A3" s="1" t="str">
        <f>'Population Definitions'!$A$3</f>
        <v>PWID_females</v>
      </c>
      <c r="B3" t="s">
        <v>62</v>
      </c>
      <c r="C3" t="s">
        <v>50</v>
      </c>
      <c r="D3" s="3"/>
      <c r="E3" s="3">
        <v>0</v>
      </c>
      <c r="F3" s="4" t="s">
        <v>39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row>
    <row r="4" spans="1:57" x14ac:dyDescent="0.25">
      <c r="A4" s="1" t="str">
        <f>'Population Definitions'!$A$4</f>
        <v>0-9_males</v>
      </c>
      <c r="B4" t="s">
        <v>62</v>
      </c>
      <c r="C4" t="s">
        <v>50</v>
      </c>
      <c r="D4" s="3"/>
      <c r="E4" s="3">
        <v>0</v>
      </c>
      <c r="F4" s="4" t="s">
        <v>39</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row>
    <row r="5" spans="1:57" x14ac:dyDescent="0.25">
      <c r="A5" s="1" t="str">
        <f>'Population Definitions'!$A$5</f>
        <v>0-9_females</v>
      </c>
      <c r="B5" t="s">
        <v>62</v>
      </c>
      <c r="C5" t="s">
        <v>50</v>
      </c>
      <c r="D5" s="3"/>
      <c r="E5" s="3">
        <v>0</v>
      </c>
      <c r="F5" s="4" t="s">
        <v>39</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row>
    <row r="6" spans="1:57" x14ac:dyDescent="0.25">
      <c r="A6" s="1" t="str">
        <f>'Population Definitions'!$A$6</f>
        <v>10-17_males</v>
      </c>
      <c r="B6" t="s">
        <v>62</v>
      </c>
      <c r="C6" t="s">
        <v>50</v>
      </c>
      <c r="D6" s="3"/>
      <c r="E6" s="3">
        <v>0</v>
      </c>
      <c r="F6" s="4" t="s">
        <v>39</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row>
    <row r="7" spans="1:57" x14ac:dyDescent="0.25">
      <c r="A7" s="1" t="str">
        <f>'Population Definitions'!$A$7</f>
        <v>10-17_females</v>
      </c>
      <c r="B7" t="s">
        <v>62</v>
      </c>
      <c r="C7" t="s">
        <v>50</v>
      </c>
      <c r="D7" s="3"/>
      <c r="E7" s="3">
        <v>0</v>
      </c>
      <c r="F7" s="4" t="s">
        <v>39</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row>
    <row r="8" spans="1:57" x14ac:dyDescent="0.25">
      <c r="A8" s="1" t="str">
        <f>'Population Definitions'!$A$8</f>
        <v>18-64_males</v>
      </c>
      <c r="B8" t="s">
        <v>62</v>
      </c>
      <c r="C8" t="s">
        <v>50</v>
      </c>
      <c r="D8" s="3"/>
      <c r="E8" s="3">
        <v>0</v>
      </c>
      <c r="F8" s="4" t="s">
        <v>39</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57" x14ac:dyDescent="0.25">
      <c r="A9" s="1" t="str">
        <f>'Population Definitions'!$A$9</f>
        <v>18-64_females</v>
      </c>
      <c r="B9" t="s">
        <v>62</v>
      </c>
      <c r="C9" t="s">
        <v>50</v>
      </c>
      <c r="D9" s="3"/>
      <c r="E9" s="3">
        <v>0</v>
      </c>
      <c r="F9" s="4" t="s">
        <v>39</v>
      </c>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57" x14ac:dyDescent="0.25">
      <c r="A10" s="1" t="str">
        <f>'Population Definitions'!$A$10</f>
        <v>65+_males</v>
      </c>
      <c r="B10" t="s">
        <v>62</v>
      </c>
      <c r="C10" t="s">
        <v>50</v>
      </c>
      <c r="D10" s="3"/>
      <c r="E10" s="3">
        <v>0</v>
      </c>
      <c r="F10" s="4" t="s">
        <v>39</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57" x14ac:dyDescent="0.25">
      <c r="A11" s="1" t="str">
        <f>'Population Definitions'!$A$11</f>
        <v>65+_females</v>
      </c>
      <c r="B11" t="s">
        <v>62</v>
      </c>
      <c r="C11" t="s">
        <v>50</v>
      </c>
      <c r="D11" s="3"/>
      <c r="E11" s="3">
        <v>0</v>
      </c>
      <c r="F11" s="4" t="s">
        <v>39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57" x14ac:dyDescent="0.25">
      <c r="A12" s="1" t="str">
        <f>'Population Definitions'!$A$12</f>
        <v>Prisoners_males</v>
      </c>
      <c r="B12" t="s">
        <v>62</v>
      </c>
      <c r="C12" t="s">
        <v>50</v>
      </c>
      <c r="D12" s="3"/>
      <c r="E12" s="3">
        <v>0</v>
      </c>
      <c r="F12" s="4" t="s">
        <v>39</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57" x14ac:dyDescent="0.25">
      <c r="A13" s="1" t="str">
        <f>'Population Definitions'!$A$13</f>
        <v>Prisoners_females</v>
      </c>
      <c r="B13" t="s">
        <v>62</v>
      </c>
      <c r="C13" t="s">
        <v>50</v>
      </c>
      <c r="D13" s="3"/>
      <c r="E13" s="3">
        <v>0</v>
      </c>
      <c r="F13" s="4" t="s">
        <v>39</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57" x14ac:dyDescent="0.25">
      <c r="A14" s="1" t="str">
        <f>'Population Definitions'!$A$14</f>
        <v>Prisoners_PWID_males</v>
      </c>
      <c r="B14" t="s">
        <v>62</v>
      </c>
      <c r="C14" t="s">
        <v>50</v>
      </c>
      <c r="D14" s="3"/>
      <c r="E14" s="3">
        <v>0</v>
      </c>
      <c r="F14" s="4" t="s">
        <v>39</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57" x14ac:dyDescent="0.25">
      <c r="A15" s="1" t="str">
        <f>'Population Definitions'!$A$15</f>
        <v>Prisoners_PWID_females</v>
      </c>
      <c r="B15" t="s">
        <v>62</v>
      </c>
      <c r="C15" t="s">
        <v>50</v>
      </c>
      <c r="D15" s="3"/>
      <c r="E15" s="3">
        <v>0</v>
      </c>
      <c r="F15" s="4" t="s">
        <v>39</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7" spans="1:57" x14ac:dyDescent="0.25">
      <c r="A17" s="1" t="s">
        <v>85</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B18" t="s">
        <v>62</v>
      </c>
      <c r="C18" t="s">
        <v>50</v>
      </c>
      <c r="D18" s="3"/>
      <c r="E18" s="3">
        <v>0</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B19" t="s">
        <v>62</v>
      </c>
      <c r="C19" t="s">
        <v>50</v>
      </c>
      <c r="D19" s="3"/>
      <c r="E19" s="3">
        <v>0</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B20" t="s">
        <v>62</v>
      </c>
      <c r="C20" t="s">
        <v>50</v>
      </c>
      <c r="D20" s="3"/>
      <c r="E20" s="3">
        <v>0</v>
      </c>
      <c r="F20" s="4" t="s">
        <v>39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B21" t="s">
        <v>62</v>
      </c>
      <c r="C21" t="s">
        <v>50</v>
      </c>
      <c r="D21" s="3"/>
      <c r="E21" s="3">
        <v>0</v>
      </c>
      <c r="F21" s="4" t="s">
        <v>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B22" t="s">
        <v>62</v>
      </c>
      <c r="C22" t="s">
        <v>50</v>
      </c>
      <c r="D22" s="3"/>
      <c r="E22" s="3">
        <v>0</v>
      </c>
      <c r="F22" s="4"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B23" t="s">
        <v>62</v>
      </c>
      <c r="C23" t="s">
        <v>50</v>
      </c>
      <c r="D23" s="3"/>
      <c r="E23" s="3">
        <v>0</v>
      </c>
      <c r="F23" s="4" t="s">
        <v>39</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B24" t="s">
        <v>62</v>
      </c>
      <c r="C24" t="s">
        <v>50</v>
      </c>
      <c r="D24" s="3"/>
      <c r="E24" s="3">
        <v>0</v>
      </c>
      <c r="F24" s="4" t="s">
        <v>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B25" t="s">
        <v>62</v>
      </c>
      <c r="C25" t="s">
        <v>50</v>
      </c>
      <c r="D25" s="3"/>
      <c r="E25" s="3">
        <v>0</v>
      </c>
      <c r="F25" s="4" t="s">
        <v>39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B26" t="s">
        <v>62</v>
      </c>
      <c r="C26" t="s">
        <v>50</v>
      </c>
      <c r="D26" s="3"/>
      <c r="E26" s="3">
        <v>0</v>
      </c>
      <c r="F26" s="4" t="s">
        <v>39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B27" t="s">
        <v>62</v>
      </c>
      <c r="C27" t="s">
        <v>50</v>
      </c>
      <c r="D27" s="3"/>
      <c r="E27" s="3">
        <v>0</v>
      </c>
      <c r="F27" s="4" t="s">
        <v>39</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B28" t="s">
        <v>62</v>
      </c>
      <c r="C28" t="s">
        <v>50</v>
      </c>
      <c r="D28" s="3"/>
      <c r="E28" s="3">
        <v>0</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B29" t="s">
        <v>62</v>
      </c>
      <c r="C29" t="s">
        <v>50</v>
      </c>
      <c r="D29" s="3"/>
      <c r="E29" s="3">
        <v>0</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B30" t="s">
        <v>62</v>
      </c>
      <c r="C30" t="s">
        <v>50</v>
      </c>
      <c r="D30" s="3"/>
      <c r="E30" s="3">
        <v>0</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B31" t="s">
        <v>62</v>
      </c>
      <c r="C31" t="s">
        <v>50</v>
      </c>
      <c r="D31" s="3"/>
      <c r="E31" s="3">
        <v>0</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86</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B34" t="s">
        <v>62</v>
      </c>
      <c r="C34" t="s">
        <v>50</v>
      </c>
      <c r="D34" s="3"/>
      <c r="E34" s="3">
        <v>0</v>
      </c>
      <c r="F34" s="4" t="s">
        <v>39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B35" t="s">
        <v>62</v>
      </c>
      <c r="C35" t="s">
        <v>50</v>
      </c>
      <c r="D35" s="3"/>
      <c r="E35" s="3">
        <v>0</v>
      </c>
      <c r="F35" s="4" t="s">
        <v>39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B36" t="s">
        <v>62</v>
      </c>
      <c r="C36" t="s">
        <v>50</v>
      </c>
      <c r="D36" s="3"/>
      <c r="E36" s="3">
        <v>0</v>
      </c>
      <c r="F36" s="4" t="s">
        <v>39</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B37" t="s">
        <v>62</v>
      </c>
      <c r="C37" t="s">
        <v>50</v>
      </c>
      <c r="D37" s="3"/>
      <c r="E37" s="3">
        <v>0</v>
      </c>
      <c r="F37" s="4" t="s">
        <v>39</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B38" t="s">
        <v>62</v>
      </c>
      <c r="C38" t="s">
        <v>50</v>
      </c>
      <c r="D38" s="3"/>
      <c r="E38" s="3">
        <v>0</v>
      </c>
      <c r="F38" s="4" t="s">
        <v>39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B39" t="s">
        <v>62</v>
      </c>
      <c r="C39" t="s">
        <v>50</v>
      </c>
      <c r="D39" s="3"/>
      <c r="E39" s="3">
        <v>0</v>
      </c>
      <c r="F39" s="4" t="s">
        <v>39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B40" t="s">
        <v>62</v>
      </c>
      <c r="C40" t="s">
        <v>50</v>
      </c>
      <c r="D40" s="3"/>
      <c r="E40" s="3">
        <v>0</v>
      </c>
      <c r="F40" s="4" t="s">
        <v>39</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B41" t="s">
        <v>62</v>
      </c>
      <c r="C41" t="s">
        <v>50</v>
      </c>
      <c r="D41" s="3"/>
      <c r="E41" s="3">
        <v>0</v>
      </c>
      <c r="F41" s="4" t="s">
        <v>39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B42" t="s">
        <v>62</v>
      </c>
      <c r="C42" t="s">
        <v>50</v>
      </c>
      <c r="D42" s="3"/>
      <c r="E42" s="3">
        <v>0</v>
      </c>
      <c r="F42" s="4" t="s">
        <v>39</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B43" t="s">
        <v>62</v>
      </c>
      <c r="C43" t="s">
        <v>50</v>
      </c>
      <c r="D43" s="3"/>
      <c r="E43" s="3">
        <v>0</v>
      </c>
      <c r="F43" s="4" t="s">
        <v>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B44" t="s">
        <v>62</v>
      </c>
      <c r="C44" t="s">
        <v>50</v>
      </c>
      <c r="D44" s="3"/>
      <c r="E44" s="3">
        <v>0</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B45" t="s">
        <v>62</v>
      </c>
      <c r="C45" t="s">
        <v>50</v>
      </c>
      <c r="D45" s="3"/>
      <c r="E45" s="3">
        <v>0</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B46" t="s">
        <v>62</v>
      </c>
      <c r="C46" t="s">
        <v>50</v>
      </c>
      <c r="D46" s="3"/>
      <c r="E46" s="3">
        <v>0</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B47" t="s">
        <v>62</v>
      </c>
      <c r="C47" t="s">
        <v>50</v>
      </c>
      <c r="D47" s="3"/>
      <c r="E47" s="3">
        <v>0</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87</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B50" t="s">
        <v>62</v>
      </c>
      <c r="C50" t="s">
        <v>50</v>
      </c>
      <c r="D50" s="3"/>
      <c r="E50" s="3">
        <v>0</v>
      </c>
      <c r="F50" s="4" t="s">
        <v>39</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B51" t="s">
        <v>62</v>
      </c>
      <c r="C51" t="s">
        <v>50</v>
      </c>
      <c r="D51" s="3"/>
      <c r="E51" s="3">
        <v>0</v>
      </c>
      <c r="F51" s="4" t="s">
        <v>39</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B52" t="s">
        <v>62</v>
      </c>
      <c r="C52" t="s">
        <v>50</v>
      </c>
      <c r="D52" s="3"/>
      <c r="E52" s="3">
        <v>0</v>
      </c>
      <c r="F52" s="4" t="s">
        <v>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B53" t="s">
        <v>62</v>
      </c>
      <c r="C53" t="s">
        <v>50</v>
      </c>
      <c r="D53" s="3"/>
      <c r="E53" s="3">
        <v>0</v>
      </c>
      <c r="F53" s="4" t="s">
        <v>39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B54" t="s">
        <v>62</v>
      </c>
      <c r="C54" t="s">
        <v>50</v>
      </c>
      <c r="D54" s="3"/>
      <c r="E54" s="3">
        <v>0</v>
      </c>
      <c r="F54" s="4" t="s">
        <v>39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B55" t="s">
        <v>62</v>
      </c>
      <c r="C55" t="s">
        <v>50</v>
      </c>
      <c r="D55" s="3"/>
      <c r="E55" s="3">
        <v>0</v>
      </c>
      <c r="F55" s="4" t="s">
        <v>39</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B56" t="s">
        <v>62</v>
      </c>
      <c r="C56" t="s">
        <v>50</v>
      </c>
      <c r="D56" s="3"/>
      <c r="E56" s="3">
        <v>0</v>
      </c>
      <c r="F56" s="4" t="s">
        <v>39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B57" t="s">
        <v>62</v>
      </c>
      <c r="C57" t="s">
        <v>50</v>
      </c>
      <c r="D57" s="3"/>
      <c r="E57" s="3">
        <v>0</v>
      </c>
      <c r="F57" s="4" t="s">
        <v>39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B58" t="s">
        <v>62</v>
      </c>
      <c r="C58" t="s">
        <v>50</v>
      </c>
      <c r="D58" s="3"/>
      <c r="E58" s="3">
        <v>0</v>
      </c>
      <c r="F58" s="4" t="s">
        <v>39</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B59" t="s">
        <v>62</v>
      </c>
      <c r="C59" t="s">
        <v>50</v>
      </c>
      <c r="D59" s="3"/>
      <c r="E59" s="3">
        <v>0</v>
      </c>
      <c r="F59" s="4" t="s">
        <v>39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B60" t="s">
        <v>62</v>
      </c>
      <c r="C60" t="s">
        <v>50</v>
      </c>
      <c r="D60" s="3"/>
      <c r="E60" s="3">
        <v>0</v>
      </c>
      <c r="F60" s="4" t="s">
        <v>39</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B61" t="s">
        <v>62</v>
      </c>
      <c r="C61" t="s">
        <v>50</v>
      </c>
      <c r="D61" s="3"/>
      <c r="E61" s="3">
        <v>0</v>
      </c>
      <c r="F61" s="4" t="s">
        <v>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B62" t="s">
        <v>62</v>
      </c>
      <c r="C62" t="s">
        <v>50</v>
      </c>
      <c r="D62" s="3"/>
      <c r="E62" s="3">
        <v>0</v>
      </c>
      <c r="F62" s="4" t="s">
        <v>39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B63" t="s">
        <v>62</v>
      </c>
      <c r="C63" t="s">
        <v>50</v>
      </c>
      <c r="D63" s="3"/>
      <c r="E63" s="3">
        <v>0</v>
      </c>
      <c r="F63" s="4" t="s">
        <v>39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row r="65" spans="1:57" x14ac:dyDescent="0.25">
      <c r="A65" s="1" t="s">
        <v>88</v>
      </c>
      <c r="B65" s="1" t="s">
        <v>31</v>
      </c>
      <c r="C65" s="1" t="s">
        <v>32</v>
      </c>
      <c r="D65" s="1" t="s">
        <v>33</v>
      </c>
      <c r="E65" s="1" t="s">
        <v>38</v>
      </c>
      <c r="F65" s="1"/>
      <c r="G65" s="1">
        <v>2000</v>
      </c>
      <c r="H65" s="1">
        <v>2001</v>
      </c>
      <c r="I65" s="1">
        <v>2002</v>
      </c>
      <c r="J65" s="1">
        <v>2003</v>
      </c>
      <c r="K65" s="1">
        <v>2004</v>
      </c>
      <c r="L65" s="1">
        <v>2005</v>
      </c>
      <c r="M65" s="1">
        <v>2006</v>
      </c>
      <c r="N65" s="1">
        <v>2007</v>
      </c>
      <c r="O65" s="1">
        <v>2008</v>
      </c>
      <c r="P65" s="1">
        <v>2009</v>
      </c>
      <c r="Q65" s="1">
        <v>2010</v>
      </c>
      <c r="R65" s="1">
        <v>2011</v>
      </c>
      <c r="S65" s="1">
        <v>2012</v>
      </c>
      <c r="T65" s="1">
        <v>2013</v>
      </c>
      <c r="U65" s="1">
        <v>2014</v>
      </c>
      <c r="V65" s="1">
        <v>2015</v>
      </c>
      <c r="W65" s="1">
        <v>2016</v>
      </c>
      <c r="X65" s="1">
        <v>2017</v>
      </c>
      <c r="Y65" s="1">
        <v>2018</v>
      </c>
      <c r="Z65" s="1">
        <v>2019</v>
      </c>
      <c r="AA65" s="1">
        <v>2020</v>
      </c>
      <c r="AB65" s="1">
        <v>2021</v>
      </c>
      <c r="AC65" s="1">
        <v>2022</v>
      </c>
      <c r="AD65" s="1">
        <v>2023</v>
      </c>
      <c r="AE65" s="1">
        <v>2024</v>
      </c>
      <c r="AF65" s="1">
        <v>2025</v>
      </c>
      <c r="AG65" s="1">
        <v>2026</v>
      </c>
      <c r="AH65" s="1">
        <v>2027</v>
      </c>
      <c r="AI65" s="1">
        <v>2028</v>
      </c>
      <c r="AJ65" s="1">
        <v>2029</v>
      </c>
      <c r="AK65" s="1">
        <v>2030</v>
      </c>
      <c r="AL65" s="1">
        <v>2031</v>
      </c>
      <c r="AM65" s="1">
        <v>2032</v>
      </c>
      <c r="AN65" s="1">
        <v>2033</v>
      </c>
      <c r="AO65" s="1">
        <v>2034</v>
      </c>
      <c r="AP65" s="1">
        <v>2035</v>
      </c>
      <c r="AQ65" s="1">
        <v>2036</v>
      </c>
      <c r="AR65" s="1">
        <v>2037</v>
      </c>
      <c r="AS65" s="1">
        <v>2038</v>
      </c>
      <c r="AT65" s="1">
        <v>2039</v>
      </c>
      <c r="AU65" s="1">
        <v>2040</v>
      </c>
      <c r="AV65" s="1">
        <v>2041</v>
      </c>
      <c r="AW65" s="1">
        <v>2042</v>
      </c>
      <c r="AX65" s="1">
        <v>2043</v>
      </c>
      <c r="AY65" s="1">
        <v>2044</v>
      </c>
      <c r="AZ65" s="1">
        <v>2045</v>
      </c>
      <c r="BA65" s="1">
        <v>2046</v>
      </c>
      <c r="BB65" s="1">
        <v>2047</v>
      </c>
      <c r="BC65" s="1">
        <v>2048</v>
      </c>
      <c r="BD65" s="1">
        <v>2049</v>
      </c>
      <c r="BE65" s="1">
        <v>2050</v>
      </c>
    </row>
    <row r="66" spans="1:57" x14ac:dyDescent="0.25">
      <c r="A66" s="1" t="str">
        <f>'Population Definitions'!$A$2</f>
        <v>PWID_males</v>
      </c>
      <c r="B66" t="s">
        <v>62</v>
      </c>
      <c r="C66" t="s">
        <v>50</v>
      </c>
      <c r="D66" s="3"/>
      <c r="E66" s="3">
        <v>0</v>
      </c>
      <c r="F66" s="4" t="s">
        <v>39</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row>
    <row r="67" spans="1:57" x14ac:dyDescent="0.25">
      <c r="A67" s="1" t="str">
        <f>'Population Definitions'!$A$3</f>
        <v>PWID_females</v>
      </c>
      <c r="B67" t="s">
        <v>62</v>
      </c>
      <c r="C67" t="s">
        <v>50</v>
      </c>
      <c r="D67" s="3"/>
      <c r="E67" s="3">
        <v>0</v>
      </c>
      <c r="F67" s="4" t="s">
        <v>39</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row>
    <row r="68" spans="1:57" x14ac:dyDescent="0.25">
      <c r="A68" s="1" t="str">
        <f>'Population Definitions'!$A$4</f>
        <v>0-9_males</v>
      </c>
      <c r="B68" t="s">
        <v>62</v>
      </c>
      <c r="C68" t="s">
        <v>50</v>
      </c>
      <c r="D68" s="3"/>
      <c r="E68" s="3">
        <v>0</v>
      </c>
      <c r="F68" s="4" t="s">
        <v>39</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row>
    <row r="69" spans="1:57" x14ac:dyDescent="0.25">
      <c r="A69" s="1" t="str">
        <f>'Population Definitions'!$A$5</f>
        <v>0-9_females</v>
      </c>
      <c r="B69" t="s">
        <v>62</v>
      </c>
      <c r="C69" t="s">
        <v>50</v>
      </c>
      <c r="D69" s="3"/>
      <c r="E69" s="3">
        <v>0</v>
      </c>
      <c r="F69" s="4" t="s">
        <v>39</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row>
    <row r="70" spans="1:57" x14ac:dyDescent="0.25">
      <c r="A70" s="1" t="str">
        <f>'Population Definitions'!$A$6</f>
        <v>10-17_males</v>
      </c>
      <c r="B70" t="s">
        <v>62</v>
      </c>
      <c r="C70" t="s">
        <v>50</v>
      </c>
      <c r="D70" s="3"/>
      <c r="E70" s="3">
        <v>0</v>
      </c>
      <c r="F70" s="4" t="s">
        <v>39</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spans="1:57" x14ac:dyDescent="0.25">
      <c r="A71" s="1" t="str">
        <f>'Population Definitions'!$A$7</f>
        <v>10-17_females</v>
      </c>
      <c r="B71" t="s">
        <v>62</v>
      </c>
      <c r="C71" t="s">
        <v>50</v>
      </c>
      <c r="D71" s="3"/>
      <c r="E71" s="3">
        <v>0</v>
      </c>
      <c r="F71" s="4" t="s">
        <v>39</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spans="1:57" x14ac:dyDescent="0.25">
      <c r="A72" s="1" t="str">
        <f>'Population Definitions'!$A$8</f>
        <v>18-64_males</v>
      </c>
      <c r="B72" t="s">
        <v>62</v>
      </c>
      <c r="C72" t="s">
        <v>50</v>
      </c>
      <c r="D72" s="3"/>
      <c r="E72" s="3">
        <v>0</v>
      </c>
      <c r="F72" s="4" t="s">
        <v>39</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spans="1:57" x14ac:dyDescent="0.25">
      <c r="A73" s="1" t="str">
        <f>'Population Definitions'!$A$9</f>
        <v>18-64_females</v>
      </c>
      <c r="B73" t="s">
        <v>62</v>
      </c>
      <c r="C73" t="s">
        <v>50</v>
      </c>
      <c r="D73" s="3"/>
      <c r="E73" s="3">
        <v>0</v>
      </c>
      <c r="F73" s="4" t="s">
        <v>39</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spans="1:57" x14ac:dyDescent="0.25">
      <c r="A74" s="1" t="str">
        <f>'Population Definitions'!$A$10</f>
        <v>65+_males</v>
      </c>
      <c r="B74" t="s">
        <v>62</v>
      </c>
      <c r="C74" t="s">
        <v>50</v>
      </c>
      <c r="D74" s="3"/>
      <c r="E74" s="3">
        <v>0</v>
      </c>
      <c r="F74" s="4" t="s">
        <v>39</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spans="1:57" x14ac:dyDescent="0.25">
      <c r="A75" s="1" t="str">
        <f>'Population Definitions'!$A$11</f>
        <v>65+_females</v>
      </c>
      <c r="B75" t="s">
        <v>62</v>
      </c>
      <c r="C75" t="s">
        <v>50</v>
      </c>
      <c r="D75" s="3"/>
      <c r="E75" s="3">
        <v>0</v>
      </c>
      <c r="F75" s="4" t="s">
        <v>39</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spans="1:57" x14ac:dyDescent="0.25">
      <c r="A76" s="1" t="str">
        <f>'Population Definitions'!$A$12</f>
        <v>Prisoners_males</v>
      </c>
      <c r="B76" t="s">
        <v>62</v>
      </c>
      <c r="C76" t="s">
        <v>50</v>
      </c>
      <c r="D76" s="3"/>
      <c r="E76" s="3">
        <v>0</v>
      </c>
      <c r="F76" s="4" t="s">
        <v>39</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row>
    <row r="77" spans="1:57" x14ac:dyDescent="0.25">
      <c r="A77" s="1" t="str">
        <f>'Population Definitions'!$A$13</f>
        <v>Prisoners_females</v>
      </c>
      <c r="B77" t="s">
        <v>62</v>
      </c>
      <c r="C77" t="s">
        <v>50</v>
      </c>
      <c r="D77" s="3"/>
      <c r="E77" s="3">
        <v>0</v>
      </c>
      <c r="F77" s="4" t="s">
        <v>39</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row>
    <row r="78" spans="1:57" x14ac:dyDescent="0.25">
      <c r="A78" s="1" t="str">
        <f>'Population Definitions'!$A$14</f>
        <v>Prisoners_PWID_males</v>
      </c>
      <c r="B78" t="s">
        <v>62</v>
      </c>
      <c r="C78" t="s">
        <v>50</v>
      </c>
      <c r="D78" s="3"/>
      <c r="E78" s="3">
        <v>0</v>
      </c>
      <c r="F78" s="4" t="s">
        <v>39</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row>
    <row r="79" spans="1:57" x14ac:dyDescent="0.25">
      <c r="A79" s="1" t="str">
        <f>'Population Definitions'!$A$15</f>
        <v>Prisoners_PWID_females</v>
      </c>
      <c r="B79" t="s">
        <v>62</v>
      </c>
      <c r="C79" t="s">
        <v>50</v>
      </c>
      <c r="D79" s="3"/>
      <c r="E79" s="3">
        <v>0</v>
      </c>
      <c r="F79" s="4" t="s">
        <v>39</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row>
    <row r="81" spans="1:57" x14ac:dyDescent="0.25">
      <c r="A81" s="1" t="s">
        <v>89</v>
      </c>
      <c r="B81" s="1" t="s">
        <v>31</v>
      </c>
      <c r="C81" s="1" t="s">
        <v>32</v>
      </c>
      <c r="D81" s="1" t="s">
        <v>33</v>
      </c>
      <c r="E81" s="1" t="s">
        <v>38</v>
      </c>
      <c r="F81" s="1"/>
      <c r="G81" s="1">
        <v>2000</v>
      </c>
      <c r="H81" s="1">
        <v>2001</v>
      </c>
      <c r="I81" s="1">
        <v>2002</v>
      </c>
      <c r="J81" s="1">
        <v>2003</v>
      </c>
      <c r="K81" s="1">
        <v>2004</v>
      </c>
      <c r="L81" s="1">
        <v>2005</v>
      </c>
      <c r="M81" s="1">
        <v>2006</v>
      </c>
      <c r="N81" s="1">
        <v>2007</v>
      </c>
      <c r="O81" s="1">
        <v>2008</v>
      </c>
      <c r="P81" s="1">
        <v>2009</v>
      </c>
      <c r="Q81" s="1">
        <v>2010</v>
      </c>
      <c r="R81" s="1">
        <v>2011</v>
      </c>
      <c r="S81" s="1">
        <v>2012</v>
      </c>
      <c r="T81" s="1">
        <v>2013</v>
      </c>
      <c r="U81" s="1">
        <v>2014</v>
      </c>
      <c r="V81" s="1">
        <v>2015</v>
      </c>
      <c r="W81" s="1">
        <v>2016</v>
      </c>
      <c r="X81" s="1">
        <v>2017</v>
      </c>
      <c r="Y81" s="1">
        <v>2018</v>
      </c>
      <c r="Z81" s="1">
        <v>2019</v>
      </c>
      <c r="AA81" s="1">
        <v>2020</v>
      </c>
      <c r="AB81" s="1">
        <v>2021</v>
      </c>
      <c r="AC81" s="1">
        <v>2022</v>
      </c>
      <c r="AD81" s="1">
        <v>2023</v>
      </c>
      <c r="AE81" s="1">
        <v>2024</v>
      </c>
      <c r="AF81" s="1">
        <v>2025</v>
      </c>
      <c r="AG81" s="1">
        <v>2026</v>
      </c>
      <c r="AH81" s="1">
        <v>2027</v>
      </c>
      <c r="AI81" s="1">
        <v>2028</v>
      </c>
      <c r="AJ81" s="1">
        <v>2029</v>
      </c>
      <c r="AK81" s="1">
        <v>2030</v>
      </c>
      <c r="AL81" s="1">
        <v>2031</v>
      </c>
      <c r="AM81" s="1">
        <v>2032</v>
      </c>
      <c r="AN81" s="1">
        <v>2033</v>
      </c>
      <c r="AO81" s="1">
        <v>2034</v>
      </c>
      <c r="AP81" s="1">
        <v>2035</v>
      </c>
      <c r="AQ81" s="1">
        <v>2036</v>
      </c>
      <c r="AR81" s="1">
        <v>2037</v>
      </c>
      <c r="AS81" s="1">
        <v>2038</v>
      </c>
      <c r="AT81" s="1">
        <v>2039</v>
      </c>
      <c r="AU81" s="1">
        <v>2040</v>
      </c>
      <c r="AV81" s="1">
        <v>2041</v>
      </c>
      <c r="AW81" s="1">
        <v>2042</v>
      </c>
      <c r="AX81" s="1">
        <v>2043</v>
      </c>
      <c r="AY81" s="1">
        <v>2044</v>
      </c>
      <c r="AZ81" s="1">
        <v>2045</v>
      </c>
      <c r="BA81" s="1">
        <v>2046</v>
      </c>
      <c r="BB81" s="1">
        <v>2047</v>
      </c>
      <c r="BC81" s="1">
        <v>2048</v>
      </c>
      <c r="BD81" s="1">
        <v>2049</v>
      </c>
      <c r="BE81" s="1">
        <v>2050</v>
      </c>
    </row>
    <row r="82" spans="1:57" x14ac:dyDescent="0.25">
      <c r="A82" s="1" t="str">
        <f>'Population Definitions'!$A$2</f>
        <v>PWID_males</v>
      </c>
      <c r="B82" t="s">
        <v>62</v>
      </c>
      <c r="C82" t="s">
        <v>50</v>
      </c>
      <c r="D82" s="3"/>
      <c r="E82" s="3">
        <v>0</v>
      </c>
      <c r="F82" s="4" t="s">
        <v>39</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row>
    <row r="83" spans="1:57" x14ac:dyDescent="0.25">
      <c r="A83" s="1" t="str">
        <f>'Population Definitions'!$A$3</f>
        <v>PWID_females</v>
      </c>
      <c r="B83" t="s">
        <v>62</v>
      </c>
      <c r="C83" t="s">
        <v>50</v>
      </c>
      <c r="D83" s="3"/>
      <c r="E83" s="3">
        <v>0</v>
      </c>
      <c r="F83" s="4" t="s">
        <v>39</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spans="1:57" x14ac:dyDescent="0.25">
      <c r="A84" s="1" t="str">
        <f>'Population Definitions'!$A$4</f>
        <v>0-9_males</v>
      </c>
      <c r="B84" t="s">
        <v>62</v>
      </c>
      <c r="C84" t="s">
        <v>50</v>
      </c>
      <c r="D84" s="3"/>
      <c r="E84" s="3">
        <v>0</v>
      </c>
      <c r="F84" s="4" t="s">
        <v>39</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5" spans="1:57" x14ac:dyDescent="0.25">
      <c r="A85" s="1" t="str">
        <f>'Population Definitions'!$A$5</f>
        <v>0-9_females</v>
      </c>
      <c r="B85" t="s">
        <v>62</v>
      </c>
      <c r="C85" t="s">
        <v>50</v>
      </c>
      <c r="D85" s="3"/>
      <c r="E85" s="3">
        <v>0</v>
      </c>
      <c r="F85" s="4" t="s">
        <v>39</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row>
    <row r="86" spans="1:57" x14ac:dyDescent="0.25">
      <c r="A86" s="1" t="str">
        <f>'Population Definitions'!$A$6</f>
        <v>10-17_males</v>
      </c>
      <c r="B86" t="s">
        <v>62</v>
      </c>
      <c r="C86" t="s">
        <v>50</v>
      </c>
      <c r="D86" s="3"/>
      <c r="E86" s="3">
        <v>0</v>
      </c>
      <c r="F86" s="4" t="s">
        <v>39</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row>
    <row r="87" spans="1:57" x14ac:dyDescent="0.25">
      <c r="A87" s="1" t="str">
        <f>'Population Definitions'!$A$7</f>
        <v>10-17_females</v>
      </c>
      <c r="B87" t="s">
        <v>62</v>
      </c>
      <c r="C87" t="s">
        <v>50</v>
      </c>
      <c r="D87" s="3"/>
      <c r="E87" s="3">
        <v>0</v>
      </c>
      <c r="F87" s="4" t="s">
        <v>39</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spans="1:57" x14ac:dyDescent="0.25">
      <c r="A88" s="1" t="str">
        <f>'Population Definitions'!$A$8</f>
        <v>18-64_males</v>
      </c>
      <c r="B88" t="s">
        <v>62</v>
      </c>
      <c r="C88" t="s">
        <v>50</v>
      </c>
      <c r="D88" s="3"/>
      <c r="E88" s="3">
        <v>0</v>
      </c>
      <c r="F88" s="4" t="s">
        <v>39</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spans="1:57" x14ac:dyDescent="0.25">
      <c r="A89" s="1" t="str">
        <f>'Population Definitions'!$A$9</f>
        <v>18-64_females</v>
      </c>
      <c r="B89" t="s">
        <v>62</v>
      </c>
      <c r="C89" t="s">
        <v>50</v>
      </c>
      <c r="D89" s="3"/>
      <c r="E89" s="3">
        <v>0</v>
      </c>
      <c r="F89" s="4" t="s">
        <v>39</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spans="1:57" x14ac:dyDescent="0.25">
      <c r="A90" s="1" t="str">
        <f>'Population Definitions'!$A$10</f>
        <v>65+_males</v>
      </c>
      <c r="B90" t="s">
        <v>62</v>
      </c>
      <c r="C90" t="s">
        <v>50</v>
      </c>
      <c r="D90" s="3"/>
      <c r="E90" s="3">
        <v>0</v>
      </c>
      <c r="F90" s="4" t="s">
        <v>39</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spans="1:57" x14ac:dyDescent="0.25">
      <c r="A91" s="1" t="str">
        <f>'Population Definitions'!$A$11</f>
        <v>65+_females</v>
      </c>
      <c r="B91" t="s">
        <v>62</v>
      </c>
      <c r="C91" t="s">
        <v>50</v>
      </c>
      <c r="D91" s="3"/>
      <c r="E91" s="3">
        <v>0</v>
      </c>
      <c r="F91" s="4" t="s">
        <v>39</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spans="1:57" x14ac:dyDescent="0.25">
      <c r="A92" s="1" t="str">
        <f>'Population Definitions'!$A$12</f>
        <v>Prisoners_males</v>
      </c>
      <c r="B92" t="s">
        <v>62</v>
      </c>
      <c r="C92" t="s">
        <v>50</v>
      </c>
      <c r="D92" s="3"/>
      <c r="E92" s="3">
        <v>0</v>
      </c>
      <c r="F92" s="4" t="s">
        <v>39</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spans="1:57" x14ac:dyDescent="0.25">
      <c r="A93" s="1" t="str">
        <f>'Population Definitions'!$A$13</f>
        <v>Prisoners_females</v>
      </c>
      <c r="B93" t="s">
        <v>62</v>
      </c>
      <c r="C93" t="s">
        <v>50</v>
      </c>
      <c r="D93" s="3"/>
      <c r="E93" s="3">
        <v>0</v>
      </c>
      <c r="F93" s="4" t="s">
        <v>39</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spans="1:57" x14ac:dyDescent="0.25">
      <c r="A94" s="1" t="str">
        <f>'Population Definitions'!$A$14</f>
        <v>Prisoners_PWID_males</v>
      </c>
      <c r="B94" t="s">
        <v>62</v>
      </c>
      <c r="C94" t="s">
        <v>50</v>
      </c>
      <c r="D94" s="3"/>
      <c r="E94" s="3">
        <v>0</v>
      </c>
      <c r="F94" s="4" t="s">
        <v>39</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spans="1:57" x14ac:dyDescent="0.25">
      <c r="A95" s="1" t="str">
        <f>'Population Definitions'!$A$15</f>
        <v>Prisoners_PWID_females</v>
      </c>
      <c r="B95" t="s">
        <v>62</v>
      </c>
      <c r="C95" t="s">
        <v>50</v>
      </c>
      <c r="D95" s="3"/>
      <c r="E95" s="3">
        <v>0</v>
      </c>
      <c r="F95" s="4" t="s">
        <v>39</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sheetData>
  <conditionalFormatting sqref="E2:E15">
    <cfRule type="expression" dxfId="1293" priority="1">
      <formula>COUNTIF(G2:BE2,"&lt;&gt;" &amp; "")&gt;0</formula>
    </cfRule>
    <cfRule type="expression" dxfId="1292" priority="2">
      <formula>AND(COUNTIF(G2:BE2,"&lt;&gt;" &amp; "")&gt;0,NOT(ISBLANK(E2)))</formula>
    </cfRule>
  </conditionalFormatting>
  <conditionalFormatting sqref="E18:E31">
    <cfRule type="expression" dxfId="1291" priority="29">
      <formula>COUNTIF(G18:BE18,"&lt;&gt;" &amp; "")&gt;0</formula>
    </cfRule>
    <cfRule type="expression" dxfId="1290" priority="30">
      <formula>AND(COUNTIF(G18:BE18,"&lt;&gt;" &amp; "")&gt;0,NOT(ISBLANK(E18)))</formula>
    </cfRule>
  </conditionalFormatting>
  <conditionalFormatting sqref="E34:E47">
    <cfRule type="expression" dxfId="1289" priority="57">
      <formula>COUNTIF(G34:BE34,"&lt;&gt;" &amp; "")&gt;0</formula>
    </cfRule>
    <cfRule type="expression" dxfId="1288" priority="58">
      <formula>AND(COUNTIF(G34:BE34,"&lt;&gt;" &amp; "")&gt;0,NOT(ISBLANK(E34)))</formula>
    </cfRule>
  </conditionalFormatting>
  <conditionalFormatting sqref="E50:E63">
    <cfRule type="expression" dxfId="1287" priority="85">
      <formula>COUNTIF(G50:BE50,"&lt;&gt;" &amp; "")&gt;0</formula>
    </cfRule>
    <cfRule type="expression" dxfId="1286" priority="86">
      <formula>AND(COUNTIF(G50:BE50,"&lt;&gt;" &amp; "")&gt;0,NOT(ISBLANK(E50)))</formula>
    </cfRule>
  </conditionalFormatting>
  <conditionalFormatting sqref="E66:E79">
    <cfRule type="expression" dxfId="1285" priority="113">
      <formula>COUNTIF(G66:BE66,"&lt;&gt;" &amp; "")&gt;0</formula>
    </cfRule>
    <cfRule type="expression" dxfId="1284" priority="114">
      <formula>AND(COUNTIF(G66:BE66,"&lt;&gt;" &amp; "")&gt;0,NOT(ISBLANK(E66)))</formula>
    </cfRule>
  </conditionalFormatting>
  <conditionalFormatting sqref="E82:E95">
    <cfRule type="expression" dxfId="1283" priority="141">
      <formula>COUNTIF(G82:BE82,"&lt;&gt;" &amp; "")&gt;0</formula>
    </cfRule>
    <cfRule type="expression" dxfId="1282" priority="142">
      <formula>AND(COUNTIF(G82:BE82,"&lt;&gt;" &amp; "")&gt;0,NOT(ISBLANK(E82)))</formula>
    </cfRule>
  </conditionalFormatting>
  <dataValidations count="1">
    <dataValidation type="list" allowBlank="1" showInputMessage="1" showErrorMessage="1" sqref="C82:C95 C66:C79 C50:C63 C34:C47 C18:C31 C2:C15" xr:uid="{00000000-0002-0000-0600-000000000000}">
      <formula1>"Proportion"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A1:BE127"/>
  <sheetViews>
    <sheetView workbookViewId="0"/>
  </sheetViews>
  <sheetFormatPr defaultRowHeight="15" x14ac:dyDescent="0.25"/>
  <cols>
    <col min="1" max="1" width="78.7109375" customWidth="1"/>
    <col min="2" max="2" width="30.28515625" customWidth="1"/>
    <col min="3" max="3" width="18.28515625" customWidth="1"/>
    <col min="4" max="4" width="13.85546875" customWidth="1"/>
    <col min="5" max="5" width="10.5703125" customWidth="1"/>
    <col min="6" max="6" width="3.85546875" customWidth="1"/>
    <col min="7" max="57" width="9.42578125" customWidth="1"/>
  </cols>
  <sheetData>
    <row r="1" spans="1:57" x14ac:dyDescent="0.25">
      <c r="A1" s="1" t="s">
        <v>90</v>
      </c>
      <c r="B1" s="1" t="s">
        <v>31</v>
      </c>
      <c r="C1" s="1" t="s">
        <v>32</v>
      </c>
      <c r="D1" s="1" t="s">
        <v>33</v>
      </c>
      <c r="E1" s="1" t="s">
        <v>38</v>
      </c>
      <c r="F1" s="1"/>
      <c r="G1" s="1">
        <v>2000</v>
      </c>
      <c r="H1" s="1">
        <v>2001</v>
      </c>
      <c r="I1" s="1">
        <v>2002</v>
      </c>
      <c r="J1" s="1">
        <v>2003</v>
      </c>
      <c r="K1" s="1">
        <v>2004</v>
      </c>
      <c r="L1" s="1">
        <v>2005</v>
      </c>
      <c r="M1" s="1">
        <v>2006</v>
      </c>
      <c r="N1" s="1">
        <v>2007</v>
      </c>
      <c r="O1" s="1">
        <v>2008</v>
      </c>
      <c r="P1" s="1">
        <v>2009</v>
      </c>
      <c r="Q1" s="1">
        <v>2010</v>
      </c>
      <c r="R1" s="1">
        <v>2011</v>
      </c>
      <c r="S1" s="1">
        <v>2012</v>
      </c>
      <c r="T1" s="1">
        <v>2013</v>
      </c>
      <c r="U1" s="1">
        <v>2014</v>
      </c>
      <c r="V1" s="1">
        <v>2015</v>
      </c>
      <c r="W1" s="1">
        <v>2016</v>
      </c>
      <c r="X1" s="1">
        <v>2017</v>
      </c>
      <c r="Y1" s="1">
        <v>2018</v>
      </c>
      <c r="Z1" s="1">
        <v>2019</v>
      </c>
      <c r="AA1" s="1">
        <v>2020</v>
      </c>
      <c r="AB1" s="1">
        <v>2021</v>
      </c>
      <c r="AC1" s="1">
        <v>2022</v>
      </c>
      <c r="AD1" s="1">
        <v>2023</v>
      </c>
      <c r="AE1" s="1">
        <v>2024</v>
      </c>
      <c r="AF1" s="1">
        <v>2025</v>
      </c>
      <c r="AG1" s="1">
        <v>2026</v>
      </c>
      <c r="AH1" s="1">
        <v>2027</v>
      </c>
      <c r="AI1" s="1">
        <v>2028</v>
      </c>
      <c r="AJ1" s="1">
        <v>2029</v>
      </c>
      <c r="AK1" s="1">
        <v>2030</v>
      </c>
      <c r="AL1" s="1">
        <v>2031</v>
      </c>
      <c r="AM1" s="1">
        <v>2032</v>
      </c>
      <c r="AN1" s="1">
        <v>2033</v>
      </c>
      <c r="AO1" s="1">
        <v>2034</v>
      </c>
      <c r="AP1" s="1">
        <v>2035</v>
      </c>
      <c r="AQ1" s="1">
        <v>2036</v>
      </c>
      <c r="AR1" s="1">
        <v>2037</v>
      </c>
      <c r="AS1" s="1">
        <v>2038</v>
      </c>
      <c r="AT1" s="1">
        <v>2039</v>
      </c>
      <c r="AU1" s="1">
        <v>2040</v>
      </c>
      <c r="AV1" s="1">
        <v>2041</v>
      </c>
      <c r="AW1" s="1">
        <v>2042</v>
      </c>
      <c r="AX1" s="1">
        <v>2043</v>
      </c>
      <c r="AY1" s="1">
        <v>2044</v>
      </c>
      <c r="AZ1" s="1">
        <v>2045</v>
      </c>
      <c r="BA1" s="1">
        <v>2046</v>
      </c>
      <c r="BB1" s="1">
        <v>2047</v>
      </c>
      <c r="BC1" s="1">
        <v>2048</v>
      </c>
      <c r="BD1" s="1">
        <v>2049</v>
      </c>
      <c r="BE1" s="1">
        <v>2050</v>
      </c>
    </row>
    <row r="2" spans="1:57" x14ac:dyDescent="0.25">
      <c r="A2" s="1" t="str">
        <f>'Population Definitions'!$A$2</f>
        <v>PWID_males</v>
      </c>
      <c r="B2" t="s">
        <v>62</v>
      </c>
      <c r="C2" t="s">
        <v>55</v>
      </c>
      <c r="D2" s="3"/>
      <c r="E2" s="3">
        <v>0</v>
      </c>
      <c r="F2" s="4" t="s">
        <v>39</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spans="1:57" x14ac:dyDescent="0.25">
      <c r="A3" s="1" t="str">
        <f>'Population Definitions'!$A$3</f>
        <v>PWID_females</v>
      </c>
      <c r="B3" t="s">
        <v>62</v>
      </c>
      <c r="C3" t="s">
        <v>55</v>
      </c>
      <c r="D3" s="3"/>
      <c r="E3" s="3">
        <v>0</v>
      </c>
      <c r="F3" s="4" t="s">
        <v>39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row>
    <row r="4" spans="1:57" x14ac:dyDescent="0.25">
      <c r="A4" s="1" t="str">
        <f>'Population Definitions'!$A$4</f>
        <v>0-9_males</v>
      </c>
      <c r="B4" t="s">
        <v>62</v>
      </c>
      <c r="C4" t="s">
        <v>55</v>
      </c>
      <c r="D4" s="3"/>
      <c r="E4" s="3">
        <v>0</v>
      </c>
      <c r="F4" s="4" t="s">
        <v>39</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row>
    <row r="5" spans="1:57" x14ac:dyDescent="0.25">
      <c r="A5" s="1" t="str">
        <f>'Population Definitions'!$A$5</f>
        <v>0-9_females</v>
      </c>
      <c r="B5" t="s">
        <v>62</v>
      </c>
      <c r="C5" t="s">
        <v>55</v>
      </c>
      <c r="D5" s="3"/>
      <c r="E5" s="3">
        <v>0</v>
      </c>
      <c r="F5" s="4" t="s">
        <v>39</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row>
    <row r="6" spans="1:57" x14ac:dyDescent="0.25">
      <c r="A6" s="1" t="str">
        <f>'Population Definitions'!$A$6</f>
        <v>10-17_males</v>
      </c>
      <c r="B6" t="s">
        <v>62</v>
      </c>
      <c r="C6" t="s">
        <v>55</v>
      </c>
      <c r="D6" s="3"/>
      <c r="E6" s="3">
        <v>0</v>
      </c>
      <c r="F6" s="4" t="s">
        <v>39</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row>
    <row r="7" spans="1:57" x14ac:dyDescent="0.25">
      <c r="A7" s="1" t="str">
        <f>'Population Definitions'!$A$7</f>
        <v>10-17_females</v>
      </c>
      <c r="B7" t="s">
        <v>62</v>
      </c>
      <c r="C7" t="s">
        <v>55</v>
      </c>
      <c r="D7" s="3"/>
      <c r="E7" s="3">
        <v>0</v>
      </c>
      <c r="F7" s="4" t="s">
        <v>39</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row>
    <row r="8" spans="1:57" x14ac:dyDescent="0.25">
      <c r="A8" s="1" t="str">
        <f>'Population Definitions'!$A$8</f>
        <v>18-64_males</v>
      </c>
      <c r="B8" t="s">
        <v>62</v>
      </c>
      <c r="C8" t="s">
        <v>55</v>
      </c>
      <c r="D8" s="3"/>
      <c r="E8" s="3">
        <v>0</v>
      </c>
      <c r="F8" s="4" t="s">
        <v>39</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57" x14ac:dyDescent="0.25">
      <c r="A9" s="1" t="str">
        <f>'Population Definitions'!$A$9</f>
        <v>18-64_females</v>
      </c>
      <c r="B9" t="s">
        <v>62</v>
      </c>
      <c r="C9" t="s">
        <v>55</v>
      </c>
      <c r="D9" s="3"/>
      <c r="E9" s="3">
        <v>0</v>
      </c>
      <c r="F9" s="4" t="s">
        <v>39</v>
      </c>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57" x14ac:dyDescent="0.25">
      <c r="A10" s="1" t="str">
        <f>'Population Definitions'!$A$10</f>
        <v>65+_males</v>
      </c>
      <c r="B10" t="s">
        <v>62</v>
      </c>
      <c r="C10" t="s">
        <v>55</v>
      </c>
      <c r="D10" s="3"/>
      <c r="E10" s="3">
        <v>0</v>
      </c>
      <c r="F10" s="4" t="s">
        <v>39</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57" x14ac:dyDescent="0.25">
      <c r="A11" s="1" t="str">
        <f>'Population Definitions'!$A$11</f>
        <v>65+_females</v>
      </c>
      <c r="B11" t="s">
        <v>62</v>
      </c>
      <c r="C11" t="s">
        <v>55</v>
      </c>
      <c r="D11" s="3"/>
      <c r="E11" s="3">
        <v>0</v>
      </c>
      <c r="F11" s="4" t="s">
        <v>39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57" x14ac:dyDescent="0.25">
      <c r="A12" s="1" t="str">
        <f>'Population Definitions'!$A$12</f>
        <v>Prisoners_males</v>
      </c>
      <c r="B12" t="s">
        <v>62</v>
      </c>
      <c r="C12" t="s">
        <v>55</v>
      </c>
      <c r="D12" s="3"/>
      <c r="E12" s="3">
        <v>0</v>
      </c>
      <c r="F12" s="4" t="s">
        <v>39</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57" x14ac:dyDescent="0.25">
      <c r="A13" s="1" t="str">
        <f>'Population Definitions'!$A$13</f>
        <v>Prisoners_females</v>
      </c>
      <c r="B13" t="s">
        <v>62</v>
      </c>
      <c r="C13" t="s">
        <v>55</v>
      </c>
      <c r="D13" s="3"/>
      <c r="E13" s="3">
        <v>0</v>
      </c>
      <c r="F13" s="4" t="s">
        <v>39</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57" x14ac:dyDescent="0.25">
      <c r="A14" s="1" t="str">
        <f>'Population Definitions'!$A$14</f>
        <v>Prisoners_PWID_males</v>
      </c>
      <c r="B14" t="s">
        <v>62</v>
      </c>
      <c r="C14" t="s">
        <v>55</v>
      </c>
      <c r="D14" s="3"/>
      <c r="E14" s="3">
        <v>0</v>
      </c>
      <c r="F14" s="4" t="s">
        <v>39</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57" x14ac:dyDescent="0.25">
      <c r="A15" s="1" t="str">
        <f>'Population Definitions'!$A$15</f>
        <v>Prisoners_PWID_females</v>
      </c>
      <c r="B15" t="s">
        <v>62</v>
      </c>
      <c r="C15" t="s">
        <v>55</v>
      </c>
      <c r="D15" s="3"/>
      <c r="E15" s="3">
        <v>0</v>
      </c>
      <c r="F15" s="4" t="s">
        <v>39</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7" spans="1:57" x14ac:dyDescent="0.25">
      <c r="A17" s="1" t="s">
        <v>91</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B18" t="s">
        <v>62</v>
      </c>
      <c r="C18" t="s">
        <v>55</v>
      </c>
      <c r="D18" s="3"/>
      <c r="E18" s="3">
        <v>0</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B19" t="s">
        <v>62</v>
      </c>
      <c r="C19" t="s">
        <v>55</v>
      </c>
      <c r="D19" s="3"/>
      <c r="E19" s="3">
        <v>0</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B20" t="s">
        <v>62</v>
      </c>
      <c r="C20" t="s">
        <v>55</v>
      </c>
      <c r="D20" s="3"/>
      <c r="E20" s="3">
        <v>0</v>
      </c>
      <c r="F20" s="4" t="s">
        <v>39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B21" t="s">
        <v>62</v>
      </c>
      <c r="C21" t="s">
        <v>55</v>
      </c>
      <c r="D21" s="3"/>
      <c r="E21" s="3">
        <v>0</v>
      </c>
      <c r="F21" s="4" t="s">
        <v>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B22" t="s">
        <v>62</v>
      </c>
      <c r="C22" t="s">
        <v>55</v>
      </c>
      <c r="D22" s="3"/>
      <c r="E22" s="3">
        <v>0</v>
      </c>
      <c r="F22" s="4"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B23" t="s">
        <v>62</v>
      </c>
      <c r="C23" t="s">
        <v>55</v>
      </c>
      <c r="D23" s="3"/>
      <c r="E23" s="3">
        <v>0</v>
      </c>
      <c r="F23" s="4" t="s">
        <v>39</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B24" t="s">
        <v>62</v>
      </c>
      <c r="C24" t="s">
        <v>55</v>
      </c>
      <c r="D24" s="3"/>
      <c r="E24" s="3">
        <v>0</v>
      </c>
      <c r="F24" s="4" t="s">
        <v>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B25" t="s">
        <v>62</v>
      </c>
      <c r="C25" t="s">
        <v>55</v>
      </c>
      <c r="D25" s="3"/>
      <c r="E25" s="3">
        <v>0</v>
      </c>
      <c r="F25" s="4" t="s">
        <v>39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B26" t="s">
        <v>62</v>
      </c>
      <c r="C26" t="s">
        <v>55</v>
      </c>
      <c r="D26" s="3"/>
      <c r="E26" s="3">
        <v>0</v>
      </c>
      <c r="F26" s="4" t="s">
        <v>39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B27" t="s">
        <v>62</v>
      </c>
      <c r="C27" t="s">
        <v>55</v>
      </c>
      <c r="D27" s="3"/>
      <c r="E27" s="3">
        <v>0</v>
      </c>
      <c r="F27" s="4" t="s">
        <v>39</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B28" t="s">
        <v>62</v>
      </c>
      <c r="C28" t="s">
        <v>55</v>
      </c>
      <c r="D28" s="3"/>
      <c r="E28" s="3">
        <v>0</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B29" t="s">
        <v>62</v>
      </c>
      <c r="C29" t="s">
        <v>55</v>
      </c>
      <c r="D29" s="3"/>
      <c r="E29" s="3">
        <v>0</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B30" t="s">
        <v>62</v>
      </c>
      <c r="C30" t="s">
        <v>55</v>
      </c>
      <c r="D30" s="3"/>
      <c r="E30" s="3">
        <v>0</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B31" t="s">
        <v>62</v>
      </c>
      <c r="C31" t="s">
        <v>55</v>
      </c>
      <c r="D31" s="3"/>
      <c r="E31" s="3">
        <v>0</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92</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B34" t="s">
        <v>62</v>
      </c>
      <c r="C34" t="s">
        <v>55</v>
      </c>
      <c r="D34" s="3"/>
      <c r="E34" s="3">
        <v>0</v>
      </c>
      <c r="F34" s="4" t="s">
        <v>39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B35" t="s">
        <v>62</v>
      </c>
      <c r="C35" t="s">
        <v>55</v>
      </c>
      <c r="D35" s="3"/>
      <c r="E35" s="3">
        <v>0</v>
      </c>
      <c r="F35" s="4" t="s">
        <v>39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B36" t="s">
        <v>62</v>
      </c>
      <c r="C36" t="s">
        <v>55</v>
      </c>
      <c r="D36" s="3"/>
      <c r="E36" s="3">
        <v>0</v>
      </c>
      <c r="F36" s="4" t="s">
        <v>39</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B37" t="s">
        <v>62</v>
      </c>
      <c r="C37" t="s">
        <v>55</v>
      </c>
      <c r="D37" s="3"/>
      <c r="E37" s="3">
        <v>0</v>
      </c>
      <c r="F37" s="4" t="s">
        <v>39</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B38" t="s">
        <v>62</v>
      </c>
      <c r="C38" t="s">
        <v>55</v>
      </c>
      <c r="D38" s="3"/>
      <c r="E38" s="3">
        <v>0</v>
      </c>
      <c r="F38" s="4" t="s">
        <v>39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B39" t="s">
        <v>62</v>
      </c>
      <c r="C39" t="s">
        <v>55</v>
      </c>
      <c r="D39" s="3"/>
      <c r="E39" s="3">
        <v>0</v>
      </c>
      <c r="F39" s="4" t="s">
        <v>39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B40" t="s">
        <v>62</v>
      </c>
      <c r="C40" t="s">
        <v>55</v>
      </c>
      <c r="D40" s="3"/>
      <c r="E40" s="3">
        <v>0</v>
      </c>
      <c r="F40" s="4" t="s">
        <v>39</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B41" t="s">
        <v>62</v>
      </c>
      <c r="C41" t="s">
        <v>55</v>
      </c>
      <c r="D41" s="3"/>
      <c r="E41" s="3">
        <v>0</v>
      </c>
      <c r="F41" s="4" t="s">
        <v>39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B42" t="s">
        <v>62</v>
      </c>
      <c r="C42" t="s">
        <v>55</v>
      </c>
      <c r="D42" s="3"/>
      <c r="E42" s="3">
        <v>0</v>
      </c>
      <c r="F42" s="4" t="s">
        <v>39</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B43" t="s">
        <v>62</v>
      </c>
      <c r="C43" t="s">
        <v>55</v>
      </c>
      <c r="D43" s="3"/>
      <c r="E43" s="3">
        <v>0</v>
      </c>
      <c r="F43" s="4" t="s">
        <v>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B44" t="s">
        <v>62</v>
      </c>
      <c r="C44" t="s">
        <v>55</v>
      </c>
      <c r="D44" s="3"/>
      <c r="E44" s="3">
        <v>0</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B45" t="s">
        <v>62</v>
      </c>
      <c r="C45" t="s">
        <v>55</v>
      </c>
      <c r="D45" s="3"/>
      <c r="E45" s="3">
        <v>0</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B46" t="s">
        <v>62</v>
      </c>
      <c r="C46" t="s">
        <v>55</v>
      </c>
      <c r="D46" s="3"/>
      <c r="E46" s="3">
        <v>0</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B47" t="s">
        <v>62</v>
      </c>
      <c r="C47" t="s">
        <v>55</v>
      </c>
      <c r="D47" s="3"/>
      <c r="E47" s="3">
        <v>0</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93</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B50" t="s">
        <v>62</v>
      </c>
      <c r="C50" t="s">
        <v>55</v>
      </c>
      <c r="D50" s="3"/>
      <c r="E50" s="3">
        <v>0</v>
      </c>
      <c r="F50" s="4" t="s">
        <v>39</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B51" t="s">
        <v>62</v>
      </c>
      <c r="C51" t="s">
        <v>55</v>
      </c>
      <c r="D51" s="3"/>
      <c r="E51" s="3">
        <v>0</v>
      </c>
      <c r="F51" s="4" t="s">
        <v>39</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B52" t="s">
        <v>62</v>
      </c>
      <c r="C52" t="s">
        <v>55</v>
      </c>
      <c r="D52" s="3"/>
      <c r="E52" s="3">
        <v>0</v>
      </c>
      <c r="F52" s="4" t="s">
        <v>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B53" t="s">
        <v>62</v>
      </c>
      <c r="C53" t="s">
        <v>55</v>
      </c>
      <c r="D53" s="3"/>
      <c r="E53" s="3">
        <v>0</v>
      </c>
      <c r="F53" s="4" t="s">
        <v>39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B54" t="s">
        <v>62</v>
      </c>
      <c r="C54" t="s">
        <v>55</v>
      </c>
      <c r="D54" s="3"/>
      <c r="E54" s="3">
        <v>0</v>
      </c>
      <c r="F54" s="4" t="s">
        <v>39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B55" t="s">
        <v>62</v>
      </c>
      <c r="C55" t="s">
        <v>55</v>
      </c>
      <c r="D55" s="3"/>
      <c r="E55" s="3">
        <v>0</v>
      </c>
      <c r="F55" s="4" t="s">
        <v>39</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B56" t="s">
        <v>62</v>
      </c>
      <c r="C56" t="s">
        <v>55</v>
      </c>
      <c r="D56" s="3"/>
      <c r="E56" s="3">
        <v>0</v>
      </c>
      <c r="F56" s="4" t="s">
        <v>39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B57" t="s">
        <v>62</v>
      </c>
      <c r="C57" t="s">
        <v>55</v>
      </c>
      <c r="D57" s="3"/>
      <c r="E57" s="3">
        <v>0</v>
      </c>
      <c r="F57" s="4" t="s">
        <v>39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B58" t="s">
        <v>62</v>
      </c>
      <c r="C58" t="s">
        <v>55</v>
      </c>
      <c r="D58" s="3"/>
      <c r="E58" s="3">
        <v>0</v>
      </c>
      <c r="F58" s="4" t="s">
        <v>39</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B59" t="s">
        <v>62</v>
      </c>
      <c r="C59" t="s">
        <v>55</v>
      </c>
      <c r="D59" s="3"/>
      <c r="E59" s="3">
        <v>0</v>
      </c>
      <c r="F59" s="4" t="s">
        <v>39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B60" t="s">
        <v>62</v>
      </c>
      <c r="C60" t="s">
        <v>55</v>
      </c>
      <c r="D60" s="3"/>
      <c r="E60" s="3">
        <v>0</v>
      </c>
      <c r="F60" s="4" t="s">
        <v>39</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B61" t="s">
        <v>62</v>
      </c>
      <c r="C61" t="s">
        <v>55</v>
      </c>
      <c r="D61" s="3"/>
      <c r="E61" s="3">
        <v>0</v>
      </c>
      <c r="F61" s="4" t="s">
        <v>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B62" t="s">
        <v>62</v>
      </c>
      <c r="C62" t="s">
        <v>55</v>
      </c>
      <c r="D62" s="3"/>
      <c r="E62" s="3">
        <v>0</v>
      </c>
      <c r="F62" s="4" t="s">
        <v>39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B63" t="s">
        <v>62</v>
      </c>
      <c r="C63" t="s">
        <v>55</v>
      </c>
      <c r="D63" s="3"/>
      <c r="E63" s="3">
        <v>0</v>
      </c>
      <c r="F63" s="4" t="s">
        <v>39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row r="65" spans="1:57" x14ac:dyDescent="0.25">
      <c r="A65" s="1" t="s">
        <v>94</v>
      </c>
      <c r="B65" s="1" t="s">
        <v>31</v>
      </c>
      <c r="C65" s="1" t="s">
        <v>32</v>
      </c>
      <c r="D65" s="1" t="s">
        <v>33</v>
      </c>
      <c r="E65" s="1" t="s">
        <v>38</v>
      </c>
      <c r="F65" s="1"/>
      <c r="G65" s="1">
        <v>2000</v>
      </c>
      <c r="H65" s="1">
        <v>2001</v>
      </c>
      <c r="I65" s="1">
        <v>2002</v>
      </c>
      <c r="J65" s="1">
        <v>2003</v>
      </c>
      <c r="K65" s="1">
        <v>2004</v>
      </c>
      <c r="L65" s="1">
        <v>2005</v>
      </c>
      <c r="M65" s="1">
        <v>2006</v>
      </c>
      <c r="N65" s="1">
        <v>2007</v>
      </c>
      <c r="O65" s="1">
        <v>2008</v>
      </c>
      <c r="P65" s="1">
        <v>2009</v>
      </c>
      <c r="Q65" s="1">
        <v>2010</v>
      </c>
      <c r="R65" s="1">
        <v>2011</v>
      </c>
      <c r="S65" s="1">
        <v>2012</v>
      </c>
      <c r="T65" s="1">
        <v>2013</v>
      </c>
      <c r="U65" s="1">
        <v>2014</v>
      </c>
      <c r="V65" s="1">
        <v>2015</v>
      </c>
      <c r="W65" s="1">
        <v>2016</v>
      </c>
      <c r="X65" s="1">
        <v>2017</v>
      </c>
      <c r="Y65" s="1">
        <v>2018</v>
      </c>
      <c r="Z65" s="1">
        <v>2019</v>
      </c>
      <c r="AA65" s="1">
        <v>2020</v>
      </c>
      <c r="AB65" s="1">
        <v>2021</v>
      </c>
      <c r="AC65" s="1">
        <v>2022</v>
      </c>
      <c r="AD65" s="1">
        <v>2023</v>
      </c>
      <c r="AE65" s="1">
        <v>2024</v>
      </c>
      <c r="AF65" s="1">
        <v>2025</v>
      </c>
      <c r="AG65" s="1">
        <v>2026</v>
      </c>
      <c r="AH65" s="1">
        <v>2027</v>
      </c>
      <c r="AI65" s="1">
        <v>2028</v>
      </c>
      <c r="AJ65" s="1">
        <v>2029</v>
      </c>
      <c r="AK65" s="1">
        <v>2030</v>
      </c>
      <c r="AL65" s="1">
        <v>2031</v>
      </c>
      <c r="AM65" s="1">
        <v>2032</v>
      </c>
      <c r="AN65" s="1">
        <v>2033</v>
      </c>
      <c r="AO65" s="1">
        <v>2034</v>
      </c>
      <c r="AP65" s="1">
        <v>2035</v>
      </c>
      <c r="AQ65" s="1">
        <v>2036</v>
      </c>
      <c r="AR65" s="1">
        <v>2037</v>
      </c>
      <c r="AS65" s="1">
        <v>2038</v>
      </c>
      <c r="AT65" s="1">
        <v>2039</v>
      </c>
      <c r="AU65" s="1">
        <v>2040</v>
      </c>
      <c r="AV65" s="1">
        <v>2041</v>
      </c>
      <c r="AW65" s="1">
        <v>2042</v>
      </c>
      <c r="AX65" s="1">
        <v>2043</v>
      </c>
      <c r="AY65" s="1">
        <v>2044</v>
      </c>
      <c r="AZ65" s="1">
        <v>2045</v>
      </c>
      <c r="BA65" s="1">
        <v>2046</v>
      </c>
      <c r="BB65" s="1">
        <v>2047</v>
      </c>
      <c r="BC65" s="1">
        <v>2048</v>
      </c>
      <c r="BD65" s="1">
        <v>2049</v>
      </c>
      <c r="BE65" s="1">
        <v>2050</v>
      </c>
    </row>
    <row r="66" spans="1:57" x14ac:dyDescent="0.25">
      <c r="A66" s="1" t="str">
        <f>'Population Definitions'!$A$2</f>
        <v>PWID_males</v>
      </c>
      <c r="B66" t="s">
        <v>62</v>
      </c>
      <c r="C66" t="s">
        <v>55</v>
      </c>
      <c r="D66" s="3"/>
      <c r="E66" s="3">
        <v>0</v>
      </c>
      <c r="F66" s="4" t="s">
        <v>39</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row>
    <row r="67" spans="1:57" x14ac:dyDescent="0.25">
      <c r="A67" s="1" t="str">
        <f>'Population Definitions'!$A$3</f>
        <v>PWID_females</v>
      </c>
      <c r="B67" t="s">
        <v>62</v>
      </c>
      <c r="C67" t="s">
        <v>55</v>
      </c>
      <c r="D67" s="3"/>
      <c r="E67" s="3">
        <v>0</v>
      </c>
      <c r="F67" s="4" t="s">
        <v>39</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row>
    <row r="68" spans="1:57" x14ac:dyDescent="0.25">
      <c r="A68" s="1" t="str">
        <f>'Population Definitions'!$A$4</f>
        <v>0-9_males</v>
      </c>
      <c r="B68" t="s">
        <v>62</v>
      </c>
      <c r="C68" t="s">
        <v>55</v>
      </c>
      <c r="D68" s="3"/>
      <c r="E68" s="3">
        <v>0</v>
      </c>
      <c r="F68" s="4" t="s">
        <v>39</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row>
    <row r="69" spans="1:57" x14ac:dyDescent="0.25">
      <c r="A69" s="1" t="str">
        <f>'Population Definitions'!$A$5</f>
        <v>0-9_females</v>
      </c>
      <c r="B69" t="s">
        <v>62</v>
      </c>
      <c r="C69" t="s">
        <v>55</v>
      </c>
      <c r="D69" s="3"/>
      <c r="E69" s="3">
        <v>0</v>
      </c>
      <c r="F69" s="4" t="s">
        <v>39</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row>
    <row r="70" spans="1:57" x14ac:dyDescent="0.25">
      <c r="A70" s="1" t="str">
        <f>'Population Definitions'!$A$6</f>
        <v>10-17_males</v>
      </c>
      <c r="B70" t="s">
        <v>62</v>
      </c>
      <c r="C70" t="s">
        <v>55</v>
      </c>
      <c r="D70" s="3"/>
      <c r="E70" s="3">
        <v>0</v>
      </c>
      <c r="F70" s="4" t="s">
        <v>39</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spans="1:57" x14ac:dyDescent="0.25">
      <c r="A71" s="1" t="str">
        <f>'Population Definitions'!$A$7</f>
        <v>10-17_females</v>
      </c>
      <c r="B71" t="s">
        <v>62</v>
      </c>
      <c r="C71" t="s">
        <v>55</v>
      </c>
      <c r="D71" s="3"/>
      <c r="E71" s="3">
        <v>0</v>
      </c>
      <c r="F71" s="4" t="s">
        <v>39</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spans="1:57" x14ac:dyDescent="0.25">
      <c r="A72" s="1" t="str">
        <f>'Population Definitions'!$A$8</f>
        <v>18-64_males</v>
      </c>
      <c r="B72" t="s">
        <v>62</v>
      </c>
      <c r="C72" t="s">
        <v>55</v>
      </c>
      <c r="D72" s="3"/>
      <c r="E72" s="3">
        <v>0</v>
      </c>
      <c r="F72" s="4" t="s">
        <v>39</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spans="1:57" x14ac:dyDescent="0.25">
      <c r="A73" s="1" t="str">
        <f>'Population Definitions'!$A$9</f>
        <v>18-64_females</v>
      </c>
      <c r="B73" t="s">
        <v>62</v>
      </c>
      <c r="C73" t="s">
        <v>55</v>
      </c>
      <c r="D73" s="3"/>
      <c r="E73" s="3">
        <v>0</v>
      </c>
      <c r="F73" s="4" t="s">
        <v>39</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spans="1:57" x14ac:dyDescent="0.25">
      <c r="A74" s="1" t="str">
        <f>'Population Definitions'!$A$10</f>
        <v>65+_males</v>
      </c>
      <c r="B74" t="s">
        <v>62</v>
      </c>
      <c r="C74" t="s">
        <v>55</v>
      </c>
      <c r="D74" s="3"/>
      <c r="E74" s="3">
        <v>0</v>
      </c>
      <c r="F74" s="4" t="s">
        <v>39</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spans="1:57" x14ac:dyDescent="0.25">
      <c r="A75" s="1" t="str">
        <f>'Population Definitions'!$A$11</f>
        <v>65+_females</v>
      </c>
      <c r="B75" t="s">
        <v>62</v>
      </c>
      <c r="C75" t="s">
        <v>55</v>
      </c>
      <c r="D75" s="3"/>
      <c r="E75" s="3">
        <v>0</v>
      </c>
      <c r="F75" s="4" t="s">
        <v>39</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spans="1:57" x14ac:dyDescent="0.25">
      <c r="A76" s="1" t="str">
        <f>'Population Definitions'!$A$12</f>
        <v>Prisoners_males</v>
      </c>
      <c r="B76" t="s">
        <v>62</v>
      </c>
      <c r="C76" t="s">
        <v>55</v>
      </c>
      <c r="D76" s="3"/>
      <c r="E76" s="3">
        <v>0</v>
      </c>
      <c r="F76" s="4" t="s">
        <v>39</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row>
    <row r="77" spans="1:57" x14ac:dyDescent="0.25">
      <c r="A77" s="1" t="str">
        <f>'Population Definitions'!$A$13</f>
        <v>Prisoners_females</v>
      </c>
      <c r="B77" t="s">
        <v>62</v>
      </c>
      <c r="C77" t="s">
        <v>55</v>
      </c>
      <c r="D77" s="3"/>
      <c r="E77" s="3">
        <v>0</v>
      </c>
      <c r="F77" s="4" t="s">
        <v>39</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row>
    <row r="78" spans="1:57" x14ac:dyDescent="0.25">
      <c r="A78" s="1" t="str">
        <f>'Population Definitions'!$A$14</f>
        <v>Prisoners_PWID_males</v>
      </c>
      <c r="B78" t="s">
        <v>62</v>
      </c>
      <c r="C78" t="s">
        <v>55</v>
      </c>
      <c r="D78" s="3"/>
      <c r="E78" s="3">
        <v>0</v>
      </c>
      <c r="F78" s="4" t="s">
        <v>39</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row>
    <row r="79" spans="1:57" x14ac:dyDescent="0.25">
      <c r="A79" s="1" t="str">
        <f>'Population Definitions'!$A$15</f>
        <v>Prisoners_PWID_females</v>
      </c>
      <c r="B79" t="s">
        <v>62</v>
      </c>
      <c r="C79" t="s">
        <v>55</v>
      </c>
      <c r="D79" s="3"/>
      <c r="E79" s="3">
        <v>0</v>
      </c>
      <c r="F79" s="4" t="s">
        <v>39</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row>
    <row r="81" spans="1:57" x14ac:dyDescent="0.25">
      <c r="A81" s="1" t="s">
        <v>95</v>
      </c>
      <c r="B81" s="1" t="s">
        <v>31</v>
      </c>
      <c r="C81" s="1" t="s">
        <v>32</v>
      </c>
      <c r="D81" s="1" t="s">
        <v>33</v>
      </c>
      <c r="E81" s="1" t="s">
        <v>38</v>
      </c>
      <c r="F81" s="1"/>
      <c r="G81" s="1">
        <v>2000</v>
      </c>
      <c r="H81" s="1">
        <v>2001</v>
      </c>
      <c r="I81" s="1">
        <v>2002</v>
      </c>
      <c r="J81" s="1">
        <v>2003</v>
      </c>
      <c r="K81" s="1">
        <v>2004</v>
      </c>
      <c r="L81" s="1">
        <v>2005</v>
      </c>
      <c r="M81" s="1">
        <v>2006</v>
      </c>
      <c r="N81" s="1">
        <v>2007</v>
      </c>
      <c r="O81" s="1">
        <v>2008</v>
      </c>
      <c r="P81" s="1">
        <v>2009</v>
      </c>
      <c r="Q81" s="1">
        <v>2010</v>
      </c>
      <c r="R81" s="1">
        <v>2011</v>
      </c>
      <c r="S81" s="1">
        <v>2012</v>
      </c>
      <c r="T81" s="1">
        <v>2013</v>
      </c>
      <c r="U81" s="1">
        <v>2014</v>
      </c>
      <c r="V81" s="1">
        <v>2015</v>
      </c>
      <c r="W81" s="1">
        <v>2016</v>
      </c>
      <c r="X81" s="1">
        <v>2017</v>
      </c>
      <c r="Y81" s="1">
        <v>2018</v>
      </c>
      <c r="Z81" s="1">
        <v>2019</v>
      </c>
      <c r="AA81" s="1">
        <v>2020</v>
      </c>
      <c r="AB81" s="1">
        <v>2021</v>
      </c>
      <c r="AC81" s="1">
        <v>2022</v>
      </c>
      <c r="AD81" s="1">
        <v>2023</v>
      </c>
      <c r="AE81" s="1">
        <v>2024</v>
      </c>
      <c r="AF81" s="1">
        <v>2025</v>
      </c>
      <c r="AG81" s="1">
        <v>2026</v>
      </c>
      <c r="AH81" s="1">
        <v>2027</v>
      </c>
      <c r="AI81" s="1">
        <v>2028</v>
      </c>
      <c r="AJ81" s="1">
        <v>2029</v>
      </c>
      <c r="AK81" s="1">
        <v>2030</v>
      </c>
      <c r="AL81" s="1">
        <v>2031</v>
      </c>
      <c r="AM81" s="1">
        <v>2032</v>
      </c>
      <c r="AN81" s="1">
        <v>2033</v>
      </c>
      <c r="AO81" s="1">
        <v>2034</v>
      </c>
      <c r="AP81" s="1">
        <v>2035</v>
      </c>
      <c r="AQ81" s="1">
        <v>2036</v>
      </c>
      <c r="AR81" s="1">
        <v>2037</v>
      </c>
      <c r="AS81" s="1">
        <v>2038</v>
      </c>
      <c r="AT81" s="1">
        <v>2039</v>
      </c>
      <c r="AU81" s="1">
        <v>2040</v>
      </c>
      <c r="AV81" s="1">
        <v>2041</v>
      </c>
      <c r="AW81" s="1">
        <v>2042</v>
      </c>
      <c r="AX81" s="1">
        <v>2043</v>
      </c>
      <c r="AY81" s="1">
        <v>2044</v>
      </c>
      <c r="AZ81" s="1">
        <v>2045</v>
      </c>
      <c r="BA81" s="1">
        <v>2046</v>
      </c>
      <c r="BB81" s="1">
        <v>2047</v>
      </c>
      <c r="BC81" s="1">
        <v>2048</v>
      </c>
      <c r="BD81" s="1">
        <v>2049</v>
      </c>
      <c r="BE81" s="1">
        <v>2050</v>
      </c>
    </row>
    <row r="82" spans="1:57" x14ac:dyDescent="0.25">
      <c r="A82" s="1" t="str">
        <f>'Population Definitions'!$A$2</f>
        <v>PWID_males</v>
      </c>
      <c r="B82" t="s">
        <v>62</v>
      </c>
      <c r="C82" t="s">
        <v>55</v>
      </c>
      <c r="D82" s="3"/>
      <c r="E82" s="3">
        <v>0</v>
      </c>
      <c r="F82" s="4" t="s">
        <v>39</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row>
    <row r="83" spans="1:57" x14ac:dyDescent="0.25">
      <c r="A83" s="1" t="str">
        <f>'Population Definitions'!$A$3</f>
        <v>PWID_females</v>
      </c>
      <c r="B83" t="s">
        <v>62</v>
      </c>
      <c r="C83" t="s">
        <v>55</v>
      </c>
      <c r="D83" s="3"/>
      <c r="E83" s="3">
        <v>0</v>
      </c>
      <c r="F83" s="4" t="s">
        <v>39</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spans="1:57" x14ac:dyDescent="0.25">
      <c r="A84" s="1" t="str">
        <f>'Population Definitions'!$A$4</f>
        <v>0-9_males</v>
      </c>
      <c r="B84" t="s">
        <v>62</v>
      </c>
      <c r="C84" t="s">
        <v>55</v>
      </c>
      <c r="D84" s="3"/>
      <c r="E84" s="3">
        <v>0</v>
      </c>
      <c r="F84" s="4" t="s">
        <v>39</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5" spans="1:57" x14ac:dyDescent="0.25">
      <c r="A85" s="1" t="str">
        <f>'Population Definitions'!$A$5</f>
        <v>0-9_females</v>
      </c>
      <c r="B85" t="s">
        <v>62</v>
      </c>
      <c r="C85" t="s">
        <v>55</v>
      </c>
      <c r="D85" s="3"/>
      <c r="E85" s="3">
        <v>0</v>
      </c>
      <c r="F85" s="4" t="s">
        <v>39</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row>
    <row r="86" spans="1:57" x14ac:dyDescent="0.25">
      <c r="A86" s="1" t="str">
        <f>'Population Definitions'!$A$6</f>
        <v>10-17_males</v>
      </c>
      <c r="B86" t="s">
        <v>62</v>
      </c>
      <c r="C86" t="s">
        <v>55</v>
      </c>
      <c r="D86" s="3"/>
      <c r="E86" s="3">
        <v>0</v>
      </c>
      <c r="F86" s="4" t="s">
        <v>39</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row>
    <row r="87" spans="1:57" x14ac:dyDescent="0.25">
      <c r="A87" s="1" t="str">
        <f>'Population Definitions'!$A$7</f>
        <v>10-17_females</v>
      </c>
      <c r="B87" t="s">
        <v>62</v>
      </c>
      <c r="C87" t="s">
        <v>55</v>
      </c>
      <c r="D87" s="3"/>
      <c r="E87" s="3">
        <v>0</v>
      </c>
      <c r="F87" s="4" t="s">
        <v>39</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spans="1:57" x14ac:dyDescent="0.25">
      <c r="A88" s="1" t="str">
        <f>'Population Definitions'!$A$8</f>
        <v>18-64_males</v>
      </c>
      <c r="B88" t="s">
        <v>62</v>
      </c>
      <c r="C88" t="s">
        <v>55</v>
      </c>
      <c r="D88" s="3"/>
      <c r="E88" s="3">
        <v>0</v>
      </c>
      <c r="F88" s="4" t="s">
        <v>39</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spans="1:57" x14ac:dyDescent="0.25">
      <c r="A89" s="1" t="str">
        <f>'Population Definitions'!$A$9</f>
        <v>18-64_females</v>
      </c>
      <c r="B89" t="s">
        <v>62</v>
      </c>
      <c r="C89" t="s">
        <v>55</v>
      </c>
      <c r="D89" s="3"/>
      <c r="E89" s="3">
        <v>0</v>
      </c>
      <c r="F89" s="4" t="s">
        <v>39</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spans="1:57" x14ac:dyDescent="0.25">
      <c r="A90" s="1" t="str">
        <f>'Population Definitions'!$A$10</f>
        <v>65+_males</v>
      </c>
      <c r="B90" t="s">
        <v>62</v>
      </c>
      <c r="C90" t="s">
        <v>55</v>
      </c>
      <c r="D90" s="3"/>
      <c r="E90" s="3">
        <v>0</v>
      </c>
      <c r="F90" s="4" t="s">
        <v>39</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spans="1:57" x14ac:dyDescent="0.25">
      <c r="A91" s="1" t="str">
        <f>'Population Definitions'!$A$11</f>
        <v>65+_females</v>
      </c>
      <c r="B91" t="s">
        <v>62</v>
      </c>
      <c r="C91" t="s">
        <v>55</v>
      </c>
      <c r="D91" s="3"/>
      <c r="E91" s="3">
        <v>0</v>
      </c>
      <c r="F91" s="4" t="s">
        <v>39</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spans="1:57" x14ac:dyDescent="0.25">
      <c r="A92" s="1" t="str">
        <f>'Population Definitions'!$A$12</f>
        <v>Prisoners_males</v>
      </c>
      <c r="B92" t="s">
        <v>62</v>
      </c>
      <c r="C92" t="s">
        <v>55</v>
      </c>
      <c r="D92" s="3"/>
      <c r="E92" s="3">
        <v>0</v>
      </c>
      <c r="F92" s="4" t="s">
        <v>39</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spans="1:57" x14ac:dyDescent="0.25">
      <c r="A93" s="1" t="str">
        <f>'Population Definitions'!$A$13</f>
        <v>Prisoners_females</v>
      </c>
      <c r="B93" t="s">
        <v>62</v>
      </c>
      <c r="C93" t="s">
        <v>55</v>
      </c>
      <c r="D93" s="3"/>
      <c r="E93" s="3">
        <v>0</v>
      </c>
      <c r="F93" s="4" t="s">
        <v>39</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spans="1:57" x14ac:dyDescent="0.25">
      <c r="A94" s="1" t="str">
        <f>'Population Definitions'!$A$14</f>
        <v>Prisoners_PWID_males</v>
      </c>
      <c r="B94" t="s">
        <v>62</v>
      </c>
      <c r="C94" t="s">
        <v>55</v>
      </c>
      <c r="D94" s="3"/>
      <c r="E94" s="3">
        <v>0</v>
      </c>
      <c r="F94" s="4" t="s">
        <v>39</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spans="1:57" x14ac:dyDescent="0.25">
      <c r="A95" s="1" t="str">
        <f>'Population Definitions'!$A$15</f>
        <v>Prisoners_PWID_females</v>
      </c>
      <c r="B95" t="s">
        <v>62</v>
      </c>
      <c r="C95" t="s">
        <v>55</v>
      </c>
      <c r="D95" s="3"/>
      <c r="E95" s="3">
        <v>0</v>
      </c>
      <c r="F95" s="4" t="s">
        <v>39</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row r="97" spans="1:57" x14ac:dyDescent="0.25">
      <c r="A97" s="1" t="s">
        <v>96</v>
      </c>
      <c r="B97" s="1" t="s">
        <v>31</v>
      </c>
      <c r="C97" s="1" t="s">
        <v>32</v>
      </c>
      <c r="D97" s="1" t="s">
        <v>33</v>
      </c>
      <c r="E97" s="1" t="s">
        <v>38</v>
      </c>
      <c r="F97" s="1"/>
      <c r="G97" s="1">
        <v>2000</v>
      </c>
      <c r="H97" s="1">
        <v>2001</v>
      </c>
      <c r="I97" s="1">
        <v>2002</v>
      </c>
      <c r="J97" s="1">
        <v>2003</v>
      </c>
      <c r="K97" s="1">
        <v>2004</v>
      </c>
      <c r="L97" s="1">
        <v>2005</v>
      </c>
      <c r="M97" s="1">
        <v>2006</v>
      </c>
      <c r="N97" s="1">
        <v>2007</v>
      </c>
      <c r="O97" s="1">
        <v>2008</v>
      </c>
      <c r="P97" s="1">
        <v>2009</v>
      </c>
      <c r="Q97" s="1">
        <v>2010</v>
      </c>
      <c r="R97" s="1">
        <v>2011</v>
      </c>
      <c r="S97" s="1">
        <v>2012</v>
      </c>
      <c r="T97" s="1">
        <v>2013</v>
      </c>
      <c r="U97" s="1">
        <v>2014</v>
      </c>
      <c r="V97" s="1">
        <v>2015</v>
      </c>
      <c r="W97" s="1">
        <v>2016</v>
      </c>
      <c r="X97" s="1">
        <v>2017</v>
      </c>
      <c r="Y97" s="1">
        <v>2018</v>
      </c>
      <c r="Z97" s="1">
        <v>2019</v>
      </c>
      <c r="AA97" s="1">
        <v>2020</v>
      </c>
      <c r="AB97" s="1">
        <v>2021</v>
      </c>
      <c r="AC97" s="1">
        <v>2022</v>
      </c>
      <c r="AD97" s="1">
        <v>2023</v>
      </c>
      <c r="AE97" s="1">
        <v>2024</v>
      </c>
      <c r="AF97" s="1">
        <v>2025</v>
      </c>
      <c r="AG97" s="1">
        <v>2026</v>
      </c>
      <c r="AH97" s="1">
        <v>2027</v>
      </c>
      <c r="AI97" s="1">
        <v>2028</v>
      </c>
      <c r="AJ97" s="1">
        <v>2029</v>
      </c>
      <c r="AK97" s="1">
        <v>2030</v>
      </c>
      <c r="AL97" s="1">
        <v>2031</v>
      </c>
      <c r="AM97" s="1">
        <v>2032</v>
      </c>
      <c r="AN97" s="1">
        <v>2033</v>
      </c>
      <c r="AO97" s="1">
        <v>2034</v>
      </c>
      <c r="AP97" s="1">
        <v>2035</v>
      </c>
      <c r="AQ97" s="1">
        <v>2036</v>
      </c>
      <c r="AR97" s="1">
        <v>2037</v>
      </c>
      <c r="AS97" s="1">
        <v>2038</v>
      </c>
      <c r="AT97" s="1">
        <v>2039</v>
      </c>
      <c r="AU97" s="1">
        <v>2040</v>
      </c>
      <c r="AV97" s="1">
        <v>2041</v>
      </c>
      <c r="AW97" s="1">
        <v>2042</v>
      </c>
      <c r="AX97" s="1">
        <v>2043</v>
      </c>
      <c r="AY97" s="1">
        <v>2044</v>
      </c>
      <c r="AZ97" s="1">
        <v>2045</v>
      </c>
      <c r="BA97" s="1">
        <v>2046</v>
      </c>
      <c r="BB97" s="1">
        <v>2047</v>
      </c>
      <c r="BC97" s="1">
        <v>2048</v>
      </c>
      <c r="BD97" s="1">
        <v>2049</v>
      </c>
      <c r="BE97" s="1">
        <v>2050</v>
      </c>
    </row>
    <row r="98" spans="1:57" x14ac:dyDescent="0.25">
      <c r="A98" s="1" t="str">
        <f>'Population Definitions'!$A$2</f>
        <v>PWID_males</v>
      </c>
      <c r="B98" t="s">
        <v>62</v>
      </c>
      <c r="C98" t="s">
        <v>55</v>
      </c>
      <c r="D98" s="3"/>
      <c r="E98" s="3">
        <v>0</v>
      </c>
      <c r="F98" s="4" t="s">
        <v>39</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row>
    <row r="99" spans="1:57" x14ac:dyDescent="0.25">
      <c r="A99" s="1" t="str">
        <f>'Population Definitions'!$A$3</f>
        <v>PWID_females</v>
      </c>
      <c r="B99" t="s">
        <v>62</v>
      </c>
      <c r="C99" t="s">
        <v>55</v>
      </c>
      <c r="D99" s="3"/>
      <c r="E99" s="3">
        <v>0</v>
      </c>
      <c r="F99" s="4" t="s">
        <v>39</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row>
    <row r="100" spans="1:57" x14ac:dyDescent="0.25">
      <c r="A100" s="1" t="str">
        <f>'Population Definitions'!$A$4</f>
        <v>0-9_males</v>
      </c>
      <c r="B100" t="s">
        <v>62</v>
      </c>
      <c r="C100" t="s">
        <v>55</v>
      </c>
      <c r="D100" s="3"/>
      <c r="E100" s="3">
        <v>0</v>
      </c>
      <c r="F100" s="4" t="s">
        <v>39</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row>
    <row r="101" spans="1:57" x14ac:dyDescent="0.25">
      <c r="A101" s="1" t="str">
        <f>'Population Definitions'!$A$5</f>
        <v>0-9_females</v>
      </c>
      <c r="B101" t="s">
        <v>62</v>
      </c>
      <c r="C101" t="s">
        <v>55</v>
      </c>
      <c r="D101" s="3"/>
      <c r="E101" s="3">
        <v>0</v>
      </c>
      <c r="F101" s="4" t="s">
        <v>39</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row>
    <row r="102" spans="1:57" x14ac:dyDescent="0.25">
      <c r="A102" s="1" t="str">
        <f>'Population Definitions'!$A$6</f>
        <v>10-17_males</v>
      </c>
      <c r="B102" t="s">
        <v>62</v>
      </c>
      <c r="C102" t="s">
        <v>55</v>
      </c>
      <c r="D102" s="3"/>
      <c r="E102" s="3">
        <v>0</v>
      </c>
      <c r="F102" s="4" t="s">
        <v>39</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row>
    <row r="103" spans="1:57" x14ac:dyDescent="0.25">
      <c r="A103" s="1" t="str">
        <f>'Population Definitions'!$A$7</f>
        <v>10-17_females</v>
      </c>
      <c r="B103" t="s">
        <v>62</v>
      </c>
      <c r="C103" t="s">
        <v>55</v>
      </c>
      <c r="D103" s="3"/>
      <c r="E103" s="3">
        <v>0</v>
      </c>
      <c r="F103" s="4" t="s">
        <v>39</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row>
    <row r="104" spans="1:57" x14ac:dyDescent="0.25">
      <c r="A104" s="1" t="str">
        <f>'Population Definitions'!$A$8</f>
        <v>18-64_males</v>
      </c>
      <c r="B104" t="s">
        <v>62</v>
      </c>
      <c r="C104" t="s">
        <v>55</v>
      </c>
      <c r="D104" s="3"/>
      <c r="E104" s="3">
        <v>0</v>
      </c>
      <c r="F104" s="4" t="s">
        <v>39</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row>
    <row r="105" spans="1:57" x14ac:dyDescent="0.25">
      <c r="A105" s="1" t="str">
        <f>'Population Definitions'!$A$9</f>
        <v>18-64_females</v>
      </c>
      <c r="B105" t="s">
        <v>62</v>
      </c>
      <c r="C105" t="s">
        <v>55</v>
      </c>
      <c r="D105" s="3"/>
      <c r="E105" s="3">
        <v>0</v>
      </c>
      <c r="F105" s="4" t="s">
        <v>39</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row>
    <row r="106" spans="1:57" x14ac:dyDescent="0.25">
      <c r="A106" s="1" t="str">
        <f>'Population Definitions'!$A$10</f>
        <v>65+_males</v>
      </c>
      <c r="B106" t="s">
        <v>62</v>
      </c>
      <c r="C106" t="s">
        <v>55</v>
      </c>
      <c r="D106" s="3"/>
      <c r="E106" s="3">
        <v>0</v>
      </c>
      <c r="F106" s="4" t="s">
        <v>39</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row>
    <row r="107" spans="1:57" x14ac:dyDescent="0.25">
      <c r="A107" s="1" t="str">
        <f>'Population Definitions'!$A$11</f>
        <v>65+_females</v>
      </c>
      <c r="B107" t="s">
        <v>62</v>
      </c>
      <c r="C107" t="s">
        <v>55</v>
      </c>
      <c r="D107" s="3"/>
      <c r="E107" s="3">
        <v>0</v>
      </c>
      <c r="F107" s="4" t="s">
        <v>39</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row>
    <row r="108" spans="1:57" x14ac:dyDescent="0.25">
      <c r="A108" s="1" t="str">
        <f>'Population Definitions'!$A$12</f>
        <v>Prisoners_males</v>
      </c>
      <c r="B108" t="s">
        <v>62</v>
      </c>
      <c r="C108" t="s">
        <v>55</v>
      </c>
      <c r="D108" s="3"/>
      <c r="E108" s="3">
        <v>0</v>
      </c>
      <c r="F108" s="4" t="s">
        <v>39</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row>
    <row r="109" spans="1:57" x14ac:dyDescent="0.25">
      <c r="A109" s="1" t="str">
        <f>'Population Definitions'!$A$13</f>
        <v>Prisoners_females</v>
      </c>
      <c r="B109" t="s">
        <v>62</v>
      </c>
      <c r="C109" t="s">
        <v>55</v>
      </c>
      <c r="D109" s="3"/>
      <c r="E109" s="3">
        <v>0</v>
      </c>
      <c r="F109" s="4" t="s">
        <v>39</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row>
    <row r="110" spans="1:57" x14ac:dyDescent="0.25">
      <c r="A110" s="1" t="str">
        <f>'Population Definitions'!$A$14</f>
        <v>Prisoners_PWID_males</v>
      </c>
      <c r="B110" t="s">
        <v>62</v>
      </c>
      <c r="C110" t="s">
        <v>55</v>
      </c>
      <c r="D110" s="3"/>
      <c r="E110" s="3">
        <v>0</v>
      </c>
      <c r="F110" s="4" t="s">
        <v>39</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row>
    <row r="111" spans="1:57" x14ac:dyDescent="0.25">
      <c r="A111" s="1" t="str">
        <f>'Population Definitions'!$A$15</f>
        <v>Prisoners_PWID_females</v>
      </c>
      <c r="B111" t="s">
        <v>62</v>
      </c>
      <c r="C111" t="s">
        <v>55</v>
      </c>
      <c r="D111" s="3"/>
      <c r="E111" s="3">
        <v>0</v>
      </c>
      <c r="F111" s="4" t="s">
        <v>39</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row>
    <row r="113" spans="1:57" x14ac:dyDescent="0.25">
      <c r="A113" s="1" t="s">
        <v>97</v>
      </c>
      <c r="B113" s="1" t="s">
        <v>31</v>
      </c>
      <c r="C113" s="1" t="s">
        <v>32</v>
      </c>
      <c r="D113" s="1" t="s">
        <v>33</v>
      </c>
      <c r="E113" s="1" t="s">
        <v>38</v>
      </c>
      <c r="F113" s="1"/>
      <c r="G113" s="1">
        <v>2000</v>
      </c>
      <c r="H113" s="1">
        <v>2001</v>
      </c>
      <c r="I113" s="1">
        <v>2002</v>
      </c>
      <c r="J113" s="1">
        <v>2003</v>
      </c>
      <c r="K113" s="1">
        <v>2004</v>
      </c>
      <c r="L113" s="1">
        <v>2005</v>
      </c>
      <c r="M113" s="1">
        <v>2006</v>
      </c>
      <c r="N113" s="1">
        <v>2007</v>
      </c>
      <c r="O113" s="1">
        <v>2008</v>
      </c>
      <c r="P113" s="1">
        <v>2009</v>
      </c>
      <c r="Q113" s="1">
        <v>2010</v>
      </c>
      <c r="R113" s="1">
        <v>2011</v>
      </c>
      <c r="S113" s="1">
        <v>2012</v>
      </c>
      <c r="T113" s="1">
        <v>2013</v>
      </c>
      <c r="U113" s="1">
        <v>2014</v>
      </c>
      <c r="V113" s="1">
        <v>2015</v>
      </c>
      <c r="W113" s="1">
        <v>2016</v>
      </c>
      <c r="X113" s="1">
        <v>2017</v>
      </c>
      <c r="Y113" s="1">
        <v>2018</v>
      </c>
      <c r="Z113" s="1">
        <v>2019</v>
      </c>
      <c r="AA113" s="1">
        <v>2020</v>
      </c>
      <c r="AB113" s="1">
        <v>2021</v>
      </c>
      <c r="AC113" s="1">
        <v>2022</v>
      </c>
      <c r="AD113" s="1">
        <v>2023</v>
      </c>
      <c r="AE113" s="1">
        <v>2024</v>
      </c>
      <c r="AF113" s="1">
        <v>2025</v>
      </c>
      <c r="AG113" s="1">
        <v>2026</v>
      </c>
      <c r="AH113" s="1">
        <v>2027</v>
      </c>
      <c r="AI113" s="1">
        <v>2028</v>
      </c>
      <c r="AJ113" s="1">
        <v>2029</v>
      </c>
      <c r="AK113" s="1">
        <v>2030</v>
      </c>
      <c r="AL113" s="1">
        <v>2031</v>
      </c>
      <c r="AM113" s="1">
        <v>2032</v>
      </c>
      <c r="AN113" s="1">
        <v>2033</v>
      </c>
      <c r="AO113" s="1">
        <v>2034</v>
      </c>
      <c r="AP113" s="1">
        <v>2035</v>
      </c>
      <c r="AQ113" s="1">
        <v>2036</v>
      </c>
      <c r="AR113" s="1">
        <v>2037</v>
      </c>
      <c r="AS113" s="1">
        <v>2038</v>
      </c>
      <c r="AT113" s="1">
        <v>2039</v>
      </c>
      <c r="AU113" s="1">
        <v>2040</v>
      </c>
      <c r="AV113" s="1">
        <v>2041</v>
      </c>
      <c r="AW113" s="1">
        <v>2042</v>
      </c>
      <c r="AX113" s="1">
        <v>2043</v>
      </c>
      <c r="AY113" s="1">
        <v>2044</v>
      </c>
      <c r="AZ113" s="1">
        <v>2045</v>
      </c>
      <c r="BA113" s="1">
        <v>2046</v>
      </c>
      <c r="BB113" s="1">
        <v>2047</v>
      </c>
      <c r="BC113" s="1">
        <v>2048</v>
      </c>
      <c r="BD113" s="1">
        <v>2049</v>
      </c>
      <c r="BE113" s="1">
        <v>2050</v>
      </c>
    </row>
    <row r="114" spans="1:57" x14ac:dyDescent="0.25">
      <c r="A114" s="1" t="str">
        <f>'Population Definitions'!$A$2</f>
        <v>PWID_males</v>
      </c>
      <c r="B114" t="s">
        <v>62</v>
      </c>
      <c r="C114" t="s">
        <v>55</v>
      </c>
      <c r="D114" s="3"/>
      <c r="E114" s="3">
        <v>0</v>
      </c>
      <c r="F114" s="4" t="s">
        <v>39</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row>
    <row r="115" spans="1:57" x14ac:dyDescent="0.25">
      <c r="A115" s="1" t="str">
        <f>'Population Definitions'!$A$3</f>
        <v>PWID_females</v>
      </c>
      <c r="B115" t="s">
        <v>62</v>
      </c>
      <c r="C115" t="s">
        <v>55</v>
      </c>
      <c r="D115" s="3"/>
      <c r="E115" s="3">
        <v>0</v>
      </c>
      <c r="F115" s="4" t="s">
        <v>39</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row>
    <row r="116" spans="1:57" x14ac:dyDescent="0.25">
      <c r="A116" s="1" t="str">
        <f>'Population Definitions'!$A$4</f>
        <v>0-9_males</v>
      </c>
      <c r="B116" t="s">
        <v>62</v>
      </c>
      <c r="C116" t="s">
        <v>55</v>
      </c>
      <c r="D116" s="3"/>
      <c r="E116" s="3">
        <v>0</v>
      </c>
      <c r="F116" s="4" t="s">
        <v>39</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row>
    <row r="117" spans="1:57" x14ac:dyDescent="0.25">
      <c r="A117" s="1" t="str">
        <f>'Population Definitions'!$A$5</f>
        <v>0-9_females</v>
      </c>
      <c r="B117" t="s">
        <v>62</v>
      </c>
      <c r="C117" t="s">
        <v>55</v>
      </c>
      <c r="D117" s="3"/>
      <c r="E117" s="3">
        <v>0</v>
      </c>
      <c r="F117" s="4" t="s">
        <v>39</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row>
    <row r="118" spans="1:57" x14ac:dyDescent="0.25">
      <c r="A118" s="1" t="str">
        <f>'Population Definitions'!$A$6</f>
        <v>10-17_males</v>
      </c>
      <c r="B118" t="s">
        <v>62</v>
      </c>
      <c r="C118" t="s">
        <v>55</v>
      </c>
      <c r="D118" s="3"/>
      <c r="E118" s="3">
        <v>0</v>
      </c>
      <c r="F118" s="4" t="s">
        <v>39</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row>
    <row r="119" spans="1:57" x14ac:dyDescent="0.25">
      <c r="A119" s="1" t="str">
        <f>'Population Definitions'!$A$7</f>
        <v>10-17_females</v>
      </c>
      <c r="B119" t="s">
        <v>62</v>
      </c>
      <c r="C119" t="s">
        <v>55</v>
      </c>
      <c r="D119" s="3"/>
      <c r="E119" s="3">
        <v>0</v>
      </c>
      <c r="F119" s="4" t="s">
        <v>39</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row>
    <row r="120" spans="1:57" x14ac:dyDescent="0.25">
      <c r="A120" s="1" t="str">
        <f>'Population Definitions'!$A$8</f>
        <v>18-64_males</v>
      </c>
      <c r="B120" t="s">
        <v>62</v>
      </c>
      <c r="C120" t="s">
        <v>55</v>
      </c>
      <c r="D120" s="3"/>
      <c r="E120" s="3">
        <v>0</v>
      </c>
      <c r="F120" s="4" t="s">
        <v>39</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row>
    <row r="121" spans="1:57" x14ac:dyDescent="0.25">
      <c r="A121" s="1" t="str">
        <f>'Population Definitions'!$A$9</f>
        <v>18-64_females</v>
      </c>
      <c r="B121" t="s">
        <v>62</v>
      </c>
      <c r="C121" t="s">
        <v>55</v>
      </c>
      <c r="D121" s="3"/>
      <c r="E121" s="3">
        <v>0</v>
      </c>
      <c r="F121" s="4" t="s">
        <v>39</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row>
    <row r="122" spans="1:57" x14ac:dyDescent="0.25">
      <c r="A122" s="1" t="str">
        <f>'Population Definitions'!$A$10</f>
        <v>65+_males</v>
      </c>
      <c r="B122" t="s">
        <v>62</v>
      </c>
      <c r="C122" t="s">
        <v>55</v>
      </c>
      <c r="D122" s="3"/>
      <c r="E122" s="3">
        <v>0</v>
      </c>
      <c r="F122" s="4" t="s">
        <v>39</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row>
    <row r="123" spans="1:57" x14ac:dyDescent="0.25">
      <c r="A123" s="1" t="str">
        <f>'Population Definitions'!$A$11</f>
        <v>65+_females</v>
      </c>
      <c r="B123" t="s">
        <v>62</v>
      </c>
      <c r="C123" t="s">
        <v>55</v>
      </c>
      <c r="D123" s="3"/>
      <c r="E123" s="3">
        <v>0</v>
      </c>
      <c r="F123" s="4" t="s">
        <v>39</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row>
    <row r="124" spans="1:57" x14ac:dyDescent="0.25">
      <c r="A124" s="1" t="str">
        <f>'Population Definitions'!$A$12</f>
        <v>Prisoners_males</v>
      </c>
      <c r="B124" t="s">
        <v>62</v>
      </c>
      <c r="C124" t="s">
        <v>55</v>
      </c>
      <c r="D124" s="3"/>
      <c r="E124" s="3">
        <v>0</v>
      </c>
      <c r="F124" s="4" t="s">
        <v>39</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row>
    <row r="125" spans="1:57" x14ac:dyDescent="0.25">
      <c r="A125" s="1" t="str">
        <f>'Population Definitions'!$A$13</f>
        <v>Prisoners_females</v>
      </c>
      <c r="B125" t="s">
        <v>62</v>
      </c>
      <c r="C125" t="s">
        <v>55</v>
      </c>
      <c r="D125" s="3"/>
      <c r="E125" s="3">
        <v>0</v>
      </c>
      <c r="F125" s="4" t="s">
        <v>39</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row>
    <row r="126" spans="1:57" x14ac:dyDescent="0.25">
      <c r="A126" s="1" t="str">
        <f>'Population Definitions'!$A$14</f>
        <v>Prisoners_PWID_males</v>
      </c>
      <c r="B126" t="s">
        <v>62</v>
      </c>
      <c r="C126" t="s">
        <v>55</v>
      </c>
      <c r="D126" s="3"/>
      <c r="E126" s="3">
        <v>0</v>
      </c>
      <c r="F126" s="4" t="s">
        <v>39</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row>
    <row r="127" spans="1:57" x14ac:dyDescent="0.25">
      <c r="A127" s="1" t="str">
        <f>'Population Definitions'!$A$15</f>
        <v>Prisoners_PWID_females</v>
      </c>
      <c r="B127" t="s">
        <v>62</v>
      </c>
      <c r="C127" t="s">
        <v>55</v>
      </c>
      <c r="D127" s="3"/>
      <c r="E127" s="3">
        <v>0</v>
      </c>
      <c r="F127" s="4" t="s">
        <v>39</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row>
  </sheetData>
  <conditionalFormatting sqref="E2:E15">
    <cfRule type="expression" dxfId="1281" priority="1">
      <formula>COUNTIF(G2:BE2,"&lt;&gt;" &amp; "")&gt;0</formula>
    </cfRule>
    <cfRule type="expression" dxfId="1280" priority="2">
      <formula>AND(COUNTIF(G2:BE2,"&lt;&gt;" &amp; "")&gt;0,NOT(ISBLANK(E2)))</formula>
    </cfRule>
  </conditionalFormatting>
  <conditionalFormatting sqref="E18:E31">
    <cfRule type="expression" dxfId="1279" priority="29">
      <formula>COUNTIF(G18:BE18,"&lt;&gt;" &amp; "")&gt;0</formula>
    </cfRule>
    <cfRule type="expression" dxfId="1278" priority="30">
      <formula>AND(COUNTIF(G18:BE18,"&lt;&gt;" &amp; "")&gt;0,NOT(ISBLANK(E18)))</formula>
    </cfRule>
  </conditionalFormatting>
  <conditionalFormatting sqref="E34:E47">
    <cfRule type="expression" dxfId="1277" priority="57">
      <formula>COUNTIF(G34:BE34,"&lt;&gt;" &amp; "")&gt;0</formula>
    </cfRule>
    <cfRule type="expression" dxfId="1276" priority="58">
      <formula>AND(COUNTIF(G34:BE34,"&lt;&gt;" &amp; "")&gt;0,NOT(ISBLANK(E34)))</formula>
    </cfRule>
  </conditionalFormatting>
  <conditionalFormatting sqref="E50:E63">
    <cfRule type="expression" dxfId="1275" priority="85">
      <formula>COUNTIF(G50:BE50,"&lt;&gt;" &amp; "")&gt;0</formula>
    </cfRule>
    <cfRule type="expression" dxfId="1274" priority="86">
      <formula>AND(COUNTIF(G50:BE50,"&lt;&gt;" &amp; "")&gt;0,NOT(ISBLANK(E50)))</formula>
    </cfRule>
  </conditionalFormatting>
  <conditionalFormatting sqref="E66:E79">
    <cfRule type="expression" dxfId="1273" priority="113">
      <formula>COUNTIF(G66:BE66,"&lt;&gt;" &amp; "")&gt;0</formula>
    </cfRule>
    <cfRule type="expression" dxfId="1272" priority="114">
      <formula>AND(COUNTIF(G66:BE66,"&lt;&gt;" &amp; "")&gt;0,NOT(ISBLANK(E66)))</formula>
    </cfRule>
  </conditionalFormatting>
  <conditionalFormatting sqref="E82:E95">
    <cfRule type="expression" dxfId="1271" priority="141">
      <formula>COUNTIF(G82:BE82,"&lt;&gt;" &amp; "")&gt;0</formula>
    </cfRule>
    <cfRule type="expression" dxfId="1270" priority="142">
      <formula>AND(COUNTIF(G82:BE82,"&lt;&gt;" &amp; "")&gt;0,NOT(ISBLANK(E82)))</formula>
    </cfRule>
  </conditionalFormatting>
  <conditionalFormatting sqref="E98:E111">
    <cfRule type="expression" dxfId="1269" priority="169">
      <formula>COUNTIF(G98:BE98,"&lt;&gt;" &amp; "")&gt;0</formula>
    </cfRule>
    <cfRule type="expression" dxfId="1268" priority="170">
      <formula>AND(COUNTIF(G98:BE98,"&lt;&gt;" &amp; "")&gt;0,NOT(ISBLANK(E98)))</formula>
    </cfRule>
  </conditionalFormatting>
  <conditionalFormatting sqref="E114:E127">
    <cfRule type="expression" dxfId="1267" priority="197">
      <formula>COUNTIF(G114:BE114,"&lt;&gt;" &amp; "")&gt;0</formula>
    </cfRule>
    <cfRule type="expression" dxfId="1266" priority="198">
      <formula>AND(COUNTIF(G114:BE114,"&lt;&gt;" &amp; "")&gt;0,NOT(ISBLANK(E114)))</formula>
    </cfRule>
  </conditionalFormatting>
  <dataValidations count="1">
    <dataValidation type="list" allowBlank="1" showInputMessage="1" showErrorMessage="1" sqref="C114:C127 C98:C111 C82:C95 C66:C79 C50:C63 C34:C47 C18:C31 C2:C15" xr:uid="{00000000-0002-0000-0700-000000000000}">
      <formula1>"Rate (per year)"</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8080"/>
  </sheetPr>
  <dimension ref="A1:BE111"/>
  <sheetViews>
    <sheetView tabSelected="1" topLeftCell="C19" workbookViewId="0">
      <selection activeCell="L39" sqref="L39"/>
    </sheetView>
  </sheetViews>
  <sheetFormatPr defaultRowHeight="15" x14ac:dyDescent="0.25"/>
  <cols>
    <col min="1" max="1" width="93" customWidth="1"/>
    <col min="2" max="2" width="30.28515625" customWidth="1"/>
    <col min="3" max="3" width="19.28515625" customWidth="1"/>
    <col min="4" max="4" width="13.85546875" customWidth="1"/>
    <col min="5" max="5" width="10.5703125" customWidth="1"/>
    <col min="6" max="6" width="3.85546875" customWidth="1"/>
    <col min="7" max="57" width="9.42578125" customWidth="1"/>
  </cols>
  <sheetData>
    <row r="1" spans="1:57" x14ac:dyDescent="0.25">
      <c r="A1" s="1" t="s">
        <v>98</v>
      </c>
      <c r="B1" s="1" t="s">
        <v>31</v>
      </c>
      <c r="C1" s="1" t="s">
        <v>32</v>
      </c>
      <c r="D1" s="1" t="s">
        <v>33</v>
      </c>
      <c r="E1" s="1" t="s">
        <v>38</v>
      </c>
      <c r="F1" s="1"/>
      <c r="G1" s="1">
        <v>2000</v>
      </c>
      <c r="H1" s="1">
        <v>2001</v>
      </c>
      <c r="I1" s="1">
        <v>2002</v>
      </c>
      <c r="J1" s="1">
        <v>2003</v>
      </c>
      <c r="K1" s="1">
        <v>2004</v>
      </c>
      <c r="L1" s="1">
        <v>2005</v>
      </c>
      <c r="M1" s="1">
        <v>2006</v>
      </c>
      <c r="N1" s="1">
        <v>2007</v>
      </c>
      <c r="O1" s="1">
        <v>2008</v>
      </c>
      <c r="P1" s="1">
        <v>2009</v>
      </c>
      <c r="Q1" s="1">
        <v>2010</v>
      </c>
      <c r="R1" s="1">
        <v>2011</v>
      </c>
      <c r="S1" s="1">
        <v>2012</v>
      </c>
      <c r="T1" s="1">
        <v>2013</v>
      </c>
      <c r="U1" s="1">
        <v>2014</v>
      </c>
      <c r="V1" s="1">
        <v>2015</v>
      </c>
      <c r="W1" s="1">
        <v>2016</v>
      </c>
      <c r="X1" s="1">
        <v>2017</v>
      </c>
      <c r="Y1" s="1">
        <v>2018</v>
      </c>
      <c r="Z1" s="1">
        <v>2019</v>
      </c>
      <c r="AA1" s="1">
        <v>2020</v>
      </c>
      <c r="AB1" s="1">
        <v>2021</v>
      </c>
      <c r="AC1" s="1">
        <v>2022</v>
      </c>
      <c r="AD1" s="1">
        <v>2023</v>
      </c>
      <c r="AE1" s="1">
        <v>2024</v>
      </c>
      <c r="AF1" s="1">
        <v>2025</v>
      </c>
      <c r="AG1" s="1">
        <v>2026</v>
      </c>
      <c r="AH1" s="1">
        <v>2027</v>
      </c>
      <c r="AI1" s="1">
        <v>2028</v>
      </c>
      <c r="AJ1" s="1">
        <v>2029</v>
      </c>
      <c r="AK1" s="1">
        <v>2030</v>
      </c>
      <c r="AL1" s="1">
        <v>2031</v>
      </c>
      <c r="AM1" s="1">
        <v>2032</v>
      </c>
      <c r="AN1" s="1">
        <v>2033</v>
      </c>
      <c r="AO1" s="1">
        <v>2034</v>
      </c>
      <c r="AP1" s="1">
        <v>2035</v>
      </c>
      <c r="AQ1" s="1">
        <v>2036</v>
      </c>
      <c r="AR1" s="1">
        <v>2037</v>
      </c>
      <c r="AS1" s="1">
        <v>2038</v>
      </c>
      <c r="AT1" s="1">
        <v>2039</v>
      </c>
      <c r="AU1" s="1">
        <v>2040</v>
      </c>
      <c r="AV1" s="1">
        <v>2041</v>
      </c>
      <c r="AW1" s="1">
        <v>2042</v>
      </c>
      <c r="AX1" s="1">
        <v>2043</v>
      </c>
      <c r="AY1" s="1">
        <v>2044</v>
      </c>
      <c r="AZ1" s="1">
        <v>2045</v>
      </c>
      <c r="BA1" s="1">
        <v>2046</v>
      </c>
      <c r="BB1" s="1">
        <v>2047</v>
      </c>
      <c r="BC1" s="1">
        <v>2048</v>
      </c>
      <c r="BD1" s="1">
        <v>2049</v>
      </c>
      <c r="BE1" s="1">
        <v>2050</v>
      </c>
    </row>
    <row r="2" spans="1:57" x14ac:dyDescent="0.25">
      <c r="A2" s="1" t="str">
        <f>'Population Definitions'!$A$2</f>
        <v>PWID_males</v>
      </c>
      <c r="C2" t="s">
        <v>58</v>
      </c>
      <c r="D2" s="3"/>
      <c r="E2" s="3">
        <v>0</v>
      </c>
      <c r="F2" s="4" t="s">
        <v>39</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spans="1:57" x14ac:dyDescent="0.25">
      <c r="A3" s="1" t="str">
        <f>'Population Definitions'!$A$3</f>
        <v>PWID_females</v>
      </c>
      <c r="C3" t="s">
        <v>58</v>
      </c>
      <c r="D3" s="3"/>
      <c r="E3" s="3">
        <v>0</v>
      </c>
      <c r="F3" s="4" t="s">
        <v>39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row>
    <row r="4" spans="1:57" x14ac:dyDescent="0.25">
      <c r="A4" s="1" t="str">
        <f>'Population Definitions'!$A$4</f>
        <v>0-9_males</v>
      </c>
      <c r="C4" t="s">
        <v>58</v>
      </c>
      <c r="D4" s="3"/>
      <c r="E4" s="3"/>
      <c r="F4" s="4" t="s">
        <v>39</v>
      </c>
      <c r="G4" s="3">
        <v>0</v>
      </c>
      <c r="H4" s="3"/>
      <c r="I4" s="3"/>
      <c r="J4" s="3"/>
      <c r="K4" s="3"/>
      <c r="L4" s="3"/>
      <c r="M4" s="3"/>
      <c r="N4" s="3"/>
      <c r="O4" s="3"/>
      <c r="P4" s="3"/>
      <c r="Q4" s="3"/>
      <c r="R4" s="3"/>
      <c r="S4" s="3"/>
      <c r="T4" s="3"/>
      <c r="U4" s="3">
        <v>0</v>
      </c>
      <c r="V4" s="3">
        <v>0</v>
      </c>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row>
    <row r="5" spans="1:57" x14ac:dyDescent="0.25">
      <c r="A5" s="1" t="str">
        <f>'Population Definitions'!$A$5</f>
        <v>0-9_females</v>
      </c>
      <c r="C5" t="s">
        <v>58</v>
      </c>
      <c r="D5" s="3"/>
      <c r="E5" s="3"/>
      <c r="F5" s="4" t="s">
        <v>39</v>
      </c>
      <c r="G5" s="3">
        <v>0</v>
      </c>
      <c r="H5" s="3"/>
      <c r="I5" s="3"/>
      <c r="J5" s="3"/>
      <c r="K5" s="3"/>
      <c r="L5" s="3"/>
      <c r="M5" s="3"/>
      <c r="N5" s="3"/>
      <c r="O5" s="3"/>
      <c r="P5" s="3"/>
      <c r="Q5" s="3"/>
      <c r="R5" s="3"/>
      <c r="S5" s="3"/>
      <c r="T5" s="3"/>
      <c r="U5" s="3">
        <v>0</v>
      </c>
      <c r="V5" s="3">
        <v>0</v>
      </c>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row>
    <row r="6" spans="1:57" x14ac:dyDescent="0.25">
      <c r="A6" s="1" t="str">
        <f>'Population Definitions'!$A$6</f>
        <v>10-17_males</v>
      </c>
      <c r="C6" t="s">
        <v>58</v>
      </c>
      <c r="D6" s="3"/>
      <c r="E6" s="3"/>
      <c r="F6" s="4" t="s">
        <v>39</v>
      </c>
      <c r="G6" s="3">
        <v>0</v>
      </c>
      <c r="H6" s="3"/>
      <c r="I6" s="3"/>
      <c r="J6" s="3"/>
      <c r="K6" s="3"/>
      <c r="L6" s="3"/>
      <c r="M6" s="3"/>
      <c r="N6" s="3"/>
      <c r="O6" s="3"/>
      <c r="P6" s="3"/>
      <c r="Q6" s="3"/>
      <c r="R6" s="3"/>
      <c r="S6" s="3"/>
      <c r="T6" s="3"/>
      <c r="U6" s="3">
        <v>0</v>
      </c>
      <c r="V6" s="3">
        <v>0</v>
      </c>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row>
    <row r="7" spans="1:57" x14ac:dyDescent="0.25">
      <c r="A7" s="1" t="str">
        <f>'Population Definitions'!$A$7</f>
        <v>10-17_females</v>
      </c>
      <c r="C7" t="s">
        <v>58</v>
      </c>
      <c r="D7" s="3"/>
      <c r="E7" s="3"/>
      <c r="F7" s="4" t="s">
        <v>39</v>
      </c>
      <c r="G7" s="3">
        <v>0</v>
      </c>
      <c r="H7" s="3"/>
      <c r="I7" s="3"/>
      <c r="J7" s="3"/>
      <c r="K7" s="3"/>
      <c r="L7" s="3"/>
      <c r="M7" s="3"/>
      <c r="N7" s="3"/>
      <c r="O7" s="3"/>
      <c r="P7" s="3"/>
      <c r="Q7" s="3"/>
      <c r="R7" s="3"/>
      <c r="S7" s="3"/>
      <c r="T7" s="3"/>
      <c r="U7" s="3">
        <v>0</v>
      </c>
      <c r="V7" s="3">
        <v>0</v>
      </c>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row>
    <row r="8" spans="1:57" x14ac:dyDescent="0.25">
      <c r="A8" s="1" t="str">
        <f>'Population Definitions'!$A$8</f>
        <v>18-64_males</v>
      </c>
      <c r="C8" t="s">
        <v>58</v>
      </c>
      <c r="D8" s="3"/>
      <c r="E8" s="3"/>
      <c r="F8" s="4" t="s">
        <v>39</v>
      </c>
      <c r="G8" s="3">
        <f>'Disease Burden'!E8/SUM('Disease Burden'!$E$2:$E$15)</f>
        <v>0.46906995711514637</v>
      </c>
      <c r="H8" s="3"/>
      <c r="I8" s="3"/>
      <c r="J8" s="3"/>
      <c r="K8" s="3"/>
      <c r="L8" s="3"/>
      <c r="M8" s="3"/>
      <c r="N8" s="3"/>
      <c r="O8" s="3"/>
      <c r="P8" s="3"/>
      <c r="Q8" s="3"/>
      <c r="R8" s="3"/>
      <c r="S8" s="3"/>
      <c r="T8" s="3"/>
      <c r="U8" s="3">
        <f>G8</f>
        <v>0.46906995711514637</v>
      </c>
      <c r="V8" s="3">
        <v>0</v>
      </c>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57" x14ac:dyDescent="0.25">
      <c r="A9" s="1" t="str">
        <f>'Population Definitions'!$A$9</f>
        <v>18-64_females</v>
      </c>
      <c r="C9" t="s">
        <v>58</v>
      </c>
      <c r="D9" s="3"/>
      <c r="E9" s="3"/>
      <c r="F9" s="4" t="s">
        <v>39</v>
      </c>
      <c r="G9" s="3">
        <f>'Disease Burden'!E9/SUM('Disease Burden'!$E$2:$E$15)</f>
        <v>0.45552168429902706</v>
      </c>
      <c r="H9" s="3"/>
      <c r="I9" s="3"/>
      <c r="J9" s="3"/>
      <c r="K9" s="3"/>
      <c r="L9" s="3"/>
      <c r="M9" s="3"/>
      <c r="N9" s="3"/>
      <c r="O9" s="3"/>
      <c r="P9" s="3"/>
      <c r="Q9" s="3"/>
      <c r="R9" s="3"/>
      <c r="S9" s="3"/>
      <c r="T9" s="3"/>
      <c r="U9" s="3">
        <f t="shared" ref="U9:U11" si="0">G9</f>
        <v>0.45552168429902706</v>
      </c>
      <c r="V9" s="3">
        <v>0</v>
      </c>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57" x14ac:dyDescent="0.25">
      <c r="A10" s="1" t="str">
        <f>'Population Definitions'!$A$10</f>
        <v>65+_males</v>
      </c>
      <c r="C10" t="s">
        <v>58</v>
      </c>
      <c r="D10" s="3"/>
      <c r="E10" s="3"/>
      <c r="F10" s="4" t="s">
        <v>39</v>
      </c>
      <c r="G10" s="3">
        <f>'Disease Burden'!E10/SUM('Disease Burden'!$E$2:$E$15)</f>
        <v>2.9978555096327686E-2</v>
      </c>
      <c r="H10" s="3"/>
      <c r="I10" s="3"/>
      <c r="J10" s="3"/>
      <c r="K10" s="3"/>
      <c r="L10" s="3"/>
      <c r="M10" s="3"/>
      <c r="N10" s="3"/>
      <c r="O10" s="3"/>
      <c r="P10" s="3"/>
      <c r="Q10" s="3"/>
      <c r="R10" s="3"/>
      <c r="S10" s="3"/>
      <c r="T10" s="3"/>
      <c r="U10" s="3">
        <f t="shared" si="0"/>
        <v>2.9978555096327686E-2</v>
      </c>
      <c r="V10" s="3">
        <v>0</v>
      </c>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57" x14ac:dyDescent="0.25">
      <c r="A11" s="1" t="str">
        <f>'Population Definitions'!$A$11</f>
        <v>65+_females</v>
      </c>
      <c r="C11" t="s">
        <v>58</v>
      </c>
      <c r="D11" s="3"/>
      <c r="E11" s="3"/>
      <c r="F11" s="4" t="s">
        <v>39</v>
      </c>
      <c r="G11" s="3">
        <f>'Disease Burden'!E11/SUM('Disease Burden'!$E$2:$E$15)</f>
        <v>4.136569165272317E-2</v>
      </c>
      <c r="H11" s="3"/>
      <c r="I11" s="3"/>
      <c r="J11" s="3"/>
      <c r="K11" s="3"/>
      <c r="L11" s="3"/>
      <c r="M11" s="3"/>
      <c r="N11" s="3"/>
      <c r="O11" s="3"/>
      <c r="P11" s="3"/>
      <c r="Q11" s="3"/>
      <c r="R11" s="3"/>
      <c r="S11" s="3"/>
      <c r="T11" s="3"/>
      <c r="U11" s="3">
        <f t="shared" si="0"/>
        <v>4.136569165272317E-2</v>
      </c>
      <c r="V11" s="3">
        <v>0</v>
      </c>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57" x14ac:dyDescent="0.25">
      <c r="A12" s="1" t="str">
        <f>'Population Definitions'!$A$12</f>
        <v>Prisoners_males</v>
      </c>
      <c r="C12" t="s">
        <v>58</v>
      </c>
      <c r="D12" s="3"/>
      <c r="E12" s="3">
        <v>0</v>
      </c>
      <c r="F12" s="4" t="s">
        <v>39</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57" x14ac:dyDescent="0.25">
      <c r="A13" s="1" t="str">
        <f>'Population Definitions'!$A$13</f>
        <v>Prisoners_females</v>
      </c>
      <c r="C13" t="s">
        <v>58</v>
      </c>
      <c r="D13" s="3"/>
      <c r="E13" s="3">
        <v>0</v>
      </c>
      <c r="F13" s="4" t="s">
        <v>39</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57" x14ac:dyDescent="0.25">
      <c r="A14" s="1" t="str">
        <f>'Population Definitions'!$A$14</f>
        <v>Prisoners_PWID_males</v>
      </c>
      <c r="C14" t="s">
        <v>58</v>
      </c>
      <c r="D14" s="3"/>
      <c r="E14" s="3">
        <v>0</v>
      </c>
      <c r="F14" s="4" t="s">
        <v>39</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57" x14ac:dyDescent="0.25">
      <c r="A15" s="1" t="str">
        <f>'Population Definitions'!$A$15</f>
        <v>Prisoners_PWID_females</v>
      </c>
      <c r="C15" t="s">
        <v>58</v>
      </c>
      <c r="D15" s="3"/>
      <c r="E15" s="3">
        <v>0</v>
      </c>
      <c r="F15" s="4" t="s">
        <v>39</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7" spans="1:57" x14ac:dyDescent="0.25">
      <c r="A17" s="1" t="s">
        <v>99</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C18" t="s">
        <v>58</v>
      </c>
      <c r="D18" s="3"/>
      <c r="E18" s="3">
        <v>0</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C19" t="s">
        <v>58</v>
      </c>
      <c r="D19" s="3"/>
      <c r="E19" s="3">
        <v>0</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C20" t="s">
        <v>58</v>
      </c>
      <c r="D20" s="3"/>
      <c r="E20" s="3"/>
      <c r="F20" s="4" t="s">
        <v>39</v>
      </c>
      <c r="G20" s="3">
        <v>0</v>
      </c>
      <c r="H20" s="3"/>
      <c r="I20" s="3"/>
      <c r="J20" s="3"/>
      <c r="K20" s="3"/>
      <c r="L20" s="3"/>
      <c r="M20" s="3"/>
      <c r="N20" s="3"/>
      <c r="O20" s="3"/>
      <c r="P20" s="3"/>
      <c r="Q20" s="3"/>
      <c r="R20" s="3"/>
      <c r="S20" s="3"/>
      <c r="T20" s="3"/>
      <c r="U20" s="3">
        <v>0</v>
      </c>
      <c r="V20" s="3">
        <v>0</v>
      </c>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C21" t="s">
        <v>58</v>
      </c>
      <c r="D21" s="3"/>
      <c r="E21" s="3"/>
      <c r="F21" s="4" t="s">
        <v>39</v>
      </c>
      <c r="G21" s="3">
        <v>0</v>
      </c>
      <c r="H21" s="3"/>
      <c r="I21" s="3"/>
      <c r="J21" s="3"/>
      <c r="K21" s="3"/>
      <c r="L21" s="3"/>
      <c r="M21" s="3"/>
      <c r="N21" s="3"/>
      <c r="O21" s="3"/>
      <c r="P21" s="3"/>
      <c r="Q21" s="3"/>
      <c r="R21" s="3"/>
      <c r="S21" s="3"/>
      <c r="T21" s="3"/>
      <c r="U21" s="3">
        <v>0</v>
      </c>
      <c r="V21" s="3">
        <v>0</v>
      </c>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C22" t="s">
        <v>58</v>
      </c>
      <c r="D22" s="3"/>
      <c r="E22" s="3"/>
      <c r="F22" s="4" t="s">
        <v>39</v>
      </c>
      <c r="G22" s="3">
        <v>0</v>
      </c>
      <c r="H22" s="3"/>
      <c r="I22" s="3"/>
      <c r="J22" s="3"/>
      <c r="K22" s="3"/>
      <c r="L22" s="3"/>
      <c r="M22" s="3"/>
      <c r="N22" s="3"/>
      <c r="O22" s="3"/>
      <c r="P22" s="3"/>
      <c r="Q22" s="3"/>
      <c r="R22" s="3"/>
      <c r="S22" s="3"/>
      <c r="T22" s="3"/>
      <c r="U22" s="3">
        <v>0</v>
      </c>
      <c r="V22" s="3">
        <v>0</v>
      </c>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C23" t="s">
        <v>58</v>
      </c>
      <c r="D23" s="3"/>
      <c r="E23" s="3"/>
      <c r="F23" s="4" t="s">
        <v>39</v>
      </c>
      <c r="G23" s="3">
        <v>0</v>
      </c>
      <c r="H23" s="3"/>
      <c r="I23" s="3"/>
      <c r="J23" s="3"/>
      <c r="K23" s="3"/>
      <c r="L23" s="3"/>
      <c r="M23" s="3"/>
      <c r="N23" s="3"/>
      <c r="O23" s="3"/>
      <c r="P23" s="3"/>
      <c r="Q23" s="3"/>
      <c r="R23" s="3"/>
      <c r="S23" s="3"/>
      <c r="T23" s="3"/>
      <c r="U23" s="3">
        <v>0</v>
      </c>
      <c r="V23" s="3">
        <v>0</v>
      </c>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C24" t="s">
        <v>58</v>
      </c>
      <c r="D24" s="3"/>
      <c r="E24" s="3"/>
      <c r="F24" s="4" t="s">
        <v>39</v>
      </c>
      <c r="G24" s="3">
        <v>0</v>
      </c>
      <c r="H24" s="3"/>
      <c r="I24" s="3"/>
      <c r="J24" s="3"/>
      <c r="K24" s="3"/>
      <c r="L24" s="3"/>
      <c r="M24" s="3"/>
      <c r="N24" s="3"/>
      <c r="O24" s="3"/>
      <c r="P24" s="3"/>
      <c r="Q24" s="3"/>
      <c r="R24" s="3"/>
      <c r="S24" s="3"/>
      <c r="T24" s="3"/>
      <c r="U24" s="3">
        <v>0</v>
      </c>
      <c r="V24" s="3">
        <f>U8</f>
        <v>0.46906995711514637</v>
      </c>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C25" t="s">
        <v>58</v>
      </c>
      <c r="D25" s="3"/>
      <c r="E25" s="3"/>
      <c r="F25" s="4" t="s">
        <v>39</v>
      </c>
      <c r="G25" s="3">
        <v>0</v>
      </c>
      <c r="H25" s="3"/>
      <c r="I25" s="3"/>
      <c r="J25" s="3"/>
      <c r="K25" s="3"/>
      <c r="L25" s="3"/>
      <c r="M25" s="3"/>
      <c r="N25" s="3"/>
      <c r="O25" s="3"/>
      <c r="P25" s="3"/>
      <c r="Q25" s="3"/>
      <c r="R25" s="3"/>
      <c r="S25" s="3"/>
      <c r="T25" s="3"/>
      <c r="U25" s="3">
        <v>0</v>
      </c>
      <c r="V25" s="3">
        <f t="shared" ref="V25:V27" si="1">U9</f>
        <v>0.45552168429902706</v>
      </c>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C26" t="s">
        <v>58</v>
      </c>
      <c r="D26" s="3"/>
      <c r="E26" s="3"/>
      <c r="F26" s="4" t="s">
        <v>39</v>
      </c>
      <c r="G26" s="3">
        <v>0</v>
      </c>
      <c r="H26" s="3"/>
      <c r="I26" s="3"/>
      <c r="J26" s="3"/>
      <c r="K26" s="3"/>
      <c r="L26" s="3"/>
      <c r="M26" s="3"/>
      <c r="N26" s="3"/>
      <c r="O26" s="3"/>
      <c r="P26" s="3"/>
      <c r="Q26" s="3"/>
      <c r="R26" s="3"/>
      <c r="S26" s="3"/>
      <c r="T26" s="3"/>
      <c r="U26" s="3">
        <v>0</v>
      </c>
      <c r="V26" s="3">
        <f t="shared" si="1"/>
        <v>2.9978555096327686E-2</v>
      </c>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C27" t="s">
        <v>58</v>
      </c>
      <c r="D27" s="3"/>
      <c r="E27" s="3"/>
      <c r="F27" s="4" t="s">
        <v>39</v>
      </c>
      <c r="G27" s="3">
        <v>0</v>
      </c>
      <c r="H27" s="3"/>
      <c r="I27" s="3"/>
      <c r="J27" s="3"/>
      <c r="K27" s="3"/>
      <c r="L27" s="3"/>
      <c r="M27" s="3"/>
      <c r="N27" s="3"/>
      <c r="O27" s="3"/>
      <c r="P27" s="3"/>
      <c r="Q27" s="3"/>
      <c r="R27" s="3"/>
      <c r="S27" s="3"/>
      <c r="T27" s="3"/>
      <c r="U27" s="3">
        <v>0</v>
      </c>
      <c r="V27" s="3">
        <f t="shared" si="1"/>
        <v>4.136569165272317E-2</v>
      </c>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C28" t="s">
        <v>58</v>
      </c>
      <c r="D28" s="3"/>
      <c r="E28" s="3">
        <v>0</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C29" t="s">
        <v>58</v>
      </c>
      <c r="D29" s="3"/>
      <c r="E29" s="3">
        <v>0</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C30" t="s">
        <v>58</v>
      </c>
      <c r="D30" s="3"/>
      <c r="E30" s="3">
        <v>0</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C31" t="s">
        <v>58</v>
      </c>
      <c r="D31" s="3"/>
      <c r="E31" s="3">
        <v>0</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100</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C34" t="s">
        <v>58</v>
      </c>
      <c r="D34" s="3"/>
      <c r="E34" s="3"/>
      <c r="F34" s="4" t="s">
        <v>39</v>
      </c>
      <c r="G34" s="3">
        <f>'Disease Burden'!E2/SUM('Disease Burden'!$E$2:$E$15)</f>
        <v>2.3497719560945816E-3</v>
      </c>
      <c r="H34" s="3"/>
      <c r="I34" s="3"/>
      <c r="J34" s="3"/>
      <c r="K34" s="3"/>
      <c r="L34" s="3"/>
      <c r="M34" s="3"/>
      <c r="N34" s="3"/>
      <c r="O34" s="3"/>
      <c r="P34" s="3"/>
      <c r="Q34" s="3"/>
      <c r="R34" s="3"/>
      <c r="S34" s="3"/>
      <c r="T34" s="3"/>
      <c r="U34" s="3">
        <f>G34</f>
        <v>2.3497719560945816E-3</v>
      </c>
      <c r="V34" s="3">
        <v>0</v>
      </c>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C35" t="s">
        <v>58</v>
      </c>
      <c r="D35" s="3"/>
      <c r="E35" s="3"/>
      <c r="F35" s="4" t="s">
        <v>39</v>
      </c>
      <c r="G35" s="3">
        <f>'Disease Burden'!E3/SUM('Disease Burden'!$E$2:$E$15)</f>
        <v>1.102333551415951E-4</v>
      </c>
      <c r="H35" s="3"/>
      <c r="I35" s="3"/>
      <c r="J35" s="3"/>
      <c r="K35" s="3"/>
      <c r="L35" s="3"/>
      <c r="M35" s="3"/>
      <c r="N35" s="3"/>
      <c r="O35" s="3"/>
      <c r="P35" s="3"/>
      <c r="Q35" s="3"/>
      <c r="R35" s="3"/>
      <c r="S35" s="3"/>
      <c r="T35" s="3"/>
      <c r="U35" s="3">
        <f>G35</f>
        <v>1.102333551415951E-4</v>
      </c>
      <c r="V35" s="3">
        <v>0</v>
      </c>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C36" t="s">
        <v>58</v>
      </c>
      <c r="D36" s="3"/>
      <c r="E36" s="3">
        <v>0</v>
      </c>
      <c r="F36" s="4" t="s">
        <v>39</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C37" t="s">
        <v>58</v>
      </c>
      <c r="D37" s="3"/>
      <c r="E37" s="3">
        <v>0</v>
      </c>
      <c r="F37" s="4" t="s">
        <v>39</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C38" t="s">
        <v>58</v>
      </c>
      <c r="D38" s="3"/>
      <c r="E38" s="3">
        <v>0</v>
      </c>
      <c r="F38" s="4" t="s">
        <v>39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C39" t="s">
        <v>58</v>
      </c>
      <c r="D39" s="3"/>
      <c r="E39" s="3">
        <v>0</v>
      </c>
      <c r="F39" s="4" t="s">
        <v>39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C40" t="s">
        <v>58</v>
      </c>
      <c r="D40" s="3"/>
      <c r="E40" s="3">
        <v>0</v>
      </c>
      <c r="F40" s="4" t="s">
        <v>39</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C41" t="s">
        <v>58</v>
      </c>
      <c r="D41" s="3"/>
      <c r="E41" s="3">
        <v>0</v>
      </c>
      <c r="F41" s="4" t="s">
        <v>39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C42" t="s">
        <v>58</v>
      </c>
      <c r="D42" s="3"/>
      <c r="E42" s="3">
        <v>0</v>
      </c>
      <c r="F42" s="4" t="s">
        <v>39</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C43" t="s">
        <v>58</v>
      </c>
      <c r="D43" s="3"/>
      <c r="E43" s="3">
        <v>0</v>
      </c>
      <c r="F43" s="4" t="s">
        <v>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C44" t="s">
        <v>58</v>
      </c>
      <c r="D44" s="3"/>
      <c r="E44" s="3">
        <v>0</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C45" t="s">
        <v>58</v>
      </c>
      <c r="D45" s="3"/>
      <c r="E45" s="3">
        <v>0</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C46" t="s">
        <v>58</v>
      </c>
      <c r="D46" s="3"/>
      <c r="E46" s="3">
        <v>0</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C47" t="s">
        <v>58</v>
      </c>
      <c r="D47" s="3"/>
      <c r="E47" s="3">
        <v>0</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101</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C50" t="s">
        <v>58</v>
      </c>
      <c r="D50" s="3"/>
      <c r="E50" s="3"/>
      <c r="F50" s="4" t="s">
        <v>39</v>
      </c>
      <c r="G50" s="3">
        <v>0</v>
      </c>
      <c r="H50" s="3"/>
      <c r="I50" s="3"/>
      <c r="J50" s="3"/>
      <c r="K50" s="3"/>
      <c r="L50" s="3"/>
      <c r="M50" s="3"/>
      <c r="N50" s="3"/>
      <c r="O50" s="3"/>
      <c r="P50" s="3"/>
      <c r="Q50" s="3"/>
      <c r="R50" s="3"/>
      <c r="S50" s="3"/>
      <c r="T50" s="3"/>
      <c r="U50" s="3">
        <v>0</v>
      </c>
      <c r="V50" s="3">
        <f>U34</f>
        <v>2.3497719560945816E-3</v>
      </c>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C51" t="s">
        <v>58</v>
      </c>
      <c r="D51" s="3"/>
      <c r="E51" s="3"/>
      <c r="F51" s="4" t="s">
        <v>39</v>
      </c>
      <c r="G51" s="3">
        <v>0</v>
      </c>
      <c r="H51" s="3"/>
      <c r="I51" s="3"/>
      <c r="J51" s="3"/>
      <c r="K51" s="3"/>
      <c r="L51" s="3"/>
      <c r="M51" s="3"/>
      <c r="N51" s="3"/>
      <c r="O51" s="3"/>
      <c r="P51" s="3"/>
      <c r="Q51" s="3"/>
      <c r="R51" s="3"/>
      <c r="S51" s="3"/>
      <c r="T51" s="3"/>
      <c r="U51" s="3">
        <v>0</v>
      </c>
      <c r="V51" s="3">
        <f>U35</f>
        <v>1.102333551415951E-4</v>
      </c>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C52" t="s">
        <v>58</v>
      </c>
      <c r="D52" s="3"/>
      <c r="E52" s="3">
        <v>0</v>
      </c>
      <c r="F52" s="4" t="s">
        <v>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C53" t="s">
        <v>58</v>
      </c>
      <c r="D53" s="3"/>
      <c r="E53" s="3">
        <v>0</v>
      </c>
      <c r="F53" s="4" t="s">
        <v>39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C54" t="s">
        <v>58</v>
      </c>
      <c r="D54" s="3"/>
      <c r="E54" s="3">
        <v>0</v>
      </c>
      <c r="F54" s="4" t="s">
        <v>39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C55" t="s">
        <v>58</v>
      </c>
      <c r="D55" s="3"/>
      <c r="E55" s="3">
        <v>0</v>
      </c>
      <c r="F55" s="4" t="s">
        <v>39</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C56" t="s">
        <v>58</v>
      </c>
      <c r="D56" s="3"/>
      <c r="E56" s="3">
        <v>0</v>
      </c>
      <c r="F56" s="4" t="s">
        <v>39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C57" t="s">
        <v>58</v>
      </c>
      <c r="D57" s="3"/>
      <c r="E57" s="3">
        <v>0</v>
      </c>
      <c r="F57" s="4" t="s">
        <v>39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C58" t="s">
        <v>58</v>
      </c>
      <c r="D58" s="3"/>
      <c r="E58" s="3">
        <v>0</v>
      </c>
      <c r="F58" s="4" t="s">
        <v>39</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C59" t="s">
        <v>58</v>
      </c>
      <c r="D59" s="3"/>
      <c r="E59" s="3">
        <v>0</v>
      </c>
      <c r="F59" s="4" t="s">
        <v>39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C60" t="s">
        <v>58</v>
      </c>
      <c r="D60" s="3"/>
      <c r="E60" s="3">
        <v>0</v>
      </c>
      <c r="F60" s="4" t="s">
        <v>39</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C61" t="s">
        <v>58</v>
      </c>
      <c r="D61" s="3"/>
      <c r="E61" s="3">
        <v>0</v>
      </c>
      <c r="F61" s="4" t="s">
        <v>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C62" t="s">
        <v>58</v>
      </c>
      <c r="D62" s="3"/>
      <c r="E62" s="3">
        <v>0</v>
      </c>
      <c r="F62" s="4" t="s">
        <v>39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C63" t="s">
        <v>58</v>
      </c>
      <c r="D63" s="3"/>
      <c r="E63" s="3">
        <v>0</v>
      </c>
      <c r="F63" s="4" t="s">
        <v>39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row r="65" spans="1:57" x14ac:dyDescent="0.25">
      <c r="A65" s="1" t="s">
        <v>102</v>
      </c>
      <c r="B65" s="1" t="s">
        <v>31</v>
      </c>
      <c r="C65" s="1" t="s">
        <v>32</v>
      </c>
      <c r="D65" s="1" t="s">
        <v>33</v>
      </c>
      <c r="E65" s="1" t="s">
        <v>38</v>
      </c>
      <c r="F65" s="1"/>
      <c r="G65" s="1">
        <v>2000</v>
      </c>
      <c r="H65" s="1">
        <v>2001</v>
      </c>
      <c r="I65" s="1">
        <v>2002</v>
      </c>
      <c r="J65" s="1">
        <v>2003</v>
      </c>
      <c r="K65" s="1">
        <v>2004</v>
      </c>
      <c r="L65" s="1">
        <v>2005</v>
      </c>
      <c r="M65" s="1">
        <v>2006</v>
      </c>
      <c r="N65" s="1">
        <v>2007</v>
      </c>
      <c r="O65" s="1">
        <v>2008</v>
      </c>
      <c r="P65" s="1">
        <v>2009</v>
      </c>
      <c r="Q65" s="1">
        <v>2010</v>
      </c>
      <c r="R65" s="1">
        <v>2011</v>
      </c>
      <c r="S65" s="1">
        <v>2012</v>
      </c>
      <c r="T65" s="1">
        <v>2013</v>
      </c>
      <c r="U65" s="1">
        <v>2014</v>
      </c>
      <c r="V65" s="1">
        <v>2015</v>
      </c>
      <c r="W65" s="1">
        <v>2016</v>
      </c>
      <c r="X65" s="1">
        <v>2017</v>
      </c>
      <c r="Y65" s="1">
        <v>2018</v>
      </c>
      <c r="Z65" s="1">
        <v>2019</v>
      </c>
      <c r="AA65" s="1">
        <v>2020</v>
      </c>
      <c r="AB65" s="1">
        <v>2021</v>
      </c>
      <c r="AC65" s="1">
        <v>2022</v>
      </c>
      <c r="AD65" s="1">
        <v>2023</v>
      </c>
      <c r="AE65" s="1">
        <v>2024</v>
      </c>
      <c r="AF65" s="1">
        <v>2025</v>
      </c>
      <c r="AG65" s="1">
        <v>2026</v>
      </c>
      <c r="AH65" s="1">
        <v>2027</v>
      </c>
      <c r="AI65" s="1">
        <v>2028</v>
      </c>
      <c r="AJ65" s="1">
        <v>2029</v>
      </c>
      <c r="AK65" s="1">
        <v>2030</v>
      </c>
      <c r="AL65" s="1">
        <v>2031</v>
      </c>
      <c r="AM65" s="1">
        <v>2032</v>
      </c>
      <c r="AN65" s="1">
        <v>2033</v>
      </c>
      <c r="AO65" s="1">
        <v>2034</v>
      </c>
      <c r="AP65" s="1">
        <v>2035</v>
      </c>
      <c r="AQ65" s="1">
        <v>2036</v>
      </c>
      <c r="AR65" s="1">
        <v>2037</v>
      </c>
      <c r="AS65" s="1">
        <v>2038</v>
      </c>
      <c r="AT65" s="1">
        <v>2039</v>
      </c>
      <c r="AU65" s="1">
        <v>2040</v>
      </c>
      <c r="AV65" s="1">
        <v>2041</v>
      </c>
      <c r="AW65" s="1">
        <v>2042</v>
      </c>
      <c r="AX65" s="1">
        <v>2043</v>
      </c>
      <c r="AY65" s="1">
        <v>2044</v>
      </c>
      <c r="AZ65" s="1">
        <v>2045</v>
      </c>
      <c r="BA65" s="1">
        <v>2046</v>
      </c>
      <c r="BB65" s="1">
        <v>2047</v>
      </c>
      <c r="BC65" s="1">
        <v>2048</v>
      </c>
      <c r="BD65" s="1">
        <v>2049</v>
      </c>
      <c r="BE65" s="1">
        <v>2050</v>
      </c>
    </row>
    <row r="66" spans="1:57" x14ac:dyDescent="0.25">
      <c r="A66" s="1" t="str">
        <f>'Population Definitions'!$A$2</f>
        <v>PWID_males</v>
      </c>
      <c r="C66" t="s">
        <v>63</v>
      </c>
      <c r="D66" s="3"/>
      <c r="E66" s="3"/>
      <c r="F66" s="4" t="s">
        <v>39</v>
      </c>
      <c r="G66" s="3"/>
      <c r="H66" s="3"/>
      <c r="I66" s="3"/>
      <c r="J66" s="3"/>
      <c r="K66" s="3"/>
      <c r="L66" s="3"/>
      <c r="M66" s="3"/>
      <c r="N66" s="3"/>
      <c r="O66" s="3"/>
      <c r="P66" s="3"/>
      <c r="Q66" s="3"/>
      <c r="R66" s="3"/>
      <c r="S66" s="3"/>
      <c r="T66" s="3"/>
      <c r="U66" s="3"/>
      <c r="V66" s="3">
        <v>0.46</v>
      </c>
      <c r="W66" s="3">
        <v>0.23</v>
      </c>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row>
    <row r="67" spans="1:57" x14ac:dyDescent="0.25">
      <c r="A67" s="1" t="str">
        <f>'Population Definitions'!$A$3</f>
        <v>PWID_females</v>
      </c>
      <c r="C67" t="s">
        <v>63</v>
      </c>
      <c r="D67" s="3"/>
      <c r="E67" s="3"/>
      <c r="F67" s="4" t="s">
        <v>39</v>
      </c>
      <c r="G67" s="3"/>
      <c r="H67" s="3"/>
      <c r="I67" s="3"/>
      <c r="J67" s="3"/>
      <c r="K67" s="3"/>
      <c r="L67" s="3"/>
      <c r="M67" s="3"/>
      <c r="N67" s="3"/>
      <c r="O67" s="3"/>
      <c r="P67" s="3"/>
      <c r="Q67" s="3"/>
      <c r="R67" s="3"/>
      <c r="S67" s="3"/>
      <c r="T67" s="3"/>
      <c r="U67" s="3"/>
      <c r="V67" s="3">
        <v>0.46</v>
      </c>
      <c r="W67" s="3">
        <v>0.23</v>
      </c>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row>
    <row r="68" spans="1:57" x14ac:dyDescent="0.25">
      <c r="A68" s="1" t="str">
        <f>'Population Definitions'!$A$4</f>
        <v>0-9_males</v>
      </c>
      <c r="C68" t="s">
        <v>63</v>
      </c>
      <c r="D68" s="3"/>
      <c r="E68" s="3"/>
      <c r="F68" s="4" t="s">
        <v>39</v>
      </c>
      <c r="G68" s="3"/>
      <c r="H68" s="3"/>
      <c r="I68" s="3"/>
      <c r="J68" s="3"/>
      <c r="K68" s="3"/>
      <c r="L68" s="3"/>
      <c r="M68" s="3"/>
      <c r="N68" s="3"/>
      <c r="O68" s="3"/>
      <c r="P68" s="3"/>
      <c r="Q68" s="3"/>
      <c r="R68" s="3"/>
      <c r="S68" s="3"/>
      <c r="T68" s="3"/>
      <c r="U68" s="3"/>
      <c r="V68" s="3">
        <v>0.46</v>
      </c>
      <c r="W68" s="3">
        <v>0.23</v>
      </c>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row>
    <row r="69" spans="1:57" x14ac:dyDescent="0.25">
      <c r="A69" s="1" t="str">
        <f>'Population Definitions'!$A$5</f>
        <v>0-9_females</v>
      </c>
      <c r="C69" t="s">
        <v>63</v>
      </c>
      <c r="D69" s="3"/>
      <c r="E69" s="3"/>
      <c r="F69" s="4" t="s">
        <v>39</v>
      </c>
      <c r="G69" s="3"/>
      <c r="H69" s="3"/>
      <c r="I69" s="3"/>
      <c r="J69" s="3"/>
      <c r="K69" s="3"/>
      <c r="L69" s="3"/>
      <c r="M69" s="3"/>
      <c r="N69" s="3"/>
      <c r="O69" s="3"/>
      <c r="P69" s="3"/>
      <c r="Q69" s="3"/>
      <c r="R69" s="3"/>
      <c r="S69" s="3"/>
      <c r="T69" s="3"/>
      <c r="U69" s="3"/>
      <c r="V69" s="3">
        <v>0.46</v>
      </c>
      <c r="W69" s="3">
        <v>0.23</v>
      </c>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row>
    <row r="70" spans="1:57" x14ac:dyDescent="0.25">
      <c r="A70" s="1" t="str">
        <f>'Population Definitions'!$A$6</f>
        <v>10-17_males</v>
      </c>
      <c r="C70" t="s">
        <v>63</v>
      </c>
      <c r="D70" s="3"/>
      <c r="E70" s="3"/>
      <c r="F70" s="4" t="s">
        <v>39</v>
      </c>
      <c r="G70" s="3"/>
      <c r="H70" s="3"/>
      <c r="I70" s="3"/>
      <c r="J70" s="3"/>
      <c r="K70" s="3"/>
      <c r="L70" s="3"/>
      <c r="M70" s="3"/>
      <c r="N70" s="3"/>
      <c r="O70" s="3"/>
      <c r="P70" s="3"/>
      <c r="Q70" s="3"/>
      <c r="R70" s="3"/>
      <c r="S70" s="3"/>
      <c r="T70" s="3"/>
      <c r="U70" s="3"/>
      <c r="V70" s="3">
        <v>0.46</v>
      </c>
      <c r="W70" s="3">
        <v>0.23</v>
      </c>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spans="1:57" x14ac:dyDescent="0.25">
      <c r="A71" s="1" t="str">
        <f>'Population Definitions'!$A$7</f>
        <v>10-17_females</v>
      </c>
      <c r="C71" t="s">
        <v>63</v>
      </c>
      <c r="D71" s="3"/>
      <c r="E71" s="3"/>
      <c r="F71" s="4" t="s">
        <v>39</v>
      </c>
      <c r="G71" s="3"/>
      <c r="H71" s="3"/>
      <c r="I71" s="3"/>
      <c r="J71" s="3"/>
      <c r="K71" s="3"/>
      <c r="L71" s="3"/>
      <c r="M71" s="3"/>
      <c r="N71" s="3"/>
      <c r="O71" s="3"/>
      <c r="P71" s="3"/>
      <c r="Q71" s="3"/>
      <c r="R71" s="3"/>
      <c r="S71" s="3"/>
      <c r="T71" s="3"/>
      <c r="U71" s="3"/>
      <c r="V71" s="3">
        <v>0.46</v>
      </c>
      <c r="W71" s="3">
        <v>0.23</v>
      </c>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spans="1:57" x14ac:dyDescent="0.25">
      <c r="A72" s="1" t="str">
        <f>'Population Definitions'!$A$8</f>
        <v>18-64_males</v>
      </c>
      <c r="C72" t="s">
        <v>63</v>
      </c>
      <c r="D72" s="3"/>
      <c r="E72" s="3"/>
      <c r="F72" s="4" t="s">
        <v>39</v>
      </c>
      <c r="G72" s="3"/>
      <c r="H72" s="3"/>
      <c r="I72" s="3"/>
      <c r="J72" s="3"/>
      <c r="K72" s="3"/>
      <c r="L72" s="3"/>
      <c r="M72" s="3"/>
      <c r="N72" s="3"/>
      <c r="O72" s="3"/>
      <c r="P72" s="3"/>
      <c r="Q72" s="3"/>
      <c r="R72" s="3"/>
      <c r="S72" s="3"/>
      <c r="T72" s="3"/>
      <c r="U72" s="3"/>
      <c r="V72" s="3">
        <v>0.46</v>
      </c>
      <c r="W72" s="3">
        <v>0.23</v>
      </c>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spans="1:57" x14ac:dyDescent="0.25">
      <c r="A73" s="1" t="str">
        <f>'Population Definitions'!$A$9</f>
        <v>18-64_females</v>
      </c>
      <c r="C73" t="s">
        <v>63</v>
      </c>
      <c r="D73" s="3"/>
      <c r="E73" s="3"/>
      <c r="F73" s="4" t="s">
        <v>39</v>
      </c>
      <c r="G73" s="3"/>
      <c r="H73" s="3"/>
      <c r="I73" s="3"/>
      <c r="J73" s="3"/>
      <c r="K73" s="3"/>
      <c r="L73" s="3"/>
      <c r="M73" s="3"/>
      <c r="N73" s="3"/>
      <c r="O73" s="3"/>
      <c r="P73" s="3"/>
      <c r="Q73" s="3"/>
      <c r="R73" s="3"/>
      <c r="S73" s="3"/>
      <c r="T73" s="3"/>
      <c r="U73" s="3"/>
      <c r="V73" s="3">
        <v>0.46</v>
      </c>
      <c r="W73" s="3">
        <v>0.23</v>
      </c>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spans="1:57" x14ac:dyDescent="0.25">
      <c r="A74" s="1" t="str">
        <f>'Population Definitions'!$A$10</f>
        <v>65+_males</v>
      </c>
      <c r="C74" t="s">
        <v>63</v>
      </c>
      <c r="D74" s="3"/>
      <c r="E74" s="3"/>
      <c r="F74" s="4" t="s">
        <v>39</v>
      </c>
      <c r="G74" s="3"/>
      <c r="H74" s="3"/>
      <c r="I74" s="3"/>
      <c r="J74" s="3"/>
      <c r="K74" s="3"/>
      <c r="L74" s="3"/>
      <c r="M74" s="3"/>
      <c r="N74" s="3"/>
      <c r="O74" s="3"/>
      <c r="P74" s="3"/>
      <c r="Q74" s="3"/>
      <c r="R74" s="3"/>
      <c r="S74" s="3"/>
      <c r="T74" s="3"/>
      <c r="U74" s="3"/>
      <c r="V74" s="3">
        <v>0.46</v>
      </c>
      <c r="W74" s="3">
        <v>0.23</v>
      </c>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spans="1:57" x14ac:dyDescent="0.25">
      <c r="A75" s="1" t="str">
        <f>'Population Definitions'!$A$11</f>
        <v>65+_females</v>
      </c>
      <c r="C75" t="s">
        <v>63</v>
      </c>
      <c r="D75" s="3"/>
      <c r="E75" s="3"/>
      <c r="F75" s="4" t="s">
        <v>39</v>
      </c>
      <c r="G75" s="3"/>
      <c r="H75" s="3"/>
      <c r="I75" s="3"/>
      <c r="J75" s="3"/>
      <c r="K75" s="3"/>
      <c r="L75" s="3"/>
      <c r="M75" s="3"/>
      <c r="N75" s="3"/>
      <c r="O75" s="3"/>
      <c r="P75" s="3"/>
      <c r="Q75" s="3"/>
      <c r="R75" s="3"/>
      <c r="S75" s="3"/>
      <c r="T75" s="3"/>
      <c r="U75" s="3"/>
      <c r="V75" s="3">
        <v>0.46</v>
      </c>
      <c r="W75" s="3">
        <v>0.23</v>
      </c>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spans="1:57" x14ac:dyDescent="0.25">
      <c r="A76" s="1" t="str">
        <f>'Population Definitions'!$A$12</f>
        <v>Prisoners_males</v>
      </c>
      <c r="C76" t="s">
        <v>63</v>
      </c>
      <c r="D76" s="3"/>
      <c r="E76" s="3"/>
      <c r="F76" s="4" t="s">
        <v>39</v>
      </c>
      <c r="G76" s="3"/>
      <c r="H76" s="3"/>
      <c r="I76" s="3"/>
      <c r="J76" s="3"/>
      <c r="K76" s="3"/>
      <c r="L76" s="3"/>
      <c r="M76" s="3"/>
      <c r="N76" s="3"/>
      <c r="O76" s="3"/>
      <c r="P76" s="3"/>
      <c r="Q76" s="3"/>
      <c r="R76" s="3"/>
      <c r="S76" s="3"/>
      <c r="T76" s="3"/>
      <c r="U76" s="3"/>
      <c r="V76" s="3">
        <v>0.46</v>
      </c>
      <c r="W76" s="3">
        <v>0.23</v>
      </c>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row>
    <row r="77" spans="1:57" x14ac:dyDescent="0.25">
      <c r="A77" s="1" t="str">
        <f>'Population Definitions'!$A$13</f>
        <v>Prisoners_females</v>
      </c>
      <c r="C77" t="s">
        <v>63</v>
      </c>
      <c r="D77" s="3"/>
      <c r="E77" s="3"/>
      <c r="F77" s="4" t="s">
        <v>39</v>
      </c>
      <c r="G77" s="3"/>
      <c r="H77" s="3"/>
      <c r="I77" s="3"/>
      <c r="J77" s="3"/>
      <c r="K77" s="3"/>
      <c r="L77" s="3"/>
      <c r="M77" s="3"/>
      <c r="N77" s="3"/>
      <c r="O77" s="3"/>
      <c r="P77" s="3"/>
      <c r="Q77" s="3"/>
      <c r="R77" s="3"/>
      <c r="S77" s="3"/>
      <c r="T77" s="3"/>
      <c r="U77" s="3"/>
      <c r="V77" s="3">
        <v>0.46</v>
      </c>
      <c r="W77" s="3">
        <v>0.23</v>
      </c>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row>
    <row r="78" spans="1:57" x14ac:dyDescent="0.25">
      <c r="A78" s="1" t="str">
        <f>'Population Definitions'!$A$14</f>
        <v>Prisoners_PWID_males</v>
      </c>
      <c r="C78" t="s">
        <v>63</v>
      </c>
      <c r="D78" s="3"/>
      <c r="E78" s="3"/>
      <c r="F78" s="4" t="s">
        <v>39</v>
      </c>
      <c r="G78" s="3"/>
      <c r="H78" s="3"/>
      <c r="I78" s="3"/>
      <c r="J78" s="3"/>
      <c r="K78" s="3"/>
      <c r="L78" s="3"/>
      <c r="M78" s="3"/>
      <c r="N78" s="3"/>
      <c r="O78" s="3"/>
      <c r="P78" s="3"/>
      <c r="Q78" s="3"/>
      <c r="R78" s="3"/>
      <c r="S78" s="3"/>
      <c r="T78" s="3"/>
      <c r="U78" s="3"/>
      <c r="V78" s="3">
        <v>0.46</v>
      </c>
      <c r="W78" s="3">
        <v>0.23</v>
      </c>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row>
    <row r="79" spans="1:57" x14ac:dyDescent="0.25">
      <c r="A79" s="1" t="str">
        <f>'Population Definitions'!$A$15</f>
        <v>Prisoners_PWID_females</v>
      </c>
      <c r="C79" t="s">
        <v>63</v>
      </c>
      <c r="D79" s="3"/>
      <c r="E79" s="3"/>
      <c r="F79" s="4" t="s">
        <v>39</v>
      </c>
      <c r="G79" s="3"/>
      <c r="H79" s="3"/>
      <c r="I79" s="3"/>
      <c r="J79" s="3"/>
      <c r="K79" s="3"/>
      <c r="L79" s="3"/>
      <c r="M79" s="3"/>
      <c r="N79" s="3"/>
      <c r="O79" s="3"/>
      <c r="P79" s="3"/>
      <c r="Q79" s="3"/>
      <c r="R79" s="3"/>
      <c r="S79" s="3"/>
      <c r="T79" s="3"/>
      <c r="U79" s="3"/>
      <c r="V79" s="3">
        <v>0.46</v>
      </c>
      <c r="W79" s="3">
        <v>0.23</v>
      </c>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row>
    <row r="81" spans="1:57" x14ac:dyDescent="0.25">
      <c r="A81" s="1" t="s">
        <v>103</v>
      </c>
      <c r="B81" s="1" t="s">
        <v>31</v>
      </c>
      <c r="C81" s="1" t="s">
        <v>32</v>
      </c>
      <c r="D81" s="1" t="s">
        <v>33</v>
      </c>
      <c r="E81" s="1" t="s">
        <v>38</v>
      </c>
      <c r="F81" s="1"/>
      <c r="G81" s="1">
        <v>2000</v>
      </c>
      <c r="H81" s="1">
        <v>2001</v>
      </c>
      <c r="I81" s="1">
        <v>2002</v>
      </c>
      <c r="J81" s="1">
        <v>2003</v>
      </c>
      <c r="K81" s="1">
        <v>2004</v>
      </c>
      <c r="L81" s="1">
        <v>2005</v>
      </c>
      <c r="M81" s="1">
        <v>2006</v>
      </c>
      <c r="N81" s="1">
        <v>2007</v>
      </c>
      <c r="O81" s="1">
        <v>2008</v>
      </c>
      <c r="P81" s="1">
        <v>2009</v>
      </c>
      <c r="Q81" s="1">
        <v>2010</v>
      </c>
      <c r="R81" s="1">
        <v>2011</v>
      </c>
      <c r="S81" s="1">
        <v>2012</v>
      </c>
      <c r="T81" s="1">
        <v>2013</v>
      </c>
      <c r="U81" s="1">
        <v>2014</v>
      </c>
      <c r="V81" s="1">
        <v>2015</v>
      </c>
      <c r="W81" s="1">
        <v>2016</v>
      </c>
      <c r="X81" s="1">
        <v>2017</v>
      </c>
      <c r="Y81" s="1">
        <v>2018</v>
      </c>
      <c r="Z81" s="1">
        <v>2019</v>
      </c>
      <c r="AA81" s="1">
        <v>2020</v>
      </c>
      <c r="AB81" s="1">
        <v>2021</v>
      </c>
      <c r="AC81" s="1">
        <v>2022</v>
      </c>
      <c r="AD81" s="1">
        <v>2023</v>
      </c>
      <c r="AE81" s="1">
        <v>2024</v>
      </c>
      <c r="AF81" s="1">
        <v>2025</v>
      </c>
      <c r="AG81" s="1">
        <v>2026</v>
      </c>
      <c r="AH81" s="1">
        <v>2027</v>
      </c>
      <c r="AI81" s="1">
        <v>2028</v>
      </c>
      <c r="AJ81" s="1">
        <v>2029</v>
      </c>
      <c r="AK81" s="1">
        <v>2030</v>
      </c>
      <c r="AL81" s="1">
        <v>2031</v>
      </c>
      <c r="AM81" s="1">
        <v>2032</v>
      </c>
      <c r="AN81" s="1">
        <v>2033</v>
      </c>
      <c r="AO81" s="1">
        <v>2034</v>
      </c>
      <c r="AP81" s="1">
        <v>2035</v>
      </c>
      <c r="AQ81" s="1">
        <v>2036</v>
      </c>
      <c r="AR81" s="1">
        <v>2037</v>
      </c>
      <c r="AS81" s="1">
        <v>2038</v>
      </c>
      <c r="AT81" s="1">
        <v>2039</v>
      </c>
      <c r="AU81" s="1">
        <v>2040</v>
      </c>
      <c r="AV81" s="1">
        <v>2041</v>
      </c>
      <c r="AW81" s="1">
        <v>2042</v>
      </c>
      <c r="AX81" s="1">
        <v>2043</v>
      </c>
      <c r="AY81" s="1">
        <v>2044</v>
      </c>
      <c r="AZ81" s="1">
        <v>2045</v>
      </c>
      <c r="BA81" s="1">
        <v>2046</v>
      </c>
      <c r="BB81" s="1">
        <v>2047</v>
      </c>
      <c r="BC81" s="1">
        <v>2048</v>
      </c>
      <c r="BD81" s="1">
        <v>2049</v>
      </c>
      <c r="BE81" s="1">
        <v>2050</v>
      </c>
    </row>
    <row r="82" spans="1:57" x14ac:dyDescent="0.25">
      <c r="A82" s="1" t="str">
        <f>'Population Definitions'!$A$2</f>
        <v>PWID_males</v>
      </c>
      <c r="C82" t="s">
        <v>50</v>
      </c>
      <c r="D82" s="3"/>
      <c r="E82" s="3"/>
      <c r="F82" s="4" t="s">
        <v>39</v>
      </c>
      <c r="G82" s="3"/>
      <c r="H82" s="3"/>
      <c r="I82" s="3"/>
      <c r="J82" s="3"/>
      <c r="K82" s="3"/>
      <c r="L82" s="3"/>
      <c r="M82" s="3"/>
      <c r="N82" s="3"/>
      <c r="O82" s="3"/>
      <c r="P82" s="3"/>
      <c r="Q82" s="3"/>
      <c r="R82" s="3"/>
      <c r="S82" s="3"/>
      <c r="T82" s="3"/>
      <c r="U82" s="3"/>
      <c r="V82" s="3">
        <v>0.5</v>
      </c>
      <c r="W82" s="3">
        <v>0.95</v>
      </c>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row>
    <row r="83" spans="1:57" x14ac:dyDescent="0.25">
      <c r="A83" s="1" t="str">
        <f>'Population Definitions'!$A$3</f>
        <v>PWID_females</v>
      </c>
      <c r="C83" t="s">
        <v>50</v>
      </c>
      <c r="D83" s="3"/>
      <c r="E83" s="3"/>
      <c r="F83" s="4" t="s">
        <v>39</v>
      </c>
      <c r="G83" s="3"/>
      <c r="H83" s="3"/>
      <c r="I83" s="3"/>
      <c r="J83" s="3"/>
      <c r="K83" s="3"/>
      <c r="L83" s="3"/>
      <c r="M83" s="3"/>
      <c r="N83" s="3"/>
      <c r="O83" s="3"/>
      <c r="P83" s="3"/>
      <c r="Q83" s="3"/>
      <c r="R83" s="3"/>
      <c r="S83" s="3"/>
      <c r="T83" s="3"/>
      <c r="U83" s="3"/>
      <c r="V83" s="3">
        <v>0.5</v>
      </c>
      <c r="W83" s="3">
        <v>0.95</v>
      </c>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spans="1:57" x14ac:dyDescent="0.25">
      <c r="A84" s="1" t="str">
        <f>'Population Definitions'!$A$4</f>
        <v>0-9_males</v>
      </c>
      <c r="C84" t="s">
        <v>50</v>
      </c>
      <c r="D84" s="3"/>
      <c r="E84" s="3"/>
      <c r="F84" s="4" t="s">
        <v>39</v>
      </c>
      <c r="G84" s="3"/>
      <c r="H84" s="3"/>
      <c r="I84" s="3"/>
      <c r="J84" s="3"/>
      <c r="K84" s="3"/>
      <c r="L84" s="3"/>
      <c r="M84" s="3"/>
      <c r="N84" s="3"/>
      <c r="O84" s="3"/>
      <c r="P84" s="3"/>
      <c r="Q84" s="3"/>
      <c r="R84" s="3"/>
      <c r="S84" s="3"/>
      <c r="T84" s="3"/>
      <c r="U84" s="3"/>
      <c r="V84" s="3">
        <v>0.5</v>
      </c>
      <c r="W84" s="3">
        <v>0.95</v>
      </c>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5" spans="1:57" x14ac:dyDescent="0.25">
      <c r="A85" s="1" t="str">
        <f>'Population Definitions'!$A$5</f>
        <v>0-9_females</v>
      </c>
      <c r="C85" t="s">
        <v>50</v>
      </c>
      <c r="D85" s="3"/>
      <c r="E85" s="3"/>
      <c r="F85" s="4" t="s">
        <v>39</v>
      </c>
      <c r="G85" s="3"/>
      <c r="H85" s="3"/>
      <c r="I85" s="3"/>
      <c r="J85" s="3"/>
      <c r="K85" s="3"/>
      <c r="L85" s="3"/>
      <c r="M85" s="3"/>
      <c r="N85" s="3"/>
      <c r="O85" s="3"/>
      <c r="P85" s="3"/>
      <c r="Q85" s="3"/>
      <c r="R85" s="3"/>
      <c r="S85" s="3"/>
      <c r="T85" s="3"/>
      <c r="U85" s="3"/>
      <c r="V85" s="3">
        <v>0.5</v>
      </c>
      <c r="W85" s="3">
        <v>0.95</v>
      </c>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row>
    <row r="86" spans="1:57" x14ac:dyDescent="0.25">
      <c r="A86" s="1" t="str">
        <f>'Population Definitions'!$A$6</f>
        <v>10-17_males</v>
      </c>
      <c r="C86" t="s">
        <v>50</v>
      </c>
      <c r="D86" s="3"/>
      <c r="E86" s="3"/>
      <c r="F86" s="4" t="s">
        <v>39</v>
      </c>
      <c r="G86" s="3"/>
      <c r="H86" s="3"/>
      <c r="I86" s="3"/>
      <c r="J86" s="3"/>
      <c r="K86" s="3"/>
      <c r="L86" s="3"/>
      <c r="M86" s="3"/>
      <c r="N86" s="3"/>
      <c r="O86" s="3"/>
      <c r="P86" s="3"/>
      <c r="Q86" s="3"/>
      <c r="R86" s="3"/>
      <c r="S86" s="3"/>
      <c r="T86" s="3"/>
      <c r="U86" s="3"/>
      <c r="V86" s="3">
        <v>0.5</v>
      </c>
      <c r="W86" s="3">
        <v>0.95</v>
      </c>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row>
    <row r="87" spans="1:57" x14ac:dyDescent="0.25">
      <c r="A87" s="1" t="str">
        <f>'Population Definitions'!$A$7</f>
        <v>10-17_females</v>
      </c>
      <c r="C87" t="s">
        <v>50</v>
      </c>
      <c r="D87" s="3"/>
      <c r="E87" s="3"/>
      <c r="F87" s="4" t="s">
        <v>39</v>
      </c>
      <c r="G87" s="3"/>
      <c r="H87" s="3"/>
      <c r="I87" s="3"/>
      <c r="J87" s="3"/>
      <c r="K87" s="3"/>
      <c r="L87" s="3"/>
      <c r="M87" s="3"/>
      <c r="N87" s="3"/>
      <c r="O87" s="3"/>
      <c r="P87" s="3"/>
      <c r="Q87" s="3"/>
      <c r="R87" s="3"/>
      <c r="S87" s="3"/>
      <c r="T87" s="3"/>
      <c r="U87" s="3"/>
      <c r="V87" s="3">
        <v>0.5</v>
      </c>
      <c r="W87" s="3">
        <v>0.95</v>
      </c>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spans="1:57" x14ac:dyDescent="0.25">
      <c r="A88" s="1" t="str">
        <f>'Population Definitions'!$A$8</f>
        <v>18-64_males</v>
      </c>
      <c r="C88" t="s">
        <v>50</v>
      </c>
      <c r="D88" s="3"/>
      <c r="E88" s="3"/>
      <c r="F88" s="4" t="s">
        <v>39</v>
      </c>
      <c r="G88" s="3"/>
      <c r="H88" s="3"/>
      <c r="I88" s="3"/>
      <c r="J88" s="3"/>
      <c r="K88" s="3"/>
      <c r="L88" s="3"/>
      <c r="M88" s="3"/>
      <c r="N88" s="3"/>
      <c r="O88" s="3"/>
      <c r="P88" s="3"/>
      <c r="Q88" s="3"/>
      <c r="R88" s="3"/>
      <c r="S88" s="3"/>
      <c r="T88" s="3"/>
      <c r="U88" s="3"/>
      <c r="V88" s="3">
        <v>0.5</v>
      </c>
      <c r="W88" s="3">
        <v>0.95</v>
      </c>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spans="1:57" x14ac:dyDescent="0.25">
      <c r="A89" s="1" t="str">
        <f>'Population Definitions'!$A$9</f>
        <v>18-64_females</v>
      </c>
      <c r="C89" t="s">
        <v>50</v>
      </c>
      <c r="D89" s="3"/>
      <c r="E89" s="3"/>
      <c r="F89" s="4" t="s">
        <v>39</v>
      </c>
      <c r="G89" s="3"/>
      <c r="H89" s="3"/>
      <c r="I89" s="3"/>
      <c r="J89" s="3"/>
      <c r="K89" s="3"/>
      <c r="L89" s="3"/>
      <c r="M89" s="3"/>
      <c r="N89" s="3"/>
      <c r="O89" s="3"/>
      <c r="P89" s="3"/>
      <c r="Q89" s="3"/>
      <c r="R89" s="3"/>
      <c r="S89" s="3"/>
      <c r="T89" s="3"/>
      <c r="U89" s="3"/>
      <c r="V89" s="3">
        <v>0.5</v>
      </c>
      <c r="W89" s="3">
        <v>0.95</v>
      </c>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spans="1:57" x14ac:dyDescent="0.25">
      <c r="A90" s="1" t="str">
        <f>'Population Definitions'!$A$10</f>
        <v>65+_males</v>
      </c>
      <c r="C90" t="s">
        <v>50</v>
      </c>
      <c r="D90" s="3"/>
      <c r="E90" s="3"/>
      <c r="F90" s="4" t="s">
        <v>39</v>
      </c>
      <c r="G90" s="3"/>
      <c r="H90" s="3"/>
      <c r="I90" s="3"/>
      <c r="J90" s="3"/>
      <c r="K90" s="3"/>
      <c r="L90" s="3"/>
      <c r="M90" s="3"/>
      <c r="N90" s="3"/>
      <c r="O90" s="3"/>
      <c r="P90" s="3"/>
      <c r="Q90" s="3"/>
      <c r="R90" s="3"/>
      <c r="S90" s="3"/>
      <c r="T90" s="3"/>
      <c r="U90" s="3"/>
      <c r="V90" s="3">
        <v>0.5</v>
      </c>
      <c r="W90" s="3">
        <v>0.95</v>
      </c>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spans="1:57" x14ac:dyDescent="0.25">
      <c r="A91" s="1" t="str">
        <f>'Population Definitions'!$A$11</f>
        <v>65+_females</v>
      </c>
      <c r="C91" t="s">
        <v>50</v>
      </c>
      <c r="D91" s="3"/>
      <c r="E91" s="3"/>
      <c r="F91" s="4" t="s">
        <v>39</v>
      </c>
      <c r="G91" s="3"/>
      <c r="H91" s="3"/>
      <c r="I91" s="3"/>
      <c r="J91" s="3"/>
      <c r="K91" s="3"/>
      <c r="L91" s="3"/>
      <c r="M91" s="3"/>
      <c r="N91" s="3"/>
      <c r="O91" s="3"/>
      <c r="P91" s="3"/>
      <c r="Q91" s="3"/>
      <c r="R91" s="3"/>
      <c r="S91" s="3"/>
      <c r="T91" s="3"/>
      <c r="U91" s="3"/>
      <c r="V91" s="3">
        <v>0.5</v>
      </c>
      <c r="W91" s="3">
        <v>0.95</v>
      </c>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spans="1:57" x14ac:dyDescent="0.25">
      <c r="A92" s="1" t="str">
        <f>'Population Definitions'!$A$12</f>
        <v>Prisoners_males</v>
      </c>
      <c r="C92" t="s">
        <v>50</v>
      </c>
      <c r="D92" s="3"/>
      <c r="E92" s="3"/>
      <c r="F92" s="4" t="s">
        <v>39</v>
      </c>
      <c r="G92" s="3"/>
      <c r="H92" s="3"/>
      <c r="I92" s="3"/>
      <c r="J92" s="3"/>
      <c r="K92" s="3"/>
      <c r="L92" s="3"/>
      <c r="M92" s="3"/>
      <c r="N92" s="3"/>
      <c r="O92" s="3"/>
      <c r="P92" s="3"/>
      <c r="Q92" s="3"/>
      <c r="R92" s="3"/>
      <c r="S92" s="3"/>
      <c r="T92" s="3"/>
      <c r="U92" s="3"/>
      <c r="V92" s="3">
        <v>0.5</v>
      </c>
      <c r="W92" s="3">
        <v>0.95</v>
      </c>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spans="1:57" x14ac:dyDescent="0.25">
      <c r="A93" s="1" t="str">
        <f>'Population Definitions'!$A$13</f>
        <v>Prisoners_females</v>
      </c>
      <c r="C93" t="s">
        <v>50</v>
      </c>
      <c r="D93" s="3"/>
      <c r="E93" s="3"/>
      <c r="F93" s="4" t="s">
        <v>39</v>
      </c>
      <c r="G93" s="3"/>
      <c r="H93" s="3"/>
      <c r="I93" s="3"/>
      <c r="J93" s="3"/>
      <c r="K93" s="3"/>
      <c r="L93" s="3"/>
      <c r="M93" s="3"/>
      <c r="N93" s="3"/>
      <c r="O93" s="3"/>
      <c r="P93" s="3"/>
      <c r="Q93" s="3"/>
      <c r="R93" s="3"/>
      <c r="S93" s="3"/>
      <c r="T93" s="3"/>
      <c r="U93" s="3"/>
      <c r="V93" s="3">
        <v>0.5</v>
      </c>
      <c r="W93" s="3">
        <v>0.95</v>
      </c>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spans="1:57" x14ac:dyDescent="0.25">
      <c r="A94" s="1" t="str">
        <f>'Population Definitions'!$A$14</f>
        <v>Prisoners_PWID_males</v>
      </c>
      <c r="C94" t="s">
        <v>50</v>
      </c>
      <c r="D94" s="3"/>
      <c r="E94" s="3"/>
      <c r="F94" s="4" t="s">
        <v>39</v>
      </c>
      <c r="G94" s="3"/>
      <c r="H94" s="3"/>
      <c r="I94" s="3"/>
      <c r="J94" s="3"/>
      <c r="K94" s="3"/>
      <c r="L94" s="3"/>
      <c r="M94" s="3"/>
      <c r="N94" s="3"/>
      <c r="O94" s="3"/>
      <c r="P94" s="3"/>
      <c r="Q94" s="3"/>
      <c r="R94" s="3"/>
      <c r="S94" s="3"/>
      <c r="T94" s="3"/>
      <c r="U94" s="3"/>
      <c r="V94" s="3">
        <v>0.5</v>
      </c>
      <c r="W94" s="3">
        <v>0.95</v>
      </c>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spans="1:57" x14ac:dyDescent="0.25">
      <c r="A95" s="1" t="str">
        <f>'Population Definitions'!$A$15</f>
        <v>Prisoners_PWID_females</v>
      </c>
      <c r="C95" t="s">
        <v>50</v>
      </c>
      <c r="D95" s="3"/>
      <c r="E95" s="3"/>
      <c r="F95" s="4" t="s">
        <v>39</v>
      </c>
      <c r="G95" s="3"/>
      <c r="H95" s="3"/>
      <c r="I95" s="3"/>
      <c r="J95" s="3"/>
      <c r="K95" s="3"/>
      <c r="L95" s="3"/>
      <c r="M95" s="3"/>
      <c r="N95" s="3"/>
      <c r="O95" s="3"/>
      <c r="P95" s="3"/>
      <c r="Q95" s="3"/>
      <c r="R95" s="3"/>
      <c r="S95" s="3"/>
      <c r="T95" s="3"/>
      <c r="U95" s="3"/>
      <c r="V95" s="3">
        <v>0.5</v>
      </c>
      <c r="W95" s="3">
        <v>0.95</v>
      </c>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row r="97" spans="1:57" x14ac:dyDescent="0.25">
      <c r="A97" s="1" t="s">
        <v>104</v>
      </c>
      <c r="B97" s="1" t="s">
        <v>31</v>
      </c>
      <c r="C97" s="1" t="s">
        <v>32</v>
      </c>
      <c r="D97" s="1" t="s">
        <v>33</v>
      </c>
      <c r="E97" s="1" t="s">
        <v>38</v>
      </c>
      <c r="F97" s="1"/>
      <c r="G97" s="1">
        <v>2000</v>
      </c>
      <c r="H97" s="1">
        <v>2001</v>
      </c>
      <c r="I97" s="1">
        <v>2002</v>
      </c>
      <c r="J97" s="1">
        <v>2003</v>
      </c>
      <c r="K97" s="1">
        <v>2004</v>
      </c>
      <c r="L97" s="1">
        <v>2005</v>
      </c>
      <c r="M97" s="1">
        <v>2006</v>
      </c>
      <c r="N97" s="1">
        <v>2007</v>
      </c>
      <c r="O97" s="1">
        <v>2008</v>
      </c>
      <c r="P97" s="1">
        <v>2009</v>
      </c>
      <c r="Q97" s="1">
        <v>2010</v>
      </c>
      <c r="R97" s="1">
        <v>2011</v>
      </c>
      <c r="S97" s="1">
        <v>2012</v>
      </c>
      <c r="T97" s="1">
        <v>2013</v>
      </c>
      <c r="U97" s="1">
        <v>2014</v>
      </c>
      <c r="V97" s="1">
        <v>2015</v>
      </c>
      <c r="W97" s="1">
        <v>2016</v>
      </c>
      <c r="X97" s="1">
        <v>2017</v>
      </c>
      <c r="Y97" s="1">
        <v>2018</v>
      </c>
      <c r="Z97" s="1">
        <v>2019</v>
      </c>
      <c r="AA97" s="1">
        <v>2020</v>
      </c>
      <c r="AB97" s="1">
        <v>2021</v>
      </c>
      <c r="AC97" s="1">
        <v>2022</v>
      </c>
      <c r="AD97" s="1">
        <v>2023</v>
      </c>
      <c r="AE97" s="1">
        <v>2024</v>
      </c>
      <c r="AF97" s="1">
        <v>2025</v>
      </c>
      <c r="AG97" s="1">
        <v>2026</v>
      </c>
      <c r="AH97" s="1">
        <v>2027</v>
      </c>
      <c r="AI97" s="1">
        <v>2028</v>
      </c>
      <c r="AJ97" s="1">
        <v>2029</v>
      </c>
      <c r="AK97" s="1">
        <v>2030</v>
      </c>
      <c r="AL97" s="1">
        <v>2031</v>
      </c>
      <c r="AM97" s="1">
        <v>2032</v>
      </c>
      <c r="AN97" s="1">
        <v>2033</v>
      </c>
      <c r="AO97" s="1">
        <v>2034</v>
      </c>
      <c r="AP97" s="1">
        <v>2035</v>
      </c>
      <c r="AQ97" s="1">
        <v>2036</v>
      </c>
      <c r="AR97" s="1">
        <v>2037</v>
      </c>
      <c r="AS97" s="1">
        <v>2038</v>
      </c>
      <c r="AT97" s="1">
        <v>2039</v>
      </c>
      <c r="AU97" s="1">
        <v>2040</v>
      </c>
      <c r="AV97" s="1">
        <v>2041</v>
      </c>
      <c r="AW97" s="1">
        <v>2042</v>
      </c>
      <c r="AX97" s="1">
        <v>2043</v>
      </c>
      <c r="AY97" s="1">
        <v>2044</v>
      </c>
      <c r="AZ97" s="1">
        <v>2045</v>
      </c>
      <c r="BA97" s="1">
        <v>2046</v>
      </c>
      <c r="BB97" s="1">
        <v>2047</v>
      </c>
      <c r="BC97" s="1">
        <v>2048</v>
      </c>
      <c r="BD97" s="1">
        <v>2049</v>
      </c>
      <c r="BE97" s="1">
        <v>2050</v>
      </c>
    </row>
    <row r="98" spans="1:57" x14ac:dyDescent="0.25">
      <c r="A98" s="1" t="str">
        <f>'Population Definitions'!$A$2</f>
        <v>PWID_males</v>
      </c>
      <c r="B98" t="s">
        <v>62</v>
      </c>
      <c r="C98" t="s">
        <v>50</v>
      </c>
      <c r="D98" s="3"/>
      <c r="E98" s="3">
        <v>0</v>
      </c>
      <c r="F98" s="4" t="s">
        <v>39</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row>
    <row r="99" spans="1:57" x14ac:dyDescent="0.25">
      <c r="A99" s="1" t="str">
        <f>'Population Definitions'!$A$3</f>
        <v>PWID_females</v>
      </c>
      <c r="B99" t="s">
        <v>62</v>
      </c>
      <c r="C99" t="s">
        <v>50</v>
      </c>
      <c r="D99" s="3"/>
      <c r="E99" s="3">
        <v>0</v>
      </c>
      <c r="F99" s="4" t="s">
        <v>39</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row>
    <row r="100" spans="1:57" x14ac:dyDescent="0.25">
      <c r="A100" s="1" t="str">
        <f>'Population Definitions'!$A$4</f>
        <v>0-9_males</v>
      </c>
      <c r="B100" t="s">
        <v>62</v>
      </c>
      <c r="C100" t="s">
        <v>50</v>
      </c>
      <c r="D100" s="3"/>
      <c r="E100" s="3">
        <v>0</v>
      </c>
      <c r="F100" s="4" t="s">
        <v>39</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row>
    <row r="101" spans="1:57" x14ac:dyDescent="0.25">
      <c r="A101" s="1" t="str">
        <f>'Population Definitions'!$A$5</f>
        <v>0-9_females</v>
      </c>
      <c r="B101" t="s">
        <v>62</v>
      </c>
      <c r="C101" t="s">
        <v>50</v>
      </c>
      <c r="D101" s="3"/>
      <c r="E101" s="3">
        <v>0</v>
      </c>
      <c r="F101" s="4" t="s">
        <v>39</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row>
    <row r="102" spans="1:57" x14ac:dyDescent="0.25">
      <c r="A102" s="1" t="str">
        <f>'Population Definitions'!$A$6</f>
        <v>10-17_males</v>
      </c>
      <c r="B102" t="s">
        <v>62</v>
      </c>
      <c r="C102" t="s">
        <v>50</v>
      </c>
      <c r="D102" s="3"/>
      <c r="E102" s="3">
        <v>0</v>
      </c>
      <c r="F102" s="4" t="s">
        <v>39</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row>
    <row r="103" spans="1:57" x14ac:dyDescent="0.25">
      <c r="A103" s="1" t="str">
        <f>'Population Definitions'!$A$7</f>
        <v>10-17_females</v>
      </c>
      <c r="B103" t="s">
        <v>62</v>
      </c>
      <c r="C103" t="s">
        <v>50</v>
      </c>
      <c r="D103" s="3"/>
      <c r="E103" s="3">
        <v>0</v>
      </c>
      <c r="F103" s="4" t="s">
        <v>39</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row>
    <row r="104" spans="1:57" x14ac:dyDescent="0.25">
      <c r="A104" s="1" t="str">
        <f>'Population Definitions'!$A$8</f>
        <v>18-64_males</v>
      </c>
      <c r="B104" t="s">
        <v>62</v>
      </c>
      <c r="C104" t="s">
        <v>50</v>
      </c>
      <c r="D104" s="3"/>
      <c r="E104" s="3">
        <v>0</v>
      </c>
      <c r="F104" s="4" t="s">
        <v>39</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row>
    <row r="105" spans="1:57" x14ac:dyDescent="0.25">
      <c r="A105" s="1" t="str">
        <f>'Population Definitions'!$A$9</f>
        <v>18-64_females</v>
      </c>
      <c r="B105" t="s">
        <v>62</v>
      </c>
      <c r="C105" t="s">
        <v>50</v>
      </c>
      <c r="D105" s="3"/>
      <c r="E105" s="3">
        <v>0</v>
      </c>
      <c r="F105" s="4" t="s">
        <v>39</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row>
    <row r="106" spans="1:57" x14ac:dyDescent="0.25">
      <c r="A106" s="1" t="str">
        <f>'Population Definitions'!$A$10</f>
        <v>65+_males</v>
      </c>
      <c r="B106" t="s">
        <v>62</v>
      </c>
      <c r="C106" t="s">
        <v>50</v>
      </c>
      <c r="D106" s="3"/>
      <c r="E106" s="3">
        <v>0</v>
      </c>
      <c r="F106" s="4" t="s">
        <v>39</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row>
    <row r="107" spans="1:57" x14ac:dyDescent="0.25">
      <c r="A107" s="1" t="str">
        <f>'Population Definitions'!$A$11</f>
        <v>65+_females</v>
      </c>
      <c r="B107" t="s">
        <v>62</v>
      </c>
      <c r="C107" t="s">
        <v>50</v>
      </c>
      <c r="D107" s="3"/>
      <c r="E107" s="3">
        <v>0</v>
      </c>
      <c r="F107" s="4" t="s">
        <v>39</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row>
    <row r="108" spans="1:57" x14ac:dyDescent="0.25">
      <c r="A108" s="1" t="str">
        <f>'Population Definitions'!$A$12</f>
        <v>Prisoners_males</v>
      </c>
      <c r="B108" t="s">
        <v>62</v>
      </c>
      <c r="C108" t="s">
        <v>50</v>
      </c>
      <c r="D108" s="3"/>
      <c r="E108" s="3">
        <v>0</v>
      </c>
      <c r="F108" s="4" t="s">
        <v>39</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row>
    <row r="109" spans="1:57" x14ac:dyDescent="0.25">
      <c r="A109" s="1" t="str">
        <f>'Population Definitions'!$A$13</f>
        <v>Prisoners_females</v>
      </c>
      <c r="B109" t="s">
        <v>62</v>
      </c>
      <c r="C109" t="s">
        <v>50</v>
      </c>
      <c r="D109" s="3"/>
      <c r="E109" s="3">
        <v>0</v>
      </c>
      <c r="F109" s="4" t="s">
        <v>39</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row>
    <row r="110" spans="1:57" x14ac:dyDescent="0.25">
      <c r="A110" s="1" t="str">
        <f>'Population Definitions'!$A$14</f>
        <v>Prisoners_PWID_males</v>
      </c>
      <c r="B110" t="s">
        <v>62</v>
      </c>
      <c r="C110" t="s">
        <v>50</v>
      </c>
      <c r="D110" s="3"/>
      <c r="E110" s="3">
        <v>0</v>
      </c>
      <c r="F110" s="4" t="s">
        <v>39</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row>
    <row r="111" spans="1:57" x14ac:dyDescent="0.25">
      <c r="A111" s="1" t="str">
        <f>'Population Definitions'!$A$15</f>
        <v>Prisoners_PWID_females</v>
      </c>
      <c r="B111" t="s">
        <v>62</v>
      </c>
      <c r="C111" t="s">
        <v>50</v>
      </c>
      <c r="D111" s="3"/>
      <c r="E111" s="3">
        <v>0</v>
      </c>
      <c r="F111" s="4" t="s">
        <v>39</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row>
  </sheetData>
  <conditionalFormatting sqref="E2:E15">
    <cfRule type="expression" dxfId="1265" priority="1">
      <formula>COUNTIF(G2:BE2,"&lt;&gt;" &amp; "")&gt;0</formula>
    </cfRule>
    <cfRule type="expression" dxfId="1264" priority="2">
      <formula>AND(COUNTIF(G2:BE2,"&lt;&gt;" &amp; "")&gt;0,NOT(ISBLANK(E2)))</formula>
    </cfRule>
  </conditionalFormatting>
  <conditionalFormatting sqref="E18:E31">
    <cfRule type="expression" dxfId="1263" priority="29">
      <formula>COUNTIF(G18:BE18,"&lt;&gt;" &amp; "")&gt;0</formula>
    </cfRule>
    <cfRule type="expression" dxfId="1262" priority="30">
      <formula>AND(COUNTIF(G18:BE18,"&lt;&gt;" &amp; "")&gt;0,NOT(ISBLANK(E18)))</formula>
    </cfRule>
  </conditionalFormatting>
  <conditionalFormatting sqref="E34:E47">
    <cfRule type="expression" dxfId="1261" priority="57">
      <formula>COUNTIF(G34:BE34,"&lt;&gt;" &amp; "")&gt;0</formula>
    </cfRule>
    <cfRule type="expression" dxfId="1260" priority="58">
      <formula>AND(COUNTIF(G34:BE34,"&lt;&gt;" &amp; "")&gt;0,NOT(ISBLANK(E34)))</formula>
    </cfRule>
  </conditionalFormatting>
  <conditionalFormatting sqref="E50:E63">
    <cfRule type="expression" dxfId="1259" priority="85">
      <formula>COUNTIF(G50:BE50,"&lt;&gt;" &amp; "")&gt;0</formula>
    </cfRule>
    <cfRule type="expression" dxfId="1258" priority="86">
      <formula>AND(COUNTIF(G50:BE50,"&lt;&gt;" &amp; "")&gt;0,NOT(ISBLANK(E50)))</formula>
    </cfRule>
  </conditionalFormatting>
  <conditionalFormatting sqref="E66:E79">
    <cfRule type="expression" dxfId="1257" priority="113">
      <formula>COUNTIF(G66:BE66,"&lt;&gt;" &amp; "")&gt;0</formula>
    </cfRule>
    <cfRule type="expression" dxfId="1256" priority="114">
      <formula>AND(COUNTIF(G66:BE66,"&lt;&gt;" &amp; "")&gt;0,NOT(ISBLANK(E66)))</formula>
    </cfRule>
  </conditionalFormatting>
  <conditionalFormatting sqref="E82:E95">
    <cfRule type="expression" dxfId="1255" priority="141">
      <formula>COUNTIF(G82:BE82,"&lt;&gt;" &amp; "")&gt;0</formula>
    </cfRule>
    <cfRule type="expression" dxfId="1254" priority="142">
      <formula>AND(COUNTIF(G82:BE82,"&lt;&gt;" &amp; "")&gt;0,NOT(ISBLANK(E82)))</formula>
    </cfRule>
  </conditionalFormatting>
  <conditionalFormatting sqref="E98:E111">
    <cfRule type="expression" dxfId="1253" priority="169">
      <formula>COUNTIF(G98:BE98,"&lt;&gt;" &amp; "")&gt;0</formula>
    </cfRule>
    <cfRule type="expression" dxfId="1252" priority="170">
      <formula>AND(COUNTIF(G98:BE98,"&lt;&gt;" &amp; "")&gt;0,NOT(ISBLANK(E98)))</formula>
    </cfRule>
  </conditionalFormatting>
  <dataValidations count="3">
    <dataValidation type="list" allowBlank="1" showInputMessage="1" showErrorMessage="1" sqref="C50:C63 C34:C47 C18:C31 C2:C15" xr:uid="{00000000-0002-0000-0800-000000000000}">
      <formula1>"N.A."</formula1>
    </dataValidation>
    <dataValidation type="list" allowBlank="1" showInputMessage="1" showErrorMessage="1" sqref="C66:C79" xr:uid="{00000000-0002-0000-0800-000038000000}">
      <formula1>"Duration (years)"</formula1>
    </dataValidation>
    <dataValidation type="list" allowBlank="1" showInputMessage="1" showErrorMessage="1" sqref="C98:C111 C82:C95" xr:uid="{00000000-0002-0000-0800-000046000000}">
      <formula1>"Proportion"</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08080"/>
  </sheetPr>
  <dimension ref="A1:BE63"/>
  <sheetViews>
    <sheetView workbookViewId="0"/>
  </sheetViews>
  <sheetFormatPr defaultRowHeight="15" x14ac:dyDescent="0.25"/>
  <cols>
    <col min="1" max="1" width="49" customWidth="1"/>
    <col min="2" max="2" width="30.28515625" customWidth="1"/>
    <col min="3" max="3" width="19.28515625" customWidth="1"/>
    <col min="4" max="4" width="13.85546875" customWidth="1"/>
    <col min="5" max="5" width="10.5703125" customWidth="1"/>
    <col min="6" max="6" width="3.85546875" customWidth="1"/>
    <col min="7" max="57" width="9.42578125" customWidth="1"/>
  </cols>
  <sheetData>
    <row r="1" spans="1:57" x14ac:dyDescent="0.25">
      <c r="A1" s="1" t="s">
        <v>105</v>
      </c>
      <c r="B1" s="1" t="s">
        <v>31</v>
      </c>
      <c r="C1" s="1" t="s">
        <v>32</v>
      </c>
      <c r="D1" s="1" t="s">
        <v>33</v>
      </c>
      <c r="E1" s="1" t="s">
        <v>38</v>
      </c>
      <c r="F1" s="1"/>
      <c r="G1" s="1">
        <v>2000</v>
      </c>
      <c r="H1" s="1">
        <v>2001</v>
      </c>
      <c r="I1" s="1">
        <v>2002</v>
      </c>
      <c r="J1" s="1">
        <v>2003</v>
      </c>
      <c r="K1" s="1">
        <v>2004</v>
      </c>
      <c r="L1" s="1">
        <v>2005</v>
      </c>
      <c r="M1" s="1">
        <v>2006</v>
      </c>
      <c r="N1" s="1">
        <v>2007</v>
      </c>
      <c r="O1" s="1">
        <v>2008</v>
      </c>
      <c r="P1" s="1">
        <v>2009</v>
      </c>
      <c r="Q1" s="1">
        <v>2010</v>
      </c>
      <c r="R1" s="1">
        <v>2011</v>
      </c>
      <c r="S1" s="1">
        <v>2012</v>
      </c>
      <c r="T1" s="1">
        <v>2013</v>
      </c>
      <c r="U1" s="1">
        <v>2014</v>
      </c>
      <c r="V1" s="1">
        <v>2015</v>
      </c>
      <c r="W1" s="1">
        <v>2016</v>
      </c>
      <c r="X1" s="1">
        <v>2017</v>
      </c>
      <c r="Y1" s="1">
        <v>2018</v>
      </c>
      <c r="Z1" s="1">
        <v>2019</v>
      </c>
      <c r="AA1" s="1">
        <v>2020</v>
      </c>
      <c r="AB1" s="1">
        <v>2021</v>
      </c>
      <c r="AC1" s="1">
        <v>2022</v>
      </c>
      <c r="AD1" s="1">
        <v>2023</v>
      </c>
      <c r="AE1" s="1">
        <v>2024</v>
      </c>
      <c r="AF1" s="1">
        <v>2025</v>
      </c>
      <c r="AG1" s="1">
        <v>2026</v>
      </c>
      <c r="AH1" s="1">
        <v>2027</v>
      </c>
      <c r="AI1" s="1">
        <v>2028</v>
      </c>
      <c r="AJ1" s="1">
        <v>2029</v>
      </c>
      <c r="AK1" s="1">
        <v>2030</v>
      </c>
      <c r="AL1" s="1">
        <v>2031</v>
      </c>
      <c r="AM1" s="1">
        <v>2032</v>
      </c>
      <c r="AN1" s="1">
        <v>2033</v>
      </c>
      <c r="AO1" s="1">
        <v>2034</v>
      </c>
      <c r="AP1" s="1">
        <v>2035</v>
      </c>
      <c r="AQ1" s="1">
        <v>2036</v>
      </c>
      <c r="AR1" s="1">
        <v>2037</v>
      </c>
      <c r="AS1" s="1">
        <v>2038</v>
      </c>
      <c r="AT1" s="1">
        <v>2039</v>
      </c>
      <c r="AU1" s="1">
        <v>2040</v>
      </c>
      <c r="AV1" s="1">
        <v>2041</v>
      </c>
      <c r="AW1" s="1">
        <v>2042</v>
      </c>
      <c r="AX1" s="1">
        <v>2043</v>
      </c>
      <c r="AY1" s="1">
        <v>2044</v>
      </c>
      <c r="AZ1" s="1">
        <v>2045</v>
      </c>
      <c r="BA1" s="1">
        <v>2046</v>
      </c>
      <c r="BB1" s="1">
        <v>2047</v>
      </c>
      <c r="BC1" s="1">
        <v>2048</v>
      </c>
      <c r="BD1" s="1">
        <v>2049</v>
      </c>
      <c r="BE1" s="1">
        <v>2050</v>
      </c>
    </row>
    <row r="2" spans="1:57" x14ac:dyDescent="0.25">
      <c r="A2" s="1" t="str">
        <f>'Population Definitions'!$A$2</f>
        <v>PWID_males</v>
      </c>
      <c r="C2" t="s">
        <v>55</v>
      </c>
      <c r="D2" s="3"/>
      <c r="E2" s="3">
        <v>0.45</v>
      </c>
      <c r="F2" s="4" t="s">
        <v>39</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spans="1:57" x14ac:dyDescent="0.25">
      <c r="A3" s="1" t="str">
        <f>'Population Definitions'!$A$3</f>
        <v>PWID_females</v>
      </c>
      <c r="C3" t="s">
        <v>55</v>
      </c>
      <c r="D3" s="3"/>
      <c r="E3" s="3">
        <v>0.45</v>
      </c>
      <c r="F3" s="4" t="s">
        <v>39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row>
    <row r="4" spans="1:57" x14ac:dyDescent="0.25">
      <c r="A4" s="1" t="str">
        <f>'Population Definitions'!$A$4</f>
        <v>0-9_males</v>
      </c>
      <c r="C4" t="s">
        <v>55</v>
      </c>
      <c r="D4" s="3"/>
      <c r="E4" s="3">
        <v>0.45</v>
      </c>
      <c r="F4" s="4" t="s">
        <v>39</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row>
    <row r="5" spans="1:57" x14ac:dyDescent="0.25">
      <c r="A5" s="1" t="str">
        <f>'Population Definitions'!$A$5</f>
        <v>0-9_females</v>
      </c>
      <c r="C5" t="s">
        <v>55</v>
      </c>
      <c r="D5" s="3"/>
      <c r="E5" s="3">
        <v>0.45</v>
      </c>
      <c r="F5" s="4" t="s">
        <v>39</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row>
    <row r="6" spans="1:57" x14ac:dyDescent="0.25">
      <c r="A6" s="1" t="str">
        <f>'Population Definitions'!$A$6</f>
        <v>10-17_males</v>
      </c>
      <c r="C6" t="s">
        <v>55</v>
      </c>
      <c r="D6" s="3"/>
      <c r="E6" s="3">
        <v>0.45</v>
      </c>
      <c r="F6" s="4" t="s">
        <v>39</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row>
    <row r="7" spans="1:57" x14ac:dyDescent="0.25">
      <c r="A7" s="1" t="str">
        <f>'Population Definitions'!$A$7</f>
        <v>10-17_females</v>
      </c>
      <c r="C7" t="s">
        <v>55</v>
      </c>
      <c r="D7" s="3"/>
      <c r="E7" s="3">
        <v>0.45</v>
      </c>
      <c r="F7" s="4" t="s">
        <v>39</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row>
    <row r="8" spans="1:57" x14ac:dyDescent="0.25">
      <c r="A8" s="1" t="str">
        <f>'Population Definitions'!$A$8</f>
        <v>18-64_males</v>
      </c>
      <c r="C8" t="s">
        <v>55</v>
      </c>
      <c r="D8" s="3"/>
      <c r="E8" s="3">
        <v>0.45</v>
      </c>
      <c r="F8" s="4" t="s">
        <v>39</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57" x14ac:dyDescent="0.25">
      <c r="A9" s="1" t="str">
        <f>'Population Definitions'!$A$9</f>
        <v>18-64_females</v>
      </c>
      <c r="C9" t="s">
        <v>55</v>
      </c>
      <c r="D9" s="3"/>
      <c r="E9" s="3">
        <v>0.45</v>
      </c>
      <c r="F9" s="4" t="s">
        <v>39</v>
      </c>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57" x14ac:dyDescent="0.25">
      <c r="A10" s="1" t="str">
        <f>'Population Definitions'!$A$10</f>
        <v>65+_males</v>
      </c>
      <c r="C10" t="s">
        <v>55</v>
      </c>
      <c r="D10" s="3"/>
      <c r="E10" s="3">
        <v>0.45</v>
      </c>
      <c r="F10" s="4" t="s">
        <v>39</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57" x14ac:dyDescent="0.25">
      <c r="A11" s="1" t="str">
        <f>'Population Definitions'!$A$11</f>
        <v>65+_females</v>
      </c>
      <c r="C11" t="s">
        <v>55</v>
      </c>
      <c r="D11" s="3"/>
      <c r="E11" s="3">
        <v>0.45</v>
      </c>
      <c r="F11" s="4" t="s">
        <v>39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57" x14ac:dyDescent="0.25">
      <c r="A12" s="1" t="str">
        <f>'Population Definitions'!$A$12</f>
        <v>Prisoners_males</v>
      </c>
      <c r="C12" t="s">
        <v>55</v>
      </c>
      <c r="D12" s="3"/>
      <c r="E12" s="3">
        <v>0.45</v>
      </c>
      <c r="F12" s="4" t="s">
        <v>39</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57" x14ac:dyDescent="0.25">
      <c r="A13" s="1" t="str">
        <f>'Population Definitions'!$A$13</f>
        <v>Prisoners_females</v>
      </c>
      <c r="C13" t="s">
        <v>55</v>
      </c>
      <c r="D13" s="3"/>
      <c r="E13" s="3">
        <v>0.45</v>
      </c>
      <c r="F13" s="4" t="s">
        <v>39</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57" x14ac:dyDescent="0.25">
      <c r="A14" s="1" t="str">
        <f>'Population Definitions'!$A$14</f>
        <v>Prisoners_PWID_males</v>
      </c>
      <c r="C14" t="s">
        <v>55</v>
      </c>
      <c r="D14" s="3"/>
      <c r="E14" s="3">
        <v>0.45</v>
      </c>
      <c r="F14" s="4" t="s">
        <v>39</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57" x14ac:dyDescent="0.25">
      <c r="A15" s="1" t="str">
        <f>'Population Definitions'!$A$15</f>
        <v>Prisoners_PWID_females</v>
      </c>
      <c r="C15" t="s">
        <v>55</v>
      </c>
      <c r="D15" s="3"/>
      <c r="E15" s="3">
        <v>0.45</v>
      </c>
      <c r="F15" s="4" t="s">
        <v>39</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7" spans="1:57" x14ac:dyDescent="0.25">
      <c r="A17" s="1" t="s">
        <v>106</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C18" t="s">
        <v>55</v>
      </c>
      <c r="D18" s="3"/>
      <c r="E18" s="3">
        <v>0.32854800000000001</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C19" t="s">
        <v>55</v>
      </c>
      <c r="D19" s="3"/>
      <c r="E19" s="3">
        <v>0.32854800000000001</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C20" t="s">
        <v>55</v>
      </c>
      <c r="D20" s="3"/>
      <c r="E20" s="3">
        <v>0.32854800000000001</v>
      </c>
      <c r="F20" s="4" t="s">
        <v>39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C21" t="s">
        <v>55</v>
      </c>
      <c r="D21" s="3"/>
      <c r="E21" s="3">
        <v>0.32854800000000001</v>
      </c>
      <c r="F21" s="4" t="s">
        <v>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C22" t="s">
        <v>55</v>
      </c>
      <c r="D22" s="3"/>
      <c r="E22" s="3">
        <v>0.32854800000000001</v>
      </c>
      <c r="F22" s="4"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C23" t="s">
        <v>55</v>
      </c>
      <c r="D23" s="3"/>
      <c r="E23" s="3">
        <v>0.32854800000000001</v>
      </c>
      <c r="F23" s="4" t="s">
        <v>39</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C24" t="s">
        <v>55</v>
      </c>
      <c r="D24" s="3"/>
      <c r="E24" s="3">
        <v>0.32854800000000001</v>
      </c>
      <c r="F24" s="4" t="s">
        <v>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C25" t="s">
        <v>55</v>
      </c>
      <c r="D25" s="3"/>
      <c r="E25" s="3">
        <v>0.32854800000000001</v>
      </c>
      <c r="F25" s="4" t="s">
        <v>39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C26" t="s">
        <v>55</v>
      </c>
      <c r="D26" s="3"/>
      <c r="E26" s="3">
        <v>0.32854800000000001</v>
      </c>
      <c r="F26" s="4" t="s">
        <v>39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C27" t="s">
        <v>55</v>
      </c>
      <c r="D27" s="3"/>
      <c r="E27" s="3">
        <v>0.32854800000000001</v>
      </c>
      <c r="F27" s="4" t="s">
        <v>39</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C28" t="s">
        <v>55</v>
      </c>
      <c r="D28" s="3"/>
      <c r="E28" s="3">
        <v>0.32854800000000001</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C29" t="s">
        <v>55</v>
      </c>
      <c r="D29" s="3"/>
      <c r="E29" s="3">
        <v>0.32854800000000001</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C30" t="s">
        <v>55</v>
      </c>
      <c r="D30" s="3"/>
      <c r="E30" s="3">
        <v>0.32854800000000001</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C31" t="s">
        <v>55</v>
      </c>
      <c r="D31" s="3"/>
      <c r="E31" s="3">
        <v>0.32854800000000001</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107</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B34" t="s">
        <v>62</v>
      </c>
      <c r="C34" t="s">
        <v>63</v>
      </c>
      <c r="D34" s="3"/>
      <c r="E34" s="3">
        <v>1</v>
      </c>
      <c r="F34" s="4" t="s">
        <v>39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B35" t="s">
        <v>62</v>
      </c>
      <c r="C35" t="s">
        <v>63</v>
      </c>
      <c r="D35" s="3"/>
      <c r="E35" s="3">
        <v>1</v>
      </c>
      <c r="F35" s="4" t="s">
        <v>39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B36" t="s">
        <v>62</v>
      </c>
      <c r="C36" t="s">
        <v>63</v>
      </c>
      <c r="D36" s="3"/>
      <c r="E36" s="3">
        <v>1</v>
      </c>
      <c r="F36" s="4" t="s">
        <v>39</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B37" t="s">
        <v>62</v>
      </c>
      <c r="C37" t="s">
        <v>63</v>
      </c>
      <c r="D37" s="3"/>
      <c r="E37" s="3">
        <v>1</v>
      </c>
      <c r="F37" s="4" t="s">
        <v>39</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B38" t="s">
        <v>62</v>
      </c>
      <c r="C38" t="s">
        <v>63</v>
      </c>
      <c r="D38" s="3"/>
      <c r="E38" s="3">
        <v>1</v>
      </c>
      <c r="F38" s="4" t="s">
        <v>39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B39" t="s">
        <v>62</v>
      </c>
      <c r="C39" t="s">
        <v>63</v>
      </c>
      <c r="D39" s="3"/>
      <c r="E39" s="3">
        <v>1</v>
      </c>
      <c r="F39" s="4" t="s">
        <v>39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B40" t="s">
        <v>62</v>
      </c>
      <c r="C40" t="s">
        <v>63</v>
      </c>
      <c r="D40" s="3"/>
      <c r="E40" s="3">
        <v>1</v>
      </c>
      <c r="F40" s="4" t="s">
        <v>39</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B41" t="s">
        <v>62</v>
      </c>
      <c r="C41" t="s">
        <v>63</v>
      </c>
      <c r="D41" s="3"/>
      <c r="E41" s="3">
        <v>1</v>
      </c>
      <c r="F41" s="4" t="s">
        <v>39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B42" t="s">
        <v>62</v>
      </c>
      <c r="C42" t="s">
        <v>63</v>
      </c>
      <c r="D42" s="3"/>
      <c r="E42" s="3">
        <v>1</v>
      </c>
      <c r="F42" s="4" t="s">
        <v>39</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B43" t="s">
        <v>62</v>
      </c>
      <c r="C43" t="s">
        <v>63</v>
      </c>
      <c r="D43" s="3"/>
      <c r="E43" s="3">
        <v>1</v>
      </c>
      <c r="F43" s="4" t="s">
        <v>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B44" t="s">
        <v>62</v>
      </c>
      <c r="C44" t="s">
        <v>63</v>
      </c>
      <c r="D44" s="3"/>
      <c r="E44" s="3">
        <v>1</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B45" t="s">
        <v>62</v>
      </c>
      <c r="C45" t="s">
        <v>63</v>
      </c>
      <c r="D45" s="3"/>
      <c r="E45" s="3">
        <v>1</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B46" t="s">
        <v>62</v>
      </c>
      <c r="C46" t="s">
        <v>63</v>
      </c>
      <c r="D46" s="3"/>
      <c r="E46" s="3">
        <v>1</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B47" t="s">
        <v>62</v>
      </c>
      <c r="C47" t="s">
        <v>63</v>
      </c>
      <c r="D47" s="3"/>
      <c r="E47" s="3">
        <v>1</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108</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B50" t="s">
        <v>62</v>
      </c>
      <c r="C50" t="s">
        <v>63</v>
      </c>
      <c r="D50" s="3"/>
      <c r="E50" s="3">
        <v>1</v>
      </c>
      <c r="F50" s="4" t="s">
        <v>39</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B51" t="s">
        <v>62</v>
      </c>
      <c r="C51" t="s">
        <v>63</v>
      </c>
      <c r="D51" s="3"/>
      <c r="E51" s="3">
        <v>1</v>
      </c>
      <c r="F51" s="4" t="s">
        <v>39</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B52" t="s">
        <v>62</v>
      </c>
      <c r="C52" t="s">
        <v>63</v>
      </c>
      <c r="D52" s="3"/>
      <c r="E52" s="3">
        <v>1</v>
      </c>
      <c r="F52" s="4" t="s">
        <v>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B53" t="s">
        <v>62</v>
      </c>
      <c r="C53" t="s">
        <v>63</v>
      </c>
      <c r="D53" s="3"/>
      <c r="E53" s="3">
        <v>1</v>
      </c>
      <c r="F53" s="4" t="s">
        <v>39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B54" t="s">
        <v>62</v>
      </c>
      <c r="C54" t="s">
        <v>63</v>
      </c>
      <c r="D54" s="3"/>
      <c r="E54" s="3">
        <v>1</v>
      </c>
      <c r="F54" s="4" t="s">
        <v>39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B55" t="s">
        <v>62</v>
      </c>
      <c r="C55" t="s">
        <v>63</v>
      </c>
      <c r="D55" s="3"/>
      <c r="E55" s="3">
        <v>1</v>
      </c>
      <c r="F55" s="4" t="s">
        <v>39</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B56" t="s">
        <v>62</v>
      </c>
      <c r="C56" t="s">
        <v>63</v>
      </c>
      <c r="D56" s="3"/>
      <c r="E56" s="3">
        <v>1</v>
      </c>
      <c r="F56" s="4" t="s">
        <v>39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B57" t="s">
        <v>62</v>
      </c>
      <c r="C57" t="s">
        <v>63</v>
      </c>
      <c r="D57" s="3"/>
      <c r="E57" s="3">
        <v>1</v>
      </c>
      <c r="F57" s="4" t="s">
        <v>39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B58" t="s">
        <v>62</v>
      </c>
      <c r="C58" t="s">
        <v>63</v>
      </c>
      <c r="D58" s="3"/>
      <c r="E58" s="3">
        <v>1</v>
      </c>
      <c r="F58" s="4" t="s">
        <v>39</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B59" t="s">
        <v>62</v>
      </c>
      <c r="C59" t="s">
        <v>63</v>
      </c>
      <c r="D59" s="3"/>
      <c r="E59" s="3">
        <v>1</v>
      </c>
      <c r="F59" s="4" t="s">
        <v>39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B60" t="s">
        <v>62</v>
      </c>
      <c r="C60" t="s">
        <v>63</v>
      </c>
      <c r="D60" s="3"/>
      <c r="E60" s="3">
        <v>1</v>
      </c>
      <c r="F60" s="4" t="s">
        <v>39</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B61" t="s">
        <v>62</v>
      </c>
      <c r="C61" t="s">
        <v>63</v>
      </c>
      <c r="D61" s="3"/>
      <c r="E61" s="3">
        <v>1</v>
      </c>
      <c r="F61" s="4" t="s">
        <v>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B62" t="s">
        <v>62</v>
      </c>
      <c r="C62" t="s">
        <v>63</v>
      </c>
      <c r="D62" s="3"/>
      <c r="E62" s="3">
        <v>1</v>
      </c>
      <c r="F62" s="4" t="s">
        <v>39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B63" t="s">
        <v>62</v>
      </c>
      <c r="C63" t="s">
        <v>63</v>
      </c>
      <c r="D63" s="3"/>
      <c r="E63" s="3">
        <v>1</v>
      </c>
      <c r="F63" s="4" t="s">
        <v>39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sheetData>
  <conditionalFormatting sqref="E2:E15">
    <cfRule type="expression" dxfId="1251" priority="1">
      <formula>COUNTIF(G2:BE2,"&lt;&gt;" &amp; "")&gt;0</formula>
    </cfRule>
    <cfRule type="expression" dxfId="1250" priority="2">
      <formula>AND(COUNTIF(G2:BE2,"&lt;&gt;" &amp; "")&gt;0,NOT(ISBLANK(E2)))</formula>
    </cfRule>
  </conditionalFormatting>
  <conditionalFormatting sqref="E18:E31">
    <cfRule type="expression" dxfId="1249" priority="29">
      <formula>COUNTIF(G18:BE18,"&lt;&gt;" &amp; "")&gt;0</formula>
    </cfRule>
    <cfRule type="expression" dxfId="1248" priority="30">
      <formula>AND(COUNTIF(G18:BE18,"&lt;&gt;" &amp; "")&gt;0,NOT(ISBLANK(E18)))</formula>
    </cfRule>
  </conditionalFormatting>
  <conditionalFormatting sqref="E34:E47">
    <cfRule type="expression" dxfId="1247" priority="57">
      <formula>COUNTIF(G34:BE34,"&lt;&gt;" &amp; "")&gt;0</formula>
    </cfRule>
    <cfRule type="expression" dxfId="1246" priority="58">
      <formula>AND(COUNTIF(G34:BE34,"&lt;&gt;" &amp; "")&gt;0,NOT(ISBLANK(E34)))</formula>
    </cfRule>
  </conditionalFormatting>
  <conditionalFormatting sqref="E50:E63">
    <cfRule type="expression" dxfId="1245" priority="85">
      <formula>COUNTIF(G50:BE50,"&lt;&gt;" &amp; "")&gt;0</formula>
    </cfRule>
    <cfRule type="expression" dxfId="1244" priority="86">
      <formula>AND(COUNTIF(G50:BE50,"&lt;&gt;" &amp; "")&gt;0,NOT(ISBLANK(E50)))</formula>
    </cfRule>
  </conditionalFormatting>
  <dataValidations count="2">
    <dataValidation type="list" allowBlank="1" showInputMessage="1" showErrorMessage="1" sqref="C18:C31 C2:C15" xr:uid="{00000000-0002-0000-0900-000000000000}">
      <formula1>"Rate (per year)"</formula1>
    </dataValidation>
    <dataValidation type="list" allowBlank="1" showInputMessage="1" showErrorMessage="1" sqref="C50:C63 C34:C47" xr:uid="{00000000-0002-0000-0900-00001C000000}">
      <formula1>"Duration (years)"</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BE288"/>
  <sheetViews>
    <sheetView workbookViewId="0"/>
  </sheetViews>
  <sheetFormatPr defaultRowHeight="15" x14ac:dyDescent="0.25"/>
  <cols>
    <col min="1" max="1" width="104" customWidth="1"/>
    <col min="2" max="2" width="12.7109375" customWidth="1"/>
    <col min="3" max="3" width="10.5703125" customWidth="1"/>
    <col min="4" max="4" width="13.85546875" customWidth="1"/>
    <col min="5" max="5" width="10.5703125" customWidth="1"/>
    <col min="6" max="57" width="9.42578125" customWidth="1"/>
  </cols>
  <sheetData>
    <row r="1" spans="1:55" x14ac:dyDescent="0.25">
      <c r="A1" s="1" t="s">
        <v>109</v>
      </c>
      <c r="B1" s="1" t="s">
        <v>31</v>
      </c>
      <c r="C1" s="1" t="s">
        <v>32</v>
      </c>
      <c r="D1" s="1" t="s">
        <v>33</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c r="AC1" s="1">
        <v>2024</v>
      </c>
      <c r="AD1" s="1">
        <v>2025</v>
      </c>
      <c r="AE1" s="1">
        <v>2026</v>
      </c>
      <c r="AF1" s="1">
        <v>2027</v>
      </c>
      <c r="AG1" s="1">
        <v>2028</v>
      </c>
      <c r="AH1" s="1">
        <v>2029</v>
      </c>
      <c r="AI1" s="1">
        <v>2030</v>
      </c>
      <c r="AJ1" s="1">
        <v>2031</v>
      </c>
      <c r="AK1" s="1">
        <v>2032</v>
      </c>
      <c r="AL1" s="1">
        <v>2033</v>
      </c>
      <c r="AM1" s="1">
        <v>2034</v>
      </c>
      <c r="AN1" s="1">
        <v>2035</v>
      </c>
      <c r="AO1" s="1">
        <v>2036</v>
      </c>
      <c r="AP1" s="1">
        <v>2037</v>
      </c>
      <c r="AQ1" s="1">
        <v>2038</v>
      </c>
      <c r="AR1" s="1">
        <v>2039</v>
      </c>
      <c r="AS1" s="1">
        <v>2040</v>
      </c>
      <c r="AT1" s="1">
        <v>2041</v>
      </c>
      <c r="AU1" s="1">
        <v>2042</v>
      </c>
      <c r="AV1" s="1">
        <v>2043</v>
      </c>
      <c r="AW1" s="1">
        <v>2044</v>
      </c>
      <c r="AX1" s="1">
        <v>2045</v>
      </c>
      <c r="AY1" s="1">
        <v>2046</v>
      </c>
      <c r="AZ1" s="1">
        <v>2047</v>
      </c>
      <c r="BA1" s="1">
        <v>2048</v>
      </c>
      <c r="BB1" s="1">
        <v>2049</v>
      </c>
      <c r="BC1" s="1">
        <v>2050</v>
      </c>
    </row>
    <row r="2" spans="1:55" x14ac:dyDescent="0.25">
      <c r="A2" s="1" t="str">
        <f>'Population Definitions'!$A$2</f>
        <v>PWID_males</v>
      </c>
      <c r="C2" t="s">
        <v>36</v>
      </c>
      <c r="D2" s="3"/>
      <c r="E2" s="3">
        <v>0</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row>
    <row r="3" spans="1:55" x14ac:dyDescent="0.25">
      <c r="A3" s="1" t="str">
        <f>'Population Definitions'!$A$3</f>
        <v>PWID_females</v>
      </c>
      <c r="C3" t="s">
        <v>36</v>
      </c>
      <c r="D3" s="3"/>
      <c r="E3" s="3">
        <v>0</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spans="1:55" x14ac:dyDescent="0.25">
      <c r="A4" s="1" t="str">
        <f>'Population Definitions'!$A$4</f>
        <v>0-9_males</v>
      </c>
      <c r="C4" t="s">
        <v>36</v>
      </c>
      <c r="D4" s="3"/>
      <c r="E4" s="3">
        <v>0</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row>
    <row r="5" spans="1:55" x14ac:dyDescent="0.25">
      <c r="A5" s="1" t="str">
        <f>'Population Definitions'!$A$5</f>
        <v>0-9_females</v>
      </c>
      <c r="C5" t="s">
        <v>36</v>
      </c>
      <c r="D5" s="3"/>
      <c r="E5" s="3">
        <v>0</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spans="1:55" x14ac:dyDescent="0.25">
      <c r="A6" s="1" t="str">
        <f>'Population Definitions'!$A$6</f>
        <v>10-17_males</v>
      </c>
      <c r="C6" t="s">
        <v>36</v>
      </c>
      <c r="D6" s="3"/>
      <c r="E6" s="3">
        <v>0</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1" t="str">
        <f>'Population Definitions'!$A$7</f>
        <v>10-17_females</v>
      </c>
      <c r="C7" t="s">
        <v>36</v>
      </c>
      <c r="D7" s="3"/>
      <c r="E7" s="3">
        <v>0</v>
      </c>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row>
    <row r="8" spans="1:55" x14ac:dyDescent="0.25">
      <c r="A8" s="1" t="str">
        <f>'Population Definitions'!$A$8</f>
        <v>18-64_males</v>
      </c>
      <c r="C8" t="s">
        <v>36</v>
      </c>
      <c r="D8" s="3"/>
      <c r="E8" s="3">
        <v>0</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5" x14ac:dyDescent="0.25">
      <c r="A9" s="1" t="str">
        <f>'Population Definitions'!$A$9</f>
        <v>18-64_females</v>
      </c>
      <c r="C9" t="s">
        <v>36</v>
      </c>
      <c r="D9" s="3"/>
      <c r="E9" s="3">
        <v>0</v>
      </c>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5" x14ac:dyDescent="0.25">
      <c r="A10" s="1" t="str">
        <f>'Population Definitions'!$A$10</f>
        <v>65+_males</v>
      </c>
      <c r="C10" t="s">
        <v>36</v>
      </c>
      <c r="D10" s="3"/>
      <c r="E10" s="3">
        <v>0</v>
      </c>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row>
    <row r="11" spans="1:55" x14ac:dyDescent="0.25">
      <c r="A11" s="1" t="str">
        <f>'Population Definitions'!$A$11</f>
        <v>65+_females</v>
      </c>
      <c r="C11" t="s">
        <v>36</v>
      </c>
      <c r="D11" s="3"/>
      <c r="E11" s="3">
        <v>0</v>
      </c>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row>
    <row r="12" spans="1:55" x14ac:dyDescent="0.25">
      <c r="A12" s="1" t="str">
        <f>'Population Definitions'!$A$12</f>
        <v>Prisoners_males</v>
      </c>
      <c r="C12" t="s">
        <v>36</v>
      </c>
      <c r="D12" s="3"/>
      <c r="E12" s="3">
        <v>0</v>
      </c>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row>
    <row r="13" spans="1:55" x14ac:dyDescent="0.25">
      <c r="A13" s="1" t="str">
        <f>'Population Definitions'!$A$13</f>
        <v>Prisoners_females</v>
      </c>
      <c r="C13" t="s">
        <v>36</v>
      </c>
      <c r="D13" s="3"/>
      <c r="E13" s="3">
        <v>0</v>
      </c>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row>
    <row r="14" spans="1:55" x14ac:dyDescent="0.25">
      <c r="A14" s="1" t="str">
        <f>'Population Definitions'!$A$14</f>
        <v>Prisoners_PWID_males</v>
      </c>
      <c r="C14" t="s">
        <v>36</v>
      </c>
      <c r="D14" s="3"/>
      <c r="E14" s="3">
        <v>0</v>
      </c>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row>
    <row r="15" spans="1:55" x14ac:dyDescent="0.25">
      <c r="A15" s="1" t="str">
        <f>'Population Definitions'!$A$15</f>
        <v>Prisoners_PWID_females</v>
      </c>
      <c r="C15" t="s">
        <v>36</v>
      </c>
      <c r="D15" s="3"/>
      <c r="E15" s="3">
        <v>0</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row>
    <row r="16" spans="1:55" x14ac:dyDescent="0.25">
      <c r="A16" s="1" t="s">
        <v>110</v>
      </c>
      <c r="C16" t="s">
        <v>36</v>
      </c>
      <c r="D16" s="3"/>
      <c r="E16" s="3">
        <v>9.3000879619237489E-2</v>
      </c>
      <c r="F16" s="3"/>
      <c r="G16" s="3"/>
      <c r="H16" s="3"/>
      <c r="I16" s="3"/>
      <c r="J16" s="3"/>
      <c r="K16" s="3"/>
      <c r="L16" s="3"/>
      <c r="M16" s="3"/>
      <c r="N16" s="3"/>
      <c r="O16" s="3"/>
      <c r="P16" s="3"/>
      <c r="Q16" s="3"/>
      <c r="R16" s="3"/>
      <c r="S16" s="3"/>
      <c r="T16" s="3">
        <v>0.27900263885771248</v>
      </c>
      <c r="U16" s="3">
        <v>0.18340029602810529</v>
      </c>
      <c r="V16" s="3">
        <v>0.17480458667649529</v>
      </c>
      <c r="W16" s="3">
        <v>0.18300194287710181</v>
      </c>
      <c r="X16" s="3">
        <v>0.88428425047619041</v>
      </c>
      <c r="Y16" s="3">
        <v>0.94063681095705109</v>
      </c>
      <c r="Z16" s="3">
        <v>0.97454251989644636</v>
      </c>
      <c r="AA16" s="3">
        <v>0.98073927966425645</v>
      </c>
      <c r="AB16" s="3">
        <v>0.98098619253032493</v>
      </c>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row>
    <row r="18" spans="1:57" x14ac:dyDescent="0.25">
      <c r="A18" s="1" t="s">
        <v>111</v>
      </c>
      <c r="B18" s="1" t="s">
        <v>31</v>
      </c>
      <c r="C18" s="1" t="s">
        <v>32</v>
      </c>
      <c r="D18" s="1" t="s">
        <v>33</v>
      </c>
      <c r="E18" s="1" t="s">
        <v>38</v>
      </c>
      <c r="F18" s="1"/>
      <c r="G18" s="1">
        <v>2000</v>
      </c>
      <c r="H18" s="1">
        <v>2001</v>
      </c>
      <c r="I18" s="1">
        <v>2002</v>
      </c>
      <c r="J18" s="1">
        <v>2003</v>
      </c>
      <c r="K18" s="1">
        <v>2004</v>
      </c>
      <c r="L18" s="1">
        <v>2005</v>
      </c>
      <c r="M18" s="1">
        <v>2006</v>
      </c>
      <c r="N18" s="1">
        <v>2007</v>
      </c>
      <c r="O18" s="1">
        <v>2008</v>
      </c>
      <c r="P18" s="1">
        <v>2009</v>
      </c>
      <c r="Q18" s="1">
        <v>2010</v>
      </c>
      <c r="R18" s="1">
        <v>2011</v>
      </c>
      <c r="S18" s="1">
        <v>2012</v>
      </c>
      <c r="T18" s="1">
        <v>2013</v>
      </c>
      <c r="U18" s="1">
        <v>2014</v>
      </c>
      <c r="V18" s="1">
        <v>2015</v>
      </c>
      <c r="W18" s="1">
        <v>2016</v>
      </c>
      <c r="X18" s="1">
        <v>2017</v>
      </c>
      <c r="Y18" s="1">
        <v>2018</v>
      </c>
      <c r="Z18" s="1">
        <v>2019</v>
      </c>
      <c r="AA18" s="1">
        <v>2020</v>
      </c>
      <c r="AB18" s="1">
        <v>2021</v>
      </c>
      <c r="AC18" s="1">
        <v>2022</v>
      </c>
      <c r="AD18" s="1">
        <v>2023</v>
      </c>
      <c r="AE18" s="1">
        <v>2024</v>
      </c>
      <c r="AF18" s="1">
        <v>2025</v>
      </c>
      <c r="AG18" s="1">
        <v>2026</v>
      </c>
      <c r="AH18" s="1">
        <v>2027</v>
      </c>
      <c r="AI18" s="1">
        <v>2028</v>
      </c>
      <c r="AJ18" s="1">
        <v>2029</v>
      </c>
      <c r="AK18" s="1">
        <v>2030</v>
      </c>
      <c r="AL18" s="1">
        <v>2031</v>
      </c>
      <c r="AM18" s="1">
        <v>2032</v>
      </c>
      <c r="AN18" s="1">
        <v>2033</v>
      </c>
      <c r="AO18" s="1">
        <v>2034</v>
      </c>
      <c r="AP18" s="1">
        <v>2035</v>
      </c>
      <c r="AQ18" s="1">
        <v>2036</v>
      </c>
      <c r="AR18" s="1">
        <v>2037</v>
      </c>
      <c r="AS18" s="1">
        <v>2038</v>
      </c>
      <c r="AT18" s="1">
        <v>2039</v>
      </c>
      <c r="AU18" s="1">
        <v>2040</v>
      </c>
      <c r="AV18" s="1">
        <v>2041</v>
      </c>
      <c r="AW18" s="1">
        <v>2042</v>
      </c>
      <c r="AX18" s="1">
        <v>2043</v>
      </c>
      <c r="AY18" s="1">
        <v>2044</v>
      </c>
      <c r="AZ18" s="1">
        <v>2045</v>
      </c>
      <c r="BA18" s="1">
        <v>2046</v>
      </c>
      <c r="BB18" s="1">
        <v>2047</v>
      </c>
      <c r="BC18" s="1">
        <v>2048</v>
      </c>
      <c r="BD18" s="1">
        <v>2049</v>
      </c>
      <c r="BE18" s="1">
        <v>2050</v>
      </c>
    </row>
    <row r="19" spans="1:57" x14ac:dyDescent="0.25">
      <c r="A19" s="1" t="str">
        <f>'Population Definitions'!$A$2</f>
        <v>PWID_males</v>
      </c>
      <c r="C19" t="s">
        <v>34</v>
      </c>
      <c r="D19" s="3"/>
      <c r="E19" s="3"/>
      <c r="F19" s="4" t="s">
        <v>39</v>
      </c>
      <c r="G19" s="3">
        <v>0</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Definitions'!$A$3</f>
        <v>PWID_females</v>
      </c>
      <c r="C20" t="s">
        <v>34</v>
      </c>
      <c r="D20" s="3"/>
      <c r="E20" s="3"/>
      <c r="F20" s="4" t="s">
        <v>39</v>
      </c>
      <c r="G20" s="3">
        <v>0</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Definitions'!$A$4</f>
        <v>0-9_males</v>
      </c>
      <c r="C21" t="s">
        <v>34</v>
      </c>
      <c r="D21" s="3"/>
      <c r="E21" s="3"/>
      <c r="F21" s="4" t="s">
        <v>39</v>
      </c>
      <c r="G21" s="3">
        <v>0</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Definitions'!$A$5</f>
        <v>0-9_females</v>
      </c>
      <c r="C22" t="s">
        <v>34</v>
      </c>
      <c r="D22" s="3"/>
      <c r="E22" s="3"/>
      <c r="F22" s="4" t="s">
        <v>39</v>
      </c>
      <c r="G22" s="3">
        <v>0</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Definitions'!$A$6</f>
        <v>10-17_males</v>
      </c>
      <c r="C23" t="s">
        <v>34</v>
      </c>
      <c r="D23" s="3"/>
      <c r="E23" s="3"/>
      <c r="F23" s="4" t="s">
        <v>39</v>
      </c>
      <c r="G23" s="3">
        <v>0</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Definitions'!$A$7</f>
        <v>10-17_females</v>
      </c>
      <c r="C24" t="s">
        <v>34</v>
      </c>
      <c r="D24" s="3"/>
      <c r="E24" s="3"/>
      <c r="F24" s="4" t="s">
        <v>39</v>
      </c>
      <c r="G24" s="3">
        <v>0</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Definitions'!$A$8</f>
        <v>18-64_males</v>
      </c>
      <c r="C25" t="s">
        <v>34</v>
      </c>
      <c r="D25" s="3"/>
      <c r="E25" s="3"/>
      <c r="F25" s="4" t="s">
        <v>39</v>
      </c>
      <c r="G25" s="3">
        <v>0</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Definitions'!$A$9</f>
        <v>18-64_females</v>
      </c>
      <c r="C26" t="s">
        <v>34</v>
      </c>
      <c r="D26" s="3"/>
      <c r="E26" s="3"/>
      <c r="F26" s="4" t="s">
        <v>39</v>
      </c>
      <c r="G26" s="3">
        <v>0</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Definitions'!$A$10</f>
        <v>65+_males</v>
      </c>
      <c r="C27" t="s">
        <v>34</v>
      </c>
      <c r="D27" s="3"/>
      <c r="E27" s="3"/>
      <c r="F27" s="4" t="s">
        <v>39</v>
      </c>
      <c r="G27" s="3">
        <v>0</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Definitions'!$A$11</f>
        <v>65+_females</v>
      </c>
      <c r="C28" t="s">
        <v>34</v>
      </c>
      <c r="D28" s="3"/>
      <c r="E28" s="3"/>
      <c r="F28" s="4" t="s">
        <v>39</v>
      </c>
      <c r="G28" s="3">
        <v>0</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Definitions'!$A$12</f>
        <v>Prisoners_males</v>
      </c>
      <c r="C29" t="s">
        <v>34</v>
      </c>
      <c r="D29" s="3"/>
      <c r="E29" s="3"/>
      <c r="F29" s="4" t="s">
        <v>39</v>
      </c>
      <c r="G29" s="3">
        <v>0</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Definitions'!$A$13</f>
        <v>Prisoners_females</v>
      </c>
      <c r="C30" t="s">
        <v>34</v>
      </c>
      <c r="D30" s="3"/>
      <c r="E30" s="3"/>
      <c r="F30" s="4" t="s">
        <v>39</v>
      </c>
      <c r="G30" s="3">
        <v>0</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Definitions'!$A$14</f>
        <v>Prisoners_PWID_males</v>
      </c>
      <c r="C31" t="s">
        <v>34</v>
      </c>
      <c r="D31" s="3"/>
      <c r="E31" s="3"/>
      <c r="F31" s="4" t="s">
        <v>39</v>
      </c>
      <c r="G31" s="3">
        <v>0</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2" spans="1:57" x14ac:dyDescent="0.25">
      <c r="A32" s="1" t="str">
        <f>'Population Definitions'!$A$15</f>
        <v>Prisoners_PWID_females</v>
      </c>
      <c r="C32" t="s">
        <v>34</v>
      </c>
      <c r="D32" s="3"/>
      <c r="E32" s="3"/>
      <c r="F32" s="4" t="s">
        <v>39</v>
      </c>
      <c r="G32" s="3">
        <v>0</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row>
    <row r="33" spans="1:57" x14ac:dyDescent="0.25">
      <c r="A33" s="1" t="s">
        <v>110</v>
      </c>
      <c r="C33" t="s">
        <v>34</v>
      </c>
      <c r="D33" s="3"/>
      <c r="E33" s="3"/>
      <c r="F33" s="4" t="s">
        <v>39</v>
      </c>
      <c r="G33" s="3">
        <v>275698</v>
      </c>
      <c r="H33" s="3"/>
      <c r="I33" s="3"/>
      <c r="J33" s="3"/>
      <c r="K33" s="3"/>
      <c r="L33" s="3"/>
      <c r="M33" s="3"/>
      <c r="N33" s="3"/>
      <c r="O33" s="3"/>
      <c r="P33" s="3"/>
      <c r="Q33" s="3"/>
      <c r="R33" s="3"/>
      <c r="S33" s="3"/>
      <c r="T33" s="3"/>
      <c r="U33" s="3">
        <v>275698</v>
      </c>
      <c r="V33" s="3">
        <v>827094</v>
      </c>
      <c r="W33" s="3">
        <v>341733</v>
      </c>
      <c r="X33" s="3">
        <v>478530</v>
      </c>
      <c r="Y33" s="3">
        <v>226152</v>
      </c>
      <c r="Z33" s="3">
        <v>1600000</v>
      </c>
      <c r="AA33" s="3">
        <v>15000</v>
      </c>
      <c r="AB33" s="3">
        <v>5000</v>
      </c>
      <c r="AC33" s="3">
        <v>3000</v>
      </c>
      <c r="AD33" s="3">
        <v>306</v>
      </c>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row>
    <row r="35" spans="1:57" x14ac:dyDescent="0.25">
      <c r="A35" s="1" t="s">
        <v>112</v>
      </c>
      <c r="B35" s="1" t="s">
        <v>31</v>
      </c>
      <c r="C35" s="1" t="s">
        <v>32</v>
      </c>
      <c r="D35" s="1" t="s">
        <v>33</v>
      </c>
      <c r="E35" s="1" t="s">
        <v>38</v>
      </c>
      <c r="F35" s="1"/>
      <c r="G35" s="1">
        <v>2000</v>
      </c>
      <c r="H35" s="1">
        <v>2001</v>
      </c>
      <c r="I35" s="1">
        <v>2002</v>
      </c>
      <c r="J35" s="1">
        <v>2003</v>
      </c>
      <c r="K35" s="1">
        <v>2004</v>
      </c>
      <c r="L35" s="1">
        <v>2005</v>
      </c>
      <c r="M35" s="1">
        <v>2006</v>
      </c>
      <c r="N35" s="1">
        <v>2007</v>
      </c>
      <c r="O35" s="1">
        <v>2008</v>
      </c>
      <c r="P35" s="1">
        <v>2009</v>
      </c>
      <c r="Q35" s="1">
        <v>2010</v>
      </c>
      <c r="R35" s="1">
        <v>2011</v>
      </c>
      <c r="S35" s="1">
        <v>2012</v>
      </c>
      <c r="T35" s="1">
        <v>2013</v>
      </c>
      <c r="U35" s="1">
        <v>2014</v>
      </c>
      <c r="V35" s="1">
        <v>2015</v>
      </c>
      <c r="W35" s="1">
        <v>2016</v>
      </c>
      <c r="X35" s="1">
        <v>2017</v>
      </c>
      <c r="Y35" s="1">
        <v>2018</v>
      </c>
      <c r="Z35" s="1">
        <v>2019</v>
      </c>
      <c r="AA35" s="1">
        <v>2020</v>
      </c>
      <c r="AB35" s="1">
        <v>2021</v>
      </c>
      <c r="AC35" s="1">
        <v>2022</v>
      </c>
      <c r="AD35" s="1">
        <v>2023</v>
      </c>
      <c r="AE35" s="1">
        <v>2024</v>
      </c>
      <c r="AF35" s="1">
        <v>2025</v>
      </c>
      <c r="AG35" s="1">
        <v>2026</v>
      </c>
      <c r="AH35" s="1">
        <v>2027</v>
      </c>
      <c r="AI35" s="1">
        <v>2028</v>
      </c>
      <c r="AJ35" s="1">
        <v>2029</v>
      </c>
      <c r="AK35" s="1">
        <v>2030</v>
      </c>
      <c r="AL35" s="1">
        <v>2031</v>
      </c>
      <c r="AM35" s="1">
        <v>2032</v>
      </c>
      <c r="AN35" s="1">
        <v>2033</v>
      </c>
      <c r="AO35" s="1">
        <v>2034</v>
      </c>
      <c r="AP35" s="1">
        <v>2035</v>
      </c>
      <c r="AQ35" s="1">
        <v>2036</v>
      </c>
      <c r="AR35" s="1">
        <v>2037</v>
      </c>
      <c r="AS35" s="1">
        <v>2038</v>
      </c>
      <c r="AT35" s="1">
        <v>2039</v>
      </c>
      <c r="AU35" s="1">
        <v>2040</v>
      </c>
      <c r="AV35" s="1">
        <v>2041</v>
      </c>
      <c r="AW35" s="1">
        <v>2042</v>
      </c>
      <c r="AX35" s="1">
        <v>2043</v>
      </c>
      <c r="AY35" s="1">
        <v>2044</v>
      </c>
      <c r="AZ35" s="1">
        <v>2045</v>
      </c>
      <c r="BA35" s="1">
        <v>2046</v>
      </c>
      <c r="BB35" s="1">
        <v>2047</v>
      </c>
      <c r="BC35" s="1">
        <v>2048</v>
      </c>
      <c r="BD35" s="1">
        <v>2049</v>
      </c>
      <c r="BE35" s="1">
        <v>2050</v>
      </c>
    </row>
    <row r="36" spans="1:57" x14ac:dyDescent="0.25">
      <c r="A36" s="1" t="str">
        <f>'Population Definitions'!$A$2</f>
        <v>PWID_males</v>
      </c>
      <c r="C36" t="s">
        <v>34</v>
      </c>
      <c r="D36" s="3"/>
      <c r="E36" s="3"/>
      <c r="F36" s="4" t="s">
        <v>39</v>
      </c>
      <c r="G36" s="3">
        <v>0</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Definitions'!$A$3</f>
        <v>PWID_females</v>
      </c>
      <c r="C37" t="s">
        <v>34</v>
      </c>
      <c r="D37" s="3"/>
      <c r="E37" s="3"/>
      <c r="F37" s="4" t="s">
        <v>39</v>
      </c>
      <c r="G37" s="3">
        <v>0</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Definitions'!$A$4</f>
        <v>0-9_males</v>
      </c>
      <c r="C38" t="s">
        <v>34</v>
      </c>
      <c r="D38" s="3"/>
      <c r="E38" s="3"/>
      <c r="F38" s="4" t="s">
        <v>39</v>
      </c>
      <c r="G38" s="3">
        <v>0</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Definitions'!$A$5</f>
        <v>0-9_females</v>
      </c>
      <c r="C39" t="s">
        <v>34</v>
      </c>
      <c r="D39" s="3"/>
      <c r="E39" s="3"/>
      <c r="F39" s="4" t="s">
        <v>39</v>
      </c>
      <c r="G39" s="3">
        <v>0</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Definitions'!$A$6</f>
        <v>10-17_males</v>
      </c>
      <c r="C40" t="s">
        <v>34</v>
      </c>
      <c r="D40" s="3"/>
      <c r="E40" s="3"/>
      <c r="F40" s="4" t="s">
        <v>39</v>
      </c>
      <c r="G40" s="3">
        <v>0</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Definitions'!$A$7</f>
        <v>10-17_females</v>
      </c>
      <c r="C41" t="s">
        <v>34</v>
      </c>
      <c r="D41" s="3"/>
      <c r="E41" s="3"/>
      <c r="F41" s="4" t="s">
        <v>39</v>
      </c>
      <c r="G41" s="3">
        <v>0</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Definitions'!$A$8</f>
        <v>18-64_males</v>
      </c>
      <c r="C42" t="s">
        <v>34</v>
      </c>
      <c r="D42" s="3"/>
      <c r="E42" s="3"/>
      <c r="F42" s="4" t="s">
        <v>39</v>
      </c>
      <c r="G42" s="3">
        <v>0</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Definitions'!$A$9</f>
        <v>18-64_females</v>
      </c>
      <c r="C43" t="s">
        <v>34</v>
      </c>
      <c r="D43" s="3"/>
      <c r="E43" s="3"/>
      <c r="F43" s="4" t="s">
        <v>39</v>
      </c>
      <c r="G43" s="3">
        <v>0</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Definitions'!$A$10</f>
        <v>65+_males</v>
      </c>
      <c r="C44" t="s">
        <v>34</v>
      </c>
      <c r="D44" s="3"/>
      <c r="E44" s="3"/>
      <c r="F44" s="4" t="s">
        <v>39</v>
      </c>
      <c r="G44" s="3">
        <v>0</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Definitions'!$A$11</f>
        <v>65+_females</v>
      </c>
      <c r="C45" t="s">
        <v>34</v>
      </c>
      <c r="D45" s="3"/>
      <c r="E45" s="3"/>
      <c r="F45" s="4" t="s">
        <v>39</v>
      </c>
      <c r="G45" s="3">
        <v>0</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Definitions'!$A$12</f>
        <v>Prisoners_males</v>
      </c>
      <c r="C46" t="s">
        <v>34</v>
      </c>
      <c r="D46" s="3"/>
      <c r="E46" s="3"/>
      <c r="F46" s="4" t="s">
        <v>39</v>
      </c>
      <c r="G46" s="3">
        <v>0</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Definitions'!$A$13</f>
        <v>Prisoners_females</v>
      </c>
      <c r="C47" t="s">
        <v>34</v>
      </c>
      <c r="D47" s="3"/>
      <c r="E47" s="3"/>
      <c r="F47" s="4" t="s">
        <v>39</v>
      </c>
      <c r="G47" s="3">
        <v>0</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8" spans="1:57" x14ac:dyDescent="0.25">
      <c r="A48" s="1" t="str">
        <f>'Population Definitions'!$A$14</f>
        <v>Prisoners_PWID_males</v>
      </c>
      <c r="C48" t="s">
        <v>34</v>
      </c>
      <c r="D48" s="3"/>
      <c r="E48" s="3"/>
      <c r="F48" s="4" t="s">
        <v>39</v>
      </c>
      <c r="G48" s="3">
        <v>0</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row>
    <row r="49" spans="1:57" x14ac:dyDescent="0.25">
      <c r="A49" s="1" t="str">
        <f>'Population Definitions'!$A$15</f>
        <v>Prisoners_PWID_females</v>
      </c>
      <c r="C49" t="s">
        <v>34</v>
      </c>
      <c r="D49" s="3"/>
      <c r="E49" s="3"/>
      <c r="F49" s="4" t="s">
        <v>39</v>
      </c>
      <c r="G49" s="3">
        <v>0</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row>
    <row r="50" spans="1:57" x14ac:dyDescent="0.25">
      <c r="A50" s="1" t="s">
        <v>110</v>
      </c>
      <c r="C50" t="s">
        <v>34</v>
      </c>
      <c r="D50" s="3"/>
      <c r="E50" s="3"/>
      <c r="F50" s="4" t="s">
        <v>39</v>
      </c>
      <c r="G50" s="3">
        <v>0</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2" spans="1:57" x14ac:dyDescent="0.25">
      <c r="A52" s="1" t="s">
        <v>113</v>
      </c>
      <c r="B52" s="1" t="s">
        <v>31</v>
      </c>
      <c r="C52" s="1" t="s">
        <v>32</v>
      </c>
      <c r="D52" s="1" t="s">
        <v>33</v>
      </c>
      <c r="E52" s="1" t="s">
        <v>38</v>
      </c>
      <c r="F52" s="1"/>
      <c r="G52" s="1">
        <v>2000</v>
      </c>
      <c r="H52" s="1">
        <v>2001</v>
      </c>
      <c r="I52" s="1">
        <v>2002</v>
      </c>
      <c r="J52" s="1">
        <v>2003</v>
      </c>
      <c r="K52" s="1">
        <v>2004</v>
      </c>
      <c r="L52" s="1">
        <v>2005</v>
      </c>
      <c r="M52" s="1">
        <v>2006</v>
      </c>
      <c r="N52" s="1">
        <v>2007</v>
      </c>
      <c r="O52" s="1">
        <v>2008</v>
      </c>
      <c r="P52" s="1">
        <v>2009</v>
      </c>
      <c r="Q52" s="1">
        <v>2010</v>
      </c>
      <c r="R52" s="1">
        <v>2011</v>
      </c>
      <c r="S52" s="1">
        <v>2012</v>
      </c>
      <c r="T52" s="1">
        <v>2013</v>
      </c>
      <c r="U52" s="1">
        <v>2014</v>
      </c>
      <c r="V52" s="1">
        <v>2015</v>
      </c>
      <c r="W52" s="1">
        <v>2016</v>
      </c>
      <c r="X52" s="1">
        <v>2017</v>
      </c>
      <c r="Y52" s="1">
        <v>2018</v>
      </c>
      <c r="Z52" s="1">
        <v>2019</v>
      </c>
      <c r="AA52" s="1">
        <v>2020</v>
      </c>
      <c r="AB52" s="1">
        <v>2021</v>
      </c>
      <c r="AC52" s="1">
        <v>2022</v>
      </c>
      <c r="AD52" s="1">
        <v>2023</v>
      </c>
      <c r="AE52" s="1">
        <v>2024</v>
      </c>
      <c r="AF52" s="1">
        <v>2025</v>
      </c>
      <c r="AG52" s="1">
        <v>2026</v>
      </c>
      <c r="AH52" s="1">
        <v>2027</v>
      </c>
      <c r="AI52" s="1">
        <v>2028</v>
      </c>
      <c r="AJ52" s="1">
        <v>2029</v>
      </c>
      <c r="AK52" s="1">
        <v>2030</v>
      </c>
      <c r="AL52" s="1">
        <v>2031</v>
      </c>
      <c r="AM52" s="1">
        <v>2032</v>
      </c>
      <c r="AN52" s="1">
        <v>2033</v>
      </c>
      <c r="AO52" s="1">
        <v>2034</v>
      </c>
      <c r="AP52" s="1">
        <v>2035</v>
      </c>
      <c r="AQ52" s="1">
        <v>2036</v>
      </c>
      <c r="AR52" s="1">
        <v>2037</v>
      </c>
      <c r="AS52" s="1">
        <v>2038</v>
      </c>
      <c r="AT52" s="1">
        <v>2039</v>
      </c>
      <c r="AU52" s="1">
        <v>2040</v>
      </c>
      <c r="AV52" s="1">
        <v>2041</v>
      </c>
      <c r="AW52" s="1">
        <v>2042</v>
      </c>
      <c r="AX52" s="1">
        <v>2043</v>
      </c>
      <c r="AY52" s="1">
        <v>2044</v>
      </c>
      <c r="AZ52" s="1">
        <v>2045</v>
      </c>
      <c r="BA52" s="1">
        <v>2046</v>
      </c>
      <c r="BB52" s="1">
        <v>2047</v>
      </c>
      <c r="BC52" s="1">
        <v>2048</v>
      </c>
      <c r="BD52" s="1">
        <v>2049</v>
      </c>
      <c r="BE52" s="1">
        <v>2050</v>
      </c>
    </row>
    <row r="53" spans="1:57" x14ac:dyDescent="0.25">
      <c r="A53" s="1" t="str">
        <f>'Population Definitions'!$A$2</f>
        <v>PWID_males</v>
      </c>
      <c r="C53" t="s">
        <v>34</v>
      </c>
      <c r="D53" s="3"/>
      <c r="E53" s="3"/>
      <c r="F53" s="4" t="s">
        <v>39</v>
      </c>
      <c r="G53" s="3">
        <v>0</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Definitions'!$A$3</f>
        <v>PWID_females</v>
      </c>
      <c r="C54" t="s">
        <v>34</v>
      </c>
      <c r="D54" s="3"/>
      <c r="E54" s="3"/>
      <c r="F54" s="4" t="s">
        <v>39</v>
      </c>
      <c r="G54" s="3">
        <v>0</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Definitions'!$A$4</f>
        <v>0-9_males</v>
      </c>
      <c r="C55" t="s">
        <v>34</v>
      </c>
      <c r="D55" s="3"/>
      <c r="E55" s="3"/>
      <c r="F55" s="4" t="s">
        <v>39</v>
      </c>
      <c r="G55" s="3">
        <v>0</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Definitions'!$A$5</f>
        <v>0-9_females</v>
      </c>
      <c r="C56" t="s">
        <v>34</v>
      </c>
      <c r="D56" s="3"/>
      <c r="E56" s="3"/>
      <c r="F56" s="4" t="s">
        <v>39</v>
      </c>
      <c r="G56" s="3">
        <v>0</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Definitions'!$A$6</f>
        <v>10-17_males</v>
      </c>
      <c r="C57" t="s">
        <v>34</v>
      </c>
      <c r="D57" s="3"/>
      <c r="E57" s="3"/>
      <c r="F57" s="4" t="s">
        <v>39</v>
      </c>
      <c r="G57" s="3">
        <v>0</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Definitions'!$A$7</f>
        <v>10-17_females</v>
      </c>
      <c r="C58" t="s">
        <v>34</v>
      </c>
      <c r="D58" s="3"/>
      <c r="E58" s="3"/>
      <c r="F58" s="4" t="s">
        <v>39</v>
      </c>
      <c r="G58" s="3">
        <v>0</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Definitions'!$A$8</f>
        <v>18-64_males</v>
      </c>
      <c r="C59" t="s">
        <v>34</v>
      </c>
      <c r="D59" s="3"/>
      <c r="E59" s="3"/>
      <c r="F59" s="4" t="s">
        <v>39</v>
      </c>
      <c r="G59" s="3">
        <v>0</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Definitions'!$A$9</f>
        <v>18-64_females</v>
      </c>
      <c r="C60" t="s">
        <v>34</v>
      </c>
      <c r="D60" s="3"/>
      <c r="E60" s="3"/>
      <c r="F60" s="4" t="s">
        <v>39</v>
      </c>
      <c r="G60" s="3">
        <v>0</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Definitions'!$A$10</f>
        <v>65+_males</v>
      </c>
      <c r="C61" t="s">
        <v>34</v>
      </c>
      <c r="D61" s="3"/>
      <c r="E61" s="3"/>
      <c r="F61" s="4" t="s">
        <v>39</v>
      </c>
      <c r="G61" s="3">
        <v>0</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Definitions'!$A$11</f>
        <v>65+_females</v>
      </c>
      <c r="C62" t="s">
        <v>34</v>
      </c>
      <c r="D62" s="3"/>
      <c r="E62" s="3"/>
      <c r="F62" s="4" t="s">
        <v>39</v>
      </c>
      <c r="G62" s="3">
        <v>0</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Definitions'!$A$12</f>
        <v>Prisoners_males</v>
      </c>
      <c r="C63" t="s">
        <v>34</v>
      </c>
      <c r="D63" s="3"/>
      <c r="E63" s="3"/>
      <c r="F63" s="4" t="s">
        <v>39</v>
      </c>
      <c r="G63" s="3">
        <v>0</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row r="64" spans="1:57" x14ac:dyDescent="0.25">
      <c r="A64" s="1" t="str">
        <f>'Population Definitions'!$A$13</f>
        <v>Prisoners_females</v>
      </c>
      <c r="C64" t="s">
        <v>34</v>
      </c>
      <c r="D64" s="3"/>
      <c r="E64" s="3"/>
      <c r="F64" s="4" t="s">
        <v>39</v>
      </c>
      <c r="G64" s="3">
        <v>0</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row>
    <row r="65" spans="1:57" x14ac:dyDescent="0.25">
      <c r="A65" s="1" t="str">
        <f>'Population Definitions'!$A$14</f>
        <v>Prisoners_PWID_males</v>
      </c>
      <c r="C65" t="s">
        <v>34</v>
      </c>
      <c r="D65" s="3"/>
      <c r="E65" s="3"/>
      <c r="F65" s="4" t="s">
        <v>39</v>
      </c>
      <c r="G65" s="3">
        <v>0</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row>
    <row r="66" spans="1:57" x14ac:dyDescent="0.25">
      <c r="A66" s="1" t="str">
        <f>'Population Definitions'!$A$15</f>
        <v>Prisoners_PWID_females</v>
      </c>
      <c r="C66" t="s">
        <v>34</v>
      </c>
      <c r="D66" s="3"/>
      <c r="E66" s="3"/>
      <c r="F66" s="4" t="s">
        <v>39</v>
      </c>
      <c r="G66" s="3">
        <v>0</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row>
    <row r="67" spans="1:57" x14ac:dyDescent="0.25">
      <c r="A67" s="1" t="s">
        <v>110</v>
      </c>
      <c r="C67" t="s">
        <v>34</v>
      </c>
      <c r="D67" s="3"/>
      <c r="E67" s="3"/>
      <c r="F67" s="4" t="s">
        <v>39</v>
      </c>
      <c r="G67" s="3">
        <v>3942615</v>
      </c>
      <c r="H67" s="3"/>
      <c r="I67" s="3"/>
      <c r="J67" s="3"/>
      <c r="K67" s="3"/>
      <c r="L67" s="3"/>
      <c r="M67" s="3"/>
      <c r="N67" s="3"/>
      <c r="O67" s="3"/>
      <c r="P67" s="3"/>
      <c r="Q67" s="3"/>
      <c r="R67" s="3"/>
      <c r="S67" s="3"/>
      <c r="T67" s="3"/>
      <c r="U67" s="3"/>
      <c r="V67" s="3">
        <v>3942615</v>
      </c>
      <c r="W67" s="3">
        <v>3165240</v>
      </c>
      <c r="X67" s="3">
        <v>2810837</v>
      </c>
      <c r="Y67" s="3">
        <v>2336226</v>
      </c>
      <c r="Z67" s="3">
        <v>2100000</v>
      </c>
      <c r="AA67" s="3">
        <v>532260</v>
      </c>
      <c r="AB67" s="3">
        <v>510267</v>
      </c>
      <c r="AC67" s="3">
        <v>497046</v>
      </c>
      <c r="AD67" s="3">
        <v>488214</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row>
    <row r="69" spans="1:57" x14ac:dyDescent="0.25">
      <c r="A69" s="1" t="s">
        <v>114</v>
      </c>
      <c r="B69" s="1" t="s">
        <v>31</v>
      </c>
      <c r="C69" s="1" t="s">
        <v>32</v>
      </c>
      <c r="D69" s="1" t="s">
        <v>33</v>
      </c>
      <c r="E69" s="1" t="s">
        <v>38</v>
      </c>
      <c r="F69" s="1"/>
      <c r="G69" s="1">
        <v>2000</v>
      </c>
      <c r="H69" s="1">
        <v>2001</v>
      </c>
      <c r="I69" s="1">
        <v>2002</v>
      </c>
      <c r="J69" s="1">
        <v>2003</v>
      </c>
      <c r="K69" s="1">
        <v>2004</v>
      </c>
      <c r="L69" s="1">
        <v>2005</v>
      </c>
      <c r="M69" s="1">
        <v>2006</v>
      </c>
      <c r="N69" s="1">
        <v>2007</v>
      </c>
      <c r="O69" s="1">
        <v>2008</v>
      </c>
      <c r="P69" s="1">
        <v>2009</v>
      </c>
      <c r="Q69" s="1">
        <v>2010</v>
      </c>
      <c r="R69" s="1">
        <v>2011</v>
      </c>
      <c r="S69" s="1">
        <v>2012</v>
      </c>
      <c r="T69" s="1">
        <v>2013</v>
      </c>
      <c r="U69" s="1">
        <v>2014</v>
      </c>
      <c r="V69" s="1">
        <v>2015</v>
      </c>
      <c r="W69" s="1">
        <v>2016</v>
      </c>
      <c r="X69" s="1">
        <v>2017</v>
      </c>
      <c r="Y69" s="1">
        <v>2018</v>
      </c>
      <c r="Z69" s="1">
        <v>2019</v>
      </c>
      <c r="AA69" s="1">
        <v>2020</v>
      </c>
      <c r="AB69" s="1">
        <v>2021</v>
      </c>
      <c r="AC69" s="1">
        <v>2022</v>
      </c>
      <c r="AD69" s="1">
        <v>2023</v>
      </c>
      <c r="AE69" s="1">
        <v>2024</v>
      </c>
      <c r="AF69" s="1">
        <v>2025</v>
      </c>
      <c r="AG69" s="1">
        <v>2026</v>
      </c>
      <c r="AH69" s="1">
        <v>2027</v>
      </c>
      <c r="AI69" s="1">
        <v>2028</v>
      </c>
      <c r="AJ69" s="1">
        <v>2029</v>
      </c>
      <c r="AK69" s="1">
        <v>2030</v>
      </c>
      <c r="AL69" s="1">
        <v>2031</v>
      </c>
      <c r="AM69" s="1">
        <v>2032</v>
      </c>
      <c r="AN69" s="1">
        <v>2033</v>
      </c>
      <c r="AO69" s="1">
        <v>2034</v>
      </c>
      <c r="AP69" s="1">
        <v>2035</v>
      </c>
      <c r="AQ69" s="1">
        <v>2036</v>
      </c>
      <c r="AR69" s="1">
        <v>2037</v>
      </c>
      <c r="AS69" s="1">
        <v>2038</v>
      </c>
      <c r="AT69" s="1">
        <v>2039</v>
      </c>
      <c r="AU69" s="1">
        <v>2040</v>
      </c>
      <c r="AV69" s="1">
        <v>2041</v>
      </c>
      <c r="AW69" s="1">
        <v>2042</v>
      </c>
      <c r="AX69" s="1">
        <v>2043</v>
      </c>
      <c r="AY69" s="1">
        <v>2044</v>
      </c>
      <c r="AZ69" s="1">
        <v>2045</v>
      </c>
      <c r="BA69" s="1">
        <v>2046</v>
      </c>
      <c r="BB69" s="1">
        <v>2047</v>
      </c>
      <c r="BC69" s="1">
        <v>2048</v>
      </c>
      <c r="BD69" s="1">
        <v>2049</v>
      </c>
      <c r="BE69" s="1">
        <v>2050</v>
      </c>
    </row>
    <row r="70" spans="1:57" x14ac:dyDescent="0.25">
      <c r="A70" s="1" t="str">
        <f>'Population Definitions'!$A$2</f>
        <v>PWID_males</v>
      </c>
      <c r="C70" t="s">
        <v>34</v>
      </c>
      <c r="D70" s="3"/>
      <c r="E70" s="3"/>
      <c r="F70" s="4" t="s">
        <v>39</v>
      </c>
      <c r="G70" s="3">
        <v>0</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spans="1:57" x14ac:dyDescent="0.25">
      <c r="A71" s="1" t="str">
        <f>'Population Definitions'!$A$3</f>
        <v>PWID_females</v>
      </c>
      <c r="C71" t="s">
        <v>34</v>
      </c>
      <c r="D71" s="3"/>
      <c r="E71" s="3"/>
      <c r="F71" s="4" t="s">
        <v>39</v>
      </c>
      <c r="G71" s="3">
        <v>0</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spans="1:57" x14ac:dyDescent="0.25">
      <c r="A72" s="1" t="str">
        <f>'Population Definitions'!$A$4</f>
        <v>0-9_males</v>
      </c>
      <c r="C72" t="s">
        <v>34</v>
      </c>
      <c r="D72" s="3"/>
      <c r="E72" s="3"/>
      <c r="F72" s="4" t="s">
        <v>39</v>
      </c>
      <c r="G72" s="3">
        <v>0</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spans="1:57" x14ac:dyDescent="0.25">
      <c r="A73" s="1" t="str">
        <f>'Population Definitions'!$A$5</f>
        <v>0-9_females</v>
      </c>
      <c r="C73" t="s">
        <v>34</v>
      </c>
      <c r="D73" s="3"/>
      <c r="E73" s="3"/>
      <c r="F73" s="4" t="s">
        <v>39</v>
      </c>
      <c r="G73" s="3">
        <v>0</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spans="1:57" x14ac:dyDescent="0.25">
      <c r="A74" s="1" t="str">
        <f>'Population Definitions'!$A$6</f>
        <v>10-17_males</v>
      </c>
      <c r="C74" t="s">
        <v>34</v>
      </c>
      <c r="D74" s="3"/>
      <c r="E74" s="3"/>
      <c r="F74" s="4" t="s">
        <v>39</v>
      </c>
      <c r="G74" s="3">
        <v>0</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spans="1:57" x14ac:dyDescent="0.25">
      <c r="A75" s="1" t="str">
        <f>'Population Definitions'!$A$7</f>
        <v>10-17_females</v>
      </c>
      <c r="C75" t="s">
        <v>34</v>
      </c>
      <c r="D75" s="3"/>
      <c r="E75" s="3"/>
      <c r="F75" s="4" t="s">
        <v>39</v>
      </c>
      <c r="G75" s="3">
        <v>0</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spans="1:57" x14ac:dyDescent="0.25">
      <c r="A76" s="1" t="str">
        <f>'Population Definitions'!$A$8</f>
        <v>18-64_males</v>
      </c>
      <c r="C76" t="s">
        <v>34</v>
      </c>
      <c r="D76" s="3"/>
      <c r="E76" s="3"/>
      <c r="F76" s="4" t="s">
        <v>39</v>
      </c>
      <c r="G76" s="3">
        <v>0</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row>
    <row r="77" spans="1:57" x14ac:dyDescent="0.25">
      <c r="A77" s="1" t="str">
        <f>'Population Definitions'!$A$9</f>
        <v>18-64_females</v>
      </c>
      <c r="C77" t="s">
        <v>34</v>
      </c>
      <c r="D77" s="3"/>
      <c r="E77" s="3"/>
      <c r="F77" s="4" t="s">
        <v>39</v>
      </c>
      <c r="G77" s="3">
        <v>0</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row>
    <row r="78" spans="1:57" x14ac:dyDescent="0.25">
      <c r="A78" s="1" t="str">
        <f>'Population Definitions'!$A$10</f>
        <v>65+_males</v>
      </c>
      <c r="C78" t="s">
        <v>34</v>
      </c>
      <c r="D78" s="3"/>
      <c r="E78" s="3"/>
      <c r="F78" s="4" t="s">
        <v>39</v>
      </c>
      <c r="G78" s="3">
        <v>0</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row>
    <row r="79" spans="1:57" x14ac:dyDescent="0.25">
      <c r="A79" s="1" t="str">
        <f>'Population Definitions'!$A$11</f>
        <v>65+_females</v>
      </c>
      <c r="C79" t="s">
        <v>34</v>
      </c>
      <c r="D79" s="3"/>
      <c r="E79" s="3"/>
      <c r="F79" s="4" t="s">
        <v>39</v>
      </c>
      <c r="G79" s="3">
        <v>0</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row>
    <row r="80" spans="1:57" x14ac:dyDescent="0.25">
      <c r="A80" s="1" t="str">
        <f>'Population Definitions'!$A$12</f>
        <v>Prisoners_males</v>
      </c>
      <c r="C80" t="s">
        <v>34</v>
      </c>
      <c r="D80" s="3"/>
      <c r="E80" s="3"/>
      <c r="F80" s="4" t="s">
        <v>39</v>
      </c>
      <c r="G80" s="3">
        <v>0</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row>
    <row r="81" spans="1:57" x14ac:dyDescent="0.25">
      <c r="A81" s="1" t="str">
        <f>'Population Definitions'!$A$13</f>
        <v>Prisoners_females</v>
      </c>
      <c r="C81" t="s">
        <v>34</v>
      </c>
      <c r="D81" s="3"/>
      <c r="E81" s="3"/>
      <c r="F81" s="4" t="s">
        <v>39</v>
      </c>
      <c r="G81" s="3">
        <v>0</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row>
    <row r="82" spans="1:57" x14ac:dyDescent="0.25">
      <c r="A82" s="1" t="str">
        <f>'Population Definitions'!$A$14</f>
        <v>Prisoners_PWID_males</v>
      </c>
      <c r="C82" t="s">
        <v>34</v>
      </c>
      <c r="D82" s="3"/>
      <c r="E82" s="3"/>
      <c r="F82" s="4" t="s">
        <v>39</v>
      </c>
      <c r="G82" s="3">
        <v>0</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row>
    <row r="83" spans="1:57" x14ac:dyDescent="0.25">
      <c r="A83" s="1" t="str">
        <f>'Population Definitions'!$A$15</f>
        <v>Prisoners_PWID_females</v>
      </c>
      <c r="C83" t="s">
        <v>34</v>
      </c>
      <c r="D83" s="3"/>
      <c r="E83" s="3"/>
      <c r="F83" s="4" t="s">
        <v>39</v>
      </c>
      <c r="G83" s="3">
        <v>0</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spans="1:57" x14ac:dyDescent="0.25">
      <c r="A84" s="1" t="s">
        <v>110</v>
      </c>
      <c r="C84" t="s">
        <v>34</v>
      </c>
      <c r="D84" s="3"/>
      <c r="E84" s="3"/>
      <c r="F84" s="4" t="s">
        <v>39</v>
      </c>
      <c r="G84" s="3">
        <v>0</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6" spans="1:57" x14ac:dyDescent="0.25">
      <c r="A86" s="1" t="s">
        <v>115</v>
      </c>
      <c r="B86" s="1" t="s">
        <v>31</v>
      </c>
      <c r="C86" s="1" t="s">
        <v>32</v>
      </c>
      <c r="D86" s="1" t="s">
        <v>33</v>
      </c>
      <c r="E86" s="1" t="s">
        <v>38</v>
      </c>
      <c r="F86" s="1"/>
      <c r="G86" s="1">
        <v>2000</v>
      </c>
      <c r="H86" s="1">
        <v>2001</v>
      </c>
      <c r="I86" s="1">
        <v>2002</v>
      </c>
      <c r="J86" s="1">
        <v>2003</v>
      </c>
      <c r="K86" s="1">
        <v>2004</v>
      </c>
      <c r="L86" s="1">
        <v>2005</v>
      </c>
      <c r="M86" s="1">
        <v>2006</v>
      </c>
      <c r="N86" s="1">
        <v>2007</v>
      </c>
      <c r="O86" s="1">
        <v>2008</v>
      </c>
      <c r="P86" s="1">
        <v>2009</v>
      </c>
      <c r="Q86" s="1">
        <v>2010</v>
      </c>
      <c r="R86" s="1">
        <v>2011</v>
      </c>
      <c r="S86" s="1">
        <v>2012</v>
      </c>
      <c r="T86" s="1">
        <v>2013</v>
      </c>
      <c r="U86" s="1">
        <v>2014</v>
      </c>
      <c r="V86" s="1">
        <v>2015</v>
      </c>
      <c r="W86" s="1">
        <v>2016</v>
      </c>
      <c r="X86" s="1">
        <v>2017</v>
      </c>
      <c r="Y86" s="1">
        <v>2018</v>
      </c>
      <c r="Z86" s="1">
        <v>2019</v>
      </c>
      <c r="AA86" s="1">
        <v>2020</v>
      </c>
      <c r="AB86" s="1">
        <v>2021</v>
      </c>
      <c r="AC86" s="1">
        <v>2022</v>
      </c>
      <c r="AD86" s="1">
        <v>2023</v>
      </c>
      <c r="AE86" s="1">
        <v>2024</v>
      </c>
      <c r="AF86" s="1">
        <v>2025</v>
      </c>
      <c r="AG86" s="1">
        <v>2026</v>
      </c>
      <c r="AH86" s="1">
        <v>2027</v>
      </c>
      <c r="AI86" s="1">
        <v>2028</v>
      </c>
      <c r="AJ86" s="1">
        <v>2029</v>
      </c>
      <c r="AK86" s="1">
        <v>2030</v>
      </c>
      <c r="AL86" s="1">
        <v>2031</v>
      </c>
      <c r="AM86" s="1">
        <v>2032</v>
      </c>
      <c r="AN86" s="1">
        <v>2033</v>
      </c>
      <c r="AO86" s="1">
        <v>2034</v>
      </c>
      <c r="AP86" s="1">
        <v>2035</v>
      </c>
      <c r="AQ86" s="1">
        <v>2036</v>
      </c>
      <c r="AR86" s="1">
        <v>2037</v>
      </c>
      <c r="AS86" s="1">
        <v>2038</v>
      </c>
      <c r="AT86" s="1">
        <v>2039</v>
      </c>
      <c r="AU86" s="1">
        <v>2040</v>
      </c>
      <c r="AV86" s="1">
        <v>2041</v>
      </c>
      <c r="AW86" s="1">
        <v>2042</v>
      </c>
      <c r="AX86" s="1">
        <v>2043</v>
      </c>
      <c r="AY86" s="1">
        <v>2044</v>
      </c>
      <c r="AZ86" s="1">
        <v>2045</v>
      </c>
      <c r="BA86" s="1">
        <v>2046</v>
      </c>
      <c r="BB86" s="1">
        <v>2047</v>
      </c>
      <c r="BC86" s="1">
        <v>2048</v>
      </c>
      <c r="BD86" s="1">
        <v>2049</v>
      </c>
      <c r="BE86" s="1">
        <v>2050</v>
      </c>
    </row>
    <row r="87" spans="1:57" x14ac:dyDescent="0.25">
      <c r="A87" s="1" t="str">
        <f>'Population Definitions'!$A$2</f>
        <v>PWID_males</v>
      </c>
      <c r="C87" t="s">
        <v>34</v>
      </c>
      <c r="D87" s="3"/>
      <c r="E87" s="3"/>
      <c r="F87" s="4" t="s">
        <v>39</v>
      </c>
      <c r="G87" s="3">
        <v>0</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spans="1:57" x14ac:dyDescent="0.25">
      <c r="A88" s="1" t="str">
        <f>'Population Definitions'!$A$3</f>
        <v>PWID_females</v>
      </c>
      <c r="C88" t="s">
        <v>34</v>
      </c>
      <c r="D88" s="3"/>
      <c r="E88" s="3"/>
      <c r="F88" s="4" t="s">
        <v>39</v>
      </c>
      <c r="G88" s="3">
        <v>0</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spans="1:57" x14ac:dyDescent="0.25">
      <c r="A89" s="1" t="str">
        <f>'Population Definitions'!$A$4</f>
        <v>0-9_males</v>
      </c>
      <c r="C89" t="s">
        <v>34</v>
      </c>
      <c r="D89" s="3"/>
      <c r="E89" s="3"/>
      <c r="F89" s="4" t="s">
        <v>39</v>
      </c>
      <c r="G89" s="3">
        <v>0</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spans="1:57" x14ac:dyDescent="0.25">
      <c r="A90" s="1" t="str">
        <f>'Population Definitions'!$A$5</f>
        <v>0-9_females</v>
      </c>
      <c r="C90" t="s">
        <v>34</v>
      </c>
      <c r="D90" s="3"/>
      <c r="E90" s="3"/>
      <c r="F90" s="4" t="s">
        <v>39</v>
      </c>
      <c r="G90" s="3">
        <v>0</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spans="1:57" x14ac:dyDescent="0.25">
      <c r="A91" s="1" t="str">
        <f>'Population Definitions'!$A$6</f>
        <v>10-17_males</v>
      </c>
      <c r="C91" t="s">
        <v>34</v>
      </c>
      <c r="D91" s="3"/>
      <c r="E91" s="3"/>
      <c r="F91" s="4" t="s">
        <v>39</v>
      </c>
      <c r="G91" s="3">
        <v>0</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spans="1:57" x14ac:dyDescent="0.25">
      <c r="A92" s="1" t="str">
        <f>'Population Definitions'!$A$7</f>
        <v>10-17_females</v>
      </c>
      <c r="C92" t="s">
        <v>34</v>
      </c>
      <c r="D92" s="3"/>
      <c r="E92" s="3"/>
      <c r="F92" s="4" t="s">
        <v>39</v>
      </c>
      <c r="G92" s="3">
        <v>0</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spans="1:57" x14ac:dyDescent="0.25">
      <c r="A93" s="1" t="str">
        <f>'Population Definitions'!$A$8</f>
        <v>18-64_males</v>
      </c>
      <c r="C93" t="s">
        <v>34</v>
      </c>
      <c r="D93" s="3"/>
      <c r="E93" s="3"/>
      <c r="F93" s="4" t="s">
        <v>39</v>
      </c>
      <c r="G93" s="3">
        <v>0</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spans="1:57" x14ac:dyDescent="0.25">
      <c r="A94" s="1" t="str">
        <f>'Population Definitions'!$A$9</f>
        <v>18-64_females</v>
      </c>
      <c r="C94" t="s">
        <v>34</v>
      </c>
      <c r="D94" s="3"/>
      <c r="E94" s="3"/>
      <c r="F94" s="4" t="s">
        <v>39</v>
      </c>
      <c r="G94" s="3">
        <v>0</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spans="1:57" x14ac:dyDescent="0.25">
      <c r="A95" s="1" t="str">
        <f>'Population Definitions'!$A$10</f>
        <v>65+_males</v>
      </c>
      <c r="C95" t="s">
        <v>34</v>
      </c>
      <c r="D95" s="3"/>
      <c r="E95" s="3"/>
      <c r="F95" s="4" t="s">
        <v>39</v>
      </c>
      <c r="G95" s="3">
        <v>0</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row r="96" spans="1:57" x14ac:dyDescent="0.25">
      <c r="A96" s="1" t="str">
        <f>'Population Definitions'!$A$11</f>
        <v>65+_females</v>
      </c>
      <c r="C96" t="s">
        <v>34</v>
      </c>
      <c r="D96" s="3"/>
      <c r="E96" s="3"/>
      <c r="F96" s="4" t="s">
        <v>39</v>
      </c>
      <c r="G96" s="3">
        <v>0</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row>
    <row r="97" spans="1:57" x14ac:dyDescent="0.25">
      <c r="A97" s="1" t="str">
        <f>'Population Definitions'!$A$12</f>
        <v>Prisoners_males</v>
      </c>
      <c r="C97" t="s">
        <v>34</v>
      </c>
      <c r="D97" s="3"/>
      <c r="E97" s="3"/>
      <c r="F97" s="4" t="s">
        <v>39</v>
      </c>
      <c r="G97" s="3">
        <v>0</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row>
    <row r="98" spans="1:57" x14ac:dyDescent="0.25">
      <c r="A98" s="1" t="str">
        <f>'Population Definitions'!$A$13</f>
        <v>Prisoners_females</v>
      </c>
      <c r="C98" t="s">
        <v>34</v>
      </c>
      <c r="D98" s="3"/>
      <c r="E98" s="3"/>
      <c r="F98" s="4" t="s">
        <v>39</v>
      </c>
      <c r="G98" s="3">
        <v>0</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row>
    <row r="99" spans="1:57" x14ac:dyDescent="0.25">
      <c r="A99" s="1" t="str">
        <f>'Population Definitions'!$A$14</f>
        <v>Prisoners_PWID_males</v>
      </c>
      <c r="C99" t="s">
        <v>34</v>
      </c>
      <c r="D99" s="3"/>
      <c r="E99" s="3"/>
      <c r="F99" s="4" t="s">
        <v>39</v>
      </c>
      <c r="G99" s="3">
        <v>0</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row>
    <row r="100" spans="1:57" x14ac:dyDescent="0.25">
      <c r="A100" s="1" t="str">
        <f>'Population Definitions'!$A$15</f>
        <v>Prisoners_PWID_females</v>
      </c>
      <c r="C100" t="s">
        <v>34</v>
      </c>
      <c r="D100" s="3"/>
      <c r="E100" s="3"/>
      <c r="F100" s="4" t="s">
        <v>39</v>
      </c>
      <c r="G100" s="3">
        <v>0</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row>
    <row r="101" spans="1:57" x14ac:dyDescent="0.25">
      <c r="A101" s="1" t="s">
        <v>110</v>
      </c>
      <c r="C101" t="s">
        <v>34</v>
      </c>
      <c r="D101" s="3"/>
      <c r="E101" s="3"/>
      <c r="F101" s="4" t="s">
        <v>39</v>
      </c>
      <c r="G101" s="3">
        <v>250000</v>
      </c>
      <c r="H101" s="3"/>
      <c r="I101" s="3"/>
      <c r="J101" s="3"/>
      <c r="K101" s="3"/>
      <c r="L101" s="3"/>
      <c r="M101" s="3"/>
      <c r="N101" s="3"/>
      <c r="O101" s="3"/>
      <c r="P101" s="3"/>
      <c r="Q101" s="3"/>
      <c r="R101" s="3"/>
      <c r="S101" s="3"/>
      <c r="T101" s="3"/>
      <c r="U101" s="3"/>
      <c r="V101" s="3">
        <v>250000</v>
      </c>
      <c r="W101" s="3">
        <v>250000</v>
      </c>
      <c r="X101" s="3">
        <v>400000</v>
      </c>
      <c r="Y101" s="3">
        <v>1653292.8</v>
      </c>
      <c r="Z101" s="3">
        <v>235400.50099999999</v>
      </c>
      <c r="AA101" s="3">
        <v>24888.375</v>
      </c>
      <c r="AB101" s="3">
        <v>9480.6229999999996</v>
      </c>
      <c r="AC101" s="3">
        <v>6228.0360000000001</v>
      </c>
      <c r="AD101" s="3">
        <v>331</v>
      </c>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row>
    <row r="103" spans="1:57" x14ac:dyDescent="0.25">
      <c r="A103" s="1" t="s">
        <v>116</v>
      </c>
      <c r="B103" s="1" t="s">
        <v>31</v>
      </c>
      <c r="C103" s="1" t="s">
        <v>32</v>
      </c>
      <c r="D103" s="1" t="s">
        <v>33</v>
      </c>
      <c r="E103" s="1" t="s">
        <v>38</v>
      </c>
      <c r="F103" s="1"/>
      <c r="G103" s="1">
        <v>2000</v>
      </c>
      <c r="H103" s="1">
        <v>2001</v>
      </c>
      <c r="I103" s="1">
        <v>2002</v>
      </c>
      <c r="J103" s="1">
        <v>2003</v>
      </c>
      <c r="K103" s="1">
        <v>2004</v>
      </c>
      <c r="L103" s="1">
        <v>2005</v>
      </c>
      <c r="M103" s="1">
        <v>2006</v>
      </c>
      <c r="N103" s="1">
        <v>2007</v>
      </c>
      <c r="O103" s="1">
        <v>2008</v>
      </c>
      <c r="P103" s="1">
        <v>2009</v>
      </c>
      <c r="Q103" s="1">
        <v>2010</v>
      </c>
      <c r="R103" s="1">
        <v>2011</v>
      </c>
      <c r="S103" s="1">
        <v>2012</v>
      </c>
      <c r="T103" s="1">
        <v>2013</v>
      </c>
      <c r="U103" s="1">
        <v>2014</v>
      </c>
      <c r="V103" s="1">
        <v>2015</v>
      </c>
      <c r="W103" s="1">
        <v>2016</v>
      </c>
      <c r="X103" s="1">
        <v>2017</v>
      </c>
      <c r="Y103" s="1">
        <v>2018</v>
      </c>
      <c r="Z103" s="1">
        <v>2019</v>
      </c>
      <c r="AA103" s="1">
        <v>2020</v>
      </c>
      <c r="AB103" s="1">
        <v>2021</v>
      </c>
      <c r="AC103" s="1">
        <v>2022</v>
      </c>
      <c r="AD103" s="1">
        <v>2023</v>
      </c>
      <c r="AE103" s="1">
        <v>2024</v>
      </c>
      <c r="AF103" s="1">
        <v>2025</v>
      </c>
      <c r="AG103" s="1">
        <v>2026</v>
      </c>
      <c r="AH103" s="1">
        <v>2027</v>
      </c>
      <c r="AI103" s="1">
        <v>2028</v>
      </c>
      <c r="AJ103" s="1">
        <v>2029</v>
      </c>
      <c r="AK103" s="1">
        <v>2030</v>
      </c>
      <c r="AL103" s="1">
        <v>2031</v>
      </c>
      <c r="AM103" s="1">
        <v>2032</v>
      </c>
      <c r="AN103" s="1">
        <v>2033</v>
      </c>
      <c r="AO103" s="1">
        <v>2034</v>
      </c>
      <c r="AP103" s="1">
        <v>2035</v>
      </c>
      <c r="AQ103" s="1">
        <v>2036</v>
      </c>
      <c r="AR103" s="1">
        <v>2037</v>
      </c>
      <c r="AS103" s="1">
        <v>2038</v>
      </c>
      <c r="AT103" s="1">
        <v>2039</v>
      </c>
      <c r="AU103" s="1">
        <v>2040</v>
      </c>
      <c r="AV103" s="1">
        <v>2041</v>
      </c>
      <c r="AW103" s="1">
        <v>2042</v>
      </c>
      <c r="AX103" s="1">
        <v>2043</v>
      </c>
      <c r="AY103" s="1">
        <v>2044</v>
      </c>
      <c r="AZ103" s="1">
        <v>2045</v>
      </c>
      <c r="BA103" s="1">
        <v>2046</v>
      </c>
      <c r="BB103" s="1">
        <v>2047</v>
      </c>
      <c r="BC103" s="1">
        <v>2048</v>
      </c>
      <c r="BD103" s="1">
        <v>2049</v>
      </c>
      <c r="BE103" s="1">
        <v>2050</v>
      </c>
    </row>
    <row r="104" spans="1:57" x14ac:dyDescent="0.25">
      <c r="A104" s="1" t="str">
        <f>'Population Definitions'!$A$2</f>
        <v>PWID_males</v>
      </c>
      <c r="C104" t="s">
        <v>34</v>
      </c>
      <c r="D104" s="3"/>
      <c r="E104" s="3"/>
      <c r="F104" s="4" t="s">
        <v>39</v>
      </c>
      <c r="G104" s="3">
        <v>0</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row>
    <row r="105" spans="1:57" x14ac:dyDescent="0.25">
      <c r="A105" s="1" t="str">
        <f>'Population Definitions'!$A$3</f>
        <v>PWID_females</v>
      </c>
      <c r="C105" t="s">
        <v>34</v>
      </c>
      <c r="D105" s="3"/>
      <c r="E105" s="3"/>
      <c r="F105" s="4" t="s">
        <v>39</v>
      </c>
      <c r="G105" s="3">
        <v>0</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row>
    <row r="106" spans="1:57" x14ac:dyDescent="0.25">
      <c r="A106" s="1" t="str">
        <f>'Population Definitions'!$A$4</f>
        <v>0-9_males</v>
      </c>
      <c r="C106" t="s">
        <v>34</v>
      </c>
      <c r="D106" s="3"/>
      <c r="E106" s="3"/>
      <c r="F106" s="4" t="s">
        <v>39</v>
      </c>
      <c r="G106" s="3">
        <v>0</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row>
    <row r="107" spans="1:57" x14ac:dyDescent="0.25">
      <c r="A107" s="1" t="str">
        <f>'Population Definitions'!$A$5</f>
        <v>0-9_females</v>
      </c>
      <c r="C107" t="s">
        <v>34</v>
      </c>
      <c r="D107" s="3"/>
      <c r="E107" s="3"/>
      <c r="F107" s="4" t="s">
        <v>39</v>
      </c>
      <c r="G107" s="3">
        <v>0</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row>
    <row r="108" spans="1:57" x14ac:dyDescent="0.25">
      <c r="A108" s="1" t="str">
        <f>'Population Definitions'!$A$6</f>
        <v>10-17_males</v>
      </c>
      <c r="C108" t="s">
        <v>34</v>
      </c>
      <c r="D108" s="3"/>
      <c r="E108" s="3"/>
      <c r="F108" s="4" t="s">
        <v>39</v>
      </c>
      <c r="G108" s="3">
        <v>0</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row>
    <row r="109" spans="1:57" x14ac:dyDescent="0.25">
      <c r="A109" s="1" t="str">
        <f>'Population Definitions'!$A$7</f>
        <v>10-17_females</v>
      </c>
      <c r="C109" t="s">
        <v>34</v>
      </c>
      <c r="D109" s="3"/>
      <c r="E109" s="3"/>
      <c r="F109" s="4" t="s">
        <v>39</v>
      </c>
      <c r="G109" s="3">
        <v>0</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row>
    <row r="110" spans="1:57" x14ac:dyDescent="0.25">
      <c r="A110" s="1" t="str">
        <f>'Population Definitions'!$A$8</f>
        <v>18-64_males</v>
      </c>
      <c r="C110" t="s">
        <v>34</v>
      </c>
      <c r="D110" s="3"/>
      <c r="E110" s="3"/>
      <c r="F110" s="4" t="s">
        <v>39</v>
      </c>
      <c r="G110" s="3">
        <v>0</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row>
    <row r="111" spans="1:57" x14ac:dyDescent="0.25">
      <c r="A111" s="1" t="str">
        <f>'Population Definitions'!$A$9</f>
        <v>18-64_females</v>
      </c>
      <c r="C111" t="s">
        <v>34</v>
      </c>
      <c r="D111" s="3"/>
      <c r="E111" s="3"/>
      <c r="F111" s="4" t="s">
        <v>39</v>
      </c>
      <c r="G111" s="3">
        <v>0</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row>
    <row r="112" spans="1:57" x14ac:dyDescent="0.25">
      <c r="A112" s="1" t="str">
        <f>'Population Definitions'!$A$10</f>
        <v>65+_males</v>
      </c>
      <c r="C112" t="s">
        <v>34</v>
      </c>
      <c r="D112" s="3"/>
      <c r="E112" s="3"/>
      <c r="F112" s="4" t="s">
        <v>39</v>
      </c>
      <c r="G112" s="3">
        <v>0</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row>
    <row r="113" spans="1:57" x14ac:dyDescent="0.25">
      <c r="A113" s="1" t="str">
        <f>'Population Definitions'!$A$11</f>
        <v>65+_females</v>
      </c>
      <c r="C113" t="s">
        <v>34</v>
      </c>
      <c r="D113" s="3"/>
      <c r="E113" s="3"/>
      <c r="F113" s="4" t="s">
        <v>39</v>
      </c>
      <c r="G113" s="3">
        <v>0</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row>
    <row r="114" spans="1:57" x14ac:dyDescent="0.25">
      <c r="A114" s="1" t="str">
        <f>'Population Definitions'!$A$12</f>
        <v>Prisoners_males</v>
      </c>
      <c r="C114" t="s">
        <v>34</v>
      </c>
      <c r="D114" s="3"/>
      <c r="E114" s="3"/>
      <c r="F114" s="4" t="s">
        <v>39</v>
      </c>
      <c r="G114" s="3">
        <v>0</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row>
    <row r="115" spans="1:57" x14ac:dyDescent="0.25">
      <c r="A115" s="1" t="str">
        <f>'Population Definitions'!$A$13</f>
        <v>Prisoners_females</v>
      </c>
      <c r="C115" t="s">
        <v>34</v>
      </c>
      <c r="D115" s="3"/>
      <c r="E115" s="3"/>
      <c r="F115" s="4" t="s">
        <v>39</v>
      </c>
      <c r="G115" s="3">
        <v>0</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row>
    <row r="116" spans="1:57" x14ac:dyDescent="0.25">
      <c r="A116" s="1" t="str">
        <f>'Population Definitions'!$A$14</f>
        <v>Prisoners_PWID_males</v>
      </c>
      <c r="C116" t="s">
        <v>34</v>
      </c>
      <c r="D116" s="3"/>
      <c r="E116" s="3"/>
      <c r="F116" s="4" t="s">
        <v>39</v>
      </c>
      <c r="G116" s="3">
        <v>0</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row>
    <row r="117" spans="1:57" x14ac:dyDescent="0.25">
      <c r="A117" s="1" t="str">
        <f>'Population Definitions'!$A$15</f>
        <v>Prisoners_PWID_females</v>
      </c>
      <c r="C117" t="s">
        <v>34</v>
      </c>
      <c r="D117" s="3"/>
      <c r="E117" s="3"/>
      <c r="F117" s="4" t="s">
        <v>39</v>
      </c>
      <c r="G117" s="3">
        <v>0</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row>
    <row r="118" spans="1:57" x14ac:dyDescent="0.25">
      <c r="A118" s="1" t="s">
        <v>110</v>
      </c>
      <c r="C118" t="s">
        <v>34</v>
      </c>
      <c r="D118" s="3"/>
      <c r="E118" s="3"/>
      <c r="F118" s="4" t="s">
        <v>39</v>
      </c>
      <c r="G118" s="3">
        <v>0</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row>
    <row r="120" spans="1:57" x14ac:dyDescent="0.25">
      <c r="A120" s="1" t="s">
        <v>117</v>
      </c>
      <c r="B120" s="1" t="s">
        <v>31</v>
      </c>
      <c r="C120" s="1" t="s">
        <v>32</v>
      </c>
      <c r="D120" s="1" t="s">
        <v>33</v>
      </c>
      <c r="E120" s="1" t="s">
        <v>38</v>
      </c>
      <c r="F120" s="1"/>
      <c r="G120" s="1">
        <v>2000</v>
      </c>
      <c r="H120" s="1">
        <v>2001</v>
      </c>
      <c r="I120" s="1">
        <v>2002</v>
      </c>
      <c r="J120" s="1">
        <v>2003</v>
      </c>
      <c r="K120" s="1">
        <v>2004</v>
      </c>
      <c r="L120" s="1">
        <v>2005</v>
      </c>
      <c r="M120" s="1">
        <v>2006</v>
      </c>
      <c r="N120" s="1">
        <v>2007</v>
      </c>
      <c r="O120" s="1">
        <v>2008</v>
      </c>
      <c r="P120" s="1">
        <v>2009</v>
      </c>
      <c r="Q120" s="1">
        <v>2010</v>
      </c>
      <c r="R120" s="1">
        <v>2011</v>
      </c>
      <c r="S120" s="1">
        <v>2012</v>
      </c>
      <c r="T120" s="1">
        <v>2013</v>
      </c>
      <c r="U120" s="1">
        <v>2014</v>
      </c>
      <c r="V120" s="1">
        <v>2015</v>
      </c>
      <c r="W120" s="1">
        <v>2016</v>
      </c>
      <c r="X120" s="1">
        <v>2017</v>
      </c>
      <c r="Y120" s="1">
        <v>2018</v>
      </c>
      <c r="Z120" s="1">
        <v>2019</v>
      </c>
      <c r="AA120" s="1">
        <v>2020</v>
      </c>
      <c r="AB120" s="1">
        <v>2021</v>
      </c>
      <c r="AC120" s="1">
        <v>2022</v>
      </c>
      <c r="AD120" s="1">
        <v>2023</v>
      </c>
      <c r="AE120" s="1">
        <v>2024</v>
      </c>
      <c r="AF120" s="1">
        <v>2025</v>
      </c>
      <c r="AG120" s="1">
        <v>2026</v>
      </c>
      <c r="AH120" s="1">
        <v>2027</v>
      </c>
      <c r="AI120" s="1">
        <v>2028</v>
      </c>
      <c r="AJ120" s="1">
        <v>2029</v>
      </c>
      <c r="AK120" s="1">
        <v>2030</v>
      </c>
      <c r="AL120" s="1">
        <v>2031</v>
      </c>
      <c r="AM120" s="1">
        <v>2032</v>
      </c>
      <c r="AN120" s="1">
        <v>2033</v>
      </c>
      <c r="AO120" s="1">
        <v>2034</v>
      </c>
      <c r="AP120" s="1">
        <v>2035</v>
      </c>
      <c r="AQ120" s="1">
        <v>2036</v>
      </c>
      <c r="AR120" s="1">
        <v>2037</v>
      </c>
      <c r="AS120" s="1">
        <v>2038</v>
      </c>
      <c r="AT120" s="1">
        <v>2039</v>
      </c>
      <c r="AU120" s="1">
        <v>2040</v>
      </c>
      <c r="AV120" s="1">
        <v>2041</v>
      </c>
      <c r="AW120" s="1">
        <v>2042</v>
      </c>
      <c r="AX120" s="1">
        <v>2043</v>
      </c>
      <c r="AY120" s="1">
        <v>2044</v>
      </c>
      <c r="AZ120" s="1">
        <v>2045</v>
      </c>
      <c r="BA120" s="1">
        <v>2046</v>
      </c>
      <c r="BB120" s="1">
        <v>2047</v>
      </c>
      <c r="BC120" s="1">
        <v>2048</v>
      </c>
      <c r="BD120" s="1">
        <v>2049</v>
      </c>
      <c r="BE120" s="1">
        <v>2050</v>
      </c>
    </row>
    <row r="121" spans="1:57" x14ac:dyDescent="0.25">
      <c r="A121" s="1" t="str">
        <f>'Population Definitions'!$A$2</f>
        <v>PWID_males</v>
      </c>
      <c r="C121" t="s">
        <v>34</v>
      </c>
      <c r="D121" s="3"/>
      <c r="E121" s="3"/>
      <c r="F121" s="4" t="s">
        <v>39</v>
      </c>
      <c r="G121" s="3">
        <v>0</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row>
    <row r="122" spans="1:57" x14ac:dyDescent="0.25">
      <c r="A122" s="1" t="str">
        <f>'Population Definitions'!$A$3</f>
        <v>PWID_females</v>
      </c>
      <c r="C122" t="s">
        <v>34</v>
      </c>
      <c r="D122" s="3"/>
      <c r="E122" s="3"/>
      <c r="F122" s="4" t="s">
        <v>39</v>
      </c>
      <c r="G122" s="3">
        <v>0</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row>
    <row r="123" spans="1:57" x14ac:dyDescent="0.25">
      <c r="A123" s="1" t="str">
        <f>'Population Definitions'!$A$4</f>
        <v>0-9_males</v>
      </c>
      <c r="C123" t="s">
        <v>34</v>
      </c>
      <c r="D123" s="3"/>
      <c r="E123" s="3"/>
      <c r="F123" s="4" t="s">
        <v>39</v>
      </c>
      <c r="G123" s="3">
        <v>0</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row>
    <row r="124" spans="1:57" x14ac:dyDescent="0.25">
      <c r="A124" s="1" t="str">
        <f>'Population Definitions'!$A$5</f>
        <v>0-9_females</v>
      </c>
      <c r="C124" t="s">
        <v>34</v>
      </c>
      <c r="D124" s="3"/>
      <c r="E124" s="3"/>
      <c r="F124" s="4" t="s">
        <v>39</v>
      </c>
      <c r="G124" s="3">
        <v>0</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row>
    <row r="125" spans="1:57" x14ac:dyDescent="0.25">
      <c r="A125" s="1" t="str">
        <f>'Population Definitions'!$A$6</f>
        <v>10-17_males</v>
      </c>
      <c r="C125" t="s">
        <v>34</v>
      </c>
      <c r="D125" s="3"/>
      <c r="E125" s="3"/>
      <c r="F125" s="4" t="s">
        <v>39</v>
      </c>
      <c r="G125" s="3">
        <v>0</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row>
    <row r="126" spans="1:57" x14ac:dyDescent="0.25">
      <c r="A126" s="1" t="str">
        <f>'Population Definitions'!$A$7</f>
        <v>10-17_females</v>
      </c>
      <c r="C126" t="s">
        <v>34</v>
      </c>
      <c r="D126" s="3"/>
      <c r="E126" s="3"/>
      <c r="F126" s="4" t="s">
        <v>39</v>
      </c>
      <c r="G126" s="3">
        <v>0</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row>
    <row r="127" spans="1:57" x14ac:dyDescent="0.25">
      <c r="A127" s="1" t="str">
        <f>'Population Definitions'!$A$8</f>
        <v>18-64_males</v>
      </c>
      <c r="C127" t="s">
        <v>34</v>
      </c>
      <c r="D127" s="3"/>
      <c r="E127" s="3"/>
      <c r="F127" s="4" t="s">
        <v>39</v>
      </c>
      <c r="G127" s="3">
        <v>0</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row>
    <row r="128" spans="1:57" x14ac:dyDescent="0.25">
      <c r="A128" s="1" t="str">
        <f>'Population Definitions'!$A$9</f>
        <v>18-64_females</v>
      </c>
      <c r="C128" t="s">
        <v>34</v>
      </c>
      <c r="D128" s="3"/>
      <c r="E128" s="3"/>
      <c r="F128" s="4" t="s">
        <v>39</v>
      </c>
      <c r="G128" s="3">
        <v>0</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row>
    <row r="129" spans="1:57" x14ac:dyDescent="0.25">
      <c r="A129" s="1" t="str">
        <f>'Population Definitions'!$A$10</f>
        <v>65+_males</v>
      </c>
      <c r="C129" t="s">
        <v>34</v>
      </c>
      <c r="D129" s="3"/>
      <c r="E129" s="3"/>
      <c r="F129" s="4" t="s">
        <v>39</v>
      </c>
      <c r="G129" s="3">
        <v>0</v>
      </c>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row>
    <row r="130" spans="1:57" x14ac:dyDescent="0.25">
      <c r="A130" s="1" t="str">
        <f>'Population Definitions'!$A$11</f>
        <v>65+_females</v>
      </c>
      <c r="C130" t="s">
        <v>34</v>
      </c>
      <c r="D130" s="3"/>
      <c r="E130" s="3"/>
      <c r="F130" s="4" t="s">
        <v>39</v>
      </c>
      <c r="G130" s="3">
        <v>0</v>
      </c>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row>
    <row r="131" spans="1:57" x14ac:dyDescent="0.25">
      <c r="A131" s="1" t="str">
        <f>'Population Definitions'!$A$12</f>
        <v>Prisoners_males</v>
      </c>
      <c r="C131" t="s">
        <v>34</v>
      </c>
      <c r="D131" s="3"/>
      <c r="E131" s="3"/>
      <c r="F131" s="4" t="s">
        <v>39</v>
      </c>
      <c r="G131" s="3">
        <v>0</v>
      </c>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row>
    <row r="132" spans="1:57" x14ac:dyDescent="0.25">
      <c r="A132" s="1" t="str">
        <f>'Population Definitions'!$A$13</f>
        <v>Prisoners_females</v>
      </c>
      <c r="C132" t="s">
        <v>34</v>
      </c>
      <c r="D132" s="3"/>
      <c r="E132" s="3"/>
      <c r="F132" s="4" t="s">
        <v>39</v>
      </c>
      <c r="G132" s="3">
        <v>0</v>
      </c>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row>
    <row r="133" spans="1:57" x14ac:dyDescent="0.25">
      <c r="A133" s="1" t="str">
        <f>'Population Definitions'!$A$14</f>
        <v>Prisoners_PWID_males</v>
      </c>
      <c r="C133" t="s">
        <v>34</v>
      </c>
      <c r="D133" s="3"/>
      <c r="E133" s="3"/>
      <c r="F133" s="4" t="s">
        <v>39</v>
      </c>
      <c r="G133" s="3">
        <v>0</v>
      </c>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row>
    <row r="134" spans="1:57" x14ac:dyDescent="0.25">
      <c r="A134" s="1" t="str">
        <f>'Population Definitions'!$A$15</f>
        <v>Prisoners_PWID_females</v>
      </c>
      <c r="C134" t="s">
        <v>34</v>
      </c>
      <c r="D134" s="3"/>
      <c r="E134" s="3"/>
      <c r="F134" s="4" t="s">
        <v>39</v>
      </c>
      <c r="G134" s="3">
        <v>0</v>
      </c>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row>
    <row r="135" spans="1:57" x14ac:dyDescent="0.25">
      <c r="A135" s="1" t="s">
        <v>110</v>
      </c>
      <c r="C135" t="s">
        <v>34</v>
      </c>
      <c r="D135" s="3"/>
      <c r="E135" s="3"/>
      <c r="F135" s="4" t="s">
        <v>39</v>
      </c>
      <c r="G135" s="3">
        <v>0</v>
      </c>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row>
    <row r="137" spans="1:57" x14ac:dyDescent="0.25">
      <c r="A137" s="1" t="s">
        <v>118</v>
      </c>
      <c r="B137" s="1" t="s">
        <v>31</v>
      </c>
      <c r="C137" s="1" t="s">
        <v>32</v>
      </c>
      <c r="D137" s="1" t="s">
        <v>33</v>
      </c>
      <c r="E137" s="1" t="s">
        <v>38</v>
      </c>
      <c r="F137" s="1"/>
      <c r="G137" s="1">
        <v>2000</v>
      </c>
      <c r="H137" s="1">
        <v>2001</v>
      </c>
      <c r="I137" s="1">
        <v>2002</v>
      </c>
      <c r="J137" s="1">
        <v>2003</v>
      </c>
      <c r="K137" s="1">
        <v>2004</v>
      </c>
      <c r="L137" s="1">
        <v>2005</v>
      </c>
      <c r="M137" s="1">
        <v>2006</v>
      </c>
      <c r="N137" s="1">
        <v>2007</v>
      </c>
      <c r="O137" s="1">
        <v>2008</v>
      </c>
      <c r="P137" s="1">
        <v>2009</v>
      </c>
      <c r="Q137" s="1">
        <v>2010</v>
      </c>
      <c r="R137" s="1">
        <v>2011</v>
      </c>
      <c r="S137" s="1">
        <v>2012</v>
      </c>
      <c r="T137" s="1">
        <v>2013</v>
      </c>
      <c r="U137" s="1">
        <v>2014</v>
      </c>
      <c r="V137" s="1">
        <v>2015</v>
      </c>
      <c r="W137" s="1">
        <v>2016</v>
      </c>
      <c r="X137" s="1">
        <v>2017</v>
      </c>
      <c r="Y137" s="1">
        <v>2018</v>
      </c>
      <c r="Z137" s="1">
        <v>2019</v>
      </c>
      <c r="AA137" s="1">
        <v>2020</v>
      </c>
      <c r="AB137" s="1">
        <v>2021</v>
      </c>
      <c r="AC137" s="1">
        <v>2022</v>
      </c>
      <c r="AD137" s="1">
        <v>2023</v>
      </c>
      <c r="AE137" s="1">
        <v>2024</v>
      </c>
      <c r="AF137" s="1">
        <v>2025</v>
      </c>
      <c r="AG137" s="1">
        <v>2026</v>
      </c>
      <c r="AH137" s="1">
        <v>2027</v>
      </c>
      <c r="AI137" s="1">
        <v>2028</v>
      </c>
      <c r="AJ137" s="1">
        <v>2029</v>
      </c>
      <c r="AK137" s="1">
        <v>2030</v>
      </c>
      <c r="AL137" s="1">
        <v>2031</v>
      </c>
      <c r="AM137" s="1">
        <v>2032</v>
      </c>
      <c r="AN137" s="1">
        <v>2033</v>
      </c>
      <c r="AO137" s="1">
        <v>2034</v>
      </c>
      <c r="AP137" s="1">
        <v>2035</v>
      </c>
      <c r="AQ137" s="1">
        <v>2036</v>
      </c>
      <c r="AR137" s="1">
        <v>2037</v>
      </c>
      <c r="AS137" s="1">
        <v>2038</v>
      </c>
      <c r="AT137" s="1">
        <v>2039</v>
      </c>
      <c r="AU137" s="1">
        <v>2040</v>
      </c>
      <c r="AV137" s="1">
        <v>2041</v>
      </c>
      <c r="AW137" s="1">
        <v>2042</v>
      </c>
      <c r="AX137" s="1">
        <v>2043</v>
      </c>
      <c r="AY137" s="1">
        <v>2044</v>
      </c>
      <c r="AZ137" s="1">
        <v>2045</v>
      </c>
      <c r="BA137" s="1">
        <v>2046</v>
      </c>
      <c r="BB137" s="1">
        <v>2047</v>
      </c>
      <c r="BC137" s="1">
        <v>2048</v>
      </c>
      <c r="BD137" s="1">
        <v>2049</v>
      </c>
      <c r="BE137" s="1">
        <v>2050</v>
      </c>
    </row>
    <row r="138" spans="1:57" x14ac:dyDescent="0.25">
      <c r="A138" s="1" t="str">
        <f>'Population Definitions'!$A$2</f>
        <v>PWID_males</v>
      </c>
      <c r="C138" t="s">
        <v>34</v>
      </c>
      <c r="D138" s="3"/>
      <c r="E138" s="3"/>
      <c r="F138" s="4" t="s">
        <v>39</v>
      </c>
      <c r="G138" s="3">
        <v>0</v>
      </c>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row>
    <row r="139" spans="1:57" x14ac:dyDescent="0.25">
      <c r="A139" s="1" t="str">
        <f>'Population Definitions'!$A$3</f>
        <v>PWID_females</v>
      </c>
      <c r="C139" t="s">
        <v>34</v>
      </c>
      <c r="D139" s="3"/>
      <c r="E139" s="3"/>
      <c r="F139" s="4" t="s">
        <v>39</v>
      </c>
      <c r="G139" s="3">
        <v>0</v>
      </c>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row>
    <row r="140" spans="1:57" x14ac:dyDescent="0.25">
      <c r="A140" s="1" t="str">
        <f>'Population Definitions'!$A$4</f>
        <v>0-9_males</v>
      </c>
      <c r="C140" t="s">
        <v>34</v>
      </c>
      <c r="D140" s="3"/>
      <c r="E140" s="3"/>
      <c r="F140" s="4" t="s">
        <v>39</v>
      </c>
      <c r="G140" s="3">
        <v>0</v>
      </c>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row>
    <row r="141" spans="1:57" x14ac:dyDescent="0.25">
      <c r="A141" s="1" t="str">
        <f>'Population Definitions'!$A$5</f>
        <v>0-9_females</v>
      </c>
      <c r="C141" t="s">
        <v>34</v>
      </c>
      <c r="D141" s="3"/>
      <c r="E141" s="3"/>
      <c r="F141" s="4" t="s">
        <v>39</v>
      </c>
      <c r="G141" s="3">
        <v>0</v>
      </c>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row>
    <row r="142" spans="1:57" x14ac:dyDescent="0.25">
      <c r="A142" s="1" t="str">
        <f>'Population Definitions'!$A$6</f>
        <v>10-17_males</v>
      </c>
      <c r="C142" t="s">
        <v>34</v>
      </c>
      <c r="D142" s="3"/>
      <c r="E142" s="3"/>
      <c r="F142" s="4" t="s">
        <v>39</v>
      </c>
      <c r="G142" s="3">
        <v>0</v>
      </c>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row>
    <row r="143" spans="1:57" x14ac:dyDescent="0.25">
      <c r="A143" s="1" t="str">
        <f>'Population Definitions'!$A$7</f>
        <v>10-17_females</v>
      </c>
      <c r="C143" t="s">
        <v>34</v>
      </c>
      <c r="D143" s="3"/>
      <c r="E143" s="3"/>
      <c r="F143" s="4" t="s">
        <v>39</v>
      </c>
      <c r="G143" s="3">
        <v>0</v>
      </c>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row>
    <row r="144" spans="1:57" x14ac:dyDescent="0.25">
      <c r="A144" s="1" t="str">
        <f>'Population Definitions'!$A$8</f>
        <v>18-64_males</v>
      </c>
      <c r="C144" t="s">
        <v>34</v>
      </c>
      <c r="D144" s="3"/>
      <c r="E144" s="3"/>
      <c r="F144" s="4" t="s">
        <v>39</v>
      </c>
      <c r="G144" s="3">
        <v>0</v>
      </c>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row>
    <row r="145" spans="1:57" x14ac:dyDescent="0.25">
      <c r="A145" s="1" t="str">
        <f>'Population Definitions'!$A$9</f>
        <v>18-64_females</v>
      </c>
      <c r="C145" t="s">
        <v>34</v>
      </c>
      <c r="D145" s="3"/>
      <c r="E145" s="3"/>
      <c r="F145" s="4" t="s">
        <v>39</v>
      </c>
      <c r="G145" s="3">
        <v>0</v>
      </c>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row>
    <row r="146" spans="1:57" x14ac:dyDescent="0.25">
      <c r="A146" s="1" t="str">
        <f>'Population Definitions'!$A$10</f>
        <v>65+_males</v>
      </c>
      <c r="C146" t="s">
        <v>34</v>
      </c>
      <c r="D146" s="3"/>
      <c r="E146" s="3"/>
      <c r="F146" s="4" t="s">
        <v>39</v>
      </c>
      <c r="G146" s="3">
        <v>0</v>
      </c>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row>
    <row r="147" spans="1:57" x14ac:dyDescent="0.25">
      <c r="A147" s="1" t="str">
        <f>'Population Definitions'!$A$11</f>
        <v>65+_females</v>
      </c>
      <c r="C147" t="s">
        <v>34</v>
      </c>
      <c r="D147" s="3"/>
      <c r="E147" s="3"/>
      <c r="F147" s="4" t="s">
        <v>39</v>
      </c>
      <c r="G147" s="3">
        <v>0</v>
      </c>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row>
    <row r="148" spans="1:57" x14ac:dyDescent="0.25">
      <c r="A148" s="1" t="str">
        <f>'Population Definitions'!$A$12</f>
        <v>Prisoners_males</v>
      </c>
      <c r="C148" t="s">
        <v>34</v>
      </c>
      <c r="D148" s="3"/>
      <c r="E148" s="3"/>
      <c r="F148" s="4" t="s">
        <v>39</v>
      </c>
      <c r="G148" s="3">
        <v>0</v>
      </c>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row>
    <row r="149" spans="1:57" x14ac:dyDescent="0.25">
      <c r="A149" s="1" t="str">
        <f>'Population Definitions'!$A$13</f>
        <v>Prisoners_females</v>
      </c>
      <c r="C149" t="s">
        <v>34</v>
      </c>
      <c r="D149" s="3"/>
      <c r="E149" s="3"/>
      <c r="F149" s="4" t="s">
        <v>39</v>
      </c>
      <c r="G149" s="3">
        <v>0</v>
      </c>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row>
    <row r="150" spans="1:57" x14ac:dyDescent="0.25">
      <c r="A150" s="1" t="str">
        <f>'Population Definitions'!$A$14</f>
        <v>Prisoners_PWID_males</v>
      </c>
      <c r="C150" t="s">
        <v>34</v>
      </c>
      <c r="D150" s="3"/>
      <c r="E150" s="3"/>
      <c r="F150" s="4" t="s">
        <v>39</v>
      </c>
      <c r="G150" s="3">
        <v>0</v>
      </c>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row>
    <row r="151" spans="1:57" x14ac:dyDescent="0.25">
      <c r="A151" s="1" t="str">
        <f>'Population Definitions'!$A$15</f>
        <v>Prisoners_PWID_females</v>
      </c>
      <c r="C151" t="s">
        <v>34</v>
      </c>
      <c r="D151" s="3"/>
      <c r="E151" s="3"/>
      <c r="F151" s="4" t="s">
        <v>39</v>
      </c>
      <c r="G151" s="3">
        <v>0</v>
      </c>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row>
    <row r="152" spans="1:57" x14ac:dyDescent="0.25">
      <c r="A152" s="1" t="s">
        <v>110</v>
      </c>
      <c r="C152" t="s">
        <v>34</v>
      </c>
      <c r="D152" s="3"/>
      <c r="E152" s="3"/>
      <c r="F152" s="4" t="s">
        <v>39</v>
      </c>
      <c r="G152" s="3">
        <v>689687.40740740742</v>
      </c>
      <c r="H152" s="3"/>
      <c r="I152" s="3"/>
      <c r="J152" s="3"/>
      <c r="K152" s="3"/>
      <c r="L152" s="3"/>
      <c r="M152" s="3"/>
      <c r="N152" s="3"/>
      <c r="O152" s="3"/>
      <c r="P152" s="3"/>
      <c r="Q152" s="3"/>
      <c r="R152" s="3"/>
      <c r="S152" s="3"/>
      <c r="T152" s="3"/>
      <c r="U152" s="3"/>
      <c r="V152" s="3"/>
      <c r="W152" s="3"/>
      <c r="X152" s="3">
        <v>930947</v>
      </c>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row>
    <row r="154" spans="1:57" x14ac:dyDescent="0.25">
      <c r="A154" s="1" t="s">
        <v>119</v>
      </c>
      <c r="B154" s="1" t="s">
        <v>31</v>
      </c>
      <c r="C154" s="1" t="s">
        <v>32</v>
      </c>
      <c r="D154" s="1" t="s">
        <v>33</v>
      </c>
      <c r="E154" s="1" t="s">
        <v>38</v>
      </c>
      <c r="F154" s="1"/>
      <c r="G154" s="1">
        <v>2000</v>
      </c>
      <c r="H154" s="1">
        <v>2001</v>
      </c>
      <c r="I154" s="1">
        <v>2002</v>
      </c>
      <c r="J154" s="1">
        <v>2003</v>
      </c>
      <c r="K154" s="1">
        <v>2004</v>
      </c>
      <c r="L154" s="1">
        <v>2005</v>
      </c>
      <c r="M154" s="1">
        <v>2006</v>
      </c>
      <c r="N154" s="1">
        <v>2007</v>
      </c>
      <c r="O154" s="1">
        <v>2008</v>
      </c>
      <c r="P154" s="1">
        <v>2009</v>
      </c>
      <c r="Q154" s="1">
        <v>2010</v>
      </c>
      <c r="R154" s="1">
        <v>2011</v>
      </c>
      <c r="S154" s="1">
        <v>2012</v>
      </c>
      <c r="T154" s="1">
        <v>2013</v>
      </c>
      <c r="U154" s="1">
        <v>2014</v>
      </c>
      <c r="V154" s="1">
        <v>2015</v>
      </c>
      <c r="W154" s="1">
        <v>2016</v>
      </c>
      <c r="X154" s="1">
        <v>2017</v>
      </c>
      <c r="Y154" s="1">
        <v>2018</v>
      </c>
      <c r="Z154" s="1">
        <v>2019</v>
      </c>
      <c r="AA154" s="1">
        <v>2020</v>
      </c>
      <c r="AB154" s="1">
        <v>2021</v>
      </c>
      <c r="AC154" s="1">
        <v>2022</v>
      </c>
      <c r="AD154" s="1">
        <v>2023</v>
      </c>
      <c r="AE154" s="1">
        <v>2024</v>
      </c>
      <c r="AF154" s="1">
        <v>2025</v>
      </c>
      <c r="AG154" s="1">
        <v>2026</v>
      </c>
      <c r="AH154" s="1">
        <v>2027</v>
      </c>
      <c r="AI154" s="1">
        <v>2028</v>
      </c>
      <c r="AJ154" s="1">
        <v>2029</v>
      </c>
      <c r="AK154" s="1">
        <v>2030</v>
      </c>
      <c r="AL154" s="1">
        <v>2031</v>
      </c>
      <c r="AM154" s="1">
        <v>2032</v>
      </c>
      <c r="AN154" s="1">
        <v>2033</v>
      </c>
      <c r="AO154" s="1">
        <v>2034</v>
      </c>
      <c r="AP154" s="1">
        <v>2035</v>
      </c>
      <c r="AQ154" s="1">
        <v>2036</v>
      </c>
      <c r="AR154" s="1">
        <v>2037</v>
      </c>
      <c r="AS154" s="1">
        <v>2038</v>
      </c>
      <c r="AT154" s="1">
        <v>2039</v>
      </c>
      <c r="AU154" s="1">
        <v>2040</v>
      </c>
      <c r="AV154" s="1">
        <v>2041</v>
      </c>
      <c r="AW154" s="1">
        <v>2042</v>
      </c>
      <c r="AX154" s="1">
        <v>2043</v>
      </c>
      <c r="AY154" s="1">
        <v>2044</v>
      </c>
      <c r="AZ154" s="1">
        <v>2045</v>
      </c>
      <c r="BA154" s="1">
        <v>2046</v>
      </c>
      <c r="BB154" s="1">
        <v>2047</v>
      </c>
      <c r="BC154" s="1">
        <v>2048</v>
      </c>
      <c r="BD154" s="1">
        <v>2049</v>
      </c>
      <c r="BE154" s="1">
        <v>2050</v>
      </c>
    </row>
    <row r="155" spans="1:57" x14ac:dyDescent="0.25">
      <c r="A155" s="1" t="str">
        <f>'Population Definitions'!$A$2</f>
        <v>PWID_males</v>
      </c>
      <c r="C155" t="s">
        <v>34</v>
      </c>
      <c r="D155" s="3"/>
      <c r="E155" s="3"/>
      <c r="F155" s="4" t="s">
        <v>39</v>
      </c>
      <c r="G155" s="3">
        <v>0</v>
      </c>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row>
    <row r="156" spans="1:57" x14ac:dyDescent="0.25">
      <c r="A156" s="1" t="str">
        <f>'Population Definitions'!$A$3</f>
        <v>PWID_females</v>
      </c>
      <c r="C156" t="s">
        <v>34</v>
      </c>
      <c r="D156" s="3"/>
      <c r="E156" s="3"/>
      <c r="F156" s="4" t="s">
        <v>39</v>
      </c>
      <c r="G156" s="3">
        <v>0</v>
      </c>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row>
    <row r="157" spans="1:57" x14ac:dyDescent="0.25">
      <c r="A157" s="1" t="str">
        <f>'Population Definitions'!$A$4</f>
        <v>0-9_males</v>
      </c>
      <c r="C157" t="s">
        <v>34</v>
      </c>
      <c r="D157" s="3"/>
      <c r="E157" s="3"/>
      <c r="F157" s="4" t="s">
        <v>39</v>
      </c>
      <c r="G157" s="3">
        <v>0</v>
      </c>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row>
    <row r="158" spans="1:57" x14ac:dyDescent="0.25">
      <c r="A158" s="1" t="str">
        <f>'Population Definitions'!$A$5</f>
        <v>0-9_females</v>
      </c>
      <c r="C158" t="s">
        <v>34</v>
      </c>
      <c r="D158" s="3"/>
      <c r="E158" s="3"/>
      <c r="F158" s="4" t="s">
        <v>39</v>
      </c>
      <c r="G158" s="3">
        <v>0</v>
      </c>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row>
    <row r="159" spans="1:57" x14ac:dyDescent="0.25">
      <c r="A159" s="1" t="str">
        <f>'Population Definitions'!$A$6</f>
        <v>10-17_males</v>
      </c>
      <c r="C159" t="s">
        <v>34</v>
      </c>
      <c r="D159" s="3"/>
      <c r="E159" s="3"/>
      <c r="F159" s="4" t="s">
        <v>39</v>
      </c>
      <c r="G159" s="3">
        <v>0</v>
      </c>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row>
    <row r="160" spans="1:57" x14ac:dyDescent="0.25">
      <c r="A160" s="1" t="str">
        <f>'Population Definitions'!$A$7</f>
        <v>10-17_females</v>
      </c>
      <c r="C160" t="s">
        <v>34</v>
      </c>
      <c r="D160" s="3"/>
      <c r="E160" s="3"/>
      <c r="F160" s="4" t="s">
        <v>39</v>
      </c>
      <c r="G160" s="3">
        <v>0</v>
      </c>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row>
    <row r="161" spans="1:57" x14ac:dyDescent="0.25">
      <c r="A161" s="1" t="str">
        <f>'Population Definitions'!$A$8</f>
        <v>18-64_males</v>
      </c>
      <c r="C161" t="s">
        <v>34</v>
      </c>
      <c r="D161" s="3"/>
      <c r="E161" s="3"/>
      <c r="F161" s="4" t="s">
        <v>39</v>
      </c>
      <c r="G161" s="3">
        <v>0</v>
      </c>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row>
    <row r="162" spans="1:57" x14ac:dyDescent="0.25">
      <c r="A162" s="1" t="str">
        <f>'Population Definitions'!$A$9</f>
        <v>18-64_females</v>
      </c>
      <c r="C162" t="s">
        <v>34</v>
      </c>
      <c r="D162" s="3"/>
      <c r="E162" s="3"/>
      <c r="F162" s="4" t="s">
        <v>39</v>
      </c>
      <c r="G162" s="3">
        <v>0</v>
      </c>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row>
    <row r="163" spans="1:57" x14ac:dyDescent="0.25">
      <c r="A163" s="1" t="str">
        <f>'Population Definitions'!$A$10</f>
        <v>65+_males</v>
      </c>
      <c r="C163" t="s">
        <v>34</v>
      </c>
      <c r="D163" s="3"/>
      <c r="E163" s="3"/>
      <c r="F163" s="4" t="s">
        <v>39</v>
      </c>
      <c r="G163" s="3">
        <v>0</v>
      </c>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row>
    <row r="164" spans="1:57" x14ac:dyDescent="0.25">
      <c r="A164" s="1" t="str">
        <f>'Population Definitions'!$A$11</f>
        <v>65+_females</v>
      </c>
      <c r="C164" t="s">
        <v>34</v>
      </c>
      <c r="D164" s="3"/>
      <c r="E164" s="3"/>
      <c r="F164" s="4" t="s">
        <v>39</v>
      </c>
      <c r="G164" s="3">
        <v>0</v>
      </c>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row>
    <row r="165" spans="1:57" x14ac:dyDescent="0.25">
      <c r="A165" s="1" t="str">
        <f>'Population Definitions'!$A$12</f>
        <v>Prisoners_males</v>
      </c>
      <c r="C165" t="s">
        <v>34</v>
      </c>
      <c r="D165" s="3"/>
      <c r="E165" s="3"/>
      <c r="F165" s="4" t="s">
        <v>39</v>
      </c>
      <c r="G165" s="3">
        <v>0</v>
      </c>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row>
    <row r="166" spans="1:57" x14ac:dyDescent="0.25">
      <c r="A166" s="1" t="str">
        <f>'Population Definitions'!$A$13</f>
        <v>Prisoners_females</v>
      </c>
      <c r="C166" t="s">
        <v>34</v>
      </c>
      <c r="D166" s="3"/>
      <c r="E166" s="3"/>
      <c r="F166" s="4" t="s">
        <v>39</v>
      </c>
      <c r="G166" s="3">
        <v>0</v>
      </c>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row>
    <row r="167" spans="1:57" x14ac:dyDescent="0.25">
      <c r="A167" s="1" t="str">
        <f>'Population Definitions'!$A$14</f>
        <v>Prisoners_PWID_males</v>
      </c>
      <c r="C167" t="s">
        <v>34</v>
      </c>
      <c r="D167" s="3"/>
      <c r="E167" s="3"/>
      <c r="F167" s="4" t="s">
        <v>39</v>
      </c>
      <c r="G167" s="3">
        <v>0</v>
      </c>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row>
    <row r="168" spans="1:57" x14ac:dyDescent="0.25">
      <c r="A168" s="1" t="str">
        <f>'Population Definitions'!$A$15</f>
        <v>Prisoners_PWID_females</v>
      </c>
      <c r="C168" t="s">
        <v>34</v>
      </c>
      <c r="D168" s="3"/>
      <c r="E168" s="3"/>
      <c r="F168" s="4" t="s">
        <v>39</v>
      </c>
      <c r="G168" s="3">
        <v>0</v>
      </c>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row>
    <row r="169" spans="1:57" x14ac:dyDescent="0.25">
      <c r="A169" s="1" t="s">
        <v>110</v>
      </c>
      <c r="C169" t="s">
        <v>34</v>
      </c>
      <c r="D169" s="3"/>
      <c r="E169" s="3"/>
      <c r="F169" s="4" t="s">
        <v>39</v>
      </c>
      <c r="G169" s="3">
        <v>39151.074074074073</v>
      </c>
      <c r="H169" s="3"/>
      <c r="I169" s="3"/>
      <c r="J169" s="3"/>
      <c r="K169" s="3"/>
      <c r="L169" s="3"/>
      <c r="M169" s="3"/>
      <c r="N169" s="3"/>
      <c r="O169" s="3"/>
      <c r="P169" s="3"/>
      <c r="Q169" s="3"/>
      <c r="R169" s="3"/>
      <c r="S169" s="3"/>
      <c r="T169" s="3"/>
      <c r="U169" s="3"/>
      <c r="V169" s="3"/>
      <c r="W169" s="3"/>
      <c r="X169" s="3">
        <v>57722</v>
      </c>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row>
    <row r="171" spans="1:57" x14ac:dyDescent="0.25">
      <c r="A171" s="1" t="s">
        <v>120</v>
      </c>
      <c r="B171" s="1" t="s">
        <v>31</v>
      </c>
      <c r="C171" s="1" t="s">
        <v>32</v>
      </c>
      <c r="D171" s="1" t="s">
        <v>33</v>
      </c>
      <c r="E171" s="1" t="s">
        <v>38</v>
      </c>
      <c r="F171" s="1"/>
      <c r="G171" s="1">
        <v>2000</v>
      </c>
      <c r="H171" s="1">
        <v>2001</v>
      </c>
      <c r="I171" s="1">
        <v>2002</v>
      </c>
      <c r="J171" s="1">
        <v>2003</v>
      </c>
      <c r="K171" s="1">
        <v>2004</v>
      </c>
      <c r="L171" s="1">
        <v>2005</v>
      </c>
      <c r="M171" s="1">
        <v>2006</v>
      </c>
      <c r="N171" s="1">
        <v>2007</v>
      </c>
      <c r="O171" s="1">
        <v>2008</v>
      </c>
      <c r="P171" s="1">
        <v>2009</v>
      </c>
      <c r="Q171" s="1">
        <v>2010</v>
      </c>
      <c r="R171" s="1">
        <v>2011</v>
      </c>
      <c r="S171" s="1">
        <v>2012</v>
      </c>
      <c r="T171" s="1">
        <v>2013</v>
      </c>
      <c r="U171" s="1">
        <v>2014</v>
      </c>
      <c r="V171" s="1">
        <v>2015</v>
      </c>
      <c r="W171" s="1">
        <v>2016</v>
      </c>
      <c r="X171" s="1">
        <v>2017</v>
      </c>
      <c r="Y171" s="1">
        <v>2018</v>
      </c>
      <c r="Z171" s="1">
        <v>2019</v>
      </c>
      <c r="AA171" s="1">
        <v>2020</v>
      </c>
      <c r="AB171" s="1">
        <v>2021</v>
      </c>
      <c r="AC171" s="1">
        <v>2022</v>
      </c>
      <c r="AD171" s="1">
        <v>2023</v>
      </c>
      <c r="AE171" s="1">
        <v>2024</v>
      </c>
      <c r="AF171" s="1">
        <v>2025</v>
      </c>
      <c r="AG171" s="1">
        <v>2026</v>
      </c>
      <c r="AH171" s="1">
        <v>2027</v>
      </c>
      <c r="AI171" s="1">
        <v>2028</v>
      </c>
      <c r="AJ171" s="1">
        <v>2029</v>
      </c>
      <c r="AK171" s="1">
        <v>2030</v>
      </c>
      <c r="AL171" s="1">
        <v>2031</v>
      </c>
      <c r="AM171" s="1">
        <v>2032</v>
      </c>
      <c r="AN171" s="1">
        <v>2033</v>
      </c>
      <c r="AO171" s="1">
        <v>2034</v>
      </c>
      <c r="AP171" s="1">
        <v>2035</v>
      </c>
      <c r="AQ171" s="1">
        <v>2036</v>
      </c>
      <c r="AR171" s="1">
        <v>2037</v>
      </c>
      <c r="AS171" s="1">
        <v>2038</v>
      </c>
      <c r="AT171" s="1">
        <v>2039</v>
      </c>
      <c r="AU171" s="1">
        <v>2040</v>
      </c>
      <c r="AV171" s="1">
        <v>2041</v>
      </c>
      <c r="AW171" s="1">
        <v>2042</v>
      </c>
      <c r="AX171" s="1">
        <v>2043</v>
      </c>
      <c r="AY171" s="1">
        <v>2044</v>
      </c>
      <c r="AZ171" s="1">
        <v>2045</v>
      </c>
      <c r="BA171" s="1">
        <v>2046</v>
      </c>
      <c r="BB171" s="1">
        <v>2047</v>
      </c>
      <c r="BC171" s="1">
        <v>2048</v>
      </c>
      <c r="BD171" s="1">
        <v>2049</v>
      </c>
      <c r="BE171" s="1">
        <v>2050</v>
      </c>
    </row>
    <row r="172" spans="1:57" x14ac:dyDescent="0.25">
      <c r="A172" s="1" t="str">
        <f>'Population Definitions'!$A$2</f>
        <v>PWID_males</v>
      </c>
      <c r="C172" t="s">
        <v>34</v>
      </c>
      <c r="D172" s="3"/>
      <c r="E172" s="3"/>
      <c r="F172" s="4" t="s">
        <v>39</v>
      </c>
      <c r="G172" s="3">
        <v>0</v>
      </c>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row>
    <row r="173" spans="1:57" x14ac:dyDescent="0.25">
      <c r="A173" s="1" t="str">
        <f>'Population Definitions'!$A$3</f>
        <v>PWID_females</v>
      </c>
      <c r="C173" t="s">
        <v>34</v>
      </c>
      <c r="D173" s="3"/>
      <c r="E173" s="3"/>
      <c r="F173" s="4" t="s">
        <v>39</v>
      </c>
      <c r="G173" s="3">
        <v>0</v>
      </c>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row>
    <row r="174" spans="1:57" x14ac:dyDescent="0.25">
      <c r="A174" s="1" t="str">
        <f>'Population Definitions'!$A$4</f>
        <v>0-9_males</v>
      </c>
      <c r="C174" t="s">
        <v>34</v>
      </c>
      <c r="D174" s="3"/>
      <c r="E174" s="3"/>
      <c r="F174" s="4" t="s">
        <v>39</v>
      </c>
      <c r="G174" s="3">
        <v>0</v>
      </c>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row>
    <row r="175" spans="1:57" x14ac:dyDescent="0.25">
      <c r="A175" s="1" t="str">
        <f>'Population Definitions'!$A$5</f>
        <v>0-9_females</v>
      </c>
      <c r="C175" t="s">
        <v>34</v>
      </c>
      <c r="D175" s="3"/>
      <c r="E175" s="3"/>
      <c r="F175" s="4" t="s">
        <v>39</v>
      </c>
      <c r="G175" s="3">
        <v>0</v>
      </c>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row>
    <row r="176" spans="1:57" x14ac:dyDescent="0.25">
      <c r="A176" s="1" t="str">
        <f>'Population Definitions'!$A$6</f>
        <v>10-17_males</v>
      </c>
      <c r="C176" t="s">
        <v>34</v>
      </c>
      <c r="D176" s="3"/>
      <c r="E176" s="3"/>
      <c r="F176" s="4" t="s">
        <v>39</v>
      </c>
      <c r="G176" s="3">
        <v>0</v>
      </c>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row>
    <row r="177" spans="1:57" x14ac:dyDescent="0.25">
      <c r="A177" s="1" t="str">
        <f>'Population Definitions'!$A$7</f>
        <v>10-17_females</v>
      </c>
      <c r="C177" t="s">
        <v>34</v>
      </c>
      <c r="D177" s="3"/>
      <c r="E177" s="3"/>
      <c r="F177" s="4" t="s">
        <v>39</v>
      </c>
      <c r="G177" s="3">
        <v>0</v>
      </c>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row>
    <row r="178" spans="1:57" x14ac:dyDescent="0.25">
      <c r="A178" s="1" t="str">
        <f>'Population Definitions'!$A$8</f>
        <v>18-64_males</v>
      </c>
      <c r="C178" t="s">
        <v>34</v>
      </c>
      <c r="D178" s="3"/>
      <c r="E178" s="3"/>
      <c r="F178" s="4" t="s">
        <v>39</v>
      </c>
      <c r="G178" s="3">
        <v>0</v>
      </c>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row>
    <row r="179" spans="1:57" x14ac:dyDescent="0.25">
      <c r="A179" s="1" t="str">
        <f>'Population Definitions'!$A$9</f>
        <v>18-64_females</v>
      </c>
      <c r="C179" t="s">
        <v>34</v>
      </c>
      <c r="D179" s="3"/>
      <c r="E179" s="3"/>
      <c r="F179" s="4" t="s">
        <v>39</v>
      </c>
      <c r="G179" s="3">
        <v>0</v>
      </c>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row>
    <row r="180" spans="1:57" x14ac:dyDescent="0.25">
      <c r="A180" s="1" t="str">
        <f>'Population Definitions'!$A$10</f>
        <v>65+_males</v>
      </c>
      <c r="C180" t="s">
        <v>34</v>
      </c>
      <c r="D180" s="3"/>
      <c r="E180" s="3"/>
      <c r="F180" s="4" t="s">
        <v>39</v>
      </c>
      <c r="G180" s="3">
        <v>0</v>
      </c>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row>
    <row r="181" spans="1:57" x14ac:dyDescent="0.25">
      <c r="A181" s="1" t="str">
        <f>'Population Definitions'!$A$11</f>
        <v>65+_females</v>
      </c>
      <c r="C181" t="s">
        <v>34</v>
      </c>
      <c r="D181" s="3"/>
      <c r="E181" s="3"/>
      <c r="F181" s="4" t="s">
        <v>39</v>
      </c>
      <c r="G181" s="3">
        <v>0</v>
      </c>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row>
    <row r="182" spans="1:57" x14ac:dyDescent="0.25">
      <c r="A182" s="1" t="str">
        <f>'Population Definitions'!$A$12</f>
        <v>Prisoners_males</v>
      </c>
      <c r="C182" t="s">
        <v>34</v>
      </c>
      <c r="D182" s="3"/>
      <c r="E182" s="3"/>
      <c r="F182" s="4" t="s">
        <v>39</v>
      </c>
      <c r="G182" s="3">
        <v>0</v>
      </c>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row>
    <row r="183" spans="1:57" x14ac:dyDescent="0.25">
      <c r="A183" s="1" t="str">
        <f>'Population Definitions'!$A$13</f>
        <v>Prisoners_females</v>
      </c>
      <c r="C183" t="s">
        <v>34</v>
      </c>
      <c r="D183" s="3"/>
      <c r="E183" s="3"/>
      <c r="F183" s="4" t="s">
        <v>39</v>
      </c>
      <c r="G183" s="3">
        <v>0</v>
      </c>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row>
    <row r="184" spans="1:57" x14ac:dyDescent="0.25">
      <c r="A184" s="1" t="str">
        <f>'Population Definitions'!$A$14</f>
        <v>Prisoners_PWID_males</v>
      </c>
      <c r="C184" t="s">
        <v>34</v>
      </c>
      <c r="D184" s="3"/>
      <c r="E184" s="3"/>
      <c r="F184" s="4" t="s">
        <v>39</v>
      </c>
      <c r="G184" s="3">
        <v>0</v>
      </c>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row>
    <row r="185" spans="1:57" x14ac:dyDescent="0.25">
      <c r="A185" s="1" t="str">
        <f>'Population Definitions'!$A$15</f>
        <v>Prisoners_PWID_females</v>
      </c>
      <c r="C185" t="s">
        <v>34</v>
      </c>
      <c r="D185" s="3"/>
      <c r="E185" s="3"/>
      <c r="F185" s="4" t="s">
        <v>39</v>
      </c>
      <c r="G185" s="3">
        <v>0</v>
      </c>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row>
    <row r="186" spans="1:57" x14ac:dyDescent="0.25">
      <c r="A186" s="1" t="s">
        <v>110</v>
      </c>
      <c r="C186" t="s">
        <v>34</v>
      </c>
      <c r="D186" s="3"/>
      <c r="E186" s="3"/>
      <c r="F186" s="4" t="s">
        <v>39</v>
      </c>
      <c r="G186" s="3">
        <v>0</v>
      </c>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row>
    <row r="188" spans="1:57" x14ac:dyDescent="0.25">
      <c r="A188" s="1" t="s">
        <v>121</v>
      </c>
      <c r="B188" s="1" t="s">
        <v>31</v>
      </c>
      <c r="C188" s="1" t="s">
        <v>32</v>
      </c>
      <c r="D188" s="1" t="s">
        <v>33</v>
      </c>
      <c r="E188" s="1" t="s">
        <v>38</v>
      </c>
      <c r="F188" s="1"/>
      <c r="G188" s="1">
        <v>2000</v>
      </c>
      <c r="H188" s="1">
        <v>2001</v>
      </c>
      <c r="I188" s="1">
        <v>2002</v>
      </c>
      <c r="J188" s="1">
        <v>2003</v>
      </c>
      <c r="K188" s="1">
        <v>2004</v>
      </c>
      <c r="L188" s="1">
        <v>2005</v>
      </c>
      <c r="M188" s="1">
        <v>2006</v>
      </c>
      <c r="N188" s="1">
        <v>2007</v>
      </c>
      <c r="O188" s="1">
        <v>2008</v>
      </c>
      <c r="P188" s="1">
        <v>2009</v>
      </c>
      <c r="Q188" s="1">
        <v>2010</v>
      </c>
      <c r="R188" s="1">
        <v>2011</v>
      </c>
      <c r="S188" s="1">
        <v>2012</v>
      </c>
      <c r="T188" s="1">
        <v>2013</v>
      </c>
      <c r="U188" s="1">
        <v>2014</v>
      </c>
      <c r="V188" s="1">
        <v>2015</v>
      </c>
      <c r="W188" s="1">
        <v>2016</v>
      </c>
      <c r="X188" s="1">
        <v>2017</v>
      </c>
      <c r="Y188" s="1">
        <v>2018</v>
      </c>
      <c r="Z188" s="1">
        <v>2019</v>
      </c>
      <c r="AA188" s="1">
        <v>2020</v>
      </c>
      <c r="AB188" s="1">
        <v>2021</v>
      </c>
      <c r="AC188" s="1">
        <v>2022</v>
      </c>
      <c r="AD188" s="1">
        <v>2023</v>
      </c>
      <c r="AE188" s="1">
        <v>2024</v>
      </c>
      <c r="AF188" s="1">
        <v>2025</v>
      </c>
      <c r="AG188" s="1">
        <v>2026</v>
      </c>
      <c r="AH188" s="1">
        <v>2027</v>
      </c>
      <c r="AI188" s="1">
        <v>2028</v>
      </c>
      <c r="AJ188" s="1">
        <v>2029</v>
      </c>
      <c r="AK188" s="1">
        <v>2030</v>
      </c>
      <c r="AL188" s="1">
        <v>2031</v>
      </c>
      <c r="AM188" s="1">
        <v>2032</v>
      </c>
      <c r="AN188" s="1">
        <v>2033</v>
      </c>
      <c r="AO188" s="1">
        <v>2034</v>
      </c>
      <c r="AP188" s="1">
        <v>2035</v>
      </c>
      <c r="AQ188" s="1">
        <v>2036</v>
      </c>
      <c r="AR188" s="1">
        <v>2037</v>
      </c>
      <c r="AS188" s="1">
        <v>2038</v>
      </c>
      <c r="AT188" s="1">
        <v>2039</v>
      </c>
      <c r="AU188" s="1">
        <v>2040</v>
      </c>
      <c r="AV188" s="1">
        <v>2041</v>
      </c>
      <c r="AW188" s="1">
        <v>2042</v>
      </c>
      <c r="AX188" s="1">
        <v>2043</v>
      </c>
      <c r="AY188" s="1">
        <v>2044</v>
      </c>
      <c r="AZ188" s="1">
        <v>2045</v>
      </c>
      <c r="BA188" s="1">
        <v>2046</v>
      </c>
      <c r="BB188" s="1">
        <v>2047</v>
      </c>
      <c r="BC188" s="1">
        <v>2048</v>
      </c>
      <c r="BD188" s="1">
        <v>2049</v>
      </c>
      <c r="BE188" s="1">
        <v>2050</v>
      </c>
    </row>
    <row r="189" spans="1:57" x14ac:dyDescent="0.25">
      <c r="A189" s="1" t="str">
        <f>'Population Definitions'!$A$2</f>
        <v>PWID_males</v>
      </c>
      <c r="C189" t="s">
        <v>34</v>
      </c>
      <c r="D189" s="3"/>
      <c r="E189" s="3"/>
      <c r="F189" s="4" t="s">
        <v>39</v>
      </c>
      <c r="G189" s="3">
        <v>0</v>
      </c>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row>
    <row r="190" spans="1:57" x14ac:dyDescent="0.25">
      <c r="A190" s="1" t="str">
        <f>'Population Definitions'!$A$3</f>
        <v>PWID_females</v>
      </c>
      <c r="C190" t="s">
        <v>34</v>
      </c>
      <c r="D190" s="3"/>
      <c r="E190" s="3"/>
      <c r="F190" s="4" t="s">
        <v>39</v>
      </c>
      <c r="G190" s="3">
        <v>0</v>
      </c>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row>
    <row r="191" spans="1:57" x14ac:dyDescent="0.25">
      <c r="A191" s="1" t="str">
        <f>'Population Definitions'!$A$4</f>
        <v>0-9_males</v>
      </c>
      <c r="C191" t="s">
        <v>34</v>
      </c>
      <c r="D191" s="3"/>
      <c r="E191" s="3"/>
      <c r="F191" s="4" t="s">
        <v>39</v>
      </c>
      <c r="G191" s="3">
        <v>0</v>
      </c>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row>
    <row r="192" spans="1:57" x14ac:dyDescent="0.25">
      <c r="A192" s="1" t="str">
        <f>'Population Definitions'!$A$5</f>
        <v>0-9_females</v>
      </c>
      <c r="C192" t="s">
        <v>34</v>
      </c>
      <c r="D192" s="3"/>
      <c r="E192" s="3"/>
      <c r="F192" s="4" t="s">
        <v>39</v>
      </c>
      <c r="G192" s="3">
        <v>0</v>
      </c>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row>
    <row r="193" spans="1:57" x14ac:dyDescent="0.25">
      <c r="A193" s="1" t="str">
        <f>'Population Definitions'!$A$6</f>
        <v>10-17_males</v>
      </c>
      <c r="C193" t="s">
        <v>34</v>
      </c>
      <c r="D193" s="3"/>
      <c r="E193" s="3"/>
      <c r="F193" s="4" t="s">
        <v>39</v>
      </c>
      <c r="G193" s="3">
        <v>0</v>
      </c>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row>
    <row r="194" spans="1:57" x14ac:dyDescent="0.25">
      <c r="A194" s="1" t="str">
        <f>'Population Definitions'!$A$7</f>
        <v>10-17_females</v>
      </c>
      <c r="C194" t="s">
        <v>34</v>
      </c>
      <c r="D194" s="3"/>
      <c r="E194" s="3"/>
      <c r="F194" s="4" t="s">
        <v>39</v>
      </c>
      <c r="G194" s="3">
        <v>0</v>
      </c>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row>
    <row r="195" spans="1:57" x14ac:dyDescent="0.25">
      <c r="A195" s="1" t="str">
        <f>'Population Definitions'!$A$8</f>
        <v>18-64_males</v>
      </c>
      <c r="C195" t="s">
        <v>34</v>
      </c>
      <c r="D195" s="3"/>
      <c r="E195" s="3"/>
      <c r="F195" s="4" t="s">
        <v>39</v>
      </c>
      <c r="G195" s="3">
        <v>0</v>
      </c>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row>
    <row r="196" spans="1:57" x14ac:dyDescent="0.25">
      <c r="A196" s="1" t="str">
        <f>'Population Definitions'!$A$9</f>
        <v>18-64_females</v>
      </c>
      <c r="C196" t="s">
        <v>34</v>
      </c>
      <c r="D196" s="3"/>
      <c r="E196" s="3"/>
      <c r="F196" s="4" t="s">
        <v>39</v>
      </c>
      <c r="G196" s="3">
        <v>0</v>
      </c>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row>
    <row r="197" spans="1:57" x14ac:dyDescent="0.25">
      <c r="A197" s="1" t="str">
        <f>'Population Definitions'!$A$10</f>
        <v>65+_males</v>
      </c>
      <c r="C197" t="s">
        <v>34</v>
      </c>
      <c r="D197" s="3"/>
      <c r="E197" s="3"/>
      <c r="F197" s="4" t="s">
        <v>39</v>
      </c>
      <c r="G197" s="3">
        <v>0</v>
      </c>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row>
    <row r="198" spans="1:57" x14ac:dyDescent="0.25">
      <c r="A198" s="1" t="str">
        <f>'Population Definitions'!$A$11</f>
        <v>65+_females</v>
      </c>
      <c r="C198" t="s">
        <v>34</v>
      </c>
      <c r="D198" s="3"/>
      <c r="E198" s="3"/>
      <c r="F198" s="4" t="s">
        <v>39</v>
      </c>
      <c r="G198" s="3">
        <v>0</v>
      </c>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row>
    <row r="199" spans="1:57" x14ac:dyDescent="0.25">
      <c r="A199" s="1" t="str">
        <f>'Population Definitions'!$A$12</f>
        <v>Prisoners_males</v>
      </c>
      <c r="C199" t="s">
        <v>34</v>
      </c>
      <c r="D199" s="3"/>
      <c r="E199" s="3"/>
      <c r="F199" s="4" t="s">
        <v>39</v>
      </c>
      <c r="G199" s="3">
        <v>0</v>
      </c>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row>
    <row r="200" spans="1:57" x14ac:dyDescent="0.25">
      <c r="A200" s="1" t="str">
        <f>'Population Definitions'!$A$13</f>
        <v>Prisoners_females</v>
      </c>
      <c r="C200" t="s">
        <v>34</v>
      </c>
      <c r="D200" s="3"/>
      <c r="E200" s="3"/>
      <c r="F200" s="4" t="s">
        <v>39</v>
      </c>
      <c r="G200" s="3">
        <v>0</v>
      </c>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row>
    <row r="201" spans="1:57" x14ac:dyDescent="0.25">
      <c r="A201" s="1" t="str">
        <f>'Population Definitions'!$A$14</f>
        <v>Prisoners_PWID_males</v>
      </c>
      <c r="C201" t="s">
        <v>34</v>
      </c>
      <c r="D201" s="3"/>
      <c r="E201" s="3"/>
      <c r="F201" s="4" t="s">
        <v>39</v>
      </c>
      <c r="G201" s="3">
        <v>0</v>
      </c>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row>
    <row r="202" spans="1:57" x14ac:dyDescent="0.25">
      <c r="A202" s="1" t="str">
        <f>'Population Definitions'!$A$15</f>
        <v>Prisoners_PWID_females</v>
      </c>
      <c r="C202" t="s">
        <v>34</v>
      </c>
      <c r="D202" s="3"/>
      <c r="E202" s="3"/>
      <c r="F202" s="4" t="s">
        <v>39</v>
      </c>
      <c r="G202" s="3">
        <v>0</v>
      </c>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row>
    <row r="203" spans="1:57" x14ac:dyDescent="0.25">
      <c r="A203" s="1" t="s">
        <v>110</v>
      </c>
      <c r="C203" t="s">
        <v>34</v>
      </c>
      <c r="D203" s="3"/>
      <c r="E203" s="3"/>
      <c r="F203" s="4" t="s">
        <v>39</v>
      </c>
      <c r="G203" s="3">
        <v>0</v>
      </c>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row>
    <row r="205" spans="1:57" x14ac:dyDescent="0.25">
      <c r="A205" s="1" t="s">
        <v>122</v>
      </c>
      <c r="B205" s="1" t="s">
        <v>31</v>
      </c>
      <c r="C205" s="1" t="s">
        <v>32</v>
      </c>
      <c r="D205" s="1" t="s">
        <v>33</v>
      </c>
      <c r="E205" s="1" t="s">
        <v>38</v>
      </c>
      <c r="F205" s="1"/>
      <c r="G205" s="1">
        <v>2000</v>
      </c>
      <c r="H205" s="1">
        <v>2001</v>
      </c>
      <c r="I205" s="1">
        <v>2002</v>
      </c>
      <c r="J205" s="1">
        <v>2003</v>
      </c>
      <c r="K205" s="1">
        <v>2004</v>
      </c>
      <c r="L205" s="1">
        <v>2005</v>
      </c>
      <c r="M205" s="1">
        <v>2006</v>
      </c>
      <c r="N205" s="1">
        <v>2007</v>
      </c>
      <c r="O205" s="1">
        <v>2008</v>
      </c>
      <c r="P205" s="1">
        <v>2009</v>
      </c>
      <c r="Q205" s="1">
        <v>2010</v>
      </c>
      <c r="R205" s="1">
        <v>2011</v>
      </c>
      <c r="S205" s="1">
        <v>2012</v>
      </c>
      <c r="T205" s="1">
        <v>2013</v>
      </c>
      <c r="U205" s="1">
        <v>2014</v>
      </c>
      <c r="V205" s="1">
        <v>2015</v>
      </c>
      <c r="W205" s="1">
        <v>2016</v>
      </c>
      <c r="X205" s="1">
        <v>2017</v>
      </c>
      <c r="Y205" s="1">
        <v>2018</v>
      </c>
      <c r="Z205" s="1">
        <v>2019</v>
      </c>
      <c r="AA205" s="1">
        <v>2020</v>
      </c>
      <c r="AB205" s="1">
        <v>2021</v>
      </c>
      <c r="AC205" s="1">
        <v>2022</v>
      </c>
      <c r="AD205" s="1">
        <v>2023</v>
      </c>
      <c r="AE205" s="1">
        <v>2024</v>
      </c>
      <c r="AF205" s="1">
        <v>2025</v>
      </c>
      <c r="AG205" s="1">
        <v>2026</v>
      </c>
      <c r="AH205" s="1">
        <v>2027</v>
      </c>
      <c r="AI205" s="1">
        <v>2028</v>
      </c>
      <c r="AJ205" s="1">
        <v>2029</v>
      </c>
      <c r="AK205" s="1">
        <v>2030</v>
      </c>
      <c r="AL205" s="1">
        <v>2031</v>
      </c>
      <c r="AM205" s="1">
        <v>2032</v>
      </c>
      <c r="AN205" s="1">
        <v>2033</v>
      </c>
      <c r="AO205" s="1">
        <v>2034</v>
      </c>
      <c r="AP205" s="1">
        <v>2035</v>
      </c>
      <c r="AQ205" s="1">
        <v>2036</v>
      </c>
      <c r="AR205" s="1">
        <v>2037</v>
      </c>
      <c r="AS205" s="1">
        <v>2038</v>
      </c>
      <c r="AT205" s="1">
        <v>2039</v>
      </c>
      <c r="AU205" s="1">
        <v>2040</v>
      </c>
      <c r="AV205" s="1">
        <v>2041</v>
      </c>
      <c r="AW205" s="1">
        <v>2042</v>
      </c>
      <c r="AX205" s="1">
        <v>2043</v>
      </c>
      <c r="AY205" s="1">
        <v>2044</v>
      </c>
      <c r="AZ205" s="1">
        <v>2045</v>
      </c>
      <c r="BA205" s="1">
        <v>2046</v>
      </c>
      <c r="BB205" s="1">
        <v>2047</v>
      </c>
      <c r="BC205" s="1">
        <v>2048</v>
      </c>
      <c r="BD205" s="1">
        <v>2049</v>
      </c>
      <c r="BE205" s="1">
        <v>2050</v>
      </c>
    </row>
    <row r="206" spans="1:57" x14ac:dyDescent="0.25">
      <c r="A206" s="1" t="str">
        <f>'Population Definitions'!$A$2</f>
        <v>PWID_males</v>
      </c>
      <c r="C206" t="s">
        <v>34</v>
      </c>
      <c r="D206" s="3"/>
      <c r="E206" s="3"/>
      <c r="F206" s="4" t="s">
        <v>39</v>
      </c>
      <c r="G206" s="3">
        <v>0</v>
      </c>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row>
    <row r="207" spans="1:57" x14ac:dyDescent="0.25">
      <c r="A207" s="1" t="str">
        <f>'Population Definitions'!$A$3</f>
        <v>PWID_females</v>
      </c>
      <c r="C207" t="s">
        <v>34</v>
      </c>
      <c r="D207" s="3"/>
      <c r="E207" s="3"/>
      <c r="F207" s="4" t="s">
        <v>39</v>
      </c>
      <c r="G207" s="3">
        <v>0</v>
      </c>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row>
    <row r="208" spans="1:57" x14ac:dyDescent="0.25">
      <c r="A208" s="1" t="str">
        <f>'Population Definitions'!$A$4</f>
        <v>0-9_males</v>
      </c>
      <c r="C208" t="s">
        <v>34</v>
      </c>
      <c r="D208" s="3"/>
      <c r="E208" s="3"/>
      <c r="F208" s="4" t="s">
        <v>39</v>
      </c>
      <c r="G208" s="3">
        <v>0</v>
      </c>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row>
    <row r="209" spans="1:57" x14ac:dyDescent="0.25">
      <c r="A209" s="1" t="str">
        <f>'Population Definitions'!$A$5</f>
        <v>0-9_females</v>
      </c>
      <c r="C209" t="s">
        <v>34</v>
      </c>
      <c r="D209" s="3"/>
      <c r="E209" s="3"/>
      <c r="F209" s="4" t="s">
        <v>39</v>
      </c>
      <c r="G209" s="3">
        <v>0</v>
      </c>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row>
    <row r="210" spans="1:57" x14ac:dyDescent="0.25">
      <c r="A210" s="1" t="str">
        <f>'Population Definitions'!$A$6</f>
        <v>10-17_males</v>
      </c>
      <c r="C210" t="s">
        <v>34</v>
      </c>
      <c r="D210" s="3"/>
      <c r="E210" s="3"/>
      <c r="F210" s="4" t="s">
        <v>39</v>
      </c>
      <c r="G210" s="3">
        <v>0</v>
      </c>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row>
    <row r="211" spans="1:57" x14ac:dyDescent="0.25">
      <c r="A211" s="1" t="str">
        <f>'Population Definitions'!$A$7</f>
        <v>10-17_females</v>
      </c>
      <c r="C211" t="s">
        <v>34</v>
      </c>
      <c r="D211" s="3"/>
      <c r="E211" s="3"/>
      <c r="F211" s="4" t="s">
        <v>39</v>
      </c>
      <c r="G211" s="3">
        <v>0</v>
      </c>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row>
    <row r="212" spans="1:57" x14ac:dyDescent="0.25">
      <c r="A212" s="1" t="str">
        <f>'Population Definitions'!$A$8</f>
        <v>18-64_males</v>
      </c>
      <c r="C212" t="s">
        <v>34</v>
      </c>
      <c r="D212" s="3"/>
      <c r="E212" s="3"/>
      <c r="F212" s="4" t="s">
        <v>39</v>
      </c>
      <c r="G212" s="3">
        <v>0</v>
      </c>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row>
    <row r="213" spans="1:57" x14ac:dyDescent="0.25">
      <c r="A213" s="1" t="str">
        <f>'Population Definitions'!$A$9</f>
        <v>18-64_females</v>
      </c>
      <c r="C213" t="s">
        <v>34</v>
      </c>
      <c r="D213" s="3"/>
      <c r="E213" s="3"/>
      <c r="F213" s="4" t="s">
        <v>39</v>
      </c>
      <c r="G213" s="3">
        <v>0</v>
      </c>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row>
    <row r="214" spans="1:57" x14ac:dyDescent="0.25">
      <c r="A214" s="1" t="str">
        <f>'Population Definitions'!$A$10</f>
        <v>65+_males</v>
      </c>
      <c r="C214" t="s">
        <v>34</v>
      </c>
      <c r="D214" s="3"/>
      <c r="E214" s="3"/>
      <c r="F214" s="4" t="s">
        <v>39</v>
      </c>
      <c r="G214" s="3">
        <v>0</v>
      </c>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row>
    <row r="215" spans="1:57" x14ac:dyDescent="0.25">
      <c r="A215" s="1" t="str">
        <f>'Population Definitions'!$A$11</f>
        <v>65+_females</v>
      </c>
      <c r="C215" t="s">
        <v>34</v>
      </c>
      <c r="D215" s="3"/>
      <c r="E215" s="3"/>
      <c r="F215" s="4" t="s">
        <v>39</v>
      </c>
      <c r="G215" s="3">
        <v>0</v>
      </c>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row>
    <row r="216" spans="1:57" x14ac:dyDescent="0.25">
      <c r="A216" s="1" t="str">
        <f>'Population Definitions'!$A$12</f>
        <v>Prisoners_males</v>
      </c>
      <c r="C216" t="s">
        <v>34</v>
      </c>
      <c r="D216" s="3"/>
      <c r="E216" s="3"/>
      <c r="F216" s="4" t="s">
        <v>39</v>
      </c>
      <c r="G216" s="3">
        <v>0</v>
      </c>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row>
    <row r="217" spans="1:57" x14ac:dyDescent="0.25">
      <c r="A217" s="1" t="str">
        <f>'Population Definitions'!$A$13</f>
        <v>Prisoners_females</v>
      </c>
      <c r="C217" t="s">
        <v>34</v>
      </c>
      <c r="D217" s="3"/>
      <c r="E217" s="3"/>
      <c r="F217" s="4" t="s">
        <v>39</v>
      </c>
      <c r="G217" s="3">
        <v>0</v>
      </c>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row>
    <row r="218" spans="1:57" x14ac:dyDescent="0.25">
      <c r="A218" s="1" t="str">
        <f>'Population Definitions'!$A$14</f>
        <v>Prisoners_PWID_males</v>
      </c>
      <c r="C218" t="s">
        <v>34</v>
      </c>
      <c r="D218" s="3"/>
      <c r="E218" s="3"/>
      <c r="F218" s="4" t="s">
        <v>39</v>
      </c>
      <c r="G218" s="3">
        <v>0</v>
      </c>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row>
    <row r="219" spans="1:57" x14ac:dyDescent="0.25">
      <c r="A219" s="1" t="str">
        <f>'Population Definitions'!$A$15</f>
        <v>Prisoners_PWID_females</v>
      </c>
      <c r="C219" t="s">
        <v>34</v>
      </c>
      <c r="D219" s="3"/>
      <c r="E219" s="3"/>
      <c r="F219" s="4" t="s">
        <v>39</v>
      </c>
      <c r="G219" s="3">
        <v>0</v>
      </c>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row>
    <row r="220" spans="1:57" x14ac:dyDescent="0.25">
      <c r="A220" s="1" t="s">
        <v>110</v>
      </c>
      <c r="C220" t="s">
        <v>34</v>
      </c>
      <c r="D220" s="3"/>
      <c r="E220" s="3"/>
      <c r="F220" s="4" t="s">
        <v>39</v>
      </c>
      <c r="G220" s="3">
        <v>0</v>
      </c>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row>
    <row r="222" spans="1:57" x14ac:dyDescent="0.25">
      <c r="A222" s="1" t="s">
        <v>123</v>
      </c>
      <c r="B222" s="1" t="s">
        <v>31</v>
      </c>
      <c r="C222" s="1" t="s">
        <v>32</v>
      </c>
      <c r="D222" s="1" t="s">
        <v>33</v>
      </c>
      <c r="E222" s="1" t="s">
        <v>38</v>
      </c>
      <c r="F222" s="1"/>
      <c r="G222" s="1">
        <v>2000</v>
      </c>
      <c r="H222" s="1">
        <v>2001</v>
      </c>
      <c r="I222" s="1">
        <v>2002</v>
      </c>
      <c r="J222" s="1">
        <v>2003</v>
      </c>
      <c r="K222" s="1">
        <v>2004</v>
      </c>
      <c r="L222" s="1">
        <v>2005</v>
      </c>
      <c r="M222" s="1">
        <v>2006</v>
      </c>
      <c r="N222" s="1">
        <v>2007</v>
      </c>
      <c r="O222" s="1">
        <v>2008</v>
      </c>
      <c r="P222" s="1">
        <v>2009</v>
      </c>
      <c r="Q222" s="1">
        <v>2010</v>
      </c>
      <c r="R222" s="1">
        <v>2011</v>
      </c>
      <c r="S222" s="1">
        <v>2012</v>
      </c>
      <c r="T222" s="1">
        <v>2013</v>
      </c>
      <c r="U222" s="1">
        <v>2014</v>
      </c>
      <c r="V222" s="1">
        <v>2015</v>
      </c>
      <c r="W222" s="1">
        <v>2016</v>
      </c>
      <c r="X222" s="1">
        <v>2017</v>
      </c>
      <c r="Y222" s="1">
        <v>2018</v>
      </c>
      <c r="Z222" s="1">
        <v>2019</v>
      </c>
      <c r="AA222" s="1">
        <v>2020</v>
      </c>
      <c r="AB222" s="1">
        <v>2021</v>
      </c>
      <c r="AC222" s="1">
        <v>2022</v>
      </c>
      <c r="AD222" s="1">
        <v>2023</v>
      </c>
      <c r="AE222" s="1">
        <v>2024</v>
      </c>
      <c r="AF222" s="1">
        <v>2025</v>
      </c>
      <c r="AG222" s="1">
        <v>2026</v>
      </c>
      <c r="AH222" s="1">
        <v>2027</v>
      </c>
      <c r="AI222" s="1">
        <v>2028</v>
      </c>
      <c r="AJ222" s="1">
        <v>2029</v>
      </c>
      <c r="AK222" s="1">
        <v>2030</v>
      </c>
      <c r="AL222" s="1">
        <v>2031</v>
      </c>
      <c r="AM222" s="1">
        <v>2032</v>
      </c>
      <c r="AN222" s="1">
        <v>2033</v>
      </c>
      <c r="AO222" s="1">
        <v>2034</v>
      </c>
      <c r="AP222" s="1">
        <v>2035</v>
      </c>
      <c r="AQ222" s="1">
        <v>2036</v>
      </c>
      <c r="AR222" s="1">
        <v>2037</v>
      </c>
      <c r="AS222" s="1">
        <v>2038</v>
      </c>
      <c r="AT222" s="1">
        <v>2039</v>
      </c>
      <c r="AU222" s="1">
        <v>2040</v>
      </c>
      <c r="AV222" s="1">
        <v>2041</v>
      </c>
      <c r="AW222" s="1">
        <v>2042</v>
      </c>
      <c r="AX222" s="1">
        <v>2043</v>
      </c>
      <c r="AY222" s="1">
        <v>2044</v>
      </c>
      <c r="AZ222" s="1">
        <v>2045</v>
      </c>
      <c r="BA222" s="1">
        <v>2046</v>
      </c>
      <c r="BB222" s="1">
        <v>2047</v>
      </c>
      <c r="BC222" s="1">
        <v>2048</v>
      </c>
      <c r="BD222" s="1">
        <v>2049</v>
      </c>
      <c r="BE222" s="1">
        <v>2050</v>
      </c>
    </row>
    <row r="223" spans="1:57" x14ac:dyDescent="0.25">
      <c r="A223" s="1" t="str">
        <f>'Population Definitions'!$A$2</f>
        <v>PWID_males</v>
      </c>
      <c r="C223" t="s">
        <v>34</v>
      </c>
      <c r="D223" s="3"/>
      <c r="E223" s="3"/>
      <c r="F223" s="4" t="s">
        <v>39</v>
      </c>
      <c r="G223" s="3">
        <v>0</v>
      </c>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row>
    <row r="224" spans="1:57" x14ac:dyDescent="0.25">
      <c r="A224" s="1" t="str">
        <f>'Population Definitions'!$A$3</f>
        <v>PWID_females</v>
      </c>
      <c r="C224" t="s">
        <v>34</v>
      </c>
      <c r="D224" s="3"/>
      <c r="E224" s="3"/>
      <c r="F224" s="4" t="s">
        <v>39</v>
      </c>
      <c r="G224" s="3">
        <v>0</v>
      </c>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row>
    <row r="225" spans="1:57" x14ac:dyDescent="0.25">
      <c r="A225" s="1" t="str">
        <f>'Population Definitions'!$A$4</f>
        <v>0-9_males</v>
      </c>
      <c r="C225" t="s">
        <v>34</v>
      </c>
      <c r="D225" s="3"/>
      <c r="E225" s="3"/>
      <c r="F225" s="4" t="s">
        <v>39</v>
      </c>
      <c r="G225" s="3">
        <v>0</v>
      </c>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row>
    <row r="226" spans="1:57" x14ac:dyDescent="0.25">
      <c r="A226" s="1" t="str">
        <f>'Population Definitions'!$A$5</f>
        <v>0-9_females</v>
      </c>
      <c r="C226" t="s">
        <v>34</v>
      </c>
      <c r="D226" s="3"/>
      <c r="E226" s="3"/>
      <c r="F226" s="4" t="s">
        <v>39</v>
      </c>
      <c r="G226" s="3">
        <v>0</v>
      </c>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row>
    <row r="227" spans="1:57" x14ac:dyDescent="0.25">
      <c r="A227" s="1" t="str">
        <f>'Population Definitions'!$A$6</f>
        <v>10-17_males</v>
      </c>
      <c r="C227" t="s">
        <v>34</v>
      </c>
      <c r="D227" s="3"/>
      <c r="E227" s="3"/>
      <c r="F227" s="4" t="s">
        <v>39</v>
      </c>
      <c r="G227" s="3">
        <v>0</v>
      </c>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row>
    <row r="228" spans="1:57" x14ac:dyDescent="0.25">
      <c r="A228" s="1" t="str">
        <f>'Population Definitions'!$A$7</f>
        <v>10-17_females</v>
      </c>
      <c r="C228" t="s">
        <v>34</v>
      </c>
      <c r="D228" s="3"/>
      <c r="E228" s="3"/>
      <c r="F228" s="4" t="s">
        <v>39</v>
      </c>
      <c r="G228" s="3">
        <v>0</v>
      </c>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row>
    <row r="229" spans="1:57" x14ac:dyDescent="0.25">
      <c r="A229" s="1" t="str">
        <f>'Population Definitions'!$A$8</f>
        <v>18-64_males</v>
      </c>
      <c r="C229" t="s">
        <v>34</v>
      </c>
      <c r="D229" s="3"/>
      <c r="E229" s="3"/>
      <c r="F229" s="4" t="s">
        <v>39</v>
      </c>
      <c r="G229" s="3">
        <v>0</v>
      </c>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row>
    <row r="230" spans="1:57" x14ac:dyDescent="0.25">
      <c r="A230" s="1" t="str">
        <f>'Population Definitions'!$A$9</f>
        <v>18-64_females</v>
      </c>
      <c r="C230" t="s">
        <v>34</v>
      </c>
      <c r="D230" s="3"/>
      <c r="E230" s="3"/>
      <c r="F230" s="4" t="s">
        <v>39</v>
      </c>
      <c r="G230" s="3">
        <v>0</v>
      </c>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row>
    <row r="231" spans="1:57" x14ac:dyDescent="0.25">
      <c r="A231" s="1" t="str">
        <f>'Population Definitions'!$A$10</f>
        <v>65+_males</v>
      </c>
      <c r="C231" t="s">
        <v>34</v>
      </c>
      <c r="D231" s="3"/>
      <c r="E231" s="3"/>
      <c r="F231" s="4" t="s">
        <v>39</v>
      </c>
      <c r="G231" s="3">
        <v>0</v>
      </c>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row>
    <row r="232" spans="1:57" x14ac:dyDescent="0.25">
      <c r="A232" s="1" t="str">
        <f>'Population Definitions'!$A$11</f>
        <v>65+_females</v>
      </c>
      <c r="C232" t="s">
        <v>34</v>
      </c>
      <c r="D232" s="3"/>
      <c r="E232" s="3"/>
      <c r="F232" s="4" t="s">
        <v>39</v>
      </c>
      <c r="G232" s="3">
        <v>0</v>
      </c>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row>
    <row r="233" spans="1:57" x14ac:dyDescent="0.25">
      <c r="A233" s="1" t="str">
        <f>'Population Definitions'!$A$12</f>
        <v>Prisoners_males</v>
      </c>
      <c r="C233" t="s">
        <v>34</v>
      </c>
      <c r="D233" s="3"/>
      <c r="E233" s="3"/>
      <c r="F233" s="4" t="s">
        <v>39</v>
      </c>
      <c r="G233" s="3">
        <v>0</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row>
    <row r="234" spans="1:57" x14ac:dyDescent="0.25">
      <c r="A234" s="1" t="str">
        <f>'Population Definitions'!$A$13</f>
        <v>Prisoners_females</v>
      </c>
      <c r="C234" t="s">
        <v>34</v>
      </c>
      <c r="D234" s="3"/>
      <c r="E234" s="3"/>
      <c r="F234" s="4" t="s">
        <v>39</v>
      </c>
      <c r="G234" s="3">
        <v>0</v>
      </c>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row>
    <row r="235" spans="1:57" x14ac:dyDescent="0.25">
      <c r="A235" s="1" t="str">
        <f>'Population Definitions'!$A$14</f>
        <v>Prisoners_PWID_males</v>
      </c>
      <c r="C235" t="s">
        <v>34</v>
      </c>
      <c r="D235" s="3"/>
      <c r="E235" s="3"/>
      <c r="F235" s="4" t="s">
        <v>39</v>
      </c>
      <c r="G235" s="3">
        <v>0</v>
      </c>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row>
    <row r="236" spans="1:57" x14ac:dyDescent="0.25">
      <c r="A236" s="1" t="str">
        <f>'Population Definitions'!$A$15</f>
        <v>Prisoners_PWID_females</v>
      </c>
      <c r="C236" t="s">
        <v>34</v>
      </c>
      <c r="D236" s="3"/>
      <c r="E236" s="3"/>
      <c r="F236" s="4" t="s">
        <v>39</v>
      </c>
      <c r="G236" s="3">
        <v>0</v>
      </c>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row>
    <row r="237" spans="1:57" x14ac:dyDescent="0.25">
      <c r="A237" s="1" t="s">
        <v>110</v>
      </c>
      <c r="C237" t="s">
        <v>34</v>
      </c>
      <c r="D237" s="3"/>
      <c r="E237" s="3"/>
      <c r="F237" s="4" t="s">
        <v>39</v>
      </c>
      <c r="G237" s="3">
        <v>0</v>
      </c>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row>
    <row r="239" spans="1:57" x14ac:dyDescent="0.25">
      <c r="A239" s="1" t="s">
        <v>124</v>
      </c>
      <c r="B239" s="1" t="s">
        <v>31</v>
      </c>
      <c r="C239" s="1" t="s">
        <v>32</v>
      </c>
      <c r="D239" s="1" t="s">
        <v>33</v>
      </c>
      <c r="E239" s="1" t="s">
        <v>38</v>
      </c>
      <c r="F239" s="1"/>
      <c r="G239" s="1">
        <v>2000</v>
      </c>
      <c r="H239" s="1">
        <v>2001</v>
      </c>
      <c r="I239" s="1">
        <v>2002</v>
      </c>
      <c r="J239" s="1">
        <v>2003</v>
      </c>
      <c r="K239" s="1">
        <v>2004</v>
      </c>
      <c r="L239" s="1">
        <v>2005</v>
      </c>
      <c r="M239" s="1">
        <v>2006</v>
      </c>
      <c r="N239" s="1">
        <v>2007</v>
      </c>
      <c r="O239" s="1">
        <v>2008</v>
      </c>
      <c r="P239" s="1">
        <v>2009</v>
      </c>
      <c r="Q239" s="1">
        <v>2010</v>
      </c>
      <c r="R239" s="1">
        <v>2011</v>
      </c>
      <c r="S239" s="1">
        <v>2012</v>
      </c>
      <c r="T239" s="1">
        <v>2013</v>
      </c>
      <c r="U239" s="1">
        <v>2014</v>
      </c>
      <c r="V239" s="1">
        <v>2015</v>
      </c>
      <c r="W239" s="1">
        <v>2016</v>
      </c>
      <c r="X239" s="1">
        <v>2017</v>
      </c>
      <c r="Y239" s="1">
        <v>2018</v>
      </c>
      <c r="Z239" s="1">
        <v>2019</v>
      </c>
      <c r="AA239" s="1">
        <v>2020</v>
      </c>
      <c r="AB239" s="1">
        <v>2021</v>
      </c>
      <c r="AC239" s="1">
        <v>2022</v>
      </c>
      <c r="AD239" s="1">
        <v>2023</v>
      </c>
      <c r="AE239" s="1">
        <v>2024</v>
      </c>
      <c r="AF239" s="1">
        <v>2025</v>
      </c>
      <c r="AG239" s="1">
        <v>2026</v>
      </c>
      <c r="AH239" s="1">
        <v>2027</v>
      </c>
      <c r="AI239" s="1">
        <v>2028</v>
      </c>
      <c r="AJ239" s="1">
        <v>2029</v>
      </c>
      <c r="AK239" s="1">
        <v>2030</v>
      </c>
      <c r="AL239" s="1">
        <v>2031</v>
      </c>
      <c r="AM239" s="1">
        <v>2032</v>
      </c>
      <c r="AN239" s="1">
        <v>2033</v>
      </c>
      <c r="AO239" s="1">
        <v>2034</v>
      </c>
      <c r="AP239" s="1">
        <v>2035</v>
      </c>
      <c r="AQ239" s="1">
        <v>2036</v>
      </c>
      <c r="AR239" s="1">
        <v>2037</v>
      </c>
      <c r="AS239" s="1">
        <v>2038</v>
      </c>
      <c r="AT239" s="1">
        <v>2039</v>
      </c>
      <c r="AU239" s="1">
        <v>2040</v>
      </c>
      <c r="AV239" s="1">
        <v>2041</v>
      </c>
      <c r="AW239" s="1">
        <v>2042</v>
      </c>
      <c r="AX239" s="1">
        <v>2043</v>
      </c>
      <c r="AY239" s="1">
        <v>2044</v>
      </c>
      <c r="AZ239" s="1">
        <v>2045</v>
      </c>
      <c r="BA239" s="1">
        <v>2046</v>
      </c>
      <c r="BB239" s="1">
        <v>2047</v>
      </c>
      <c r="BC239" s="1">
        <v>2048</v>
      </c>
      <c r="BD239" s="1">
        <v>2049</v>
      </c>
      <c r="BE239" s="1">
        <v>2050</v>
      </c>
    </row>
    <row r="240" spans="1:57" x14ac:dyDescent="0.25">
      <c r="A240" s="1" t="str">
        <f>'Population Definitions'!$A$2</f>
        <v>PWID_males</v>
      </c>
      <c r="C240" t="s">
        <v>34</v>
      </c>
      <c r="D240" s="3"/>
      <c r="E240" s="3"/>
      <c r="F240" s="4" t="s">
        <v>39</v>
      </c>
      <c r="G240" s="3">
        <v>0</v>
      </c>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row>
    <row r="241" spans="1:57" x14ac:dyDescent="0.25">
      <c r="A241" s="1" t="str">
        <f>'Population Definitions'!$A$3</f>
        <v>PWID_females</v>
      </c>
      <c r="C241" t="s">
        <v>34</v>
      </c>
      <c r="D241" s="3"/>
      <c r="E241" s="3"/>
      <c r="F241" s="4" t="s">
        <v>39</v>
      </c>
      <c r="G241" s="3">
        <v>0</v>
      </c>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row>
    <row r="242" spans="1:57" x14ac:dyDescent="0.25">
      <c r="A242" s="1" t="str">
        <f>'Population Definitions'!$A$4</f>
        <v>0-9_males</v>
      </c>
      <c r="C242" t="s">
        <v>34</v>
      </c>
      <c r="D242" s="3"/>
      <c r="E242" s="3"/>
      <c r="F242" s="4" t="s">
        <v>39</v>
      </c>
      <c r="G242" s="3">
        <v>0</v>
      </c>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row>
    <row r="243" spans="1:57" x14ac:dyDescent="0.25">
      <c r="A243" s="1" t="str">
        <f>'Population Definitions'!$A$5</f>
        <v>0-9_females</v>
      </c>
      <c r="C243" t="s">
        <v>34</v>
      </c>
      <c r="D243" s="3"/>
      <c r="E243" s="3"/>
      <c r="F243" s="4" t="s">
        <v>39</v>
      </c>
      <c r="G243" s="3">
        <v>0</v>
      </c>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row>
    <row r="244" spans="1:57" x14ac:dyDescent="0.25">
      <c r="A244" s="1" t="str">
        <f>'Population Definitions'!$A$6</f>
        <v>10-17_males</v>
      </c>
      <c r="C244" t="s">
        <v>34</v>
      </c>
      <c r="D244" s="3"/>
      <c r="E244" s="3"/>
      <c r="F244" s="4" t="s">
        <v>39</v>
      </c>
      <c r="G244" s="3">
        <v>0</v>
      </c>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row>
    <row r="245" spans="1:57" x14ac:dyDescent="0.25">
      <c r="A245" s="1" t="str">
        <f>'Population Definitions'!$A$7</f>
        <v>10-17_females</v>
      </c>
      <c r="C245" t="s">
        <v>34</v>
      </c>
      <c r="D245" s="3"/>
      <c r="E245" s="3"/>
      <c r="F245" s="4" t="s">
        <v>39</v>
      </c>
      <c r="G245" s="3">
        <v>0</v>
      </c>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row>
    <row r="246" spans="1:57" x14ac:dyDescent="0.25">
      <c r="A246" s="1" t="str">
        <f>'Population Definitions'!$A$8</f>
        <v>18-64_males</v>
      </c>
      <c r="C246" t="s">
        <v>34</v>
      </c>
      <c r="D246" s="3"/>
      <c r="E246" s="3"/>
      <c r="F246" s="4" t="s">
        <v>39</v>
      </c>
      <c r="G246" s="3">
        <v>0</v>
      </c>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row>
    <row r="247" spans="1:57" x14ac:dyDescent="0.25">
      <c r="A247" s="1" t="str">
        <f>'Population Definitions'!$A$9</f>
        <v>18-64_females</v>
      </c>
      <c r="C247" t="s">
        <v>34</v>
      </c>
      <c r="D247" s="3"/>
      <c r="E247" s="3"/>
      <c r="F247" s="4" t="s">
        <v>39</v>
      </c>
      <c r="G247" s="3">
        <v>0</v>
      </c>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row>
    <row r="248" spans="1:57" x14ac:dyDescent="0.25">
      <c r="A248" s="1" t="str">
        <f>'Population Definitions'!$A$10</f>
        <v>65+_males</v>
      </c>
      <c r="C248" t="s">
        <v>34</v>
      </c>
      <c r="D248" s="3"/>
      <c r="E248" s="3"/>
      <c r="F248" s="4" t="s">
        <v>39</v>
      </c>
      <c r="G248" s="3">
        <v>0</v>
      </c>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row>
    <row r="249" spans="1:57" x14ac:dyDescent="0.25">
      <c r="A249" s="1" t="str">
        <f>'Population Definitions'!$A$11</f>
        <v>65+_females</v>
      </c>
      <c r="C249" t="s">
        <v>34</v>
      </c>
      <c r="D249" s="3"/>
      <c r="E249" s="3"/>
      <c r="F249" s="4" t="s">
        <v>39</v>
      </c>
      <c r="G249" s="3">
        <v>0</v>
      </c>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row>
    <row r="250" spans="1:57" x14ac:dyDescent="0.25">
      <c r="A250" s="1" t="str">
        <f>'Population Definitions'!$A$12</f>
        <v>Prisoners_males</v>
      </c>
      <c r="C250" t="s">
        <v>34</v>
      </c>
      <c r="D250" s="3"/>
      <c r="E250" s="3"/>
      <c r="F250" s="4" t="s">
        <v>39</v>
      </c>
      <c r="G250" s="3">
        <v>0</v>
      </c>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row>
    <row r="251" spans="1:57" x14ac:dyDescent="0.25">
      <c r="A251" s="1" t="str">
        <f>'Population Definitions'!$A$13</f>
        <v>Prisoners_females</v>
      </c>
      <c r="C251" t="s">
        <v>34</v>
      </c>
      <c r="D251" s="3"/>
      <c r="E251" s="3"/>
      <c r="F251" s="4" t="s">
        <v>39</v>
      </c>
      <c r="G251" s="3">
        <v>0</v>
      </c>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row>
    <row r="252" spans="1:57" x14ac:dyDescent="0.25">
      <c r="A252" s="1" t="str">
        <f>'Population Definitions'!$A$14</f>
        <v>Prisoners_PWID_males</v>
      </c>
      <c r="C252" t="s">
        <v>34</v>
      </c>
      <c r="D252" s="3"/>
      <c r="E252" s="3"/>
      <c r="F252" s="4" t="s">
        <v>39</v>
      </c>
      <c r="G252" s="3">
        <v>0</v>
      </c>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row>
    <row r="253" spans="1:57" x14ac:dyDescent="0.25">
      <c r="A253" s="1" t="str">
        <f>'Population Definitions'!$A$15</f>
        <v>Prisoners_PWID_females</v>
      </c>
      <c r="C253" t="s">
        <v>34</v>
      </c>
      <c r="D253" s="3"/>
      <c r="E253" s="3"/>
      <c r="F253" s="4" t="s">
        <v>39</v>
      </c>
      <c r="G253" s="3">
        <v>0</v>
      </c>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row>
    <row r="254" spans="1:57" x14ac:dyDescent="0.25">
      <c r="A254" s="1" t="s">
        <v>110</v>
      </c>
      <c r="C254" t="s">
        <v>34</v>
      </c>
      <c r="D254" s="3"/>
      <c r="E254" s="3"/>
      <c r="F254" s="4" t="s">
        <v>39</v>
      </c>
      <c r="G254" s="3">
        <v>0</v>
      </c>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row>
    <row r="256" spans="1:57" x14ac:dyDescent="0.25">
      <c r="A256" s="1" t="s">
        <v>125</v>
      </c>
      <c r="B256" s="1" t="s">
        <v>31</v>
      </c>
      <c r="C256" s="1" t="s">
        <v>32</v>
      </c>
      <c r="D256" s="1" t="s">
        <v>33</v>
      </c>
      <c r="E256" s="1" t="s">
        <v>38</v>
      </c>
      <c r="F256" s="1"/>
      <c r="G256" s="1">
        <v>2000</v>
      </c>
      <c r="H256" s="1">
        <v>2001</v>
      </c>
      <c r="I256" s="1">
        <v>2002</v>
      </c>
      <c r="J256" s="1">
        <v>2003</v>
      </c>
      <c r="K256" s="1">
        <v>2004</v>
      </c>
      <c r="L256" s="1">
        <v>2005</v>
      </c>
      <c r="M256" s="1">
        <v>2006</v>
      </c>
      <c r="N256" s="1">
        <v>2007</v>
      </c>
      <c r="O256" s="1">
        <v>2008</v>
      </c>
      <c r="P256" s="1">
        <v>2009</v>
      </c>
      <c r="Q256" s="1">
        <v>2010</v>
      </c>
      <c r="R256" s="1">
        <v>2011</v>
      </c>
      <c r="S256" s="1">
        <v>2012</v>
      </c>
      <c r="T256" s="1">
        <v>2013</v>
      </c>
      <c r="U256" s="1">
        <v>2014</v>
      </c>
      <c r="V256" s="1">
        <v>2015</v>
      </c>
      <c r="W256" s="1">
        <v>2016</v>
      </c>
      <c r="X256" s="1">
        <v>2017</v>
      </c>
      <c r="Y256" s="1">
        <v>2018</v>
      </c>
      <c r="Z256" s="1">
        <v>2019</v>
      </c>
      <c r="AA256" s="1">
        <v>2020</v>
      </c>
      <c r="AB256" s="1">
        <v>2021</v>
      </c>
      <c r="AC256" s="1">
        <v>2022</v>
      </c>
      <c r="AD256" s="1">
        <v>2023</v>
      </c>
      <c r="AE256" s="1">
        <v>2024</v>
      </c>
      <c r="AF256" s="1">
        <v>2025</v>
      </c>
      <c r="AG256" s="1">
        <v>2026</v>
      </c>
      <c r="AH256" s="1">
        <v>2027</v>
      </c>
      <c r="AI256" s="1">
        <v>2028</v>
      </c>
      <c r="AJ256" s="1">
        <v>2029</v>
      </c>
      <c r="AK256" s="1">
        <v>2030</v>
      </c>
      <c r="AL256" s="1">
        <v>2031</v>
      </c>
      <c r="AM256" s="1">
        <v>2032</v>
      </c>
      <c r="AN256" s="1">
        <v>2033</v>
      </c>
      <c r="AO256" s="1">
        <v>2034</v>
      </c>
      <c r="AP256" s="1">
        <v>2035</v>
      </c>
      <c r="AQ256" s="1">
        <v>2036</v>
      </c>
      <c r="AR256" s="1">
        <v>2037</v>
      </c>
      <c r="AS256" s="1">
        <v>2038</v>
      </c>
      <c r="AT256" s="1">
        <v>2039</v>
      </c>
      <c r="AU256" s="1">
        <v>2040</v>
      </c>
      <c r="AV256" s="1">
        <v>2041</v>
      </c>
      <c r="AW256" s="1">
        <v>2042</v>
      </c>
      <c r="AX256" s="1">
        <v>2043</v>
      </c>
      <c r="AY256" s="1">
        <v>2044</v>
      </c>
      <c r="AZ256" s="1">
        <v>2045</v>
      </c>
      <c r="BA256" s="1">
        <v>2046</v>
      </c>
      <c r="BB256" s="1">
        <v>2047</v>
      </c>
      <c r="BC256" s="1">
        <v>2048</v>
      </c>
      <c r="BD256" s="1">
        <v>2049</v>
      </c>
      <c r="BE256" s="1">
        <v>2050</v>
      </c>
    </row>
    <row r="257" spans="1:57" x14ac:dyDescent="0.25">
      <c r="A257" s="1" t="str">
        <f>'Population Definitions'!$A$2</f>
        <v>PWID_males</v>
      </c>
      <c r="C257" t="s">
        <v>34</v>
      </c>
      <c r="D257" s="3"/>
      <c r="E257" s="3"/>
      <c r="F257" s="4" t="s">
        <v>39</v>
      </c>
      <c r="G257" s="3">
        <v>0</v>
      </c>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row>
    <row r="258" spans="1:57" x14ac:dyDescent="0.25">
      <c r="A258" s="1" t="str">
        <f>'Population Definitions'!$A$3</f>
        <v>PWID_females</v>
      </c>
      <c r="C258" t="s">
        <v>34</v>
      </c>
      <c r="D258" s="3"/>
      <c r="E258" s="3"/>
      <c r="F258" s="4" t="s">
        <v>39</v>
      </c>
      <c r="G258" s="3">
        <v>0</v>
      </c>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row>
    <row r="259" spans="1:57" x14ac:dyDescent="0.25">
      <c r="A259" s="1" t="str">
        <f>'Population Definitions'!$A$4</f>
        <v>0-9_males</v>
      </c>
      <c r="C259" t="s">
        <v>34</v>
      </c>
      <c r="D259" s="3"/>
      <c r="E259" s="3"/>
      <c r="F259" s="4" t="s">
        <v>39</v>
      </c>
      <c r="G259" s="3">
        <v>0</v>
      </c>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row>
    <row r="260" spans="1:57" x14ac:dyDescent="0.25">
      <c r="A260" s="1" t="str">
        <f>'Population Definitions'!$A$5</f>
        <v>0-9_females</v>
      </c>
      <c r="C260" t="s">
        <v>34</v>
      </c>
      <c r="D260" s="3"/>
      <c r="E260" s="3"/>
      <c r="F260" s="4" t="s">
        <v>39</v>
      </c>
      <c r="G260" s="3">
        <v>0</v>
      </c>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row>
    <row r="261" spans="1:57" x14ac:dyDescent="0.25">
      <c r="A261" s="1" t="str">
        <f>'Population Definitions'!$A$6</f>
        <v>10-17_males</v>
      </c>
      <c r="C261" t="s">
        <v>34</v>
      </c>
      <c r="D261" s="3"/>
      <c r="E261" s="3"/>
      <c r="F261" s="4" t="s">
        <v>39</v>
      </c>
      <c r="G261" s="3">
        <v>0</v>
      </c>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row>
    <row r="262" spans="1:57" x14ac:dyDescent="0.25">
      <c r="A262" s="1" t="str">
        <f>'Population Definitions'!$A$7</f>
        <v>10-17_females</v>
      </c>
      <c r="C262" t="s">
        <v>34</v>
      </c>
      <c r="D262" s="3"/>
      <c r="E262" s="3"/>
      <c r="F262" s="4" t="s">
        <v>39</v>
      </c>
      <c r="G262" s="3">
        <v>0</v>
      </c>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row>
    <row r="263" spans="1:57" x14ac:dyDescent="0.25">
      <c r="A263" s="1" t="str">
        <f>'Population Definitions'!$A$8</f>
        <v>18-64_males</v>
      </c>
      <c r="C263" t="s">
        <v>34</v>
      </c>
      <c r="D263" s="3"/>
      <c r="E263" s="3"/>
      <c r="F263" s="4" t="s">
        <v>39</v>
      </c>
      <c r="G263" s="3">
        <v>0</v>
      </c>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row>
    <row r="264" spans="1:57" x14ac:dyDescent="0.25">
      <c r="A264" s="1" t="str">
        <f>'Population Definitions'!$A$9</f>
        <v>18-64_females</v>
      </c>
      <c r="C264" t="s">
        <v>34</v>
      </c>
      <c r="D264" s="3"/>
      <c r="E264" s="3"/>
      <c r="F264" s="4" t="s">
        <v>39</v>
      </c>
      <c r="G264" s="3">
        <v>0</v>
      </c>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row>
    <row r="265" spans="1:57" x14ac:dyDescent="0.25">
      <c r="A265" s="1" t="str">
        <f>'Population Definitions'!$A$10</f>
        <v>65+_males</v>
      </c>
      <c r="C265" t="s">
        <v>34</v>
      </c>
      <c r="D265" s="3"/>
      <c r="E265" s="3"/>
      <c r="F265" s="4" t="s">
        <v>39</v>
      </c>
      <c r="G265" s="3">
        <v>0</v>
      </c>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row>
    <row r="266" spans="1:57" x14ac:dyDescent="0.25">
      <c r="A266" s="1" t="str">
        <f>'Population Definitions'!$A$11</f>
        <v>65+_females</v>
      </c>
      <c r="C266" t="s">
        <v>34</v>
      </c>
      <c r="D266" s="3"/>
      <c r="E266" s="3"/>
      <c r="F266" s="4" t="s">
        <v>39</v>
      </c>
      <c r="G266" s="3">
        <v>0</v>
      </c>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row>
    <row r="267" spans="1:57" x14ac:dyDescent="0.25">
      <c r="A267" s="1" t="str">
        <f>'Population Definitions'!$A$12</f>
        <v>Prisoners_males</v>
      </c>
      <c r="C267" t="s">
        <v>34</v>
      </c>
      <c r="D267" s="3"/>
      <c r="E267" s="3"/>
      <c r="F267" s="4" t="s">
        <v>39</v>
      </c>
      <c r="G267" s="3">
        <v>0</v>
      </c>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row>
    <row r="268" spans="1:57" x14ac:dyDescent="0.25">
      <c r="A268" s="1" t="str">
        <f>'Population Definitions'!$A$13</f>
        <v>Prisoners_females</v>
      </c>
      <c r="C268" t="s">
        <v>34</v>
      </c>
      <c r="D268" s="3"/>
      <c r="E268" s="3"/>
      <c r="F268" s="4" t="s">
        <v>39</v>
      </c>
      <c r="G268" s="3">
        <v>0</v>
      </c>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row>
    <row r="269" spans="1:57" x14ac:dyDescent="0.25">
      <c r="A269" s="1" t="str">
        <f>'Population Definitions'!$A$14</f>
        <v>Prisoners_PWID_males</v>
      </c>
      <c r="C269" t="s">
        <v>34</v>
      </c>
      <c r="D269" s="3"/>
      <c r="E269" s="3"/>
      <c r="F269" s="4" t="s">
        <v>39</v>
      </c>
      <c r="G269" s="3">
        <v>0</v>
      </c>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row>
    <row r="270" spans="1:57" x14ac:dyDescent="0.25">
      <c r="A270" s="1" t="str">
        <f>'Population Definitions'!$A$15</f>
        <v>Prisoners_PWID_females</v>
      </c>
      <c r="C270" t="s">
        <v>34</v>
      </c>
      <c r="D270" s="3"/>
      <c r="E270" s="3"/>
      <c r="F270" s="4" t="s">
        <v>39</v>
      </c>
      <c r="G270" s="3">
        <v>0</v>
      </c>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row>
    <row r="271" spans="1:57" x14ac:dyDescent="0.25">
      <c r="A271" s="1" t="s">
        <v>110</v>
      </c>
      <c r="C271" t="s">
        <v>34</v>
      </c>
      <c r="D271" s="3"/>
      <c r="E271" s="3"/>
      <c r="F271" s="4" t="s">
        <v>39</v>
      </c>
      <c r="G271" s="3">
        <v>25228.1</v>
      </c>
      <c r="H271" s="3"/>
      <c r="I271" s="3"/>
      <c r="J271" s="3"/>
      <c r="K271" s="3"/>
      <c r="L271" s="3"/>
      <c r="M271" s="3"/>
      <c r="N271" s="3"/>
      <c r="O271" s="3"/>
      <c r="P271" s="3"/>
      <c r="Q271" s="3">
        <v>25228.1</v>
      </c>
      <c r="R271" s="3"/>
      <c r="S271" s="3"/>
      <c r="T271" s="3"/>
      <c r="U271" s="3"/>
      <c r="V271" s="3"/>
      <c r="W271" s="3"/>
      <c r="X271" s="3"/>
      <c r="Y271" s="3"/>
      <c r="Z271" s="3">
        <v>23546.5</v>
      </c>
      <c r="AA271" s="3">
        <v>23818.799999999999</v>
      </c>
      <c r="AB271" s="3">
        <v>23770.6</v>
      </c>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row>
    <row r="273" spans="1:57" x14ac:dyDescent="0.25">
      <c r="A273" s="1" t="s">
        <v>126</v>
      </c>
      <c r="B273" s="1" t="s">
        <v>31</v>
      </c>
      <c r="C273" s="1" t="s">
        <v>32</v>
      </c>
      <c r="D273" s="1" t="s">
        <v>33</v>
      </c>
      <c r="E273" s="1" t="s">
        <v>38</v>
      </c>
      <c r="F273" s="1"/>
      <c r="G273" s="1">
        <v>2000</v>
      </c>
      <c r="H273" s="1">
        <v>2001</v>
      </c>
      <c r="I273" s="1">
        <v>2002</v>
      </c>
      <c r="J273" s="1">
        <v>2003</v>
      </c>
      <c r="K273" s="1">
        <v>2004</v>
      </c>
      <c r="L273" s="1">
        <v>2005</v>
      </c>
      <c r="M273" s="1">
        <v>2006</v>
      </c>
      <c r="N273" s="1">
        <v>2007</v>
      </c>
      <c r="O273" s="1">
        <v>2008</v>
      </c>
      <c r="P273" s="1">
        <v>2009</v>
      </c>
      <c r="Q273" s="1">
        <v>2010</v>
      </c>
      <c r="R273" s="1">
        <v>2011</v>
      </c>
      <c r="S273" s="1">
        <v>2012</v>
      </c>
      <c r="T273" s="1">
        <v>2013</v>
      </c>
      <c r="U273" s="1">
        <v>2014</v>
      </c>
      <c r="V273" s="1">
        <v>2015</v>
      </c>
      <c r="W273" s="1">
        <v>2016</v>
      </c>
      <c r="X273" s="1">
        <v>2017</v>
      </c>
      <c r="Y273" s="1">
        <v>2018</v>
      </c>
      <c r="Z273" s="1">
        <v>2019</v>
      </c>
      <c r="AA273" s="1">
        <v>2020</v>
      </c>
      <c r="AB273" s="1">
        <v>2021</v>
      </c>
      <c r="AC273" s="1">
        <v>2022</v>
      </c>
      <c r="AD273" s="1">
        <v>2023</v>
      </c>
      <c r="AE273" s="1">
        <v>2024</v>
      </c>
      <c r="AF273" s="1">
        <v>2025</v>
      </c>
      <c r="AG273" s="1">
        <v>2026</v>
      </c>
      <c r="AH273" s="1">
        <v>2027</v>
      </c>
      <c r="AI273" s="1">
        <v>2028</v>
      </c>
      <c r="AJ273" s="1">
        <v>2029</v>
      </c>
      <c r="AK273" s="1">
        <v>2030</v>
      </c>
      <c r="AL273" s="1">
        <v>2031</v>
      </c>
      <c r="AM273" s="1">
        <v>2032</v>
      </c>
      <c r="AN273" s="1">
        <v>2033</v>
      </c>
      <c r="AO273" s="1">
        <v>2034</v>
      </c>
      <c r="AP273" s="1">
        <v>2035</v>
      </c>
      <c r="AQ273" s="1">
        <v>2036</v>
      </c>
      <c r="AR273" s="1">
        <v>2037</v>
      </c>
      <c r="AS273" s="1">
        <v>2038</v>
      </c>
      <c r="AT273" s="1">
        <v>2039</v>
      </c>
      <c r="AU273" s="1">
        <v>2040</v>
      </c>
      <c r="AV273" s="1">
        <v>2041</v>
      </c>
      <c r="AW273" s="1">
        <v>2042</v>
      </c>
      <c r="AX273" s="1">
        <v>2043</v>
      </c>
      <c r="AY273" s="1">
        <v>2044</v>
      </c>
      <c r="AZ273" s="1">
        <v>2045</v>
      </c>
      <c r="BA273" s="1">
        <v>2046</v>
      </c>
      <c r="BB273" s="1">
        <v>2047</v>
      </c>
      <c r="BC273" s="1">
        <v>2048</v>
      </c>
      <c r="BD273" s="1">
        <v>2049</v>
      </c>
      <c r="BE273" s="1">
        <v>2050</v>
      </c>
    </row>
    <row r="274" spans="1:57" x14ac:dyDescent="0.25">
      <c r="A274" s="1" t="str">
        <f>'Population Definitions'!$A$2</f>
        <v>PWID_males</v>
      </c>
      <c r="C274" t="s">
        <v>34</v>
      </c>
      <c r="D274" s="3"/>
      <c r="E274" s="3"/>
      <c r="F274" s="4" t="s">
        <v>39</v>
      </c>
      <c r="G274" s="3">
        <v>0</v>
      </c>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row>
    <row r="275" spans="1:57" x14ac:dyDescent="0.25">
      <c r="A275" s="1" t="str">
        <f>'Population Definitions'!$A$3</f>
        <v>PWID_females</v>
      </c>
      <c r="C275" t="s">
        <v>34</v>
      </c>
      <c r="D275" s="3"/>
      <c r="E275" s="3"/>
      <c r="F275" s="4" t="s">
        <v>39</v>
      </c>
      <c r="G275" s="3">
        <v>0</v>
      </c>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row>
    <row r="276" spans="1:57" x14ac:dyDescent="0.25">
      <c r="A276" s="1" t="str">
        <f>'Population Definitions'!$A$4</f>
        <v>0-9_males</v>
      </c>
      <c r="C276" t="s">
        <v>34</v>
      </c>
      <c r="D276" s="3"/>
      <c r="E276" s="3"/>
      <c r="F276" s="4" t="s">
        <v>39</v>
      </c>
      <c r="G276" s="3">
        <v>0</v>
      </c>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row>
    <row r="277" spans="1:57" x14ac:dyDescent="0.25">
      <c r="A277" s="1" t="str">
        <f>'Population Definitions'!$A$5</f>
        <v>0-9_females</v>
      </c>
      <c r="C277" t="s">
        <v>34</v>
      </c>
      <c r="D277" s="3"/>
      <c r="E277" s="3"/>
      <c r="F277" s="4" t="s">
        <v>39</v>
      </c>
      <c r="G277" s="3">
        <v>0</v>
      </c>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row>
    <row r="278" spans="1:57" x14ac:dyDescent="0.25">
      <c r="A278" s="1" t="str">
        <f>'Population Definitions'!$A$6</f>
        <v>10-17_males</v>
      </c>
      <c r="C278" t="s">
        <v>34</v>
      </c>
      <c r="D278" s="3"/>
      <c r="E278" s="3"/>
      <c r="F278" s="4" t="s">
        <v>39</v>
      </c>
      <c r="G278" s="3">
        <v>0</v>
      </c>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row>
    <row r="279" spans="1:57" x14ac:dyDescent="0.25">
      <c r="A279" s="1" t="str">
        <f>'Population Definitions'!$A$7</f>
        <v>10-17_females</v>
      </c>
      <c r="C279" t="s">
        <v>34</v>
      </c>
      <c r="D279" s="3"/>
      <c r="E279" s="3"/>
      <c r="F279" s="4" t="s">
        <v>39</v>
      </c>
      <c r="G279" s="3">
        <v>0</v>
      </c>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row>
    <row r="280" spans="1:57" x14ac:dyDescent="0.25">
      <c r="A280" s="1" t="str">
        <f>'Population Definitions'!$A$8</f>
        <v>18-64_males</v>
      </c>
      <c r="C280" t="s">
        <v>34</v>
      </c>
      <c r="D280" s="3"/>
      <c r="E280" s="3"/>
      <c r="F280" s="4" t="s">
        <v>39</v>
      </c>
      <c r="G280" s="3">
        <v>0</v>
      </c>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row>
    <row r="281" spans="1:57" x14ac:dyDescent="0.25">
      <c r="A281" s="1" t="str">
        <f>'Population Definitions'!$A$9</f>
        <v>18-64_females</v>
      </c>
      <c r="C281" t="s">
        <v>34</v>
      </c>
      <c r="D281" s="3"/>
      <c r="E281" s="3"/>
      <c r="F281" s="4" t="s">
        <v>39</v>
      </c>
      <c r="G281" s="3">
        <v>0</v>
      </c>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row>
    <row r="282" spans="1:57" x14ac:dyDescent="0.25">
      <c r="A282" s="1" t="str">
        <f>'Population Definitions'!$A$10</f>
        <v>65+_males</v>
      </c>
      <c r="C282" t="s">
        <v>34</v>
      </c>
      <c r="D282" s="3"/>
      <c r="E282" s="3"/>
      <c r="F282" s="4" t="s">
        <v>39</v>
      </c>
      <c r="G282" s="3">
        <v>0</v>
      </c>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row>
    <row r="283" spans="1:57" x14ac:dyDescent="0.25">
      <c r="A283" s="1" t="str">
        <f>'Population Definitions'!$A$11</f>
        <v>65+_females</v>
      </c>
      <c r="C283" t="s">
        <v>34</v>
      </c>
      <c r="D283" s="3"/>
      <c r="E283" s="3"/>
      <c r="F283" s="4" t="s">
        <v>39</v>
      </c>
      <c r="G283" s="3">
        <v>0</v>
      </c>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row>
    <row r="284" spans="1:57" x14ac:dyDescent="0.25">
      <c r="A284" s="1" t="str">
        <f>'Population Definitions'!$A$12</f>
        <v>Prisoners_males</v>
      </c>
      <c r="C284" t="s">
        <v>34</v>
      </c>
      <c r="D284" s="3"/>
      <c r="E284" s="3"/>
      <c r="F284" s="4" t="s">
        <v>39</v>
      </c>
      <c r="G284" s="3">
        <v>0</v>
      </c>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row>
    <row r="285" spans="1:57" x14ac:dyDescent="0.25">
      <c r="A285" s="1" t="str">
        <f>'Population Definitions'!$A$13</f>
        <v>Prisoners_females</v>
      </c>
      <c r="C285" t="s">
        <v>34</v>
      </c>
      <c r="D285" s="3"/>
      <c r="E285" s="3"/>
      <c r="F285" s="4" t="s">
        <v>39</v>
      </c>
      <c r="G285" s="3">
        <v>0</v>
      </c>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row>
    <row r="286" spans="1:57" x14ac:dyDescent="0.25">
      <c r="A286" s="1" t="str">
        <f>'Population Definitions'!$A$14</f>
        <v>Prisoners_PWID_males</v>
      </c>
      <c r="C286" t="s">
        <v>34</v>
      </c>
      <c r="D286" s="3"/>
      <c r="E286" s="3"/>
      <c r="F286" s="4" t="s">
        <v>39</v>
      </c>
      <c r="G286" s="3">
        <v>0</v>
      </c>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row>
    <row r="287" spans="1:57" x14ac:dyDescent="0.25">
      <c r="A287" s="1" t="str">
        <f>'Population Definitions'!$A$15</f>
        <v>Prisoners_PWID_females</v>
      </c>
      <c r="C287" t="s">
        <v>34</v>
      </c>
      <c r="D287" s="3"/>
      <c r="E287" s="3"/>
      <c r="F287" s="4" t="s">
        <v>39</v>
      </c>
      <c r="G287" s="3">
        <v>0</v>
      </c>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row>
    <row r="288" spans="1:57" x14ac:dyDescent="0.25">
      <c r="A288" s="1" t="s">
        <v>110</v>
      </c>
      <c r="C288" t="s">
        <v>34</v>
      </c>
      <c r="D288" s="3"/>
      <c r="E288" s="3"/>
      <c r="F288" s="4" t="s">
        <v>39</v>
      </c>
      <c r="G288" s="3">
        <v>0</v>
      </c>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row>
  </sheetData>
  <conditionalFormatting sqref="E19:E33">
    <cfRule type="expression" dxfId="1243" priority="1">
      <formula>COUNTIF(G19:BE19,"&lt;&gt;" &amp; "")&gt;0</formula>
    </cfRule>
    <cfRule type="expression" dxfId="1242" priority="2">
      <formula>AND(COUNTIF(G19:BE19,"&lt;&gt;" &amp; "")&gt;0,NOT(ISBLANK(E19)))</formula>
    </cfRule>
  </conditionalFormatting>
  <conditionalFormatting sqref="E36:E50">
    <cfRule type="expression" dxfId="1241" priority="31">
      <formula>COUNTIF(G36:BE36,"&lt;&gt;" &amp; "")&gt;0</formula>
    </cfRule>
    <cfRule type="expression" dxfId="1240" priority="32">
      <formula>AND(COUNTIF(G36:BE36,"&lt;&gt;" &amp; "")&gt;0,NOT(ISBLANK(E36)))</formula>
    </cfRule>
  </conditionalFormatting>
  <conditionalFormatting sqref="E53:E67">
    <cfRule type="expression" dxfId="1239" priority="61">
      <formula>COUNTIF(G53:BE53,"&lt;&gt;" &amp; "")&gt;0</formula>
    </cfRule>
    <cfRule type="expression" dxfId="1238" priority="62">
      <formula>AND(COUNTIF(G53:BE53,"&lt;&gt;" &amp; "")&gt;0,NOT(ISBLANK(E53)))</formula>
    </cfRule>
  </conditionalFormatting>
  <conditionalFormatting sqref="E70:E84">
    <cfRule type="expression" dxfId="1237" priority="91">
      <formula>COUNTIF(G70:BE70,"&lt;&gt;" &amp; "")&gt;0</formula>
    </cfRule>
    <cfRule type="expression" dxfId="1236" priority="92">
      <formula>AND(COUNTIF(G70:BE70,"&lt;&gt;" &amp; "")&gt;0,NOT(ISBLANK(E70)))</formula>
    </cfRule>
  </conditionalFormatting>
  <conditionalFormatting sqref="E87:E101">
    <cfRule type="expression" dxfId="1235" priority="121">
      <formula>COUNTIF(G87:BE87,"&lt;&gt;" &amp; "")&gt;0</formula>
    </cfRule>
    <cfRule type="expression" dxfId="1234" priority="122">
      <formula>AND(COUNTIF(G87:BE87,"&lt;&gt;" &amp; "")&gt;0,NOT(ISBLANK(E87)))</formula>
    </cfRule>
  </conditionalFormatting>
  <conditionalFormatting sqref="E104:E118">
    <cfRule type="expression" dxfId="1233" priority="151">
      <formula>COUNTIF(G104:BE104,"&lt;&gt;" &amp; "")&gt;0</formula>
    </cfRule>
    <cfRule type="expression" dxfId="1232" priority="152">
      <formula>AND(COUNTIF(G104:BE104,"&lt;&gt;" &amp; "")&gt;0,NOT(ISBLANK(E104)))</formula>
    </cfRule>
  </conditionalFormatting>
  <conditionalFormatting sqref="E121:E135">
    <cfRule type="expression" dxfId="1231" priority="181">
      <formula>COUNTIF(G121:BE121,"&lt;&gt;" &amp; "")&gt;0</formula>
    </cfRule>
    <cfRule type="expression" dxfId="1230" priority="182">
      <formula>AND(COUNTIF(G121:BE121,"&lt;&gt;" &amp; "")&gt;0,NOT(ISBLANK(E121)))</formula>
    </cfRule>
  </conditionalFormatting>
  <conditionalFormatting sqref="E138:E152">
    <cfRule type="expression" dxfId="1229" priority="211">
      <formula>COUNTIF(G138:BE138,"&lt;&gt;" &amp; "")&gt;0</formula>
    </cfRule>
    <cfRule type="expression" dxfId="1228" priority="212">
      <formula>AND(COUNTIF(G138:BE138,"&lt;&gt;" &amp; "")&gt;0,NOT(ISBLANK(E138)))</formula>
    </cfRule>
  </conditionalFormatting>
  <conditionalFormatting sqref="E155:E169">
    <cfRule type="expression" dxfId="1227" priority="241">
      <formula>COUNTIF(G155:BE155,"&lt;&gt;" &amp; "")&gt;0</formula>
    </cfRule>
    <cfRule type="expression" dxfId="1226" priority="242">
      <formula>AND(COUNTIF(G155:BE155,"&lt;&gt;" &amp; "")&gt;0,NOT(ISBLANK(E155)))</formula>
    </cfRule>
  </conditionalFormatting>
  <conditionalFormatting sqref="E172:E186">
    <cfRule type="expression" dxfId="1225" priority="271">
      <formula>COUNTIF(G172:BE172,"&lt;&gt;" &amp; "")&gt;0</formula>
    </cfRule>
    <cfRule type="expression" dxfId="1224" priority="272">
      <formula>AND(COUNTIF(G172:BE172,"&lt;&gt;" &amp; "")&gt;0,NOT(ISBLANK(E172)))</formula>
    </cfRule>
  </conditionalFormatting>
  <conditionalFormatting sqref="E189:E203">
    <cfRule type="expression" dxfId="1223" priority="301">
      <formula>COUNTIF(G189:BE189,"&lt;&gt;" &amp; "")&gt;0</formula>
    </cfRule>
    <cfRule type="expression" dxfId="1222" priority="302">
      <formula>AND(COUNTIF(G189:BE189,"&lt;&gt;" &amp; "")&gt;0,NOT(ISBLANK(E189)))</formula>
    </cfRule>
  </conditionalFormatting>
  <conditionalFormatting sqref="E206:E220">
    <cfRule type="expression" dxfId="1221" priority="331">
      <formula>COUNTIF(G206:BE206,"&lt;&gt;" &amp; "")&gt;0</formula>
    </cfRule>
    <cfRule type="expression" dxfId="1220" priority="332">
      <formula>AND(COUNTIF(G206:BE206,"&lt;&gt;" &amp; "")&gt;0,NOT(ISBLANK(E206)))</formula>
    </cfRule>
  </conditionalFormatting>
  <conditionalFormatting sqref="E223:E237">
    <cfRule type="expression" dxfId="1219" priority="361">
      <formula>COUNTIF(G223:BE223,"&lt;&gt;" &amp; "")&gt;0</formula>
    </cfRule>
    <cfRule type="expression" dxfId="1218" priority="362">
      <formula>AND(COUNTIF(G223:BE223,"&lt;&gt;" &amp; "")&gt;0,NOT(ISBLANK(E223)))</formula>
    </cfRule>
  </conditionalFormatting>
  <conditionalFormatting sqref="E240:E254">
    <cfRule type="expression" dxfId="1217" priority="391">
      <formula>COUNTIF(G240:BE240,"&lt;&gt;" &amp; "")&gt;0</formula>
    </cfRule>
    <cfRule type="expression" dxfId="1216" priority="392">
      <formula>AND(COUNTIF(G240:BE240,"&lt;&gt;" &amp; "")&gt;0,NOT(ISBLANK(E240)))</formula>
    </cfRule>
  </conditionalFormatting>
  <conditionalFormatting sqref="E257:E271">
    <cfRule type="expression" dxfId="1215" priority="421">
      <formula>COUNTIF(G257:BE257,"&lt;&gt;" &amp; "")&gt;0</formula>
    </cfRule>
    <cfRule type="expression" dxfId="1214" priority="422">
      <formula>AND(COUNTIF(G257:BE257,"&lt;&gt;" &amp; "")&gt;0,NOT(ISBLANK(E257)))</formula>
    </cfRule>
  </conditionalFormatting>
  <conditionalFormatting sqref="E274:E288">
    <cfRule type="expression" dxfId="1213" priority="451">
      <formula>COUNTIF(G274:BE274,"&lt;&gt;" &amp; "")&gt;0</formula>
    </cfRule>
    <cfRule type="expression" dxfId="1212" priority="452">
      <formula>AND(COUNTIF(G274:BE274,"&lt;&gt;" &amp; "")&gt;0,NOT(ISBLANK(E274)))</formula>
    </cfRule>
  </conditionalFormatting>
  <dataValidations count="3">
    <dataValidation type="list" allowBlank="1" showInputMessage="1" showErrorMessage="1" sqref="C2:C16" xr:uid="{00000000-0002-0000-0A00-000000000000}">
      <formula1>"Fraction"</formula1>
    </dataValidation>
    <dataValidation type="list" allowBlank="1" showInputMessage="1" showErrorMessage="1" sqref="C274:C288 C257:C271 C240:C254 C223:C237 C206:C220 C189:C203 C87:C101 C70:C84 C53:C67 C36:C50 C19:C33" xr:uid="{00000000-0002-0000-0A00-00000F000000}">
      <formula1>"Number (per year)"</formula1>
    </dataValidation>
    <dataValidation type="list" allowBlank="1" showInputMessage="1" showErrorMessage="1" sqref="C172:C186 C155:C169 C138:C152 C121:C135 C104:C118" xr:uid="{00000000-0002-0000-0A00-00005A000000}">
      <formula1>"Number"</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BE1327"/>
  <sheetViews>
    <sheetView workbookViewId="0"/>
  </sheetViews>
  <sheetFormatPr defaultRowHeight="15" x14ac:dyDescent="0.25"/>
  <cols>
    <col min="1" max="1" width="84.28515625" customWidth="1"/>
    <col min="2" max="2" width="30.28515625" customWidth="1"/>
    <col min="3" max="3" width="8.28515625" customWidth="1"/>
    <col min="4" max="4" width="13.85546875" customWidth="1"/>
    <col min="5" max="5" width="10.5703125" customWidth="1"/>
    <col min="6" max="57" width="9.42578125" customWidth="1"/>
  </cols>
  <sheetData>
    <row r="1" spans="1:55" x14ac:dyDescent="0.25">
      <c r="A1" s="1" t="s">
        <v>127</v>
      </c>
      <c r="B1" s="1" t="s">
        <v>31</v>
      </c>
      <c r="C1" s="1" t="s">
        <v>32</v>
      </c>
      <c r="D1" s="1" t="s">
        <v>33</v>
      </c>
      <c r="E1" s="1">
        <v>2000</v>
      </c>
      <c r="F1" s="1">
        <v>2001</v>
      </c>
      <c r="G1" s="1">
        <v>2002</v>
      </c>
      <c r="H1" s="1">
        <v>2003</v>
      </c>
      <c r="I1" s="1">
        <v>2004</v>
      </c>
      <c r="J1" s="1">
        <v>2005</v>
      </c>
      <c r="K1" s="1">
        <v>2006</v>
      </c>
      <c r="L1" s="1">
        <v>2007</v>
      </c>
      <c r="M1" s="1">
        <v>2008</v>
      </c>
      <c r="N1" s="1">
        <v>2009</v>
      </c>
      <c r="O1" s="1">
        <v>2010</v>
      </c>
      <c r="P1" s="1">
        <v>2011</v>
      </c>
      <c r="Q1" s="1">
        <v>2012</v>
      </c>
      <c r="R1" s="1">
        <v>2013</v>
      </c>
      <c r="S1" s="1">
        <v>2014</v>
      </c>
      <c r="T1" s="1">
        <v>2015</v>
      </c>
      <c r="U1" s="1">
        <v>2016</v>
      </c>
      <c r="V1" s="1">
        <v>2017</v>
      </c>
      <c r="W1" s="1">
        <v>2018</v>
      </c>
      <c r="X1" s="1">
        <v>2019</v>
      </c>
      <c r="Y1" s="1">
        <v>2020</v>
      </c>
      <c r="Z1" s="1">
        <v>2021</v>
      </c>
      <c r="AA1" s="1">
        <v>2022</v>
      </c>
      <c r="AB1" s="1">
        <v>2023</v>
      </c>
      <c r="AC1" s="1">
        <v>2024</v>
      </c>
      <c r="AD1" s="1">
        <v>2025</v>
      </c>
      <c r="AE1" s="1">
        <v>2026</v>
      </c>
      <c r="AF1" s="1">
        <v>2027</v>
      </c>
      <c r="AG1" s="1">
        <v>2028</v>
      </c>
      <c r="AH1" s="1">
        <v>2029</v>
      </c>
      <c r="AI1" s="1">
        <v>2030</v>
      </c>
      <c r="AJ1" s="1">
        <v>2031</v>
      </c>
      <c r="AK1" s="1">
        <v>2032</v>
      </c>
      <c r="AL1" s="1">
        <v>2033</v>
      </c>
      <c r="AM1" s="1">
        <v>2034</v>
      </c>
      <c r="AN1" s="1">
        <v>2035</v>
      </c>
      <c r="AO1" s="1">
        <v>2036</v>
      </c>
      <c r="AP1" s="1">
        <v>2037</v>
      </c>
      <c r="AQ1" s="1">
        <v>2038</v>
      </c>
      <c r="AR1" s="1">
        <v>2039</v>
      </c>
      <c r="AS1" s="1">
        <v>2040</v>
      </c>
      <c r="AT1" s="1">
        <v>2041</v>
      </c>
      <c r="AU1" s="1">
        <v>2042</v>
      </c>
      <c r="AV1" s="1">
        <v>2043</v>
      </c>
      <c r="AW1" s="1">
        <v>2044</v>
      </c>
      <c r="AX1" s="1">
        <v>2045</v>
      </c>
      <c r="AY1" s="1">
        <v>2046</v>
      </c>
      <c r="AZ1" s="1">
        <v>2047</v>
      </c>
      <c r="BA1" s="1">
        <v>2048</v>
      </c>
      <c r="BB1" s="1">
        <v>2049</v>
      </c>
      <c r="BC1" s="1">
        <v>2050</v>
      </c>
    </row>
    <row r="2" spans="1:55" x14ac:dyDescent="0.25">
      <c r="A2" s="1" t="str">
        <f>'Population Definitions'!$A$2</f>
        <v>PWID_males</v>
      </c>
      <c r="C2" t="s">
        <v>34</v>
      </c>
      <c r="D2" s="3"/>
      <c r="E2" s="3">
        <v>0</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row>
    <row r="3" spans="1:55" x14ac:dyDescent="0.25">
      <c r="A3" s="1" t="str">
        <f>'Population Definitions'!$A$3</f>
        <v>PWID_females</v>
      </c>
      <c r="C3" t="s">
        <v>34</v>
      </c>
      <c r="D3" s="3"/>
      <c r="E3" s="3">
        <v>0</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row>
    <row r="4" spans="1:55" x14ac:dyDescent="0.25">
      <c r="A4" s="1" t="str">
        <f>'Population Definitions'!$A$4</f>
        <v>0-9_males</v>
      </c>
      <c r="C4" t="s">
        <v>34</v>
      </c>
      <c r="D4" s="3"/>
      <c r="E4" s="3">
        <v>0</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row>
    <row r="5" spans="1:55" x14ac:dyDescent="0.25">
      <c r="A5" s="1" t="str">
        <f>'Population Definitions'!$A$5</f>
        <v>0-9_females</v>
      </c>
      <c r="C5" t="s">
        <v>34</v>
      </c>
      <c r="D5" s="3"/>
      <c r="E5" s="3">
        <v>0</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row>
    <row r="6" spans="1:55" x14ac:dyDescent="0.25">
      <c r="A6" s="1" t="str">
        <f>'Population Definitions'!$A$6</f>
        <v>10-17_males</v>
      </c>
      <c r="C6" t="s">
        <v>34</v>
      </c>
      <c r="D6" s="3"/>
      <c r="E6" s="3">
        <v>0</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1" t="str">
        <f>'Population Definitions'!$A$7</f>
        <v>10-17_females</v>
      </c>
      <c r="C7" t="s">
        <v>34</v>
      </c>
      <c r="D7" s="3"/>
      <c r="E7" s="3">
        <v>0</v>
      </c>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row>
    <row r="8" spans="1:55" x14ac:dyDescent="0.25">
      <c r="A8" s="1" t="str">
        <f>'Population Definitions'!$A$8</f>
        <v>18-64_males</v>
      </c>
      <c r="C8" t="s">
        <v>34</v>
      </c>
      <c r="D8" s="3"/>
      <c r="E8" s="3">
        <v>0</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row>
    <row r="9" spans="1:55" x14ac:dyDescent="0.25">
      <c r="A9" s="1" t="str">
        <f>'Population Definitions'!$A$9</f>
        <v>18-64_females</v>
      </c>
      <c r="C9" t="s">
        <v>34</v>
      </c>
      <c r="D9" s="3"/>
      <c r="E9" s="3">
        <v>0</v>
      </c>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row>
    <row r="10" spans="1:55" x14ac:dyDescent="0.25">
      <c r="A10" s="1" t="str">
        <f>'Population Definitions'!$A$10</f>
        <v>65+_males</v>
      </c>
      <c r="C10" t="s">
        <v>34</v>
      </c>
      <c r="D10" s="3"/>
      <c r="E10" s="3">
        <v>0</v>
      </c>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row>
    <row r="11" spans="1:55" x14ac:dyDescent="0.25">
      <c r="A11" s="1" t="str">
        <f>'Population Definitions'!$A$11</f>
        <v>65+_females</v>
      </c>
      <c r="C11" t="s">
        <v>34</v>
      </c>
      <c r="D11" s="3"/>
      <c r="E11" s="3">
        <v>0</v>
      </c>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row>
    <row r="12" spans="1:55" x14ac:dyDescent="0.25">
      <c r="A12" s="1" t="str">
        <f>'Population Definitions'!$A$12</f>
        <v>Prisoners_males</v>
      </c>
      <c r="C12" t="s">
        <v>34</v>
      </c>
      <c r="D12" s="3"/>
      <c r="E12" s="3">
        <v>0</v>
      </c>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row>
    <row r="13" spans="1:55" x14ac:dyDescent="0.25">
      <c r="A13" s="1" t="str">
        <f>'Population Definitions'!$A$13</f>
        <v>Prisoners_females</v>
      </c>
      <c r="C13" t="s">
        <v>34</v>
      </c>
      <c r="D13" s="3"/>
      <c r="E13" s="3">
        <v>0</v>
      </c>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row>
    <row r="14" spans="1:55" x14ac:dyDescent="0.25">
      <c r="A14" s="1" t="str">
        <f>'Population Definitions'!$A$14</f>
        <v>Prisoners_PWID_males</v>
      </c>
      <c r="C14" t="s">
        <v>34</v>
      </c>
      <c r="D14" s="3"/>
      <c r="E14" s="3">
        <v>0</v>
      </c>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row>
    <row r="15" spans="1:55" x14ac:dyDescent="0.25">
      <c r="A15" s="1" t="str">
        <f>'Population Definitions'!$A$15</f>
        <v>Prisoners_PWID_females</v>
      </c>
      <c r="C15" t="s">
        <v>34</v>
      </c>
      <c r="D15" s="3"/>
      <c r="E15" s="3">
        <v>0</v>
      </c>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row>
    <row r="17" spans="1:57" x14ac:dyDescent="0.25">
      <c r="A17" s="1" t="s">
        <v>128</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C18" t="s">
        <v>34</v>
      </c>
      <c r="D18" s="3"/>
      <c r="E18" s="3">
        <v>95.463987450021264</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C19" t="s">
        <v>34</v>
      </c>
      <c r="D19" s="3"/>
      <c r="E19" s="3">
        <v>4.4784412395921001</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C20" t="s">
        <v>34</v>
      </c>
      <c r="D20" s="3"/>
      <c r="E20" s="3">
        <v>0</v>
      </c>
      <c r="F20" s="4" t="s">
        <v>39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C21" t="s">
        <v>34</v>
      </c>
      <c r="D21" s="3"/>
      <c r="E21" s="3">
        <v>0</v>
      </c>
      <c r="F21" s="4" t="s">
        <v>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C22" t="s">
        <v>34</v>
      </c>
      <c r="D22" s="3"/>
      <c r="E22" s="3">
        <v>0</v>
      </c>
      <c r="F22" s="4"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C23" t="s">
        <v>34</v>
      </c>
      <c r="D23" s="3"/>
      <c r="E23" s="3">
        <v>0</v>
      </c>
      <c r="F23" s="4" t="s">
        <v>39</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C24" t="s">
        <v>34</v>
      </c>
      <c r="D24" s="3"/>
      <c r="E24" s="3">
        <v>87474.896613922348</v>
      </c>
      <c r="F24" s="4" t="s">
        <v>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C25" t="s">
        <v>34</v>
      </c>
      <c r="D25" s="3"/>
      <c r="E25" s="3">
        <v>84948.335818649954</v>
      </c>
      <c r="F25" s="4" t="s">
        <v>39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C26" t="s">
        <v>34</v>
      </c>
      <c r="D26" s="3"/>
      <c r="E26" s="3">
        <v>5590.5754949944603</v>
      </c>
      <c r="F26" s="4" t="s">
        <v>39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C27" t="s">
        <v>34</v>
      </c>
      <c r="D27" s="3"/>
      <c r="E27" s="3">
        <v>7714.1150180229943</v>
      </c>
      <c r="F27" s="4" t="s">
        <v>39</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C28" t="s">
        <v>34</v>
      </c>
      <c r="D28" s="3"/>
      <c r="E28" s="3">
        <v>230.4043935312036</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C29" t="s">
        <v>34</v>
      </c>
      <c r="D29" s="3"/>
      <c r="E29" s="3">
        <v>10.464932546033239</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C30" t="s">
        <v>34</v>
      </c>
      <c r="D30" s="3"/>
      <c r="E30" s="3">
        <v>9.7135870318432147</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C31" t="s">
        <v>34</v>
      </c>
      <c r="D31" s="3"/>
      <c r="E31" s="3">
        <v>0.73021464497123534</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129</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C34" t="s">
        <v>34</v>
      </c>
      <c r="D34" s="3"/>
      <c r="E34" s="3">
        <v>19092.79749000425</v>
      </c>
      <c r="F34" s="4" t="s">
        <v>39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C35" t="s">
        <v>34</v>
      </c>
      <c r="D35" s="3"/>
      <c r="E35" s="3">
        <v>895.68824791842007</v>
      </c>
      <c r="F35" s="4" t="s">
        <v>39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C36" t="s">
        <v>34</v>
      </c>
      <c r="D36" s="3"/>
      <c r="E36" s="3">
        <v>9341226</v>
      </c>
      <c r="F36" s="4" t="s">
        <v>39</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C37" t="s">
        <v>34</v>
      </c>
      <c r="D37" s="3"/>
      <c r="E37" s="3">
        <v>8792800</v>
      </c>
      <c r="F37" s="4" t="s">
        <v>39</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C38" t="s">
        <v>34</v>
      </c>
      <c r="D38" s="3"/>
      <c r="E38" s="3">
        <v>7085058.4999999991</v>
      </c>
      <c r="F38" s="4" t="s">
        <v>39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C39" t="s">
        <v>34</v>
      </c>
      <c r="D39" s="3"/>
      <c r="E39" s="3">
        <v>6709352.9999999991</v>
      </c>
      <c r="F39" s="4" t="s">
        <v>39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C40" t="s">
        <v>34</v>
      </c>
      <c r="D40" s="3"/>
      <c r="E40" s="3">
        <v>17494979.322784469</v>
      </c>
      <c r="F40" s="4" t="s">
        <v>39</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C41" t="s">
        <v>34</v>
      </c>
      <c r="D41" s="3"/>
      <c r="E41" s="3">
        <v>16989667.163729992</v>
      </c>
      <c r="F41" s="4" t="s">
        <v>39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C42" t="s">
        <v>34</v>
      </c>
      <c r="D42" s="3"/>
      <c r="E42" s="3">
        <v>1118115.0989988919</v>
      </c>
      <c r="F42" s="4" t="s">
        <v>39</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C43" t="s">
        <v>34</v>
      </c>
      <c r="D43" s="3"/>
      <c r="E43" s="3">
        <v>1542823.003604599</v>
      </c>
      <c r="F43" s="4" t="s">
        <v>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C44" t="s">
        <v>34</v>
      </c>
      <c r="D44" s="3"/>
      <c r="E44" s="3">
        <v>46080.878706240721</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C45" t="s">
        <v>34</v>
      </c>
      <c r="D45" s="3"/>
      <c r="E45" s="3">
        <v>2092.986509206648</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C46" t="s">
        <v>34</v>
      </c>
      <c r="D46" s="3"/>
      <c r="E46" s="3">
        <v>1942.717406368643</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C47" t="s">
        <v>34</v>
      </c>
      <c r="D47" s="3"/>
      <c r="E47" s="3">
        <v>146.04292899424709</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130</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B50" t="s">
        <v>62</v>
      </c>
      <c r="C50" t="s">
        <v>34</v>
      </c>
      <c r="D50" s="3"/>
      <c r="E50" s="3">
        <v>0</v>
      </c>
      <c r="F50" s="4" t="s">
        <v>39</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B51" t="s">
        <v>62</v>
      </c>
      <c r="C51" t="s">
        <v>34</v>
      </c>
      <c r="D51" s="3"/>
      <c r="E51" s="3">
        <v>0</v>
      </c>
      <c r="F51" s="4" t="s">
        <v>39</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B52" t="s">
        <v>62</v>
      </c>
      <c r="C52" t="s">
        <v>34</v>
      </c>
      <c r="D52" s="3"/>
      <c r="E52" s="3">
        <v>0</v>
      </c>
      <c r="F52" s="4" t="s">
        <v>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B53" t="s">
        <v>62</v>
      </c>
      <c r="C53" t="s">
        <v>34</v>
      </c>
      <c r="D53" s="3"/>
      <c r="E53" s="3">
        <v>0</v>
      </c>
      <c r="F53" s="4" t="s">
        <v>39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B54" t="s">
        <v>62</v>
      </c>
      <c r="C54" t="s">
        <v>34</v>
      </c>
      <c r="D54" s="3"/>
      <c r="E54" s="3">
        <v>0</v>
      </c>
      <c r="F54" s="4" t="s">
        <v>39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B55" t="s">
        <v>62</v>
      </c>
      <c r="C55" t="s">
        <v>34</v>
      </c>
      <c r="D55" s="3"/>
      <c r="E55" s="3">
        <v>0</v>
      </c>
      <c r="F55" s="4" t="s">
        <v>39</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B56" t="s">
        <v>62</v>
      </c>
      <c r="C56" t="s">
        <v>34</v>
      </c>
      <c r="D56" s="3"/>
      <c r="E56" s="3">
        <v>0</v>
      </c>
      <c r="F56" s="4" t="s">
        <v>39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B57" t="s">
        <v>62</v>
      </c>
      <c r="C57" t="s">
        <v>34</v>
      </c>
      <c r="D57" s="3"/>
      <c r="E57" s="3">
        <v>0</v>
      </c>
      <c r="F57" s="4" t="s">
        <v>39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B58" t="s">
        <v>62</v>
      </c>
      <c r="C58" t="s">
        <v>34</v>
      </c>
      <c r="D58" s="3"/>
      <c r="E58" s="3">
        <v>0</v>
      </c>
      <c r="F58" s="4" t="s">
        <v>39</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B59" t="s">
        <v>62</v>
      </c>
      <c r="C59" t="s">
        <v>34</v>
      </c>
      <c r="D59" s="3"/>
      <c r="E59" s="3">
        <v>0</v>
      </c>
      <c r="F59" s="4" t="s">
        <v>39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B60" t="s">
        <v>62</v>
      </c>
      <c r="C60" t="s">
        <v>34</v>
      </c>
      <c r="D60" s="3"/>
      <c r="E60" s="3">
        <v>0</v>
      </c>
      <c r="F60" s="4" t="s">
        <v>39</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B61" t="s">
        <v>62</v>
      </c>
      <c r="C61" t="s">
        <v>34</v>
      </c>
      <c r="D61" s="3"/>
      <c r="E61" s="3">
        <v>0</v>
      </c>
      <c r="F61" s="4" t="s">
        <v>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B62" t="s">
        <v>62</v>
      </c>
      <c r="C62" t="s">
        <v>34</v>
      </c>
      <c r="D62" s="3"/>
      <c r="E62" s="3">
        <v>0</v>
      </c>
      <c r="F62" s="4" t="s">
        <v>39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B63" t="s">
        <v>62</v>
      </c>
      <c r="C63" t="s">
        <v>34</v>
      </c>
      <c r="D63" s="3"/>
      <c r="E63" s="3">
        <v>0</v>
      </c>
      <c r="F63" s="4" t="s">
        <v>39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row r="65" spans="1:57" x14ac:dyDescent="0.25">
      <c r="A65" s="1" t="s">
        <v>131</v>
      </c>
      <c r="B65" s="1" t="s">
        <v>31</v>
      </c>
      <c r="C65" s="1" t="s">
        <v>32</v>
      </c>
      <c r="D65" s="1" t="s">
        <v>33</v>
      </c>
      <c r="E65" s="1" t="s">
        <v>38</v>
      </c>
      <c r="F65" s="1"/>
      <c r="G65" s="1">
        <v>2000</v>
      </c>
      <c r="H65" s="1">
        <v>2001</v>
      </c>
      <c r="I65" s="1">
        <v>2002</v>
      </c>
      <c r="J65" s="1">
        <v>2003</v>
      </c>
      <c r="K65" s="1">
        <v>2004</v>
      </c>
      <c r="L65" s="1">
        <v>2005</v>
      </c>
      <c r="M65" s="1">
        <v>2006</v>
      </c>
      <c r="N65" s="1">
        <v>2007</v>
      </c>
      <c r="O65" s="1">
        <v>2008</v>
      </c>
      <c r="P65" s="1">
        <v>2009</v>
      </c>
      <c r="Q65" s="1">
        <v>2010</v>
      </c>
      <c r="R65" s="1">
        <v>2011</v>
      </c>
      <c r="S65" s="1">
        <v>2012</v>
      </c>
      <c r="T65" s="1">
        <v>2013</v>
      </c>
      <c r="U65" s="1">
        <v>2014</v>
      </c>
      <c r="V65" s="1">
        <v>2015</v>
      </c>
      <c r="W65" s="1">
        <v>2016</v>
      </c>
      <c r="X65" s="1">
        <v>2017</v>
      </c>
      <c r="Y65" s="1">
        <v>2018</v>
      </c>
      <c r="Z65" s="1">
        <v>2019</v>
      </c>
      <c r="AA65" s="1">
        <v>2020</v>
      </c>
      <c r="AB65" s="1">
        <v>2021</v>
      </c>
      <c r="AC65" s="1">
        <v>2022</v>
      </c>
      <c r="AD65" s="1">
        <v>2023</v>
      </c>
      <c r="AE65" s="1">
        <v>2024</v>
      </c>
      <c r="AF65" s="1">
        <v>2025</v>
      </c>
      <c r="AG65" s="1">
        <v>2026</v>
      </c>
      <c r="AH65" s="1">
        <v>2027</v>
      </c>
      <c r="AI65" s="1">
        <v>2028</v>
      </c>
      <c r="AJ65" s="1">
        <v>2029</v>
      </c>
      <c r="AK65" s="1">
        <v>2030</v>
      </c>
      <c r="AL65" s="1">
        <v>2031</v>
      </c>
      <c r="AM65" s="1">
        <v>2032</v>
      </c>
      <c r="AN65" s="1">
        <v>2033</v>
      </c>
      <c r="AO65" s="1">
        <v>2034</v>
      </c>
      <c r="AP65" s="1">
        <v>2035</v>
      </c>
      <c r="AQ65" s="1">
        <v>2036</v>
      </c>
      <c r="AR65" s="1">
        <v>2037</v>
      </c>
      <c r="AS65" s="1">
        <v>2038</v>
      </c>
      <c r="AT65" s="1">
        <v>2039</v>
      </c>
      <c r="AU65" s="1">
        <v>2040</v>
      </c>
      <c r="AV65" s="1">
        <v>2041</v>
      </c>
      <c r="AW65" s="1">
        <v>2042</v>
      </c>
      <c r="AX65" s="1">
        <v>2043</v>
      </c>
      <c r="AY65" s="1">
        <v>2044</v>
      </c>
      <c r="AZ65" s="1">
        <v>2045</v>
      </c>
      <c r="BA65" s="1">
        <v>2046</v>
      </c>
      <c r="BB65" s="1">
        <v>2047</v>
      </c>
      <c r="BC65" s="1">
        <v>2048</v>
      </c>
      <c r="BD65" s="1">
        <v>2049</v>
      </c>
      <c r="BE65" s="1">
        <v>2050</v>
      </c>
    </row>
    <row r="66" spans="1:57" x14ac:dyDescent="0.25">
      <c r="A66" s="1" t="str">
        <f>'Population Definitions'!$A$2</f>
        <v>PWID_males</v>
      </c>
      <c r="B66" t="s">
        <v>62</v>
      </c>
      <c r="C66" t="s">
        <v>34</v>
      </c>
      <c r="D66" s="3"/>
      <c r="E66" s="3">
        <v>0</v>
      </c>
      <c r="F66" s="4" t="s">
        <v>39</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row>
    <row r="67" spans="1:57" x14ac:dyDescent="0.25">
      <c r="A67" s="1" t="str">
        <f>'Population Definitions'!$A$3</f>
        <v>PWID_females</v>
      </c>
      <c r="B67" t="s">
        <v>62</v>
      </c>
      <c r="C67" t="s">
        <v>34</v>
      </c>
      <c r="D67" s="3"/>
      <c r="E67" s="3">
        <v>0</v>
      </c>
      <c r="F67" s="4" t="s">
        <v>39</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row>
    <row r="68" spans="1:57" x14ac:dyDescent="0.25">
      <c r="A68" s="1" t="str">
        <f>'Population Definitions'!$A$4</f>
        <v>0-9_males</v>
      </c>
      <c r="B68" t="s">
        <v>62</v>
      </c>
      <c r="C68" t="s">
        <v>34</v>
      </c>
      <c r="D68" s="3"/>
      <c r="E68" s="3">
        <v>0</v>
      </c>
      <c r="F68" s="4" t="s">
        <v>39</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row>
    <row r="69" spans="1:57" x14ac:dyDescent="0.25">
      <c r="A69" s="1" t="str">
        <f>'Population Definitions'!$A$5</f>
        <v>0-9_females</v>
      </c>
      <c r="B69" t="s">
        <v>62</v>
      </c>
      <c r="C69" t="s">
        <v>34</v>
      </c>
      <c r="D69" s="3"/>
      <c r="E69" s="3">
        <v>0</v>
      </c>
      <c r="F69" s="4" t="s">
        <v>39</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row>
    <row r="70" spans="1:57" x14ac:dyDescent="0.25">
      <c r="A70" s="1" t="str">
        <f>'Population Definitions'!$A$6</f>
        <v>10-17_males</v>
      </c>
      <c r="B70" t="s">
        <v>62</v>
      </c>
      <c r="C70" t="s">
        <v>34</v>
      </c>
      <c r="D70" s="3"/>
      <c r="E70" s="3">
        <v>0</v>
      </c>
      <c r="F70" s="4" t="s">
        <v>39</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spans="1:57" x14ac:dyDescent="0.25">
      <c r="A71" s="1" t="str">
        <f>'Population Definitions'!$A$7</f>
        <v>10-17_females</v>
      </c>
      <c r="B71" t="s">
        <v>62</v>
      </c>
      <c r="C71" t="s">
        <v>34</v>
      </c>
      <c r="D71" s="3"/>
      <c r="E71" s="3">
        <v>0</v>
      </c>
      <c r="F71" s="4" t="s">
        <v>39</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spans="1:57" x14ac:dyDescent="0.25">
      <c r="A72" s="1" t="str">
        <f>'Population Definitions'!$A$8</f>
        <v>18-64_males</v>
      </c>
      <c r="B72" t="s">
        <v>62</v>
      </c>
      <c r="C72" t="s">
        <v>34</v>
      </c>
      <c r="D72" s="3"/>
      <c r="E72" s="3">
        <v>0</v>
      </c>
      <c r="F72" s="4" t="s">
        <v>39</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spans="1:57" x14ac:dyDescent="0.25">
      <c r="A73" s="1" t="str">
        <f>'Population Definitions'!$A$9</f>
        <v>18-64_females</v>
      </c>
      <c r="B73" t="s">
        <v>62</v>
      </c>
      <c r="C73" t="s">
        <v>34</v>
      </c>
      <c r="D73" s="3"/>
      <c r="E73" s="3">
        <v>0</v>
      </c>
      <c r="F73" s="4" t="s">
        <v>39</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spans="1:57" x14ac:dyDescent="0.25">
      <c r="A74" s="1" t="str">
        <f>'Population Definitions'!$A$10</f>
        <v>65+_males</v>
      </c>
      <c r="B74" t="s">
        <v>62</v>
      </c>
      <c r="C74" t="s">
        <v>34</v>
      </c>
      <c r="D74" s="3"/>
      <c r="E74" s="3">
        <v>0</v>
      </c>
      <c r="F74" s="4" t="s">
        <v>39</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spans="1:57" x14ac:dyDescent="0.25">
      <c r="A75" s="1" t="str">
        <f>'Population Definitions'!$A$11</f>
        <v>65+_females</v>
      </c>
      <c r="B75" t="s">
        <v>62</v>
      </c>
      <c r="C75" t="s">
        <v>34</v>
      </c>
      <c r="D75" s="3"/>
      <c r="E75" s="3">
        <v>0</v>
      </c>
      <c r="F75" s="4" t="s">
        <v>39</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spans="1:57" x14ac:dyDescent="0.25">
      <c r="A76" s="1" t="str">
        <f>'Population Definitions'!$A$12</f>
        <v>Prisoners_males</v>
      </c>
      <c r="B76" t="s">
        <v>62</v>
      </c>
      <c r="C76" t="s">
        <v>34</v>
      </c>
      <c r="D76" s="3"/>
      <c r="E76" s="3">
        <v>0</v>
      </c>
      <c r="F76" s="4" t="s">
        <v>39</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row>
    <row r="77" spans="1:57" x14ac:dyDescent="0.25">
      <c r="A77" s="1" t="str">
        <f>'Population Definitions'!$A$13</f>
        <v>Prisoners_females</v>
      </c>
      <c r="B77" t="s">
        <v>62</v>
      </c>
      <c r="C77" t="s">
        <v>34</v>
      </c>
      <c r="D77" s="3"/>
      <c r="E77" s="3">
        <v>0</v>
      </c>
      <c r="F77" s="4" t="s">
        <v>39</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row>
    <row r="78" spans="1:57" x14ac:dyDescent="0.25">
      <c r="A78" s="1" t="str">
        <f>'Population Definitions'!$A$14</f>
        <v>Prisoners_PWID_males</v>
      </c>
      <c r="B78" t="s">
        <v>62</v>
      </c>
      <c r="C78" t="s">
        <v>34</v>
      </c>
      <c r="D78" s="3"/>
      <c r="E78" s="3">
        <v>0</v>
      </c>
      <c r="F78" s="4" t="s">
        <v>39</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row>
    <row r="79" spans="1:57" x14ac:dyDescent="0.25">
      <c r="A79" s="1" t="str">
        <f>'Population Definitions'!$A$15</f>
        <v>Prisoners_PWID_females</v>
      </c>
      <c r="B79" t="s">
        <v>62</v>
      </c>
      <c r="C79" t="s">
        <v>34</v>
      </c>
      <c r="D79" s="3"/>
      <c r="E79" s="3">
        <v>0</v>
      </c>
      <c r="F79" s="4" t="s">
        <v>39</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row>
    <row r="81" spans="1:57" x14ac:dyDescent="0.25">
      <c r="A81" s="1" t="s">
        <v>132</v>
      </c>
      <c r="B81" s="1" t="s">
        <v>31</v>
      </c>
      <c r="C81" s="1" t="s">
        <v>32</v>
      </c>
      <c r="D81" s="1" t="s">
        <v>33</v>
      </c>
      <c r="E81" s="1" t="s">
        <v>38</v>
      </c>
      <c r="F81" s="1"/>
      <c r="G81" s="1">
        <v>2000</v>
      </c>
      <c r="H81" s="1">
        <v>2001</v>
      </c>
      <c r="I81" s="1">
        <v>2002</v>
      </c>
      <c r="J81" s="1">
        <v>2003</v>
      </c>
      <c r="K81" s="1">
        <v>2004</v>
      </c>
      <c r="L81" s="1">
        <v>2005</v>
      </c>
      <c r="M81" s="1">
        <v>2006</v>
      </c>
      <c r="N81" s="1">
        <v>2007</v>
      </c>
      <c r="O81" s="1">
        <v>2008</v>
      </c>
      <c r="P81" s="1">
        <v>2009</v>
      </c>
      <c r="Q81" s="1">
        <v>2010</v>
      </c>
      <c r="R81" s="1">
        <v>2011</v>
      </c>
      <c r="S81" s="1">
        <v>2012</v>
      </c>
      <c r="T81" s="1">
        <v>2013</v>
      </c>
      <c r="U81" s="1">
        <v>2014</v>
      </c>
      <c r="V81" s="1">
        <v>2015</v>
      </c>
      <c r="W81" s="1">
        <v>2016</v>
      </c>
      <c r="X81" s="1">
        <v>2017</v>
      </c>
      <c r="Y81" s="1">
        <v>2018</v>
      </c>
      <c r="Z81" s="1">
        <v>2019</v>
      </c>
      <c r="AA81" s="1">
        <v>2020</v>
      </c>
      <c r="AB81" s="1">
        <v>2021</v>
      </c>
      <c r="AC81" s="1">
        <v>2022</v>
      </c>
      <c r="AD81" s="1">
        <v>2023</v>
      </c>
      <c r="AE81" s="1">
        <v>2024</v>
      </c>
      <c r="AF81" s="1">
        <v>2025</v>
      </c>
      <c r="AG81" s="1">
        <v>2026</v>
      </c>
      <c r="AH81" s="1">
        <v>2027</v>
      </c>
      <c r="AI81" s="1">
        <v>2028</v>
      </c>
      <c r="AJ81" s="1">
        <v>2029</v>
      </c>
      <c r="AK81" s="1">
        <v>2030</v>
      </c>
      <c r="AL81" s="1">
        <v>2031</v>
      </c>
      <c r="AM81" s="1">
        <v>2032</v>
      </c>
      <c r="AN81" s="1">
        <v>2033</v>
      </c>
      <c r="AO81" s="1">
        <v>2034</v>
      </c>
      <c r="AP81" s="1">
        <v>2035</v>
      </c>
      <c r="AQ81" s="1">
        <v>2036</v>
      </c>
      <c r="AR81" s="1">
        <v>2037</v>
      </c>
      <c r="AS81" s="1">
        <v>2038</v>
      </c>
      <c r="AT81" s="1">
        <v>2039</v>
      </c>
      <c r="AU81" s="1">
        <v>2040</v>
      </c>
      <c r="AV81" s="1">
        <v>2041</v>
      </c>
      <c r="AW81" s="1">
        <v>2042</v>
      </c>
      <c r="AX81" s="1">
        <v>2043</v>
      </c>
      <c r="AY81" s="1">
        <v>2044</v>
      </c>
      <c r="AZ81" s="1">
        <v>2045</v>
      </c>
      <c r="BA81" s="1">
        <v>2046</v>
      </c>
      <c r="BB81" s="1">
        <v>2047</v>
      </c>
      <c r="BC81" s="1">
        <v>2048</v>
      </c>
      <c r="BD81" s="1">
        <v>2049</v>
      </c>
      <c r="BE81" s="1">
        <v>2050</v>
      </c>
    </row>
    <row r="82" spans="1:57" x14ac:dyDescent="0.25">
      <c r="A82" s="1" t="str">
        <f>'Population Definitions'!$A$2</f>
        <v>PWID_males</v>
      </c>
      <c r="B82" t="s">
        <v>62</v>
      </c>
      <c r="C82" t="s">
        <v>34</v>
      </c>
      <c r="D82" s="3"/>
      <c r="E82" s="3">
        <v>0</v>
      </c>
      <c r="F82" s="4" t="s">
        <v>39</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row>
    <row r="83" spans="1:57" x14ac:dyDescent="0.25">
      <c r="A83" s="1" t="str">
        <f>'Population Definitions'!$A$3</f>
        <v>PWID_females</v>
      </c>
      <c r="B83" t="s">
        <v>62</v>
      </c>
      <c r="C83" t="s">
        <v>34</v>
      </c>
      <c r="D83" s="3"/>
      <c r="E83" s="3">
        <v>0</v>
      </c>
      <c r="F83" s="4" t="s">
        <v>39</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spans="1:57" x14ac:dyDescent="0.25">
      <c r="A84" s="1" t="str">
        <f>'Population Definitions'!$A$4</f>
        <v>0-9_males</v>
      </c>
      <c r="B84" t="s">
        <v>62</v>
      </c>
      <c r="C84" t="s">
        <v>34</v>
      </c>
      <c r="D84" s="3"/>
      <c r="E84" s="3">
        <v>0</v>
      </c>
      <c r="F84" s="4" t="s">
        <v>39</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5" spans="1:57" x14ac:dyDescent="0.25">
      <c r="A85" s="1" t="str">
        <f>'Population Definitions'!$A$5</f>
        <v>0-9_females</v>
      </c>
      <c r="B85" t="s">
        <v>62</v>
      </c>
      <c r="C85" t="s">
        <v>34</v>
      </c>
      <c r="D85" s="3"/>
      <c r="E85" s="3">
        <v>0</v>
      </c>
      <c r="F85" s="4" t="s">
        <v>39</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row>
    <row r="86" spans="1:57" x14ac:dyDescent="0.25">
      <c r="A86" s="1" t="str">
        <f>'Population Definitions'!$A$6</f>
        <v>10-17_males</v>
      </c>
      <c r="B86" t="s">
        <v>62</v>
      </c>
      <c r="C86" t="s">
        <v>34</v>
      </c>
      <c r="D86" s="3"/>
      <c r="E86" s="3">
        <v>0</v>
      </c>
      <c r="F86" s="4" t="s">
        <v>39</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row>
    <row r="87" spans="1:57" x14ac:dyDescent="0.25">
      <c r="A87" s="1" t="str">
        <f>'Population Definitions'!$A$7</f>
        <v>10-17_females</v>
      </c>
      <c r="B87" t="s">
        <v>62</v>
      </c>
      <c r="C87" t="s">
        <v>34</v>
      </c>
      <c r="D87" s="3"/>
      <c r="E87" s="3">
        <v>0</v>
      </c>
      <c r="F87" s="4" t="s">
        <v>39</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spans="1:57" x14ac:dyDescent="0.25">
      <c r="A88" s="1" t="str">
        <f>'Population Definitions'!$A$8</f>
        <v>18-64_males</v>
      </c>
      <c r="B88" t="s">
        <v>62</v>
      </c>
      <c r="C88" t="s">
        <v>34</v>
      </c>
      <c r="D88" s="3"/>
      <c r="E88" s="3">
        <v>0</v>
      </c>
      <c r="F88" s="4" t="s">
        <v>39</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spans="1:57" x14ac:dyDescent="0.25">
      <c r="A89" s="1" t="str">
        <f>'Population Definitions'!$A$9</f>
        <v>18-64_females</v>
      </c>
      <c r="B89" t="s">
        <v>62</v>
      </c>
      <c r="C89" t="s">
        <v>34</v>
      </c>
      <c r="D89" s="3"/>
      <c r="E89" s="3">
        <v>0</v>
      </c>
      <c r="F89" s="4" t="s">
        <v>39</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spans="1:57" x14ac:dyDescent="0.25">
      <c r="A90" s="1" t="str">
        <f>'Population Definitions'!$A$10</f>
        <v>65+_males</v>
      </c>
      <c r="B90" t="s">
        <v>62</v>
      </c>
      <c r="C90" t="s">
        <v>34</v>
      </c>
      <c r="D90" s="3"/>
      <c r="E90" s="3">
        <v>0</v>
      </c>
      <c r="F90" s="4" t="s">
        <v>39</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spans="1:57" x14ac:dyDescent="0.25">
      <c r="A91" s="1" t="str">
        <f>'Population Definitions'!$A$11</f>
        <v>65+_females</v>
      </c>
      <c r="B91" t="s">
        <v>62</v>
      </c>
      <c r="C91" t="s">
        <v>34</v>
      </c>
      <c r="D91" s="3"/>
      <c r="E91" s="3">
        <v>0</v>
      </c>
      <c r="F91" s="4" t="s">
        <v>39</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spans="1:57" x14ac:dyDescent="0.25">
      <c r="A92" s="1" t="str">
        <f>'Population Definitions'!$A$12</f>
        <v>Prisoners_males</v>
      </c>
      <c r="B92" t="s">
        <v>62</v>
      </c>
      <c r="C92" t="s">
        <v>34</v>
      </c>
      <c r="D92" s="3"/>
      <c r="E92" s="3">
        <v>0</v>
      </c>
      <c r="F92" s="4" t="s">
        <v>39</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spans="1:57" x14ac:dyDescent="0.25">
      <c r="A93" s="1" t="str">
        <f>'Population Definitions'!$A$13</f>
        <v>Prisoners_females</v>
      </c>
      <c r="B93" t="s">
        <v>62</v>
      </c>
      <c r="C93" t="s">
        <v>34</v>
      </c>
      <c r="D93" s="3"/>
      <c r="E93" s="3">
        <v>0</v>
      </c>
      <c r="F93" s="4" t="s">
        <v>39</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spans="1:57" x14ac:dyDescent="0.25">
      <c r="A94" s="1" t="str">
        <f>'Population Definitions'!$A$14</f>
        <v>Prisoners_PWID_males</v>
      </c>
      <c r="B94" t="s">
        <v>62</v>
      </c>
      <c r="C94" t="s">
        <v>34</v>
      </c>
      <c r="D94" s="3"/>
      <c r="E94" s="3">
        <v>0</v>
      </c>
      <c r="F94" s="4" t="s">
        <v>39</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spans="1:57" x14ac:dyDescent="0.25">
      <c r="A95" s="1" t="str">
        <f>'Population Definitions'!$A$15</f>
        <v>Prisoners_PWID_females</v>
      </c>
      <c r="B95" t="s">
        <v>62</v>
      </c>
      <c r="C95" t="s">
        <v>34</v>
      </c>
      <c r="D95" s="3"/>
      <c r="E95" s="3">
        <v>0</v>
      </c>
      <c r="F95" s="4" t="s">
        <v>39</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row r="97" spans="1:57" x14ac:dyDescent="0.25">
      <c r="A97" s="1" t="s">
        <v>133</v>
      </c>
      <c r="B97" s="1" t="s">
        <v>31</v>
      </c>
      <c r="C97" s="1" t="s">
        <v>32</v>
      </c>
      <c r="D97" s="1" t="s">
        <v>33</v>
      </c>
      <c r="E97" s="1" t="s">
        <v>38</v>
      </c>
      <c r="F97" s="1"/>
      <c r="G97" s="1">
        <v>2000</v>
      </c>
      <c r="H97" s="1">
        <v>2001</v>
      </c>
      <c r="I97" s="1">
        <v>2002</v>
      </c>
      <c r="J97" s="1">
        <v>2003</v>
      </c>
      <c r="K97" s="1">
        <v>2004</v>
      </c>
      <c r="L97" s="1">
        <v>2005</v>
      </c>
      <c r="M97" s="1">
        <v>2006</v>
      </c>
      <c r="N97" s="1">
        <v>2007</v>
      </c>
      <c r="O97" s="1">
        <v>2008</v>
      </c>
      <c r="P97" s="1">
        <v>2009</v>
      </c>
      <c r="Q97" s="1">
        <v>2010</v>
      </c>
      <c r="R97" s="1">
        <v>2011</v>
      </c>
      <c r="S97" s="1">
        <v>2012</v>
      </c>
      <c r="T97" s="1">
        <v>2013</v>
      </c>
      <c r="U97" s="1">
        <v>2014</v>
      </c>
      <c r="V97" s="1">
        <v>2015</v>
      </c>
      <c r="W97" s="1">
        <v>2016</v>
      </c>
      <c r="X97" s="1">
        <v>2017</v>
      </c>
      <c r="Y97" s="1">
        <v>2018</v>
      </c>
      <c r="Z97" s="1">
        <v>2019</v>
      </c>
      <c r="AA97" s="1">
        <v>2020</v>
      </c>
      <c r="AB97" s="1">
        <v>2021</v>
      </c>
      <c r="AC97" s="1">
        <v>2022</v>
      </c>
      <c r="AD97" s="1">
        <v>2023</v>
      </c>
      <c r="AE97" s="1">
        <v>2024</v>
      </c>
      <c r="AF97" s="1">
        <v>2025</v>
      </c>
      <c r="AG97" s="1">
        <v>2026</v>
      </c>
      <c r="AH97" s="1">
        <v>2027</v>
      </c>
      <c r="AI97" s="1">
        <v>2028</v>
      </c>
      <c r="AJ97" s="1">
        <v>2029</v>
      </c>
      <c r="AK97" s="1">
        <v>2030</v>
      </c>
      <c r="AL97" s="1">
        <v>2031</v>
      </c>
      <c r="AM97" s="1">
        <v>2032</v>
      </c>
      <c r="AN97" s="1">
        <v>2033</v>
      </c>
      <c r="AO97" s="1">
        <v>2034</v>
      </c>
      <c r="AP97" s="1">
        <v>2035</v>
      </c>
      <c r="AQ97" s="1">
        <v>2036</v>
      </c>
      <c r="AR97" s="1">
        <v>2037</v>
      </c>
      <c r="AS97" s="1">
        <v>2038</v>
      </c>
      <c r="AT97" s="1">
        <v>2039</v>
      </c>
      <c r="AU97" s="1">
        <v>2040</v>
      </c>
      <c r="AV97" s="1">
        <v>2041</v>
      </c>
      <c r="AW97" s="1">
        <v>2042</v>
      </c>
      <c r="AX97" s="1">
        <v>2043</v>
      </c>
      <c r="AY97" s="1">
        <v>2044</v>
      </c>
      <c r="AZ97" s="1">
        <v>2045</v>
      </c>
      <c r="BA97" s="1">
        <v>2046</v>
      </c>
      <c r="BB97" s="1">
        <v>2047</v>
      </c>
      <c r="BC97" s="1">
        <v>2048</v>
      </c>
      <c r="BD97" s="1">
        <v>2049</v>
      </c>
      <c r="BE97" s="1">
        <v>2050</v>
      </c>
    </row>
    <row r="98" spans="1:57" x14ac:dyDescent="0.25">
      <c r="A98" s="1" t="str">
        <f>'Population Definitions'!$A$2</f>
        <v>PWID_males</v>
      </c>
      <c r="B98" t="s">
        <v>62</v>
      </c>
      <c r="C98" t="s">
        <v>34</v>
      </c>
      <c r="D98" s="3"/>
      <c r="E98" s="3">
        <v>0</v>
      </c>
      <c r="F98" s="4" t="s">
        <v>39</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row>
    <row r="99" spans="1:57" x14ac:dyDescent="0.25">
      <c r="A99" s="1" t="str">
        <f>'Population Definitions'!$A$3</f>
        <v>PWID_females</v>
      </c>
      <c r="B99" t="s">
        <v>62</v>
      </c>
      <c r="C99" t="s">
        <v>34</v>
      </c>
      <c r="D99" s="3"/>
      <c r="E99" s="3">
        <v>0</v>
      </c>
      <c r="F99" s="4" t="s">
        <v>39</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row>
    <row r="100" spans="1:57" x14ac:dyDescent="0.25">
      <c r="A100" s="1" t="str">
        <f>'Population Definitions'!$A$4</f>
        <v>0-9_males</v>
      </c>
      <c r="B100" t="s">
        <v>62</v>
      </c>
      <c r="C100" t="s">
        <v>34</v>
      </c>
      <c r="D100" s="3"/>
      <c r="E100" s="3">
        <v>0</v>
      </c>
      <c r="F100" s="4" t="s">
        <v>39</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row>
    <row r="101" spans="1:57" x14ac:dyDescent="0.25">
      <c r="A101" s="1" t="str">
        <f>'Population Definitions'!$A$5</f>
        <v>0-9_females</v>
      </c>
      <c r="B101" t="s">
        <v>62</v>
      </c>
      <c r="C101" t="s">
        <v>34</v>
      </c>
      <c r="D101" s="3"/>
      <c r="E101" s="3">
        <v>0</v>
      </c>
      <c r="F101" s="4" t="s">
        <v>39</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row>
    <row r="102" spans="1:57" x14ac:dyDescent="0.25">
      <c r="A102" s="1" t="str">
        <f>'Population Definitions'!$A$6</f>
        <v>10-17_males</v>
      </c>
      <c r="B102" t="s">
        <v>62</v>
      </c>
      <c r="C102" t="s">
        <v>34</v>
      </c>
      <c r="D102" s="3"/>
      <c r="E102" s="3">
        <v>0</v>
      </c>
      <c r="F102" s="4" t="s">
        <v>39</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row>
    <row r="103" spans="1:57" x14ac:dyDescent="0.25">
      <c r="A103" s="1" t="str">
        <f>'Population Definitions'!$A$7</f>
        <v>10-17_females</v>
      </c>
      <c r="B103" t="s">
        <v>62</v>
      </c>
      <c r="C103" t="s">
        <v>34</v>
      </c>
      <c r="D103" s="3"/>
      <c r="E103" s="3">
        <v>0</v>
      </c>
      <c r="F103" s="4" t="s">
        <v>39</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row>
    <row r="104" spans="1:57" x14ac:dyDescent="0.25">
      <c r="A104" s="1" t="str">
        <f>'Population Definitions'!$A$8</f>
        <v>18-64_males</v>
      </c>
      <c r="B104" t="s">
        <v>62</v>
      </c>
      <c r="C104" t="s">
        <v>34</v>
      </c>
      <c r="D104" s="3"/>
      <c r="E104" s="3">
        <v>0</v>
      </c>
      <c r="F104" s="4" t="s">
        <v>39</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row>
    <row r="105" spans="1:57" x14ac:dyDescent="0.25">
      <c r="A105" s="1" t="str">
        <f>'Population Definitions'!$A$9</f>
        <v>18-64_females</v>
      </c>
      <c r="B105" t="s">
        <v>62</v>
      </c>
      <c r="C105" t="s">
        <v>34</v>
      </c>
      <c r="D105" s="3"/>
      <c r="E105" s="3">
        <v>0</v>
      </c>
      <c r="F105" s="4" t="s">
        <v>39</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row>
    <row r="106" spans="1:57" x14ac:dyDescent="0.25">
      <c r="A106" s="1" t="str">
        <f>'Population Definitions'!$A$10</f>
        <v>65+_males</v>
      </c>
      <c r="B106" t="s">
        <v>62</v>
      </c>
      <c r="C106" t="s">
        <v>34</v>
      </c>
      <c r="D106" s="3"/>
      <c r="E106" s="3">
        <v>0</v>
      </c>
      <c r="F106" s="4" t="s">
        <v>39</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row>
    <row r="107" spans="1:57" x14ac:dyDescent="0.25">
      <c r="A107" s="1" t="str">
        <f>'Population Definitions'!$A$11</f>
        <v>65+_females</v>
      </c>
      <c r="B107" t="s">
        <v>62</v>
      </c>
      <c r="C107" t="s">
        <v>34</v>
      </c>
      <c r="D107" s="3"/>
      <c r="E107" s="3">
        <v>0</v>
      </c>
      <c r="F107" s="4" t="s">
        <v>39</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row>
    <row r="108" spans="1:57" x14ac:dyDescent="0.25">
      <c r="A108" s="1" t="str">
        <f>'Population Definitions'!$A$12</f>
        <v>Prisoners_males</v>
      </c>
      <c r="B108" t="s">
        <v>62</v>
      </c>
      <c r="C108" t="s">
        <v>34</v>
      </c>
      <c r="D108" s="3"/>
      <c r="E108" s="3">
        <v>0</v>
      </c>
      <c r="F108" s="4" t="s">
        <v>39</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row>
    <row r="109" spans="1:57" x14ac:dyDescent="0.25">
      <c r="A109" s="1" t="str">
        <f>'Population Definitions'!$A$13</f>
        <v>Prisoners_females</v>
      </c>
      <c r="B109" t="s">
        <v>62</v>
      </c>
      <c r="C109" t="s">
        <v>34</v>
      </c>
      <c r="D109" s="3"/>
      <c r="E109" s="3">
        <v>0</v>
      </c>
      <c r="F109" s="4" t="s">
        <v>39</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row>
    <row r="110" spans="1:57" x14ac:dyDescent="0.25">
      <c r="A110" s="1" t="str">
        <f>'Population Definitions'!$A$14</f>
        <v>Prisoners_PWID_males</v>
      </c>
      <c r="B110" t="s">
        <v>62</v>
      </c>
      <c r="C110" t="s">
        <v>34</v>
      </c>
      <c r="D110" s="3"/>
      <c r="E110" s="3">
        <v>0</v>
      </c>
      <c r="F110" s="4" t="s">
        <v>39</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row>
    <row r="111" spans="1:57" x14ac:dyDescent="0.25">
      <c r="A111" s="1" t="str">
        <f>'Population Definitions'!$A$15</f>
        <v>Prisoners_PWID_females</v>
      </c>
      <c r="B111" t="s">
        <v>62</v>
      </c>
      <c r="C111" t="s">
        <v>34</v>
      </c>
      <c r="D111" s="3"/>
      <c r="E111" s="3">
        <v>0</v>
      </c>
      <c r="F111" s="4" t="s">
        <v>39</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row>
    <row r="113" spans="1:57" x14ac:dyDescent="0.25">
      <c r="A113" s="1" t="s">
        <v>134</v>
      </c>
      <c r="B113" s="1" t="s">
        <v>31</v>
      </c>
      <c r="C113" s="1" t="s">
        <v>32</v>
      </c>
      <c r="D113" s="1" t="s">
        <v>33</v>
      </c>
      <c r="E113" s="1" t="s">
        <v>38</v>
      </c>
      <c r="F113" s="1"/>
      <c r="G113" s="1">
        <v>2000</v>
      </c>
      <c r="H113" s="1">
        <v>2001</v>
      </c>
      <c r="I113" s="1">
        <v>2002</v>
      </c>
      <c r="J113" s="1">
        <v>2003</v>
      </c>
      <c r="K113" s="1">
        <v>2004</v>
      </c>
      <c r="L113" s="1">
        <v>2005</v>
      </c>
      <c r="M113" s="1">
        <v>2006</v>
      </c>
      <c r="N113" s="1">
        <v>2007</v>
      </c>
      <c r="O113" s="1">
        <v>2008</v>
      </c>
      <c r="P113" s="1">
        <v>2009</v>
      </c>
      <c r="Q113" s="1">
        <v>2010</v>
      </c>
      <c r="R113" s="1">
        <v>2011</v>
      </c>
      <c r="S113" s="1">
        <v>2012</v>
      </c>
      <c r="T113" s="1">
        <v>2013</v>
      </c>
      <c r="U113" s="1">
        <v>2014</v>
      </c>
      <c r="V113" s="1">
        <v>2015</v>
      </c>
      <c r="W113" s="1">
        <v>2016</v>
      </c>
      <c r="X113" s="1">
        <v>2017</v>
      </c>
      <c r="Y113" s="1">
        <v>2018</v>
      </c>
      <c r="Z113" s="1">
        <v>2019</v>
      </c>
      <c r="AA113" s="1">
        <v>2020</v>
      </c>
      <c r="AB113" s="1">
        <v>2021</v>
      </c>
      <c r="AC113" s="1">
        <v>2022</v>
      </c>
      <c r="AD113" s="1">
        <v>2023</v>
      </c>
      <c r="AE113" s="1">
        <v>2024</v>
      </c>
      <c r="AF113" s="1">
        <v>2025</v>
      </c>
      <c r="AG113" s="1">
        <v>2026</v>
      </c>
      <c r="AH113" s="1">
        <v>2027</v>
      </c>
      <c r="AI113" s="1">
        <v>2028</v>
      </c>
      <c r="AJ113" s="1">
        <v>2029</v>
      </c>
      <c r="AK113" s="1">
        <v>2030</v>
      </c>
      <c r="AL113" s="1">
        <v>2031</v>
      </c>
      <c r="AM113" s="1">
        <v>2032</v>
      </c>
      <c r="AN113" s="1">
        <v>2033</v>
      </c>
      <c r="AO113" s="1">
        <v>2034</v>
      </c>
      <c r="AP113" s="1">
        <v>2035</v>
      </c>
      <c r="AQ113" s="1">
        <v>2036</v>
      </c>
      <c r="AR113" s="1">
        <v>2037</v>
      </c>
      <c r="AS113" s="1">
        <v>2038</v>
      </c>
      <c r="AT113" s="1">
        <v>2039</v>
      </c>
      <c r="AU113" s="1">
        <v>2040</v>
      </c>
      <c r="AV113" s="1">
        <v>2041</v>
      </c>
      <c r="AW113" s="1">
        <v>2042</v>
      </c>
      <c r="AX113" s="1">
        <v>2043</v>
      </c>
      <c r="AY113" s="1">
        <v>2044</v>
      </c>
      <c r="AZ113" s="1">
        <v>2045</v>
      </c>
      <c r="BA113" s="1">
        <v>2046</v>
      </c>
      <c r="BB113" s="1">
        <v>2047</v>
      </c>
      <c r="BC113" s="1">
        <v>2048</v>
      </c>
      <c r="BD113" s="1">
        <v>2049</v>
      </c>
      <c r="BE113" s="1">
        <v>2050</v>
      </c>
    </row>
    <row r="114" spans="1:57" x14ac:dyDescent="0.25">
      <c r="A114" s="1" t="str">
        <f>'Population Definitions'!$A$2</f>
        <v>PWID_males</v>
      </c>
      <c r="B114" t="s">
        <v>62</v>
      </c>
      <c r="C114" t="s">
        <v>34</v>
      </c>
      <c r="D114" s="3"/>
      <c r="E114" s="3">
        <v>0</v>
      </c>
      <c r="F114" s="4" t="s">
        <v>39</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row>
    <row r="115" spans="1:57" x14ac:dyDescent="0.25">
      <c r="A115" s="1" t="str">
        <f>'Population Definitions'!$A$3</f>
        <v>PWID_females</v>
      </c>
      <c r="B115" t="s">
        <v>62</v>
      </c>
      <c r="C115" t="s">
        <v>34</v>
      </c>
      <c r="D115" s="3"/>
      <c r="E115" s="3">
        <v>0</v>
      </c>
      <c r="F115" s="4" t="s">
        <v>39</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row>
    <row r="116" spans="1:57" x14ac:dyDescent="0.25">
      <c r="A116" s="1" t="str">
        <f>'Population Definitions'!$A$4</f>
        <v>0-9_males</v>
      </c>
      <c r="B116" t="s">
        <v>62</v>
      </c>
      <c r="C116" t="s">
        <v>34</v>
      </c>
      <c r="D116" s="3"/>
      <c r="E116" s="3">
        <v>0</v>
      </c>
      <c r="F116" s="4" t="s">
        <v>39</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row>
    <row r="117" spans="1:57" x14ac:dyDescent="0.25">
      <c r="A117" s="1" t="str">
        <f>'Population Definitions'!$A$5</f>
        <v>0-9_females</v>
      </c>
      <c r="B117" t="s">
        <v>62</v>
      </c>
      <c r="C117" t="s">
        <v>34</v>
      </c>
      <c r="D117" s="3"/>
      <c r="E117" s="3">
        <v>0</v>
      </c>
      <c r="F117" s="4" t="s">
        <v>39</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row>
    <row r="118" spans="1:57" x14ac:dyDescent="0.25">
      <c r="A118" s="1" t="str">
        <f>'Population Definitions'!$A$6</f>
        <v>10-17_males</v>
      </c>
      <c r="B118" t="s">
        <v>62</v>
      </c>
      <c r="C118" t="s">
        <v>34</v>
      </c>
      <c r="D118" s="3"/>
      <c r="E118" s="3">
        <v>0</v>
      </c>
      <c r="F118" s="4" t="s">
        <v>39</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row>
    <row r="119" spans="1:57" x14ac:dyDescent="0.25">
      <c r="A119" s="1" t="str">
        <f>'Population Definitions'!$A$7</f>
        <v>10-17_females</v>
      </c>
      <c r="B119" t="s">
        <v>62</v>
      </c>
      <c r="C119" t="s">
        <v>34</v>
      </c>
      <c r="D119" s="3"/>
      <c r="E119" s="3">
        <v>0</v>
      </c>
      <c r="F119" s="4" t="s">
        <v>39</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row>
    <row r="120" spans="1:57" x14ac:dyDescent="0.25">
      <c r="A120" s="1" t="str">
        <f>'Population Definitions'!$A$8</f>
        <v>18-64_males</v>
      </c>
      <c r="B120" t="s">
        <v>62</v>
      </c>
      <c r="C120" t="s">
        <v>34</v>
      </c>
      <c r="D120" s="3"/>
      <c r="E120" s="3">
        <v>0</v>
      </c>
      <c r="F120" s="4" t="s">
        <v>39</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row>
    <row r="121" spans="1:57" x14ac:dyDescent="0.25">
      <c r="A121" s="1" t="str">
        <f>'Population Definitions'!$A$9</f>
        <v>18-64_females</v>
      </c>
      <c r="B121" t="s">
        <v>62</v>
      </c>
      <c r="C121" t="s">
        <v>34</v>
      </c>
      <c r="D121" s="3"/>
      <c r="E121" s="3">
        <v>0</v>
      </c>
      <c r="F121" s="4" t="s">
        <v>39</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row>
    <row r="122" spans="1:57" x14ac:dyDescent="0.25">
      <c r="A122" s="1" t="str">
        <f>'Population Definitions'!$A$10</f>
        <v>65+_males</v>
      </c>
      <c r="B122" t="s">
        <v>62</v>
      </c>
      <c r="C122" t="s">
        <v>34</v>
      </c>
      <c r="D122" s="3"/>
      <c r="E122" s="3">
        <v>0</v>
      </c>
      <c r="F122" s="4" t="s">
        <v>39</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row>
    <row r="123" spans="1:57" x14ac:dyDescent="0.25">
      <c r="A123" s="1" t="str">
        <f>'Population Definitions'!$A$11</f>
        <v>65+_females</v>
      </c>
      <c r="B123" t="s">
        <v>62</v>
      </c>
      <c r="C123" t="s">
        <v>34</v>
      </c>
      <c r="D123" s="3"/>
      <c r="E123" s="3">
        <v>0</v>
      </c>
      <c r="F123" s="4" t="s">
        <v>39</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row>
    <row r="124" spans="1:57" x14ac:dyDescent="0.25">
      <c r="A124" s="1" t="str">
        <f>'Population Definitions'!$A$12</f>
        <v>Prisoners_males</v>
      </c>
      <c r="B124" t="s">
        <v>62</v>
      </c>
      <c r="C124" t="s">
        <v>34</v>
      </c>
      <c r="D124" s="3"/>
      <c r="E124" s="3">
        <v>0</v>
      </c>
      <c r="F124" s="4" t="s">
        <v>39</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row>
    <row r="125" spans="1:57" x14ac:dyDescent="0.25">
      <c r="A125" s="1" t="str">
        <f>'Population Definitions'!$A$13</f>
        <v>Prisoners_females</v>
      </c>
      <c r="B125" t="s">
        <v>62</v>
      </c>
      <c r="C125" t="s">
        <v>34</v>
      </c>
      <c r="D125" s="3"/>
      <c r="E125" s="3">
        <v>0</v>
      </c>
      <c r="F125" s="4" t="s">
        <v>39</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row>
    <row r="126" spans="1:57" x14ac:dyDescent="0.25">
      <c r="A126" s="1" t="str">
        <f>'Population Definitions'!$A$14</f>
        <v>Prisoners_PWID_males</v>
      </c>
      <c r="B126" t="s">
        <v>62</v>
      </c>
      <c r="C126" t="s">
        <v>34</v>
      </c>
      <c r="D126" s="3"/>
      <c r="E126" s="3">
        <v>0</v>
      </c>
      <c r="F126" s="4" t="s">
        <v>39</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row>
    <row r="127" spans="1:57" x14ac:dyDescent="0.25">
      <c r="A127" s="1" t="str">
        <f>'Population Definitions'!$A$15</f>
        <v>Prisoners_PWID_females</v>
      </c>
      <c r="B127" t="s">
        <v>62</v>
      </c>
      <c r="C127" t="s">
        <v>34</v>
      </c>
      <c r="D127" s="3"/>
      <c r="E127" s="3">
        <v>0</v>
      </c>
      <c r="F127" s="4" t="s">
        <v>39</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row>
    <row r="129" spans="1:57" x14ac:dyDescent="0.25">
      <c r="A129" s="1" t="s">
        <v>135</v>
      </c>
      <c r="B129" s="1" t="s">
        <v>31</v>
      </c>
      <c r="C129" s="1" t="s">
        <v>32</v>
      </c>
      <c r="D129" s="1" t="s">
        <v>33</v>
      </c>
      <c r="E129" s="1" t="s">
        <v>38</v>
      </c>
      <c r="F129" s="1"/>
      <c r="G129" s="1">
        <v>2000</v>
      </c>
      <c r="H129" s="1">
        <v>2001</v>
      </c>
      <c r="I129" s="1">
        <v>2002</v>
      </c>
      <c r="J129" s="1">
        <v>2003</v>
      </c>
      <c r="K129" s="1">
        <v>2004</v>
      </c>
      <c r="L129" s="1">
        <v>2005</v>
      </c>
      <c r="M129" s="1">
        <v>2006</v>
      </c>
      <c r="N129" s="1">
        <v>2007</v>
      </c>
      <c r="O129" s="1">
        <v>2008</v>
      </c>
      <c r="P129" s="1">
        <v>2009</v>
      </c>
      <c r="Q129" s="1">
        <v>2010</v>
      </c>
      <c r="R129" s="1">
        <v>2011</v>
      </c>
      <c r="S129" s="1">
        <v>2012</v>
      </c>
      <c r="T129" s="1">
        <v>2013</v>
      </c>
      <c r="U129" s="1">
        <v>2014</v>
      </c>
      <c r="V129" s="1">
        <v>2015</v>
      </c>
      <c r="W129" s="1">
        <v>2016</v>
      </c>
      <c r="X129" s="1">
        <v>2017</v>
      </c>
      <c r="Y129" s="1">
        <v>2018</v>
      </c>
      <c r="Z129" s="1">
        <v>2019</v>
      </c>
      <c r="AA129" s="1">
        <v>2020</v>
      </c>
      <c r="AB129" s="1">
        <v>2021</v>
      </c>
      <c r="AC129" s="1">
        <v>2022</v>
      </c>
      <c r="AD129" s="1">
        <v>2023</v>
      </c>
      <c r="AE129" s="1">
        <v>2024</v>
      </c>
      <c r="AF129" s="1">
        <v>2025</v>
      </c>
      <c r="AG129" s="1">
        <v>2026</v>
      </c>
      <c r="AH129" s="1">
        <v>2027</v>
      </c>
      <c r="AI129" s="1">
        <v>2028</v>
      </c>
      <c r="AJ129" s="1">
        <v>2029</v>
      </c>
      <c r="AK129" s="1">
        <v>2030</v>
      </c>
      <c r="AL129" s="1">
        <v>2031</v>
      </c>
      <c r="AM129" s="1">
        <v>2032</v>
      </c>
      <c r="AN129" s="1">
        <v>2033</v>
      </c>
      <c r="AO129" s="1">
        <v>2034</v>
      </c>
      <c r="AP129" s="1">
        <v>2035</v>
      </c>
      <c r="AQ129" s="1">
        <v>2036</v>
      </c>
      <c r="AR129" s="1">
        <v>2037</v>
      </c>
      <c r="AS129" s="1">
        <v>2038</v>
      </c>
      <c r="AT129" s="1">
        <v>2039</v>
      </c>
      <c r="AU129" s="1">
        <v>2040</v>
      </c>
      <c r="AV129" s="1">
        <v>2041</v>
      </c>
      <c r="AW129" s="1">
        <v>2042</v>
      </c>
      <c r="AX129" s="1">
        <v>2043</v>
      </c>
      <c r="AY129" s="1">
        <v>2044</v>
      </c>
      <c r="AZ129" s="1">
        <v>2045</v>
      </c>
      <c r="BA129" s="1">
        <v>2046</v>
      </c>
      <c r="BB129" s="1">
        <v>2047</v>
      </c>
      <c r="BC129" s="1">
        <v>2048</v>
      </c>
      <c r="BD129" s="1">
        <v>2049</v>
      </c>
      <c r="BE129" s="1">
        <v>2050</v>
      </c>
    </row>
    <row r="130" spans="1:57" x14ac:dyDescent="0.25">
      <c r="A130" s="1" t="str">
        <f>'Population Definitions'!$A$2</f>
        <v>PWID_males</v>
      </c>
      <c r="B130" t="s">
        <v>62</v>
      </c>
      <c r="C130" t="s">
        <v>34</v>
      </c>
      <c r="D130" s="3"/>
      <c r="E130" s="3">
        <v>0</v>
      </c>
      <c r="F130" s="4" t="s">
        <v>39</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row>
    <row r="131" spans="1:57" x14ac:dyDescent="0.25">
      <c r="A131" s="1" t="str">
        <f>'Population Definitions'!$A$3</f>
        <v>PWID_females</v>
      </c>
      <c r="B131" t="s">
        <v>62</v>
      </c>
      <c r="C131" t="s">
        <v>34</v>
      </c>
      <c r="D131" s="3"/>
      <c r="E131" s="3">
        <v>0</v>
      </c>
      <c r="F131" s="4" t="s">
        <v>39</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row>
    <row r="132" spans="1:57" x14ac:dyDescent="0.25">
      <c r="A132" s="1" t="str">
        <f>'Population Definitions'!$A$4</f>
        <v>0-9_males</v>
      </c>
      <c r="B132" t="s">
        <v>62</v>
      </c>
      <c r="C132" t="s">
        <v>34</v>
      </c>
      <c r="D132" s="3"/>
      <c r="E132" s="3">
        <v>0</v>
      </c>
      <c r="F132" s="4" t="s">
        <v>39</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row>
    <row r="133" spans="1:57" x14ac:dyDescent="0.25">
      <c r="A133" s="1" t="str">
        <f>'Population Definitions'!$A$5</f>
        <v>0-9_females</v>
      </c>
      <c r="B133" t="s">
        <v>62</v>
      </c>
      <c r="C133" t="s">
        <v>34</v>
      </c>
      <c r="D133" s="3"/>
      <c r="E133" s="3">
        <v>0</v>
      </c>
      <c r="F133" s="4" t="s">
        <v>39</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row>
    <row r="134" spans="1:57" x14ac:dyDescent="0.25">
      <c r="A134" s="1" t="str">
        <f>'Population Definitions'!$A$6</f>
        <v>10-17_males</v>
      </c>
      <c r="B134" t="s">
        <v>62</v>
      </c>
      <c r="C134" t="s">
        <v>34</v>
      </c>
      <c r="D134" s="3"/>
      <c r="E134" s="3">
        <v>0</v>
      </c>
      <c r="F134" s="4" t="s">
        <v>39</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row>
    <row r="135" spans="1:57" x14ac:dyDescent="0.25">
      <c r="A135" s="1" t="str">
        <f>'Population Definitions'!$A$7</f>
        <v>10-17_females</v>
      </c>
      <c r="B135" t="s">
        <v>62</v>
      </c>
      <c r="C135" t="s">
        <v>34</v>
      </c>
      <c r="D135" s="3"/>
      <c r="E135" s="3">
        <v>0</v>
      </c>
      <c r="F135" s="4" t="s">
        <v>39</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row>
    <row r="136" spans="1:57" x14ac:dyDescent="0.25">
      <c r="A136" s="1" t="str">
        <f>'Population Definitions'!$A$8</f>
        <v>18-64_males</v>
      </c>
      <c r="B136" t="s">
        <v>62</v>
      </c>
      <c r="C136" t="s">
        <v>34</v>
      </c>
      <c r="D136" s="3"/>
      <c r="E136" s="3">
        <v>0</v>
      </c>
      <c r="F136" s="4" t="s">
        <v>39</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row>
    <row r="137" spans="1:57" x14ac:dyDescent="0.25">
      <c r="A137" s="1" t="str">
        <f>'Population Definitions'!$A$9</f>
        <v>18-64_females</v>
      </c>
      <c r="B137" t="s">
        <v>62</v>
      </c>
      <c r="C137" t="s">
        <v>34</v>
      </c>
      <c r="D137" s="3"/>
      <c r="E137" s="3">
        <v>0</v>
      </c>
      <c r="F137" s="4" t="s">
        <v>39</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row>
    <row r="138" spans="1:57" x14ac:dyDescent="0.25">
      <c r="A138" s="1" t="str">
        <f>'Population Definitions'!$A$10</f>
        <v>65+_males</v>
      </c>
      <c r="B138" t="s">
        <v>62</v>
      </c>
      <c r="C138" t="s">
        <v>34</v>
      </c>
      <c r="D138" s="3"/>
      <c r="E138" s="3">
        <v>0</v>
      </c>
      <c r="F138" s="4" t="s">
        <v>39</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row>
    <row r="139" spans="1:57" x14ac:dyDescent="0.25">
      <c r="A139" s="1" t="str">
        <f>'Population Definitions'!$A$11</f>
        <v>65+_females</v>
      </c>
      <c r="B139" t="s">
        <v>62</v>
      </c>
      <c r="C139" t="s">
        <v>34</v>
      </c>
      <c r="D139" s="3"/>
      <c r="E139" s="3">
        <v>0</v>
      </c>
      <c r="F139" s="4" t="s">
        <v>39</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row>
    <row r="140" spans="1:57" x14ac:dyDescent="0.25">
      <c r="A140" s="1" t="str">
        <f>'Population Definitions'!$A$12</f>
        <v>Prisoners_males</v>
      </c>
      <c r="B140" t="s">
        <v>62</v>
      </c>
      <c r="C140" t="s">
        <v>34</v>
      </c>
      <c r="D140" s="3"/>
      <c r="E140" s="3">
        <v>0</v>
      </c>
      <c r="F140" s="4" t="s">
        <v>39</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row>
    <row r="141" spans="1:57" x14ac:dyDescent="0.25">
      <c r="A141" s="1" t="str">
        <f>'Population Definitions'!$A$13</f>
        <v>Prisoners_females</v>
      </c>
      <c r="B141" t="s">
        <v>62</v>
      </c>
      <c r="C141" t="s">
        <v>34</v>
      </c>
      <c r="D141" s="3"/>
      <c r="E141" s="3">
        <v>0</v>
      </c>
      <c r="F141" s="4" t="s">
        <v>39</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row>
    <row r="142" spans="1:57" x14ac:dyDescent="0.25">
      <c r="A142" s="1" t="str">
        <f>'Population Definitions'!$A$14</f>
        <v>Prisoners_PWID_males</v>
      </c>
      <c r="B142" t="s">
        <v>62</v>
      </c>
      <c r="C142" t="s">
        <v>34</v>
      </c>
      <c r="D142" s="3"/>
      <c r="E142" s="3">
        <v>0</v>
      </c>
      <c r="F142" s="4" t="s">
        <v>39</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row>
    <row r="143" spans="1:57" x14ac:dyDescent="0.25">
      <c r="A143" s="1" t="str">
        <f>'Population Definitions'!$A$15</f>
        <v>Prisoners_PWID_females</v>
      </c>
      <c r="B143" t="s">
        <v>62</v>
      </c>
      <c r="C143" t="s">
        <v>34</v>
      </c>
      <c r="D143" s="3"/>
      <c r="E143" s="3">
        <v>0</v>
      </c>
      <c r="F143" s="4" t="s">
        <v>39</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row>
    <row r="145" spans="1:57" x14ac:dyDescent="0.25">
      <c r="A145" s="1" t="s">
        <v>136</v>
      </c>
      <c r="B145" s="1" t="s">
        <v>31</v>
      </c>
      <c r="C145" s="1" t="s">
        <v>32</v>
      </c>
      <c r="D145" s="1" t="s">
        <v>33</v>
      </c>
      <c r="E145" s="1" t="s">
        <v>38</v>
      </c>
      <c r="F145" s="1"/>
      <c r="G145" s="1">
        <v>2000</v>
      </c>
      <c r="H145" s="1">
        <v>2001</v>
      </c>
      <c r="I145" s="1">
        <v>2002</v>
      </c>
      <c r="J145" s="1">
        <v>2003</v>
      </c>
      <c r="K145" s="1">
        <v>2004</v>
      </c>
      <c r="L145" s="1">
        <v>2005</v>
      </c>
      <c r="M145" s="1">
        <v>2006</v>
      </c>
      <c r="N145" s="1">
        <v>2007</v>
      </c>
      <c r="O145" s="1">
        <v>2008</v>
      </c>
      <c r="P145" s="1">
        <v>2009</v>
      </c>
      <c r="Q145" s="1">
        <v>2010</v>
      </c>
      <c r="R145" s="1">
        <v>2011</v>
      </c>
      <c r="S145" s="1">
        <v>2012</v>
      </c>
      <c r="T145" s="1">
        <v>2013</v>
      </c>
      <c r="U145" s="1">
        <v>2014</v>
      </c>
      <c r="V145" s="1">
        <v>2015</v>
      </c>
      <c r="W145" s="1">
        <v>2016</v>
      </c>
      <c r="X145" s="1">
        <v>2017</v>
      </c>
      <c r="Y145" s="1">
        <v>2018</v>
      </c>
      <c r="Z145" s="1">
        <v>2019</v>
      </c>
      <c r="AA145" s="1">
        <v>2020</v>
      </c>
      <c r="AB145" s="1">
        <v>2021</v>
      </c>
      <c r="AC145" s="1">
        <v>2022</v>
      </c>
      <c r="AD145" s="1">
        <v>2023</v>
      </c>
      <c r="AE145" s="1">
        <v>2024</v>
      </c>
      <c r="AF145" s="1">
        <v>2025</v>
      </c>
      <c r="AG145" s="1">
        <v>2026</v>
      </c>
      <c r="AH145" s="1">
        <v>2027</v>
      </c>
      <c r="AI145" s="1">
        <v>2028</v>
      </c>
      <c r="AJ145" s="1">
        <v>2029</v>
      </c>
      <c r="AK145" s="1">
        <v>2030</v>
      </c>
      <c r="AL145" s="1">
        <v>2031</v>
      </c>
      <c r="AM145" s="1">
        <v>2032</v>
      </c>
      <c r="AN145" s="1">
        <v>2033</v>
      </c>
      <c r="AO145" s="1">
        <v>2034</v>
      </c>
      <c r="AP145" s="1">
        <v>2035</v>
      </c>
      <c r="AQ145" s="1">
        <v>2036</v>
      </c>
      <c r="AR145" s="1">
        <v>2037</v>
      </c>
      <c r="AS145" s="1">
        <v>2038</v>
      </c>
      <c r="AT145" s="1">
        <v>2039</v>
      </c>
      <c r="AU145" s="1">
        <v>2040</v>
      </c>
      <c r="AV145" s="1">
        <v>2041</v>
      </c>
      <c r="AW145" s="1">
        <v>2042</v>
      </c>
      <c r="AX145" s="1">
        <v>2043</v>
      </c>
      <c r="AY145" s="1">
        <v>2044</v>
      </c>
      <c r="AZ145" s="1">
        <v>2045</v>
      </c>
      <c r="BA145" s="1">
        <v>2046</v>
      </c>
      <c r="BB145" s="1">
        <v>2047</v>
      </c>
      <c r="BC145" s="1">
        <v>2048</v>
      </c>
      <c r="BD145" s="1">
        <v>2049</v>
      </c>
      <c r="BE145" s="1">
        <v>2050</v>
      </c>
    </row>
    <row r="146" spans="1:57" x14ac:dyDescent="0.25">
      <c r="A146" s="1" t="str">
        <f>'Population Definitions'!$A$2</f>
        <v>PWID_males</v>
      </c>
      <c r="B146" t="s">
        <v>62</v>
      </c>
      <c r="C146" t="s">
        <v>34</v>
      </c>
      <c r="D146" s="3"/>
      <c r="E146" s="3">
        <v>0</v>
      </c>
      <c r="F146" s="4" t="s">
        <v>39</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row>
    <row r="147" spans="1:57" x14ac:dyDescent="0.25">
      <c r="A147" s="1" t="str">
        <f>'Population Definitions'!$A$3</f>
        <v>PWID_females</v>
      </c>
      <c r="B147" t="s">
        <v>62</v>
      </c>
      <c r="C147" t="s">
        <v>34</v>
      </c>
      <c r="D147" s="3"/>
      <c r="E147" s="3">
        <v>0</v>
      </c>
      <c r="F147" s="4" t="s">
        <v>39</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row>
    <row r="148" spans="1:57" x14ac:dyDescent="0.25">
      <c r="A148" s="1" t="str">
        <f>'Population Definitions'!$A$4</f>
        <v>0-9_males</v>
      </c>
      <c r="B148" t="s">
        <v>62</v>
      </c>
      <c r="C148" t="s">
        <v>34</v>
      </c>
      <c r="D148" s="3"/>
      <c r="E148" s="3">
        <v>0</v>
      </c>
      <c r="F148" s="4" t="s">
        <v>39</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row>
    <row r="149" spans="1:57" x14ac:dyDescent="0.25">
      <c r="A149" s="1" t="str">
        <f>'Population Definitions'!$A$5</f>
        <v>0-9_females</v>
      </c>
      <c r="B149" t="s">
        <v>62</v>
      </c>
      <c r="C149" t="s">
        <v>34</v>
      </c>
      <c r="D149" s="3"/>
      <c r="E149" s="3">
        <v>0</v>
      </c>
      <c r="F149" s="4" t="s">
        <v>39</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row>
    <row r="150" spans="1:57" x14ac:dyDescent="0.25">
      <c r="A150" s="1" t="str">
        <f>'Population Definitions'!$A$6</f>
        <v>10-17_males</v>
      </c>
      <c r="B150" t="s">
        <v>62</v>
      </c>
      <c r="C150" t="s">
        <v>34</v>
      </c>
      <c r="D150" s="3"/>
      <c r="E150" s="3">
        <v>0</v>
      </c>
      <c r="F150" s="4" t="s">
        <v>39</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row>
    <row r="151" spans="1:57" x14ac:dyDescent="0.25">
      <c r="A151" s="1" t="str">
        <f>'Population Definitions'!$A$7</f>
        <v>10-17_females</v>
      </c>
      <c r="B151" t="s">
        <v>62</v>
      </c>
      <c r="C151" t="s">
        <v>34</v>
      </c>
      <c r="D151" s="3"/>
      <c r="E151" s="3">
        <v>0</v>
      </c>
      <c r="F151" s="4" t="s">
        <v>39</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row>
    <row r="152" spans="1:57" x14ac:dyDescent="0.25">
      <c r="A152" s="1" t="str">
        <f>'Population Definitions'!$A$8</f>
        <v>18-64_males</v>
      </c>
      <c r="B152" t="s">
        <v>62</v>
      </c>
      <c r="C152" t="s">
        <v>34</v>
      </c>
      <c r="D152" s="3"/>
      <c r="E152" s="3">
        <v>0</v>
      </c>
      <c r="F152" s="4" t="s">
        <v>39</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row>
    <row r="153" spans="1:57" x14ac:dyDescent="0.25">
      <c r="A153" s="1" t="str">
        <f>'Population Definitions'!$A$9</f>
        <v>18-64_females</v>
      </c>
      <c r="B153" t="s">
        <v>62</v>
      </c>
      <c r="C153" t="s">
        <v>34</v>
      </c>
      <c r="D153" s="3"/>
      <c r="E153" s="3">
        <v>0</v>
      </c>
      <c r="F153" s="4" t="s">
        <v>39</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row>
    <row r="154" spans="1:57" x14ac:dyDescent="0.25">
      <c r="A154" s="1" t="str">
        <f>'Population Definitions'!$A$10</f>
        <v>65+_males</v>
      </c>
      <c r="B154" t="s">
        <v>62</v>
      </c>
      <c r="C154" t="s">
        <v>34</v>
      </c>
      <c r="D154" s="3"/>
      <c r="E154" s="3">
        <v>0</v>
      </c>
      <c r="F154" s="4" t="s">
        <v>39</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row>
    <row r="155" spans="1:57" x14ac:dyDescent="0.25">
      <c r="A155" s="1" t="str">
        <f>'Population Definitions'!$A$11</f>
        <v>65+_females</v>
      </c>
      <c r="B155" t="s">
        <v>62</v>
      </c>
      <c r="C155" t="s">
        <v>34</v>
      </c>
      <c r="D155" s="3"/>
      <c r="E155" s="3">
        <v>0</v>
      </c>
      <c r="F155" s="4" t="s">
        <v>39</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row>
    <row r="156" spans="1:57" x14ac:dyDescent="0.25">
      <c r="A156" s="1" t="str">
        <f>'Population Definitions'!$A$12</f>
        <v>Prisoners_males</v>
      </c>
      <c r="B156" t="s">
        <v>62</v>
      </c>
      <c r="C156" t="s">
        <v>34</v>
      </c>
      <c r="D156" s="3"/>
      <c r="E156" s="3">
        <v>0</v>
      </c>
      <c r="F156" s="4" t="s">
        <v>39</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row>
    <row r="157" spans="1:57" x14ac:dyDescent="0.25">
      <c r="A157" s="1" t="str">
        <f>'Population Definitions'!$A$13</f>
        <v>Prisoners_females</v>
      </c>
      <c r="B157" t="s">
        <v>62</v>
      </c>
      <c r="C157" t="s">
        <v>34</v>
      </c>
      <c r="D157" s="3"/>
      <c r="E157" s="3">
        <v>0</v>
      </c>
      <c r="F157" s="4" t="s">
        <v>39</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row>
    <row r="158" spans="1:57" x14ac:dyDescent="0.25">
      <c r="A158" s="1" t="str">
        <f>'Population Definitions'!$A$14</f>
        <v>Prisoners_PWID_males</v>
      </c>
      <c r="B158" t="s">
        <v>62</v>
      </c>
      <c r="C158" t="s">
        <v>34</v>
      </c>
      <c r="D158" s="3"/>
      <c r="E158" s="3">
        <v>0</v>
      </c>
      <c r="F158" s="4" t="s">
        <v>39</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row>
    <row r="159" spans="1:57" x14ac:dyDescent="0.25">
      <c r="A159" s="1" t="str">
        <f>'Population Definitions'!$A$15</f>
        <v>Prisoners_PWID_females</v>
      </c>
      <c r="B159" t="s">
        <v>62</v>
      </c>
      <c r="C159" t="s">
        <v>34</v>
      </c>
      <c r="D159" s="3"/>
      <c r="E159" s="3">
        <v>0</v>
      </c>
      <c r="F159" s="4" t="s">
        <v>39</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row>
    <row r="161" spans="1:57" x14ac:dyDescent="0.25">
      <c r="A161" s="1" t="s">
        <v>137</v>
      </c>
      <c r="B161" s="1" t="s">
        <v>31</v>
      </c>
      <c r="C161" s="1" t="s">
        <v>32</v>
      </c>
      <c r="D161" s="1" t="s">
        <v>33</v>
      </c>
      <c r="E161" s="1" t="s">
        <v>38</v>
      </c>
      <c r="F161" s="1"/>
      <c r="G161" s="1">
        <v>2000</v>
      </c>
      <c r="H161" s="1">
        <v>2001</v>
      </c>
      <c r="I161" s="1">
        <v>2002</v>
      </c>
      <c r="J161" s="1">
        <v>2003</v>
      </c>
      <c r="K161" s="1">
        <v>2004</v>
      </c>
      <c r="L161" s="1">
        <v>2005</v>
      </c>
      <c r="M161" s="1">
        <v>2006</v>
      </c>
      <c r="N161" s="1">
        <v>2007</v>
      </c>
      <c r="O161" s="1">
        <v>2008</v>
      </c>
      <c r="P161" s="1">
        <v>2009</v>
      </c>
      <c r="Q161" s="1">
        <v>2010</v>
      </c>
      <c r="R161" s="1">
        <v>2011</v>
      </c>
      <c r="S161" s="1">
        <v>2012</v>
      </c>
      <c r="T161" s="1">
        <v>2013</v>
      </c>
      <c r="U161" s="1">
        <v>2014</v>
      </c>
      <c r="V161" s="1">
        <v>2015</v>
      </c>
      <c r="W161" s="1">
        <v>2016</v>
      </c>
      <c r="X161" s="1">
        <v>2017</v>
      </c>
      <c r="Y161" s="1">
        <v>2018</v>
      </c>
      <c r="Z161" s="1">
        <v>2019</v>
      </c>
      <c r="AA161" s="1">
        <v>2020</v>
      </c>
      <c r="AB161" s="1">
        <v>2021</v>
      </c>
      <c r="AC161" s="1">
        <v>2022</v>
      </c>
      <c r="AD161" s="1">
        <v>2023</v>
      </c>
      <c r="AE161" s="1">
        <v>2024</v>
      </c>
      <c r="AF161" s="1">
        <v>2025</v>
      </c>
      <c r="AG161" s="1">
        <v>2026</v>
      </c>
      <c r="AH161" s="1">
        <v>2027</v>
      </c>
      <c r="AI161" s="1">
        <v>2028</v>
      </c>
      <c r="AJ161" s="1">
        <v>2029</v>
      </c>
      <c r="AK161" s="1">
        <v>2030</v>
      </c>
      <c r="AL161" s="1">
        <v>2031</v>
      </c>
      <c r="AM161" s="1">
        <v>2032</v>
      </c>
      <c r="AN161" s="1">
        <v>2033</v>
      </c>
      <c r="AO161" s="1">
        <v>2034</v>
      </c>
      <c r="AP161" s="1">
        <v>2035</v>
      </c>
      <c r="AQ161" s="1">
        <v>2036</v>
      </c>
      <c r="AR161" s="1">
        <v>2037</v>
      </c>
      <c r="AS161" s="1">
        <v>2038</v>
      </c>
      <c r="AT161" s="1">
        <v>2039</v>
      </c>
      <c r="AU161" s="1">
        <v>2040</v>
      </c>
      <c r="AV161" s="1">
        <v>2041</v>
      </c>
      <c r="AW161" s="1">
        <v>2042</v>
      </c>
      <c r="AX161" s="1">
        <v>2043</v>
      </c>
      <c r="AY161" s="1">
        <v>2044</v>
      </c>
      <c r="AZ161" s="1">
        <v>2045</v>
      </c>
      <c r="BA161" s="1">
        <v>2046</v>
      </c>
      <c r="BB161" s="1">
        <v>2047</v>
      </c>
      <c r="BC161" s="1">
        <v>2048</v>
      </c>
      <c r="BD161" s="1">
        <v>2049</v>
      </c>
      <c r="BE161" s="1">
        <v>2050</v>
      </c>
    </row>
    <row r="162" spans="1:57" x14ac:dyDescent="0.25">
      <c r="A162" s="1" t="str">
        <f>'Population Definitions'!$A$2</f>
        <v>PWID_males</v>
      </c>
      <c r="B162" t="s">
        <v>62</v>
      </c>
      <c r="C162" t="s">
        <v>34</v>
      </c>
      <c r="D162" s="3"/>
      <c r="E162" s="3">
        <v>0</v>
      </c>
      <c r="F162" s="4" t="s">
        <v>39</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row>
    <row r="163" spans="1:57" x14ac:dyDescent="0.25">
      <c r="A163" s="1" t="str">
        <f>'Population Definitions'!$A$3</f>
        <v>PWID_females</v>
      </c>
      <c r="B163" t="s">
        <v>62</v>
      </c>
      <c r="C163" t="s">
        <v>34</v>
      </c>
      <c r="D163" s="3"/>
      <c r="E163" s="3">
        <v>0</v>
      </c>
      <c r="F163" s="4" t="s">
        <v>39</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row>
    <row r="164" spans="1:57" x14ac:dyDescent="0.25">
      <c r="A164" s="1" t="str">
        <f>'Population Definitions'!$A$4</f>
        <v>0-9_males</v>
      </c>
      <c r="B164" t="s">
        <v>62</v>
      </c>
      <c r="C164" t="s">
        <v>34</v>
      </c>
      <c r="D164" s="3"/>
      <c r="E164" s="3">
        <v>0</v>
      </c>
      <c r="F164" s="4" t="s">
        <v>39</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row>
    <row r="165" spans="1:57" x14ac:dyDescent="0.25">
      <c r="A165" s="1" t="str">
        <f>'Population Definitions'!$A$5</f>
        <v>0-9_females</v>
      </c>
      <c r="B165" t="s">
        <v>62</v>
      </c>
      <c r="C165" t="s">
        <v>34</v>
      </c>
      <c r="D165" s="3"/>
      <c r="E165" s="3">
        <v>0</v>
      </c>
      <c r="F165" s="4" t="s">
        <v>39</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row>
    <row r="166" spans="1:57" x14ac:dyDescent="0.25">
      <c r="A166" s="1" t="str">
        <f>'Population Definitions'!$A$6</f>
        <v>10-17_males</v>
      </c>
      <c r="B166" t="s">
        <v>62</v>
      </c>
      <c r="C166" t="s">
        <v>34</v>
      </c>
      <c r="D166" s="3"/>
      <c r="E166" s="3">
        <v>0</v>
      </c>
      <c r="F166" s="4" t="s">
        <v>39</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row>
    <row r="167" spans="1:57" x14ac:dyDescent="0.25">
      <c r="A167" s="1" t="str">
        <f>'Population Definitions'!$A$7</f>
        <v>10-17_females</v>
      </c>
      <c r="B167" t="s">
        <v>62</v>
      </c>
      <c r="C167" t="s">
        <v>34</v>
      </c>
      <c r="D167" s="3"/>
      <c r="E167" s="3">
        <v>0</v>
      </c>
      <c r="F167" s="4" t="s">
        <v>39</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row>
    <row r="168" spans="1:57" x14ac:dyDescent="0.25">
      <c r="A168" s="1" t="str">
        <f>'Population Definitions'!$A$8</f>
        <v>18-64_males</v>
      </c>
      <c r="B168" t="s">
        <v>62</v>
      </c>
      <c r="C168" t="s">
        <v>34</v>
      </c>
      <c r="D168" s="3"/>
      <c r="E168" s="3">
        <v>0</v>
      </c>
      <c r="F168" s="4" t="s">
        <v>39</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row>
    <row r="169" spans="1:57" x14ac:dyDescent="0.25">
      <c r="A169" s="1" t="str">
        <f>'Population Definitions'!$A$9</f>
        <v>18-64_females</v>
      </c>
      <c r="B169" t="s">
        <v>62</v>
      </c>
      <c r="C169" t="s">
        <v>34</v>
      </c>
      <c r="D169" s="3"/>
      <c r="E169" s="3">
        <v>0</v>
      </c>
      <c r="F169" s="4" t="s">
        <v>39</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row>
    <row r="170" spans="1:57" x14ac:dyDescent="0.25">
      <c r="A170" s="1" t="str">
        <f>'Population Definitions'!$A$10</f>
        <v>65+_males</v>
      </c>
      <c r="B170" t="s">
        <v>62</v>
      </c>
      <c r="C170" t="s">
        <v>34</v>
      </c>
      <c r="D170" s="3"/>
      <c r="E170" s="3">
        <v>0</v>
      </c>
      <c r="F170" s="4" t="s">
        <v>39</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row>
    <row r="171" spans="1:57" x14ac:dyDescent="0.25">
      <c r="A171" s="1" t="str">
        <f>'Population Definitions'!$A$11</f>
        <v>65+_females</v>
      </c>
      <c r="B171" t="s">
        <v>62</v>
      </c>
      <c r="C171" t="s">
        <v>34</v>
      </c>
      <c r="D171" s="3"/>
      <c r="E171" s="3">
        <v>0</v>
      </c>
      <c r="F171" s="4" t="s">
        <v>39</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row>
    <row r="172" spans="1:57" x14ac:dyDescent="0.25">
      <c r="A172" s="1" t="str">
        <f>'Population Definitions'!$A$12</f>
        <v>Prisoners_males</v>
      </c>
      <c r="B172" t="s">
        <v>62</v>
      </c>
      <c r="C172" t="s">
        <v>34</v>
      </c>
      <c r="D172" s="3"/>
      <c r="E172" s="3">
        <v>0</v>
      </c>
      <c r="F172" s="4" t="s">
        <v>39</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row>
    <row r="173" spans="1:57" x14ac:dyDescent="0.25">
      <c r="A173" s="1" t="str">
        <f>'Population Definitions'!$A$13</f>
        <v>Prisoners_females</v>
      </c>
      <c r="B173" t="s">
        <v>62</v>
      </c>
      <c r="C173" t="s">
        <v>34</v>
      </c>
      <c r="D173" s="3"/>
      <c r="E173" s="3">
        <v>0</v>
      </c>
      <c r="F173" s="4" t="s">
        <v>39</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row>
    <row r="174" spans="1:57" x14ac:dyDescent="0.25">
      <c r="A174" s="1" t="str">
        <f>'Population Definitions'!$A$14</f>
        <v>Prisoners_PWID_males</v>
      </c>
      <c r="B174" t="s">
        <v>62</v>
      </c>
      <c r="C174" t="s">
        <v>34</v>
      </c>
      <c r="D174" s="3"/>
      <c r="E174" s="3">
        <v>0</v>
      </c>
      <c r="F174" s="4" t="s">
        <v>39</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row>
    <row r="175" spans="1:57" x14ac:dyDescent="0.25">
      <c r="A175" s="1" t="str">
        <f>'Population Definitions'!$A$15</f>
        <v>Prisoners_PWID_females</v>
      </c>
      <c r="B175" t="s">
        <v>62</v>
      </c>
      <c r="C175" t="s">
        <v>34</v>
      </c>
      <c r="D175" s="3"/>
      <c r="E175" s="3">
        <v>0</v>
      </c>
      <c r="F175" s="4" t="s">
        <v>39</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row>
    <row r="177" spans="1:57" x14ac:dyDescent="0.25">
      <c r="A177" s="1" t="s">
        <v>138</v>
      </c>
      <c r="B177" s="1" t="s">
        <v>31</v>
      </c>
      <c r="C177" s="1" t="s">
        <v>32</v>
      </c>
      <c r="D177" s="1" t="s">
        <v>33</v>
      </c>
      <c r="E177" s="1" t="s">
        <v>38</v>
      </c>
      <c r="F177" s="1"/>
      <c r="G177" s="1">
        <v>2000</v>
      </c>
      <c r="H177" s="1">
        <v>2001</v>
      </c>
      <c r="I177" s="1">
        <v>2002</v>
      </c>
      <c r="J177" s="1">
        <v>2003</v>
      </c>
      <c r="K177" s="1">
        <v>2004</v>
      </c>
      <c r="L177" s="1">
        <v>2005</v>
      </c>
      <c r="M177" s="1">
        <v>2006</v>
      </c>
      <c r="N177" s="1">
        <v>2007</v>
      </c>
      <c r="O177" s="1">
        <v>2008</v>
      </c>
      <c r="P177" s="1">
        <v>2009</v>
      </c>
      <c r="Q177" s="1">
        <v>2010</v>
      </c>
      <c r="R177" s="1">
        <v>2011</v>
      </c>
      <c r="S177" s="1">
        <v>2012</v>
      </c>
      <c r="T177" s="1">
        <v>2013</v>
      </c>
      <c r="U177" s="1">
        <v>2014</v>
      </c>
      <c r="V177" s="1">
        <v>2015</v>
      </c>
      <c r="W177" s="1">
        <v>2016</v>
      </c>
      <c r="X177" s="1">
        <v>2017</v>
      </c>
      <c r="Y177" s="1">
        <v>2018</v>
      </c>
      <c r="Z177" s="1">
        <v>2019</v>
      </c>
      <c r="AA177" s="1">
        <v>2020</v>
      </c>
      <c r="AB177" s="1">
        <v>2021</v>
      </c>
      <c r="AC177" s="1">
        <v>2022</v>
      </c>
      <c r="AD177" s="1">
        <v>2023</v>
      </c>
      <c r="AE177" s="1">
        <v>2024</v>
      </c>
      <c r="AF177" s="1">
        <v>2025</v>
      </c>
      <c r="AG177" s="1">
        <v>2026</v>
      </c>
      <c r="AH177" s="1">
        <v>2027</v>
      </c>
      <c r="AI177" s="1">
        <v>2028</v>
      </c>
      <c r="AJ177" s="1">
        <v>2029</v>
      </c>
      <c r="AK177" s="1">
        <v>2030</v>
      </c>
      <c r="AL177" s="1">
        <v>2031</v>
      </c>
      <c r="AM177" s="1">
        <v>2032</v>
      </c>
      <c r="AN177" s="1">
        <v>2033</v>
      </c>
      <c r="AO177" s="1">
        <v>2034</v>
      </c>
      <c r="AP177" s="1">
        <v>2035</v>
      </c>
      <c r="AQ177" s="1">
        <v>2036</v>
      </c>
      <c r="AR177" s="1">
        <v>2037</v>
      </c>
      <c r="AS177" s="1">
        <v>2038</v>
      </c>
      <c r="AT177" s="1">
        <v>2039</v>
      </c>
      <c r="AU177" s="1">
        <v>2040</v>
      </c>
      <c r="AV177" s="1">
        <v>2041</v>
      </c>
      <c r="AW177" s="1">
        <v>2042</v>
      </c>
      <c r="AX177" s="1">
        <v>2043</v>
      </c>
      <c r="AY177" s="1">
        <v>2044</v>
      </c>
      <c r="AZ177" s="1">
        <v>2045</v>
      </c>
      <c r="BA177" s="1">
        <v>2046</v>
      </c>
      <c r="BB177" s="1">
        <v>2047</v>
      </c>
      <c r="BC177" s="1">
        <v>2048</v>
      </c>
      <c r="BD177" s="1">
        <v>2049</v>
      </c>
      <c r="BE177" s="1">
        <v>2050</v>
      </c>
    </row>
    <row r="178" spans="1:57" x14ac:dyDescent="0.25">
      <c r="A178" s="1" t="str">
        <f>'Population Definitions'!$A$2</f>
        <v>PWID_males</v>
      </c>
      <c r="B178" t="s">
        <v>62</v>
      </c>
      <c r="C178" t="s">
        <v>34</v>
      </c>
      <c r="D178" s="3"/>
      <c r="E178" s="3">
        <v>0</v>
      </c>
      <c r="F178" s="4" t="s">
        <v>39</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row>
    <row r="179" spans="1:57" x14ac:dyDescent="0.25">
      <c r="A179" s="1" t="str">
        <f>'Population Definitions'!$A$3</f>
        <v>PWID_females</v>
      </c>
      <c r="B179" t="s">
        <v>62</v>
      </c>
      <c r="C179" t="s">
        <v>34</v>
      </c>
      <c r="D179" s="3"/>
      <c r="E179" s="3">
        <v>0</v>
      </c>
      <c r="F179" s="4" t="s">
        <v>39</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row>
    <row r="180" spans="1:57" x14ac:dyDescent="0.25">
      <c r="A180" s="1" t="str">
        <f>'Population Definitions'!$A$4</f>
        <v>0-9_males</v>
      </c>
      <c r="B180" t="s">
        <v>62</v>
      </c>
      <c r="C180" t="s">
        <v>34</v>
      </c>
      <c r="D180" s="3"/>
      <c r="E180" s="3">
        <v>0</v>
      </c>
      <c r="F180" s="4" t="s">
        <v>39</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row>
    <row r="181" spans="1:57" x14ac:dyDescent="0.25">
      <c r="A181" s="1" t="str">
        <f>'Population Definitions'!$A$5</f>
        <v>0-9_females</v>
      </c>
      <c r="B181" t="s">
        <v>62</v>
      </c>
      <c r="C181" t="s">
        <v>34</v>
      </c>
      <c r="D181" s="3"/>
      <c r="E181" s="3">
        <v>0</v>
      </c>
      <c r="F181" s="4" t="s">
        <v>39</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row>
    <row r="182" spans="1:57" x14ac:dyDescent="0.25">
      <c r="A182" s="1" t="str">
        <f>'Population Definitions'!$A$6</f>
        <v>10-17_males</v>
      </c>
      <c r="B182" t="s">
        <v>62</v>
      </c>
      <c r="C182" t="s">
        <v>34</v>
      </c>
      <c r="D182" s="3"/>
      <c r="E182" s="3">
        <v>0</v>
      </c>
      <c r="F182" s="4" t="s">
        <v>39</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row>
    <row r="183" spans="1:57" x14ac:dyDescent="0.25">
      <c r="A183" s="1" t="str">
        <f>'Population Definitions'!$A$7</f>
        <v>10-17_females</v>
      </c>
      <c r="B183" t="s">
        <v>62</v>
      </c>
      <c r="C183" t="s">
        <v>34</v>
      </c>
      <c r="D183" s="3"/>
      <c r="E183" s="3">
        <v>0</v>
      </c>
      <c r="F183" s="4" t="s">
        <v>39</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row>
    <row r="184" spans="1:57" x14ac:dyDescent="0.25">
      <c r="A184" s="1" t="str">
        <f>'Population Definitions'!$A$8</f>
        <v>18-64_males</v>
      </c>
      <c r="B184" t="s">
        <v>62</v>
      </c>
      <c r="C184" t="s">
        <v>34</v>
      </c>
      <c r="D184" s="3"/>
      <c r="E184" s="3">
        <v>0</v>
      </c>
      <c r="F184" s="4" t="s">
        <v>39</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row>
    <row r="185" spans="1:57" x14ac:dyDescent="0.25">
      <c r="A185" s="1" t="str">
        <f>'Population Definitions'!$A$9</f>
        <v>18-64_females</v>
      </c>
      <c r="B185" t="s">
        <v>62</v>
      </c>
      <c r="C185" t="s">
        <v>34</v>
      </c>
      <c r="D185" s="3"/>
      <c r="E185" s="3">
        <v>0</v>
      </c>
      <c r="F185" s="4" t="s">
        <v>39</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row>
    <row r="186" spans="1:57" x14ac:dyDescent="0.25">
      <c r="A186" s="1" t="str">
        <f>'Population Definitions'!$A$10</f>
        <v>65+_males</v>
      </c>
      <c r="B186" t="s">
        <v>62</v>
      </c>
      <c r="C186" t="s">
        <v>34</v>
      </c>
      <c r="D186" s="3"/>
      <c r="E186" s="3">
        <v>0</v>
      </c>
      <c r="F186" s="4" t="s">
        <v>39</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row>
    <row r="187" spans="1:57" x14ac:dyDescent="0.25">
      <c r="A187" s="1" t="str">
        <f>'Population Definitions'!$A$11</f>
        <v>65+_females</v>
      </c>
      <c r="B187" t="s">
        <v>62</v>
      </c>
      <c r="C187" t="s">
        <v>34</v>
      </c>
      <c r="D187" s="3"/>
      <c r="E187" s="3">
        <v>0</v>
      </c>
      <c r="F187" s="4" t="s">
        <v>39</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row>
    <row r="188" spans="1:57" x14ac:dyDescent="0.25">
      <c r="A188" s="1" t="str">
        <f>'Population Definitions'!$A$12</f>
        <v>Prisoners_males</v>
      </c>
      <c r="B188" t="s">
        <v>62</v>
      </c>
      <c r="C188" t="s">
        <v>34</v>
      </c>
      <c r="D188" s="3"/>
      <c r="E188" s="3">
        <v>0</v>
      </c>
      <c r="F188" s="4" t="s">
        <v>39</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row>
    <row r="189" spans="1:57" x14ac:dyDescent="0.25">
      <c r="A189" s="1" t="str">
        <f>'Population Definitions'!$A$13</f>
        <v>Prisoners_females</v>
      </c>
      <c r="B189" t="s">
        <v>62</v>
      </c>
      <c r="C189" t="s">
        <v>34</v>
      </c>
      <c r="D189" s="3"/>
      <c r="E189" s="3">
        <v>0</v>
      </c>
      <c r="F189" s="4" t="s">
        <v>39</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row>
    <row r="190" spans="1:57" x14ac:dyDescent="0.25">
      <c r="A190" s="1" t="str">
        <f>'Population Definitions'!$A$14</f>
        <v>Prisoners_PWID_males</v>
      </c>
      <c r="B190" t="s">
        <v>62</v>
      </c>
      <c r="C190" t="s">
        <v>34</v>
      </c>
      <c r="D190" s="3"/>
      <c r="E190" s="3">
        <v>0</v>
      </c>
      <c r="F190" s="4" t="s">
        <v>39</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row>
    <row r="191" spans="1:57" x14ac:dyDescent="0.25">
      <c r="A191" s="1" t="str">
        <f>'Population Definitions'!$A$15</f>
        <v>Prisoners_PWID_females</v>
      </c>
      <c r="B191" t="s">
        <v>62</v>
      </c>
      <c r="C191" t="s">
        <v>34</v>
      </c>
      <c r="D191" s="3"/>
      <c r="E191" s="3">
        <v>0</v>
      </c>
      <c r="F191" s="4" t="s">
        <v>39</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row>
    <row r="193" spans="1:57" x14ac:dyDescent="0.25">
      <c r="A193" s="1" t="s">
        <v>139</v>
      </c>
      <c r="B193" s="1" t="s">
        <v>31</v>
      </c>
      <c r="C193" s="1" t="s">
        <v>32</v>
      </c>
      <c r="D193" s="1" t="s">
        <v>33</v>
      </c>
      <c r="E193" s="1" t="s">
        <v>38</v>
      </c>
      <c r="F193" s="1"/>
      <c r="G193" s="1">
        <v>2000</v>
      </c>
      <c r="H193" s="1">
        <v>2001</v>
      </c>
      <c r="I193" s="1">
        <v>2002</v>
      </c>
      <c r="J193" s="1">
        <v>2003</v>
      </c>
      <c r="K193" s="1">
        <v>2004</v>
      </c>
      <c r="L193" s="1">
        <v>2005</v>
      </c>
      <c r="M193" s="1">
        <v>2006</v>
      </c>
      <c r="N193" s="1">
        <v>2007</v>
      </c>
      <c r="O193" s="1">
        <v>2008</v>
      </c>
      <c r="P193" s="1">
        <v>2009</v>
      </c>
      <c r="Q193" s="1">
        <v>2010</v>
      </c>
      <c r="R193" s="1">
        <v>2011</v>
      </c>
      <c r="S193" s="1">
        <v>2012</v>
      </c>
      <c r="T193" s="1">
        <v>2013</v>
      </c>
      <c r="U193" s="1">
        <v>2014</v>
      </c>
      <c r="V193" s="1">
        <v>2015</v>
      </c>
      <c r="W193" s="1">
        <v>2016</v>
      </c>
      <c r="X193" s="1">
        <v>2017</v>
      </c>
      <c r="Y193" s="1">
        <v>2018</v>
      </c>
      <c r="Z193" s="1">
        <v>2019</v>
      </c>
      <c r="AA193" s="1">
        <v>2020</v>
      </c>
      <c r="AB193" s="1">
        <v>2021</v>
      </c>
      <c r="AC193" s="1">
        <v>2022</v>
      </c>
      <c r="AD193" s="1">
        <v>2023</v>
      </c>
      <c r="AE193" s="1">
        <v>2024</v>
      </c>
      <c r="AF193" s="1">
        <v>2025</v>
      </c>
      <c r="AG193" s="1">
        <v>2026</v>
      </c>
      <c r="AH193" s="1">
        <v>2027</v>
      </c>
      <c r="AI193" s="1">
        <v>2028</v>
      </c>
      <c r="AJ193" s="1">
        <v>2029</v>
      </c>
      <c r="AK193" s="1">
        <v>2030</v>
      </c>
      <c r="AL193" s="1">
        <v>2031</v>
      </c>
      <c r="AM193" s="1">
        <v>2032</v>
      </c>
      <c r="AN193" s="1">
        <v>2033</v>
      </c>
      <c r="AO193" s="1">
        <v>2034</v>
      </c>
      <c r="AP193" s="1">
        <v>2035</v>
      </c>
      <c r="AQ193" s="1">
        <v>2036</v>
      </c>
      <c r="AR193" s="1">
        <v>2037</v>
      </c>
      <c r="AS193" s="1">
        <v>2038</v>
      </c>
      <c r="AT193" s="1">
        <v>2039</v>
      </c>
      <c r="AU193" s="1">
        <v>2040</v>
      </c>
      <c r="AV193" s="1">
        <v>2041</v>
      </c>
      <c r="AW193" s="1">
        <v>2042</v>
      </c>
      <c r="AX193" s="1">
        <v>2043</v>
      </c>
      <c r="AY193" s="1">
        <v>2044</v>
      </c>
      <c r="AZ193" s="1">
        <v>2045</v>
      </c>
      <c r="BA193" s="1">
        <v>2046</v>
      </c>
      <c r="BB193" s="1">
        <v>2047</v>
      </c>
      <c r="BC193" s="1">
        <v>2048</v>
      </c>
      <c r="BD193" s="1">
        <v>2049</v>
      </c>
      <c r="BE193" s="1">
        <v>2050</v>
      </c>
    </row>
    <row r="194" spans="1:57" x14ac:dyDescent="0.25">
      <c r="A194" s="1" t="str">
        <f>'Population Definitions'!$A$2</f>
        <v>PWID_males</v>
      </c>
      <c r="B194" t="s">
        <v>62</v>
      </c>
      <c r="C194" t="s">
        <v>34</v>
      </c>
      <c r="D194" s="3"/>
      <c r="E194" s="3">
        <v>0</v>
      </c>
      <c r="F194" s="4" t="s">
        <v>39</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row>
    <row r="195" spans="1:57" x14ac:dyDescent="0.25">
      <c r="A195" s="1" t="str">
        <f>'Population Definitions'!$A$3</f>
        <v>PWID_females</v>
      </c>
      <c r="B195" t="s">
        <v>62</v>
      </c>
      <c r="C195" t="s">
        <v>34</v>
      </c>
      <c r="D195" s="3"/>
      <c r="E195" s="3">
        <v>0</v>
      </c>
      <c r="F195" s="4" t="s">
        <v>39</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row>
    <row r="196" spans="1:57" x14ac:dyDescent="0.25">
      <c r="A196" s="1" t="str">
        <f>'Population Definitions'!$A$4</f>
        <v>0-9_males</v>
      </c>
      <c r="B196" t="s">
        <v>62</v>
      </c>
      <c r="C196" t="s">
        <v>34</v>
      </c>
      <c r="D196" s="3"/>
      <c r="E196" s="3">
        <v>0</v>
      </c>
      <c r="F196" s="4" t="s">
        <v>39</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row>
    <row r="197" spans="1:57" x14ac:dyDescent="0.25">
      <c r="A197" s="1" t="str">
        <f>'Population Definitions'!$A$5</f>
        <v>0-9_females</v>
      </c>
      <c r="B197" t="s">
        <v>62</v>
      </c>
      <c r="C197" t="s">
        <v>34</v>
      </c>
      <c r="D197" s="3"/>
      <c r="E197" s="3">
        <v>0</v>
      </c>
      <c r="F197" s="4" t="s">
        <v>39</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row>
    <row r="198" spans="1:57" x14ac:dyDescent="0.25">
      <c r="A198" s="1" t="str">
        <f>'Population Definitions'!$A$6</f>
        <v>10-17_males</v>
      </c>
      <c r="B198" t="s">
        <v>62</v>
      </c>
      <c r="C198" t="s">
        <v>34</v>
      </c>
      <c r="D198" s="3"/>
      <c r="E198" s="3">
        <v>0</v>
      </c>
      <c r="F198" s="4" t="s">
        <v>39</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row>
    <row r="199" spans="1:57" x14ac:dyDescent="0.25">
      <c r="A199" s="1" t="str">
        <f>'Population Definitions'!$A$7</f>
        <v>10-17_females</v>
      </c>
      <c r="B199" t="s">
        <v>62</v>
      </c>
      <c r="C199" t="s">
        <v>34</v>
      </c>
      <c r="D199" s="3"/>
      <c r="E199" s="3">
        <v>0</v>
      </c>
      <c r="F199" s="4" t="s">
        <v>39</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row>
    <row r="200" spans="1:57" x14ac:dyDescent="0.25">
      <c r="A200" s="1" t="str">
        <f>'Population Definitions'!$A$8</f>
        <v>18-64_males</v>
      </c>
      <c r="B200" t="s">
        <v>62</v>
      </c>
      <c r="C200" t="s">
        <v>34</v>
      </c>
      <c r="D200" s="3"/>
      <c r="E200" s="3">
        <v>0</v>
      </c>
      <c r="F200" s="4" t="s">
        <v>39</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row>
    <row r="201" spans="1:57" x14ac:dyDescent="0.25">
      <c r="A201" s="1" t="str">
        <f>'Population Definitions'!$A$9</f>
        <v>18-64_females</v>
      </c>
      <c r="B201" t="s">
        <v>62</v>
      </c>
      <c r="C201" t="s">
        <v>34</v>
      </c>
      <c r="D201" s="3"/>
      <c r="E201" s="3">
        <v>0</v>
      </c>
      <c r="F201" s="4" t="s">
        <v>39</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row>
    <row r="202" spans="1:57" x14ac:dyDescent="0.25">
      <c r="A202" s="1" t="str">
        <f>'Population Definitions'!$A$10</f>
        <v>65+_males</v>
      </c>
      <c r="B202" t="s">
        <v>62</v>
      </c>
      <c r="C202" t="s">
        <v>34</v>
      </c>
      <c r="D202" s="3"/>
      <c r="E202" s="3">
        <v>0</v>
      </c>
      <c r="F202" s="4" t="s">
        <v>39</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row>
    <row r="203" spans="1:57" x14ac:dyDescent="0.25">
      <c r="A203" s="1" t="str">
        <f>'Population Definitions'!$A$11</f>
        <v>65+_females</v>
      </c>
      <c r="B203" t="s">
        <v>62</v>
      </c>
      <c r="C203" t="s">
        <v>34</v>
      </c>
      <c r="D203" s="3"/>
      <c r="E203" s="3">
        <v>0</v>
      </c>
      <c r="F203" s="4" t="s">
        <v>39</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row>
    <row r="204" spans="1:57" x14ac:dyDescent="0.25">
      <c r="A204" s="1" t="str">
        <f>'Population Definitions'!$A$12</f>
        <v>Prisoners_males</v>
      </c>
      <c r="B204" t="s">
        <v>62</v>
      </c>
      <c r="C204" t="s">
        <v>34</v>
      </c>
      <c r="D204" s="3"/>
      <c r="E204" s="3">
        <v>0</v>
      </c>
      <c r="F204" s="4" t="s">
        <v>39</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row>
    <row r="205" spans="1:57" x14ac:dyDescent="0.25">
      <c r="A205" s="1" t="str">
        <f>'Population Definitions'!$A$13</f>
        <v>Prisoners_females</v>
      </c>
      <c r="B205" t="s">
        <v>62</v>
      </c>
      <c r="C205" t="s">
        <v>34</v>
      </c>
      <c r="D205" s="3"/>
      <c r="E205" s="3">
        <v>0</v>
      </c>
      <c r="F205" s="4" t="s">
        <v>39</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row>
    <row r="206" spans="1:57" x14ac:dyDescent="0.25">
      <c r="A206" s="1" t="str">
        <f>'Population Definitions'!$A$14</f>
        <v>Prisoners_PWID_males</v>
      </c>
      <c r="B206" t="s">
        <v>62</v>
      </c>
      <c r="C206" t="s">
        <v>34</v>
      </c>
      <c r="D206" s="3"/>
      <c r="E206" s="3">
        <v>0</v>
      </c>
      <c r="F206" s="4" t="s">
        <v>39</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row>
    <row r="207" spans="1:57" x14ac:dyDescent="0.25">
      <c r="A207" s="1" t="str">
        <f>'Population Definitions'!$A$15</f>
        <v>Prisoners_PWID_females</v>
      </c>
      <c r="B207" t="s">
        <v>62</v>
      </c>
      <c r="C207" t="s">
        <v>34</v>
      </c>
      <c r="D207" s="3"/>
      <c r="E207" s="3">
        <v>0</v>
      </c>
      <c r="F207" s="4" t="s">
        <v>39</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row>
    <row r="209" spans="1:57" x14ac:dyDescent="0.25">
      <c r="A209" s="1" t="s">
        <v>140</v>
      </c>
      <c r="B209" s="1" t="s">
        <v>31</v>
      </c>
      <c r="C209" s="1" t="s">
        <v>32</v>
      </c>
      <c r="D209" s="1" t="s">
        <v>33</v>
      </c>
      <c r="E209" s="1" t="s">
        <v>38</v>
      </c>
      <c r="F209" s="1"/>
      <c r="G209" s="1">
        <v>2000</v>
      </c>
      <c r="H209" s="1">
        <v>2001</v>
      </c>
      <c r="I209" s="1">
        <v>2002</v>
      </c>
      <c r="J209" s="1">
        <v>2003</v>
      </c>
      <c r="K209" s="1">
        <v>2004</v>
      </c>
      <c r="L209" s="1">
        <v>2005</v>
      </c>
      <c r="M209" s="1">
        <v>2006</v>
      </c>
      <c r="N209" s="1">
        <v>2007</v>
      </c>
      <c r="O209" s="1">
        <v>2008</v>
      </c>
      <c r="P209" s="1">
        <v>2009</v>
      </c>
      <c r="Q209" s="1">
        <v>2010</v>
      </c>
      <c r="R209" s="1">
        <v>2011</v>
      </c>
      <c r="S209" s="1">
        <v>2012</v>
      </c>
      <c r="T209" s="1">
        <v>2013</v>
      </c>
      <c r="U209" s="1">
        <v>2014</v>
      </c>
      <c r="V209" s="1">
        <v>2015</v>
      </c>
      <c r="W209" s="1">
        <v>2016</v>
      </c>
      <c r="X209" s="1">
        <v>2017</v>
      </c>
      <c r="Y209" s="1">
        <v>2018</v>
      </c>
      <c r="Z209" s="1">
        <v>2019</v>
      </c>
      <c r="AA209" s="1">
        <v>2020</v>
      </c>
      <c r="AB209" s="1">
        <v>2021</v>
      </c>
      <c r="AC209" s="1">
        <v>2022</v>
      </c>
      <c r="AD209" s="1">
        <v>2023</v>
      </c>
      <c r="AE209" s="1">
        <v>2024</v>
      </c>
      <c r="AF209" s="1">
        <v>2025</v>
      </c>
      <c r="AG209" s="1">
        <v>2026</v>
      </c>
      <c r="AH209" s="1">
        <v>2027</v>
      </c>
      <c r="AI209" s="1">
        <v>2028</v>
      </c>
      <c r="AJ209" s="1">
        <v>2029</v>
      </c>
      <c r="AK209" s="1">
        <v>2030</v>
      </c>
      <c r="AL209" s="1">
        <v>2031</v>
      </c>
      <c r="AM209" s="1">
        <v>2032</v>
      </c>
      <c r="AN209" s="1">
        <v>2033</v>
      </c>
      <c r="AO209" s="1">
        <v>2034</v>
      </c>
      <c r="AP209" s="1">
        <v>2035</v>
      </c>
      <c r="AQ209" s="1">
        <v>2036</v>
      </c>
      <c r="AR209" s="1">
        <v>2037</v>
      </c>
      <c r="AS209" s="1">
        <v>2038</v>
      </c>
      <c r="AT209" s="1">
        <v>2039</v>
      </c>
      <c r="AU209" s="1">
        <v>2040</v>
      </c>
      <c r="AV209" s="1">
        <v>2041</v>
      </c>
      <c r="AW209" s="1">
        <v>2042</v>
      </c>
      <c r="AX209" s="1">
        <v>2043</v>
      </c>
      <c r="AY209" s="1">
        <v>2044</v>
      </c>
      <c r="AZ209" s="1">
        <v>2045</v>
      </c>
      <c r="BA209" s="1">
        <v>2046</v>
      </c>
      <c r="BB209" s="1">
        <v>2047</v>
      </c>
      <c r="BC209" s="1">
        <v>2048</v>
      </c>
      <c r="BD209" s="1">
        <v>2049</v>
      </c>
      <c r="BE209" s="1">
        <v>2050</v>
      </c>
    </row>
    <row r="210" spans="1:57" x14ac:dyDescent="0.25">
      <c r="A210" s="1" t="str">
        <f>'Population Definitions'!$A$2</f>
        <v>PWID_males</v>
      </c>
      <c r="B210" t="s">
        <v>62</v>
      </c>
      <c r="C210" t="s">
        <v>34</v>
      </c>
      <c r="D210" s="3"/>
      <c r="E210" s="3">
        <v>0</v>
      </c>
      <c r="F210" s="4" t="s">
        <v>39</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row>
    <row r="211" spans="1:57" x14ac:dyDescent="0.25">
      <c r="A211" s="1" t="str">
        <f>'Population Definitions'!$A$3</f>
        <v>PWID_females</v>
      </c>
      <c r="B211" t="s">
        <v>62</v>
      </c>
      <c r="C211" t="s">
        <v>34</v>
      </c>
      <c r="D211" s="3"/>
      <c r="E211" s="3">
        <v>0</v>
      </c>
      <c r="F211" s="4" t="s">
        <v>39</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row>
    <row r="212" spans="1:57" x14ac:dyDescent="0.25">
      <c r="A212" s="1" t="str">
        <f>'Population Definitions'!$A$4</f>
        <v>0-9_males</v>
      </c>
      <c r="B212" t="s">
        <v>62</v>
      </c>
      <c r="C212" t="s">
        <v>34</v>
      </c>
      <c r="D212" s="3"/>
      <c r="E212" s="3">
        <v>0</v>
      </c>
      <c r="F212" s="4" t="s">
        <v>39</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row>
    <row r="213" spans="1:57" x14ac:dyDescent="0.25">
      <c r="A213" s="1" t="str">
        <f>'Population Definitions'!$A$5</f>
        <v>0-9_females</v>
      </c>
      <c r="B213" t="s">
        <v>62</v>
      </c>
      <c r="C213" t="s">
        <v>34</v>
      </c>
      <c r="D213" s="3"/>
      <c r="E213" s="3">
        <v>0</v>
      </c>
      <c r="F213" s="4" t="s">
        <v>39</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row>
    <row r="214" spans="1:57" x14ac:dyDescent="0.25">
      <c r="A214" s="1" t="str">
        <f>'Population Definitions'!$A$6</f>
        <v>10-17_males</v>
      </c>
      <c r="B214" t="s">
        <v>62</v>
      </c>
      <c r="C214" t="s">
        <v>34</v>
      </c>
      <c r="D214" s="3"/>
      <c r="E214" s="3">
        <v>0</v>
      </c>
      <c r="F214" s="4" t="s">
        <v>39</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row>
    <row r="215" spans="1:57" x14ac:dyDescent="0.25">
      <c r="A215" s="1" t="str">
        <f>'Population Definitions'!$A$7</f>
        <v>10-17_females</v>
      </c>
      <c r="B215" t="s">
        <v>62</v>
      </c>
      <c r="C215" t="s">
        <v>34</v>
      </c>
      <c r="D215" s="3"/>
      <c r="E215" s="3">
        <v>0</v>
      </c>
      <c r="F215" s="4" t="s">
        <v>39</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row>
    <row r="216" spans="1:57" x14ac:dyDescent="0.25">
      <c r="A216" s="1" t="str">
        <f>'Population Definitions'!$A$8</f>
        <v>18-64_males</v>
      </c>
      <c r="B216" t="s">
        <v>62</v>
      </c>
      <c r="C216" t="s">
        <v>34</v>
      </c>
      <c r="D216" s="3"/>
      <c r="E216" s="3">
        <v>0</v>
      </c>
      <c r="F216" s="4" t="s">
        <v>39</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row>
    <row r="217" spans="1:57" x14ac:dyDescent="0.25">
      <c r="A217" s="1" t="str">
        <f>'Population Definitions'!$A$9</f>
        <v>18-64_females</v>
      </c>
      <c r="B217" t="s">
        <v>62</v>
      </c>
      <c r="C217" t="s">
        <v>34</v>
      </c>
      <c r="D217" s="3"/>
      <c r="E217" s="3">
        <v>0</v>
      </c>
      <c r="F217" s="4" t="s">
        <v>39</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row>
    <row r="218" spans="1:57" x14ac:dyDescent="0.25">
      <c r="A218" s="1" t="str">
        <f>'Population Definitions'!$A$10</f>
        <v>65+_males</v>
      </c>
      <c r="B218" t="s">
        <v>62</v>
      </c>
      <c r="C218" t="s">
        <v>34</v>
      </c>
      <c r="D218" s="3"/>
      <c r="E218" s="3">
        <v>0</v>
      </c>
      <c r="F218" s="4" t="s">
        <v>39</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row>
    <row r="219" spans="1:57" x14ac:dyDescent="0.25">
      <c r="A219" s="1" t="str">
        <f>'Population Definitions'!$A$11</f>
        <v>65+_females</v>
      </c>
      <c r="B219" t="s">
        <v>62</v>
      </c>
      <c r="C219" t="s">
        <v>34</v>
      </c>
      <c r="D219" s="3"/>
      <c r="E219" s="3">
        <v>0</v>
      </c>
      <c r="F219" s="4" t="s">
        <v>39</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row>
    <row r="220" spans="1:57" x14ac:dyDescent="0.25">
      <c r="A220" s="1" t="str">
        <f>'Population Definitions'!$A$12</f>
        <v>Prisoners_males</v>
      </c>
      <c r="B220" t="s">
        <v>62</v>
      </c>
      <c r="C220" t="s">
        <v>34</v>
      </c>
      <c r="D220" s="3"/>
      <c r="E220" s="3">
        <v>0</v>
      </c>
      <c r="F220" s="4" t="s">
        <v>39</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row>
    <row r="221" spans="1:57" x14ac:dyDescent="0.25">
      <c r="A221" s="1" t="str">
        <f>'Population Definitions'!$A$13</f>
        <v>Prisoners_females</v>
      </c>
      <c r="B221" t="s">
        <v>62</v>
      </c>
      <c r="C221" t="s">
        <v>34</v>
      </c>
      <c r="D221" s="3"/>
      <c r="E221" s="3">
        <v>0</v>
      </c>
      <c r="F221" s="4" t="s">
        <v>39</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row>
    <row r="222" spans="1:57" x14ac:dyDescent="0.25">
      <c r="A222" s="1" t="str">
        <f>'Population Definitions'!$A$14</f>
        <v>Prisoners_PWID_males</v>
      </c>
      <c r="B222" t="s">
        <v>62</v>
      </c>
      <c r="C222" t="s">
        <v>34</v>
      </c>
      <c r="D222" s="3"/>
      <c r="E222" s="3">
        <v>0</v>
      </c>
      <c r="F222" s="4" t="s">
        <v>39</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row>
    <row r="223" spans="1:57" x14ac:dyDescent="0.25">
      <c r="A223" s="1" t="str">
        <f>'Population Definitions'!$A$15</f>
        <v>Prisoners_PWID_females</v>
      </c>
      <c r="B223" t="s">
        <v>62</v>
      </c>
      <c r="C223" t="s">
        <v>34</v>
      </c>
      <c r="D223" s="3"/>
      <c r="E223" s="3">
        <v>0</v>
      </c>
      <c r="F223" s="4" t="s">
        <v>39</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row>
    <row r="225" spans="1:57" x14ac:dyDescent="0.25">
      <c r="A225" s="1" t="s">
        <v>141</v>
      </c>
      <c r="B225" s="1" t="s">
        <v>31</v>
      </c>
      <c r="C225" s="1" t="s">
        <v>32</v>
      </c>
      <c r="D225" s="1" t="s">
        <v>33</v>
      </c>
      <c r="E225" s="1" t="s">
        <v>38</v>
      </c>
      <c r="F225" s="1"/>
      <c r="G225" s="1">
        <v>2000</v>
      </c>
      <c r="H225" s="1">
        <v>2001</v>
      </c>
      <c r="I225" s="1">
        <v>2002</v>
      </c>
      <c r="J225" s="1">
        <v>2003</v>
      </c>
      <c r="K225" s="1">
        <v>2004</v>
      </c>
      <c r="L225" s="1">
        <v>2005</v>
      </c>
      <c r="M225" s="1">
        <v>2006</v>
      </c>
      <c r="N225" s="1">
        <v>2007</v>
      </c>
      <c r="O225" s="1">
        <v>2008</v>
      </c>
      <c r="P225" s="1">
        <v>2009</v>
      </c>
      <c r="Q225" s="1">
        <v>2010</v>
      </c>
      <c r="R225" s="1">
        <v>2011</v>
      </c>
      <c r="S225" s="1">
        <v>2012</v>
      </c>
      <c r="T225" s="1">
        <v>2013</v>
      </c>
      <c r="U225" s="1">
        <v>2014</v>
      </c>
      <c r="V225" s="1">
        <v>2015</v>
      </c>
      <c r="W225" s="1">
        <v>2016</v>
      </c>
      <c r="X225" s="1">
        <v>2017</v>
      </c>
      <c r="Y225" s="1">
        <v>2018</v>
      </c>
      <c r="Z225" s="1">
        <v>2019</v>
      </c>
      <c r="AA225" s="1">
        <v>2020</v>
      </c>
      <c r="AB225" s="1">
        <v>2021</v>
      </c>
      <c r="AC225" s="1">
        <v>2022</v>
      </c>
      <c r="AD225" s="1">
        <v>2023</v>
      </c>
      <c r="AE225" s="1">
        <v>2024</v>
      </c>
      <c r="AF225" s="1">
        <v>2025</v>
      </c>
      <c r="AG225" s="1">
        <v>2026</v>
      </c>
      <c r="AH225" s="1">
        <v>2027</v>
      </c>
      <c r="AI225" s="1">
        <v>2028</v>
      </c>
      <c r="AJ225" s="1">
        <v>2029</v>
      </c>
      <c r="AK225" s="1">
        <v>2030</v>
      </c>
      <c r="AL225" s="1">
        <v>2031</v>
      </c>
      <c r="AM225" s="1">
        <v>2032</v>
      </c>
      <c r="AN225" s="1">
        <v>2033</v>
      </c>
      <c r="AO225" s="1">
        <v>2034</v>
      </c>
      <c r="AP225" s="1">
        <v>2035</v>
      </c>
      <c r="AQ225" s="1">
        <v>2036</v>
      </c>
      <c r="AR225" s="1">
        <v>2037</v>
      </c>
      <c r="AS225" s="1">
        <v>2038</v>
      </c>
      <c r="AT225" s="1">
        <v>2039</v>
      </c>
      <c r="AU225" s="1">
        <v>2040</v>
      </c>
      <c r="AV225" s="1">
        <v>2041</v>
      </c>
      <c r="AW225" s="1">
        <v>2042</v>
      </c>
      <c r="AX225" s="1">
        <v>2043</v>
      </c>
      <c r="AY225" s="1">
        <v>2044</v>
      </c>
      <c r="AZ225" s="1">
        <v>2045</v>
      </c>
      <c r="BA225" s="1">
        <v>2046</v>
      </c>
      <c r="BB225" s="1">
        <v>2047</v>
      </c>
      <c r="BC225" s="1">
        <v>2048</v>
      </c>
      <c r="BD225" s="1">
        <v>2049</v>
      </c>
      <c r="BE225" s="1">
        <v>2050</v>
      </c>
    </row>
    <row r="226" spans="1:57" x14ac:dyDescent="0.25">
      <c r="A226" s="1" t="str">
        <f>'Population Definitions'!$A$2</f>
        <v>PWID_males</v>
      </c>
      <c r="B226" t="s">
        <v>62</v>
      </c>
      <c r="C226" t="s">
        <v>34</v>
      </c>
      <c r="D226" s="3"/>
      <c r="E226" s="3">
        <v>0</v>
      </c>
      <c r="F226" s="4" t="s">
        <v>39</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row>
    <row r="227" spans="1:57" x14ac:dyDescent="0.25">
      <c r="A227" s="1" t="str">
        <f>'Population Definitions'!$A$3</f>
        <v>PWID_females</v>
      </c>
      <c r="B227" t="s">
        <v>62</v>
      </c>
      <c r="C227" t="s">
        <v>34</v>
      </c>
      <c r="D227" s="3"/>
      <c r="E227" s="3">
        <v>0</v>
      </c>
      <c r="F227" s="4" t="s">
        <v>39</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row>
    <row r="228" spans="1:57" x14ac:dyDescent="0.25">
      <c r="A228" s="1" t="str">
        <f>'Population Definitions'!$A$4</f>
        <v>0-9_males</v>
      </c>
      <c r="B228" t="s">
        <v>62</v>
      </c>
      <c r="C228" t="s">
        <v>34</v>
      </c>
      <c r="D228" s="3"/>
      <c r="E228" s="3">
        <v>0</v>
      </c>
      <c r="F228" s="4" t="s">
        <v>39</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row>
    <row r="229" spans="1:57" x14ac:dyDescent="0.25">
      <c r="A229" s="1" t="str">
        <f>'Population Definitions'!$A$5</f>
        <v>0-9_females</v>
      </c>
      <c r="B229" t="s">
        <v>62</v>
      </c>
      <c r="C229" t="s">
        <v>34</v>
      </c>
      <c r="D229" s="3"/>
      <c r="E229" s="3">
        <v>0</v>
      </c>
      <c r="F229" s="4" t="s">
        <v>39</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row>
    <row r="230" spans="1:57" x14ac:dyDescent="0.25">
      <c r="A230" s="1" t="str">
        <f>'Population Definitions'!$A$6</f>
        <v>10-17_males</v>
      </c>
      <c r="B230" t="s">
        <v>62</v>
      </c>
      <c r="C230" t="s">
        <v>34</v>
      </c>
      <c r="D230" s="3"/>
      <c r="E230" s="3">
        <v>0</v>
      </c>
      <c r="F230" s="4" t="s">
        <v>39</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row>
    <row r="231" spans="1:57" x14ac:dyDescent="0.25">
      <c r="A231" s="1" t="str">
        <f>'Population Definitions'!$A$7</f>
        <v>10-17_females</v>
      </c>
      <c r="B231" t="s">
        <v>62</v>
      </c>
      <c r="C231" t="s">
        <v>34</v>
      </c>
      <c r="D231" s="3"/>
      <c r="E231" s="3">
        <v>0</v>
      </c>
      <c r="F231" s="4" t="s">
        <v>39</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row>
    <row r="232" spans="1:57" x14ac:dyDescent="0.25">
      <c r="A232" s="1" t="str">
        <f>'Population Definitions'!$A$8</f>
        <v>18-64_males</v>
      </c>
      <c r="B232" t="s">
        <v>62</v>
      </c>
      <c r="C232" t="s">
        <v>34</v>
      </c>
      <c r="D232" s="3"/>
      <c r="E232" s="3">
        <v>0</v>
      </c>
      <c r="F232" s="4" t="s">
        <v>39</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row>
    <row r="233" spans="1:57" x14ac:dyDescent="0.25">
      <c r="A233" s="1" t="str">
        <f>'Population Definitions'!$A$9</f>
        <v>18-64_females</v>
      </c>
      <c r="B233" t="s">
        <v>62</v>
      </c>
      <c r="C233" t="s">
        <v>34</v>
      </c>
      <c r="D233" s="3"/>
      <c r="E233" s="3">
        <v>0</v>
      </c>
      <c r="F233" s="4" t="s">
        <v>39</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row>
    <row r="234" spans="1:57" x14ac:dyDescent="0.25">
      <c r="A234" s="1" t="str">
        <f>'Population Definitions'!$A$10</f>
        <v>65+_males</v>
      </c>
      <c r="B234" t="s">
        <v>62</v>
      </c>
      <c r="C234" t="s">
        <v>34</v>
      </c>
      <c r="D234" s="3"/>
      <c r="E234" s="3">
        <v>0</v>
      </c>
      <c r="F234" s="4" t="s">
        <v>39</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row>
    <row r="235" spans="1:57" x14ac:dyDescent="0.25">
      <c r="A235" s="1" t="str">
        <f>'Population Definitions'!$A$11</f>
        <v>65+_females</v>
      </c>
      <c r="B235" t="s">
        <v>62</v>
      </c>
      <c r="C235" t="s">
        <v>34</v>
      </c>
      <c r="D235" s="3"/>
      <c r="E235" s="3">
        <v>0</v>
      </c>
      <c r="F235" s="4" t="s">
        <v>39</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row>
    <row r="236" spans="1:57" x14ac:dyDescent="0.25">
      <c r="A236" s="1" t="str">
        <f>'Population Definitions'!$A$12</f>
        <v>Prisoners_males</v>
      </c>
      <c r="B236" t="s">
        <v>62</v>
      </c>
      <c r="C236" t="s">
        <v>34</v>
      </c>
      <c r="D236" s="3"/>
      <c r="E236" s="3">
        <v>0</v>
      </c>
      <c r="F236" s="4" t="s">
        <v>39</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row>
    <row r="237" spans="1:57" x14ac:dyDescent="0.25">
      <c r="A237" s="1" t="str">
        <f>'Population Definitions'!$A$13</f>
        <v>Prisoners_females</v>
      </c>
      <c r="B237" t="s">
        <v>62</v>
      </c>
      <c r="C237" t="s">
        <v>34</v>
      </c>
      <c r="D237" s="3"/>
      <c r="E237" s="3">
        <v>0</v>
      </c>
      <c r="F237" s="4" t="s">
        <v>39</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row>
    <row r="238" spans="1:57" x14ac:dyDescent="0.25">
      <c r="A238" s="1" t="str">
        <f>'Population Definitions'!$A$14</f>
        <v>Prisoners_PWID_males</v>
      </c>
      <c r="B238" t="s">
        <v>62</v>
      </c>
      <c r="C238" t="s">
        <v>34</v>
      </c>
      <c r="D238" s="3"/>
      <c r="E238" s="3">
        <v>0</v>
      </c>
      <c r="F238" s="4" t="s">
        <v>39</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row>
    <row r="239" spans="1:57" x14ac:dyDescent="0.25">
      <c r="A239" s="1" t="str">
        <f>'Population Definitions'!$A$15</f>
        <v>Prisoners_PWID_females</v>
      </c>
      <c r="B239" t="s">
        <v>62</v>
      </c>
      <c r="C239" t="s">
        <v>34</v>
      </c>
      <c r="D239" s="3"/>
      <c r="E239" s="3">
        <v>0</v>
      </c>
      <c r="F239" s="4" t="s">
        <v>39</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row>
    <row r="241" spans="1:57" x14ac:dyDescent="0.25">
      <c r="A241" s="1" t="s">
        <v>142</v>
      </c>
      <c r="B241" s="1" t="s">
        <v>31</v>
      </c>
      <c r="C241" s="1" t="s">
        <v>32</v>
      </c>
      <c r="D241" s="1" t="s">
        <v>33</v>
      </c>
      <c r="E241" s="1" t="s">
        <v>38</v>
      </c>
      <c r="F241" s="1"/>
      <c r="G241" s="1">
        <v>2000</v>
      </c>
      <c r="H241" s="1">
        <v>2001</v>
      </c>
      <c r="I241" s="1">
        <v>2002</v>
      </c>
      <c r="J241" s="1">
        <v>2003</v>
      </c>
      <c r="K241" s="1">
        <v>2004</v>
      </c>
      <c r="L241" s="1">
        <v>2005</v>
      </c>
      <c r="M241" s="1">
        <v>2006</v>
      </c>
      <c r="N241" s="1">
        <v>2007</v>
      </c>
      <c r="O241" s="1">
        <v>2008</v>
      </c>
      <c r="P241" s="1">
        <v>2009</v>
      </c>
      <c r="Q241" s="1">
        <v>2010</v>
      </c>
      <c r="R241" s="1">
        <v>2011</v>
      </c>
      <c r="S241" s="1">
        <v>2012</v>
      </c>
      <c r="T241" s="1">
        <v>2013</v>
      </c>
      <c r="U241" s="1">
        <v>2014</v>
      </c>
      <c r="V241" s="1">
        <v>2015</v>
      </c>
      <c r="W241" s="1">
        <v>2016</v>
      </c>
      <c r="X241" s="1">
        <v>2017</v>
      </c>
      <c r="Y241" s="1">
        <v>2018</v>
      </c>
      <c r="Z241" s="1">
        <v>2019</v>
      </c>
      <c r="AA241" s="1">
        <v>2020</v>
      </c>
      <c r="AB241" s="1">
        <v>2021</v>
      </c>
      <c r="AC241" s="1">
        <v>2022</v>
      </c>
      <c r="AD241" s="1">
        <v>2023</v>
      </c>
      <c r="AE241" s="1">
        <v>2024</v>
      </c>
      <c r="AF241" s="1">
        <v>2025</v>
      </c>
      <c r="AG241" s="1">
        <v>2026</v>
      </c>
      <c r="AH241" s="1">
        <v>2027</v>
      </c>
      <c r="AI241" s="1">
        <v>2028</v>
      </c>
      <c r="AJ241" s="1">
        <v>2029</v>
      </c>
      <c r="AK241" s="1">
        <v>2030</v>
      </c>
      <c r="AL241" s="1">
        <v>2031</v>
      </c>
      <c r="AM241" s="1">
        <v>2032</v>
      </c>
      <c r="AN241" s="1">
        <v>2033</v>
      </c>
      <c r="AO241" s="1">
        <v>2034</v>
      </c>
      <c r="AP241" s="1">
        <v>2035</v>
      </c>
      <c r="AQ241" s="1">
        <v>2036</v>
      </c>
      <c r="AR241" s="1">
        <v>2037</v>
      </c>
      <c r="AS241" s="1">
        <v>2038</v>
      </c>
      <c r="AT241" s="1">
        <v>2039</v>
      </c>
      <c r="AU241" s="1">
        <v>2040</v>
      </c>
      <c r="AV241" s="1">
        <v>2041</v>
      </c>
      <c r="AW241" s="1">
        <v>2042</v>
      </c>
      <c r="AX241" s="1">
        <v>2043</v>
      </c>
      <c r="AY241" s="1">
        <v>2044</v>
      </c>
      <c r="AZ241" s="1">
        <v>2045</v>
      </c>
      <c r="BA241" s="1">
        <v>2046</v>
      </c>
      <c r="BB241" s="1">
        <v>2047</v>
      </c>
      <c r="BC241" s="1">
        <v>2048</v>
      </c>
      <c r="BD241" s="1">
        <v>2049</v>
      </c>
      <c r="BE241" s="1">
        <v>2050</v>
      </c>
    </row>
    <row r="242" spans="1:57" x14ac:dyDescent="0.25">
      <c r="A242" s="1" t="str">
        <f>'Population Definitions'!$A$2</f>
        <v>PWID_males</v>
      </c>
      <c r="B242" t="s">
        <v>62</v>
      </c>
      <c r="C242" t="s">
        <v>34</v>
      </c>
      <c r="D242" s="3"/>
      <c r="E242" s="3">
        <v>0</v>
      </c>
      <c r="F242" s="4" t="s">
        <v>39</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row>
    <row r="243" spans="1:57" x14ac:dyDescent="0.25">
      <c r="A243" s="1" t="str">
        <f>'Population Definitions'!$A$3</f>
        <v>PWID_females</v>
      </c>
      <c r="B243" t="s">
        <v>62</v>
      </c>
      <c r="C243" t="s">
        <v>34</v>
      </c>
      <c r="D243" s="3"/>
      <c r="E243" s="3">
        <v>0</v>
      </c>
      <c r="F243" s="4" t="s">
        <v>39</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row>
    <row r="244" spans="1:57" x14ac:dyDescent="0.25">
      <c r="A244" s="1" t="str">
        <f>'Population Definitions'!$A$4</f>
        <v>0-9_males</v>
      </c>
      <c r="B244" t="s">
        <v>62</v>
      </c>
      <c r="C244" t="s">
        <v>34</v>
      </c>
      <c r="D244" s="3"/>
      <c r="E244" s="3">
        <v>0</v>
      </c>
      <c r="F244" s="4" t="s">
        <v>39</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row>
    <row r="245" spans="1:57" x14ac:dyDescent="0.25">
      <c r="A245" s="1" t="str">
        <f>'Population Definitions'!$A$5</f>
        <v>0-9_females</v>
      </c>
      <c r="B245" t="s">
        <v>62</v>
      </c>
      <c r="C245" t="s">
        <v>34</v>
      </c>
      <c r="D245" s="3"/>
      <c r="E245" s="3">
        <v>0</v>
      </c>
      <c r="F245" s="4" t="s">
        <v>39</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row>
    <row r="246" spans="1:57" x14ac:dyDescent="0.25">
      <c r="A246" s="1" t="str">
        <f>'Population Definitions'!$A$6</f>
        <v>10-17_males</v>
      </c>
      <c r="B246" t="s">
        <v>62</v>
      </c>
      <c r="C246" t="s">
        <v>34</v>
      </c>
      <c r="D246" s="3"/>
      <c r="E246" s="3">
        <v>0</v>
      </c>
      <c r="F246" s="4" t="s">
        <v>39</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row>
    <row r="247" spans="1:57" x14ac:dyDescent="0.25">
      <c r="A247" s="1" t="str">
        <f>'Population Definitions'!$A$7</f>
        <v>10-17_females</v>
      </c>
      <c r="B247" t="s">
        <v>62</v>
      </c>
      <c r="C247" t="s">
        <v>34</v>
      </c>
      <c r="D247" s="3"/>
      <c r="E247" s="3">
        <v>0</v>
      </c>
      <c r="F247" s="4" t="s">
        <v>39</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row>
    <row r="248" spans="1:57" x14ac:dyDescent="0.25">
      <c r="A248" s="1" t="str">
        <f>'Population Definitions'!$A$8</f>
        <v>18-64_males</v>
      </c>
      <c r="B248" t="s">
        <v>62</v>
      </c>
      <c r="C248" t="s">
        <v>34</v>
      </c>
      <c r="D248" s="3"/>
      <c r="E248" s="3">
        <v>0</v>
      </c>
      <c r="F248" s="4" t="s">
        <v>39</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row>
    <row r="249" spans="1:57" x14ac:dyDescent="0.25">
      <c r="A249" s="1" t="str">
        <f>'Population Definitions'!$A$9</f>
        <v>18-64_females</v>
      </c>
      <c r="B249" t="s">
        <v>62</v>
      </c>
      <c r="C249" t="s">
        <v>34</v>
      </c>
      <c r="D249" s="3"/>
      <c r="E249" s="3">
        <v>0</v>
      </c>
      <c r="F249" s="4" t="s">
        <v>39</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row>
    <row r="250" spans="1:57" x14ac:dyDescent="0.25">
      <c r="A250" s="1" t="str">
        <f>'Population Definitions'!$A$10</f>
        <v>65+_males</v>
      </c>
      <c r="B250" t="s">
        <v>62</v>
      </c>
      <c r="C250" t="s">
        <v>34</v>
      </c>
      <c r="D250" s="3"/>
      <c r="E250" s="3">
        <v>0</v>
      </c>
      <c r="F250" s="4" t="s">
        <v>39</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row>
    <row r="251" spans="1:57" x14ac:dyDescent="0.25">
      <c r="A251" s="1" t="str">
        <f>'Population Definitions'!$A$11</f>
        <v>65+_females</v>
      </c>
      <c r="B251" t="s">
        <v>62</v>
      </c>
      <c r="C251" t="s">
        <v>34</v>
      </c>
      <c r="D251" s="3"/>
      <c r="E251" s="3">
        <v>0</v>
      </c>
      <c r="F251" s="4" t="s">
        <v>39</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row>
    <row r="252" spans="1:57" x14ac:dyDescent="0.25">
      <c r="A252" s="1" t="str">
        <f>'Population Definitions'!$A$12</f>
        <v>Prisoners_males</v>
      </c>
      <c r="B252" t="s">
        <v>62</v>
      </c>
      <c r="C252" t="s">
        <v>34</v>
      </c>
      <c r="D252" s="3"/>
      <c r="E252" s="3">
        <v>0</v>
      </c>
      <c r="F252" s="4" t="s">
        <v>39</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row>
    <row r="253" spans="1:57" x14ac:dyDescent="0.25">
      <c r="A253" s="1" t="str">
        <f>'Population Definitions'!$A$13</f>
        <v>Prisoners_females</v>
      </c>
      <c r="B253" t="s">
        <v>62</v>
      </c>
      <c r="C253" t="s">
        <v>34</v>
      </c>
      <c r="D253" s="3"/>
      <c r="E253" s="3">
        <v>0</v>
      </c>
      <c r="F253" s="4" t="s">
        <v>39</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row>
    <row r="254" spans="1:57" x14ac:dyDescent="0.25">
      <c r="A254" s="1" t="str">
        <f>'Population Definitions'!$A$14</f>
        <v>Prisoners_PWID_males</v>
      </c>
      <c r="B254" t="s">
        <v>62</v>
      </c>
      <c r="C254" t="s">
        <v>34</v>
      </c>
      <c r="D254" s="3"/>
      <c r="E254" s="3">
        <v>0</v>
      </c>
      <c r="F254" s="4" t="s">
        <v>39</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row>
    <row r="255" spans="1:57" x14ac:dyDescent="0.25">
      <c r="A255" s="1" t="str">
        <f>'Population Definitions'!$A$15</f>
        <v>Prisoners_PWID_females</v>
      </c>
      <c r="B255" t="s">
        <v>62</v>
      </c>
      <c r="C255" t="s">
        <v>34</v>
      </c>
      <c r="D255" s="3"/>
      <c r="E255" s="3">
        <v>0</v>
      </c>
      <c r="F255" s="4" t="s">
        <v>39</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row>
    <row r="257" spans="1:57" x14ac:dyDescent="0.25">
      <c r="A257" s="1" t="s">
        <v>143</v>
      </c>
      <c r="B257" s="1" t="s">
        <v>31</v>
      </c>
      <c r="C257" s="1" t="s">
        <v>32</v>
      </c>
      <c r="D257" s="1" t="s">
        <v>33</v>
      </c>
      <c r="E257" s="1" t="s">
        <v>38</v>
      </c>
      <c r="F257" s="1"/>
      <c r="G257" s="1">
        <v>2000</v>
      </c>
      <c r="H257" s="1">
        <v>2001</v>
      </c>
      <c r="I257" s="1">
        <v>2002</v>
      </c>
      <c r="J257" s="1">
        <v>2003</v>
      </c>
      <c r="K257" s="1">
        <v>2004</v>
      </c>
      <c r="L257" s="1">
        <v>2005</v>
      </c>
      <c r="M257" s="1">
        <v>2006</v>
      </c>
      <c r="N257" s="1">
        <v>2007</v>
      </c>
      <c r="O257" s="1">
        <v>2008</v>
      </c>
      <c r="P257" s="1">
        <v>2009</v>
      </c>
      <c r="Q257" s="1">
        <v>2010</v>
      </c>
      <c r="R257" s="1">
        <v>2011</v>
      </c>
      <c r="S257" s="1">
        <v>2012</v>
      </c>
      <c r="T257" s="1">
        <v>2013</v>
      </c>
      <c r="U257" s="1">
        <v>2014</v>
      </c>
      <c r="V257" s="1">
        <v>2015</v>
      </c>
      <c r="W257" s="1">
        <v>2016</v>
      </c>
      <c r="X257" s="1">
        <v>2017</v>
      </c>
      <c r="Y257" s="1">
        <v>2018</v>
      </c>
      <c r="Z257" s="1">
        <v>2019</v>
      </c>
      <c r="AA257" s="1">
        <v>2020</v>
      </c>
      <c r="AB257" s="1">
        <v>2021</v>
      </c>
      <c r="AC257" s="1">
        <v>2022</v>
      </c>
      <c r="AD257" s="1">
        <v>2023</v>
      </c>
      <c r="AE257" s="1">
        <v>2024</v>
      </c>
      <c r="AF257" s="1">
        <v>2025</v>
      </c>
      <c r="AG257" s="1">
        <v>2026</v>
      </c>
      <c r="AH257" s="1">
        <v>2027</v>
      </c>
      <c r="AI257" s="1">
        <v>2028</v>
      </c>
      <c r="AJ257" s="1">
        <v>2029</v>
      </c>
      <c r="AK257" s="1">
        <v>2030</v>
      </c>
      <c r="AL257" s="1">
        <v>2031</v>
      </c>
      <c r="AM257" s="1">
        <v>2032</v>
      </c>
      <c r="AN257" s="1">
        <v>2033</v>
      </c>
      <c r="AO257" s="1">
        <v>2034</v>
      </c>
      <c r="AP257" s="1">
        <v>2035</v>
      </c>
      <c r="AQ257" s="1">
        <v>2036</v>
      </c>
      <c r="AR257" s="1">
        <v>2037</v>
      </c>
      <c r="AS257" s="1">
        <v>2038</v>
      </c>
      <c r="AT257" s="1">
        <v>2039</v>
      </c>
      <c r="AU257" s="1">
        <v>2040</v>
      </c>
      <c r="AV257" s="1">
        <v>2041</v>
      </c>
      <c r="AW257" s="1">
        <v>2042</v>
      </c>
      <c r="AX257" s="1">
        <v>2043</v>
      </c>
      <c r="AY257" s="1">
        <v>2044</v>
      </c>
      <c r="AZ257" s="1">
        <v>2045</v>
      </c>
      <c r="BA257" s="1">
        <v>2046</v>
      </c>
      <c r="BB257" s="1">
        <v>2047</v>
      </c>
      <c r="BC257" s="1">
        <v>2048</v>
      </c>
      <c r="BD257" s="1">
        <v>2049</v>
      </c>
      <c r="BE257" s="1">
        <v>2050</v>
      </c>
    </row>
    <row r="258" spans="1:57" x14ac:dyDescent="0.25">
      <c r="A258" s="1" t="str">
        <f>'Population Definitions'!$A$2</f>
        <v>PWID_males</v>
      </c>
      <c r="B258" t="s">
        <v>62</v>
      </c>
      <c r="C258" t="s">
        <v>34</v>
      </c>
      <c r="D258" s="3"/>
      <c r="E258" s="3">
        <v>0</v>
      </c>
      <c r="F258" s="4" t="s">
        <v>39</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row>
    <row r="259" spans="1:57" x14ac:dyDescent="0.25">
      <c r="A259" s="1" t="str">
        <f>'Population Definitions'!$A$3</f>
        <v>PWID_females</v>
      </c>
      <c r="B259" t="s">
        <v>62</v>
      </c>
      <c r="C259" t="s">
        <v>34</v>
      </c>
      <c r="D259" s="3"/>
      <c r="E259" s="3">
        <v>0</v>
      </c>
      <c r="F259" s="4" t="s">
        <v>39</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row>
    <row r="260" spans="1:57" x14ac:dyDescent="0.25">
      <c r="A260" s="1" t="str">
        <f>'Population Definitions'!$A$4</f>
        <v>0-9_males</v>
      </c>
      <c r="B260" t="s">
        <v>62</v>
      </c>
      <c r="C260" t="s">
        <v>34</v>
      </c>
      <c r="D260" s="3"/>
      <c r="E260" s="3">
        <v>0</v>
      </c>
      <c r="F260" s="4" t="s">
        <v>39</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row>
    <row r="261" spans="1:57" x14ac:dyDescent="0.25">
      <c r="A261" s="1" t="str">
        <f>'Population Definitions'!$A$5</f>
        <v>0-9_females</v>
      </c>
      <c r="B261" t="s">
        <v>62</v>
      </c>
      <c r="C261" t="s">
        <v>34</v>
      </c>
      <c r="D261" s="3"/>
      <c r="E261" s="3">
        <v>0</v>
      </c>
      <c r="F261" s="4" t="s">
        <v>39</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row>
    <row r="262" spans="1:57" x14ac:dyDescent="0.25">
      <c r="A262" s="1" t="str">
        <f>'Population Definitions'!$A$6</f>
        <v>10-17_males</v>
      </c>
      <c r="B262" t="s">
        <v>62</v>
      </c>
      <c r="C262" t="s">
        <v>34</v>
      </c>
      <c r="D262" s="3"/>
      <c r="E262" s="3">
        <v>0</v>
      </c>
      <c r="F262" s="4" t="s">
        <v>39</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row>
    <row r="263" spans="1:57" x14ac:dyDescent="0.25">
      <c r="A263" s="1" t="str">
        <f>'Population Definitions'!$A$7</f>
        <v>10-17_females</v>
      </c>
      <c r="B263" t="s">
        <v>62</v>
      </c>
      <c r="C263" t="s">
        <v>34</v>
      </c>
      <c r="D263" s="3"/>
      <c r="E263" s="3">
        <v>0</v>
      </c>
      <c r="F263" s="4" t="s">
        <v>39</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row>
    <row r="264" spans="1:57" x14ac:dyDescent="0.25">
      <c r="A264" s="1" t="str">
        <f>'Population Definitions'!$A$8</f>
        <v>18-64_males</v>
      </c>
      <c r="B264" t="s">
        <v>62</v>
      </c>
      <c r="C264" t="s">
        <v>34</v>
      </c>
      <c r="D264" s="3"/>
      <c r="E264" s="3">
        <v>0</v>
      </c>
      <c r="F264" s="4" t="s">
        <v>39</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row>
    <row r="265" spans="1:57" x14ac:dyDescent="0.25">
      <c r="A265" s="1" t="str">
        <f>'Population Definitions'!$A$9</f>
        <v>18-64_females</v>
      </c>
      <c r="B265" t="s">
        <v>62</v>
      </c>
      <c r="C265" t="s">
        <v>34</v>
      </c>
      <c r="D265" s="3"/>
      <c r="E265" s="3">
        <v>0</v>
      </c>
      <c r="F265" s="4" t="s">
        <v>39</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row>
    <row r="266" spans="1:57" x14ac:dyDescent="0.25">
      <c r="A266" s="1" t="str">
        <f>'Population Definitions'!$A$10</f>
        <v>65+_males</v>
      </c>
      <c r="B266" t="s">
        <v>62</v>
      </c>
      <c r="C266" t="s">
        <v>34</v>
      </c>
      <c r="D266" s="3"/>
      <c r="E266" s="3">
        <v>0</v>
      </c>
      <c r="F266" s="4" t="s">
        <v>39</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row>
    <row r="267" spans="1:57" x14ac:dyDescent="0.25">
      <c r="A267" s="1" t="str">
        <f>'Population Definitions'!$A$11</f>
        <v>65+_females</v>
      </c>
      <c r="B267" t="s">
        <v>62</v>
      </c>
      <c r="C267" t="s">
        <v>34</v>
      </c>
      <c r="D267" s="3"/>
      <c r="E267" s="3">
        <v>0</v>
      </c>
      <c r="F267" s="4" t="s">
        <v>39</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row>
    <row r="268" spans="1:57" x14ac:dyDescent="0.25">
      <c r="A268" s="1" t="str">
        <f>'Population Definitions'!$A$12</f>
        <v>Prisoners_males</v>
      </c>
      <c r="B268" t="s">
        <v>62</v>
      </c>
      <c r="C268" t="s">
        <v>34</v>
      </c>
      <c r="D268" s="3"/>
      <c r="E268" s="3">
        <v>0</v>
      </c>
      <c r="F268" s="4" t="s">
        <v>39</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row>
    <row r="269" spans="1:57" x14ac:dyDescent="0.25">
      <c r="A269" s="1" t="str">
        <f>'Population Definitions'!$A$13</f>
        <v>Prisoners_females</v>
      </c>
      <c r="B269" t="s">
        <v>62</v>
      </c>
      <c r="C269" t="s">
        <v>34</v>
      </c>
      <c r="D269" s="3"/>
      <c r="E269" s="3">
        <v>0</v>
      </c>
      <c r="F269" s="4" t="s">
        <v>39</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row>
    <row r="270" spans="1:57" x14ac:dyDescent="0.25">
      <c r="A270" s="1" t="str">
        <f>'Population Definitions'!$A$14</f>
        <v>Prisoners_PWID_males</v>
      </c>
      <c r="B270" t="s">
        <v>62</v>
      </c>
      <c r="C270" t="s">
        <v>34</v>
      </c>
      <c r="D270" s="3"/>
      <c r="E270" s="3">
        <v>0</v>
      </c>
      <c r="F270" s="4" t="s">
        <v>39</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row>
    <row r="271" spans="1:57" x14ac:dyDescent="0.25">
      <c r="A271" s="1" t="str">
        <f>'Population Definitions'!$A$15</f>
        <v>Prisoners_PWID_females</v>
      </c>
      <c r="B271" t="s">
        <v>62</v>
      </c>
      <c r="C271" t="s">
        <v>34</v>
      </c>
      <c r="D271" s="3"/>
      <c r="E271" s="3">
        <v>0</v>
      </c>
      <c r="F271" s="4" t="s">
        <v>39</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row>
    <row r="273" spans="1:57" x14ac:dyDescent="0.25">
      <c r="A273" s="1" t="s">
        <v>144</v>
      </c>
      <c r="B273" s="1" t="s">
        <v>31</v>
      </c>
      <c r="C273" s="1" t="s">
        <v>32</v>
      </c>
      <c r="D273" s="1" t="s">
        <v>33</v>
      </c>
      <c r="E273" s="1" t="s">
        <v>38</v>
      </c>
      <c r="F273" s="1"/>
      <c r="G273" s="1">
        <v>2000</v>
      </c>
      <c r="H273" s="1">
        <v>2001</v>
      </c>
      <c r="I273" s="1">
        <v>2002</v>
      </c>
      <c r="J273" s="1">
        <v>2003</v>
      </c>
      <c r="K273" s="1">
        <v>2004</v>
      </c>
      <c r="L273" s="1">
        <v>2005</v>
      </c>
      <c r="M273" s="1">
        <v>2006</v>
      </c>
      <c r="N273" s="1">
        <v>2007</v>
      </c>
      <c r="O273" s="1">
        <v>2008</v>
      </c>
      <c r="P273" s="1">
        <v>2009</v>
      </c>
      <c r="Q273" s="1">
        <v>2010</v>
      </c>
      <c r="R273" s="1">
        <v>2011</v>
      </c>
      <c r="S273" s="1">
        <v>2012</v>
      </c>
      <c r="T273" s="1">
        <v>2013</v>
      </c>
      <c r="U273" s="1">
        <v>2014</v>
      </c>
      <c r="V273" s="1">
        <v>2015</v>
      </c>
      <c r="W273" s="1">
        <v>2016</v>
      </c>
      <c r="X273" s="1">
        <v>2017</v>
      </c>
      <c r="Y273" s="1">
        <v>2018</v>
      </c>
      <c r="Z273" s="1">
        <v>2019</v>
      </c>
      <c r="AA273" s="1">
        <v>2020</v>
      </c>
      <c r="AB273" s="1">
        <v>2021</v>
      </c>
      <c r="AC273" s="1">
        <v>2022</v>
      </c>
      <c r="AD273" s="1">
        <v>2023</v>
      </c>
      <c r="AE273" s="1">
        <v>2024</v>
      </c>
      <c r="AF273" s="1">
        <v>2025</v>
      </c>
      <c r="AG273" s="1">
        <v>2026</v>
      </c>
      <c r="AH273" s="1">
        <v>2027</v>
      </c>
      <c r="AI273" s="1">
        <v>2028</v>
      </c>
      <c r="AJ273" s="1">
        <v>2029</v>
      </c>
      <c r="AK273" s="1">
        <v>2030</v>
      </c>
      <c r="AL273" s="1">
        <v>2031</v>
      </c>
      <c r="AM273" s="1">
        <v>2032</v>
      </c>
      <c r="AN273" s="1">
        <v>2033</v>
      </c>
      <c r="AO273" s="1">
        <v>2034</v>
      </c>
      <c r="AP273" s="1">
        <v>2035</v>
      </c>
      <c r="AQ273" s="1">
        <v>2036</v>
      </c>
      <c r="AR273" s="1">
        <v>2037</v>
      </c>
      <c r="AS273" s="1">
        <v>2038</v>
      </c>
      <c r="AT273" s="1">
        <v>2039</v>
      </c>
      <c r="AU273" s="1">
        <v>2040</v>
      </c>
      <c r="AV273" s="1">
        <v>2041</v>
      </c>
      <c r="AW273" s="1">
        <v>2042</v>
      </c>
      <c r="AX273" s="1">
        <v>2043</v>
      </c>
      <c r="AY273" s="1">
        <v>2044</v>
      </c>
      <c r="AZ273" s="1">
        <v>2045</v>
      </c>
      <c r="BA273" s="1">
        <v>2046</v>
      </c>
      <c r="BB273" s="1">
        <v>2047</v>
      </c>
      <c r="BC273" s="1">
        <v>2048</v>
      </c>
      <c r="BD273" s="1">
        <v>2049</v>
      </c>
      <c r="BE273" s="1">
        <v>2050</v>
      </c>
    </row>
    <row r="274" spans="1:57" x14ac:dyDescent="0.25">
      <c r="A274" s="1" t="str">
        <f>'Population Definitions'!$A$2</f>
        <v>PWID_males</v>
      </c>
      <c r="B274" t="s">
        <v>62</v>
      </c>
      <c r="C274" t="s">
        <v>34</v>
      </c>
      <c r="D274" s="3"/>
      <c r="E274" s="3">
        <v>0</v>
      </c>
      <c r="F274" s="4" t="s">
        <v>39</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row>
    <row r="275" spans="1:57" x14ac:dyDescent="0.25">
      <c r="A275" s="1" t="str">
        <f>'Population Definitions'!$A$3</f>
        <v>PWID_females</v>
      </c>
      <c r="B275" t="s">
        <v>62</v>
      </c>
      <c r="C275" t="s">
        <v>34</v>
      </c>
      <c r="D275" s="3"/>
      <c r="E275" s="3">
        <v>0</v>
      </c>
      <c r="F275" s="4" t="s">
        <v>39</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row>
    <row r="276" spans="1:57" x14ac:dyDescent="0.25">
      <c r="A276" s="1" t="str">
        <f>'Population Definitions'!$A$4</f>
        <v>0-9_males</v>
      </c>
      <c r="B276" t="s">
        <v>62</v>
      </c>
      <c r="C276" t="s">
        <v>34</v>
      </c>
      <c r="D276" s="3"/>
      <c r="E276" s="3">
        <v>0</v>
      </c>
      <c r="F276" s="4" t="s">
        <v>39</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row>
    <row r="277" spans="1:57" x14ac:dyDescent="0.25">
      <c r="A277" s="1" t="str">
        <f>'Population Definitions'!$A$5</f>
        <v>0-9_females</v>
      </c>
      <c r="B277" t="s">
        <v>62</v>
      </c>
      <c r="C277" t="s">
        <v>34</v>
      </c>
      <c r="D277" s="3"/>
      <c r="E277" s="3">
        <v>0</v>
      </c>
      <c r="F277" s="4" t="s">
        <v>39</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row>
    <row r="278" spans="1:57" x14ac:dyDescent="0.25">
      <c r="A278" s="1" t="str">
        <f>'Population Definitions'!$A$6</f>
        <v>10-17_males</v>
      </c>
      <c r="B278" t="s">
        <v>62</v>
      </c>
      <c r="C278" t="s">
        <v>34</v>
      </c>
      <c r="D278" s="3"/>
      <c r="E278" s="3">
        <v>0</v>
      </c>
      <c r="F278" s="4" t="s">
        <v>39</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row>
    <row r="279" spans="1:57" x14ac:dyDescent="0.25">
      <c r="A279" s="1" t="str">
        <f>'Population Definitions'!$A$7</f>
        <v>10-17_females</v>
      </c>
      <c r="B279" t="s">
        <v>62</v>
      </c>
      <c r="C279" t="s">
        <v>34</v>
      </c>
      <c r="D279" s="3"/>
      <c r="E279" s="3">
        <v>0</v>
      </c>
      <c r="F279" s="4" t="s">
        <v>39</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row>
    <row r="280" spans="1:57" x14ac:dyDescent="0.25">
      <c r="A280" s="1" t="str">
        <f>'Population Definitions'!$A$8</f>
        <v>18-64_males</v>
      </c>
      <c r="B280" t="s">
        <v>62</v>
      </c>
      <c r="C280" t="s">
        <v>34</v>
      </c>
      <c r="D280" s="3"/>
      <c r="E280" s="3">
        <v>0</v>
      </c>
      <c r="F280" s="4" t="s">
        <v>39</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row>
    <row r="281" spans="1:57" x14ac:dyDescent="0.25">
      <c r="A281" s="1" t="str">
        <f>'Population Definitions'!$A$9</f>
        <v>18-64_females</v>
      </c>
      <c r="B281" t="s">
        <v>62</v>
      </c>
      <c r="C281" t="s">
        <v>34</v>
      </c>
      <c r="D281" s="3"/>
      <c r="E281" s="3">
        <v>0</v>
      </c>
      <c r="F281" s="4" t="s">
        <v>39</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row>
    <row r="282" spans="1:57" x14ac:dyDescent="0.25">
      <c r="A282" s="1" t="str">
        <f>'Population Definitions'!$A$10</f>
        <v>65+_males</v>
      </c>
      <c r="B282" t="s">
        <v>62</v>
      </c>
      <c r="C282" t="s">
        <v>34</v>
      </c>
      <c r="D282" s="3"/>
      <c r="E282" s="3">
        <v>0</v>
      </c>
      <c r="F282" s="4" t="s">
        <v>39</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row>
    <row r="283" spans="1:57" x14ac:dyDescent="0.25">
      <c r="A283" s="1" t="str">
        <f>'Population Definitions'!$A$11</f>
        <v>65+_females</v>
      </c>
      <c r="B283" t="s">
        <v>62</v>
      </c>
      <c r="C283" t="s">
        <v>34</v>
      </c>
      <c r="D283" s="3"/>
      <c r="E283" s="3">
        <v>0</v>
      </c>
      <c r="F283" s="4" t="s">
        <v>39</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row>
    <row r="284" spans="1:57" x14ac:dyDescent="0.25">
      <c r="A284" s="1" t="str">
        <f>'Population Definitions'!$A$12</f>
        <v>Prisoners_males</v>
      </c>
      <c r="B284" t="s">
        <v>62</v>
      </c>
      <c r="C284" t="s">
        <v>34</v>
      </c>
      <c r="D284" s="3"/>
      <c r="E284" s="3">
        <v>0</v>
      </c>
      <c r="F284" s="4" t="s">
        <v>39</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row>
    <row r="285" spans="1:57" x14ac:dyDescent="0.25">
      <c r="A285" s="1" t="str">
        <f>'Population Definitions'!$A$13</f>
        <v>Prisoners_females</v>
      </c>
      <c r="B285" t="s">
        <v>62</v>
      </c>
      <c r="C285" t="s">
        <v>34</v>
      </c>
      <c r="D285" s="3"/>
      <c r="E285" s="3">
        <v>0</v>
      </c>
      <c r="F285" s="4" t="s">
        <v>39</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row>
    <row r="286" spans="1:57" x14ac:dyDescent="0.25">
      <c r="A286" s="1" t="str">
        <f>'Population Definitions'!$A$14</f>
        <v>Prisoners_PWID_males</v>
      </c>
      <c r="B286" t="s">
        <v>62</v>
      </c>
      <c r="C286" t="s">
        <v>34</v>
      </c>
      <c r="D286" s="3"/>
      <c r="E286" s="3">
        <v>0</v>
      </c>
      <c r="F286" s="4" t="s">
        <v>39</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row>
    <row r="287" spans="1:57" x14ac:dyDescent="0.25">
      <c r="A287" s="1" t="str">
        <f>'Population Definitions'!$A$15</f>
        <v>Prisoners_PWID_females</v>
      </c>
      <c r="B287" t="s">
        <v>62</v>
      </c>
      <c r="C287" t="s">
        <v>34</v>
      </c>
      <c r="D287" s="3"/>
      <c r="E287" s="3">
        <v>0</v>
      </c>
      <c r="F287" s="4" t="s">
        <v>39</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row>
    <row r="289" spans="1:55" x14ac:dyDescent="0.25">
      <c r="A289" s="1" t="s">
        <v>145</v>
      </c>
      <c r="B289" s="1" t="s">
        <v>31</v>
      </c>
      <c r="C289" s="1" t="s">
        <v>32</v>
      </c>
      <c r="D289" s="1" t="s">
        <v>33</v>
      </c>
      <c r="E289" s="1">
        <v>2000</v>
      </c>
      <c r="F289" s="1">
        <v>2001</v>
      </c>
      <c r="G289" s="1">
        <v>2002</v>
      </c>
      <c r="H289" s="1">
        <v>2003</v>
      </c>
      <c r="I289" s="1">
        <v>2004</v>
      </c>
      <c r="J289" s="1">
        <v>2005</v>
      </c>
      <c r="K289" s="1">
        <v>2006</v>
      </c>
      <c r="L289" s="1">
        <v>2007</v>
      </c>
      <c r="M289" s="1">
        <v>2008</v>
      </c>
      <c r="N289" s="1">
        <v>2009</v>
      </c>
      <c r="O289" s="1">
        <v>2010</v>
      </c>
      <c r="P289" s="1">
        <v>2011</v>
      </c>
      <c r="Q289" s="1">
        <v>2012</v>
      </c>
      <c r="R289" s="1">
        <v>2013</v>
      </c>
      <c r="S289" s="1">
        <v>2014</v>
      </c>
      <c r="T289" s="1">
        <v>2015</v>
      </c>
      <c r="U289" s="1">
        <v>2016</v>
      </c>
      <c r="V289" s="1">
        <v>2017</v>
      </c>
      <c r="W289" s="1">
        <v>2018</v>
      </c>
      <c r="X289" s="1">
        <v>2019</v>
      </c>
      <c r="Y289" s="1">
        <v>2020</v>
      </c>
      <c r="Z289" s="1">
        <v>2021</v>
      </c>
      <c r="AA289" s="1">
        <v>2022</v>
      </c>
      <c r="AB289" s="1">
        <v>2023</v>
      </c>
      <c r="AC289" s="1">
        <v>2024</v>
      </c>
      <c r="AD289" s="1">
        <v>2025</v>
      </c>
      <c r="AE289" s="1">
        <v>2026</v>
      </c>
      <c r="AF289" s="1">
        <v>2027</v>
      </c>
      <c r="AG289" s="1">
        <v>2028</v>
      </c>
      <c r="AH289" s="1">
        <v>2029</v>
      </c>
      <c r="AI289" s="1">
        <v>2030</v>
      </c>
      <c r="AJ289" s="1">
        <v>2031</v>
      </c>
      <c r="AK289" s="1">
        <v>2032</v>
      </c>
      <c r="AL289" s="1">
        <v>2033</v>
      </c>
      <c r="AM289" s="1">
        <v>2034</v>
      </c>
      <c r="AN289" s="1">
        <v>2035</v>
      </c>
      <c r="AO289" s="1">
        <v>2036</v>
      </c>
      <c r="AP289" s="1">
        <v>2037</v>
      </c>
      <c r="AQ289" s="1">
        <v>2038</v>
      </c>
      <c r="AR289" s="1">
        <v>2039</v>
      </c>
      <c r="AS289" s="1">
        <v>2040</v>
      </c>
      <c r="AT289" s="1">
        <v>2041</v>
      </c>
      <c r="AU289" s="1">
        <v>2042</v>
      </c>
      <c r="AV289" s="1">
        <v>2043</v>
      </c>
      <c r="AW289" s="1">
        <v>2044</v>
      </c>
      <c r="AX289" s="1">
        <v>2045</v>
      </c>
      <c r="AY289" s="1">
        <v>2046</v>
      </c>
      <c r="AZ289" s="1">
        <v>2047</v>
      </c>
      <c r="BA289" s="1">
        <v>2048</v>
      </c>
      <c r="BB289" s="1">
        <v>2049</v>
      </c>
      <c r="BC289" s="1">
        <v>2050</v>
      </c>
    </row>
    <row r="290" spans="1:55" x14ac:dyDescent="0.25">
      <c r="A290" s="1" t="str">
        <f>'Population Definitions'!$A$2</f>
        <v>PWID_males</v>
      </c>
      <c r="C290" t="s">
        <v>34</v>
      </c>
      <c r="D290" s="3"/>
      <c r="E290" s="3">
        <v>9264.2461606778397</v>
      </c>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row>
    <row r="291" spans="1:55" x14ac:dyDescent="0.25">
      <c r="A291" s="1" t="str">
        <f>'Population Definitions'!$A$3</f>
        <v>PWID_females</v>
      </c>
      <c r="C291" t="s">
        <v>34</v>
      </c>
      <c r="D291" s="3"/>
      <c r="E291" s="3">
        <v>434.60767948158002</v>
      </c>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row>
    <row r="292" spans="1:55" x14ac:dyDescent="0.25">
      <c r="A292" s="1" t="str">
        <f>'Population Definitions'!$A$4</f>
        <v>0-9_males</v>
      </c>
      <c r="C292" t="s">
        <v>34</v>
      </c>
      <c r="D292" s="3"/>
      <c r="E292" s="3">
        <v>0</v>
      </c>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row>
    <row r="293" spans="1:55" x14ac:dyDescent="0.25">
      <c r="A293" s="1" t="str">
        <f>'Population Definitions'!$A$5</f>
        <v>0-9_females</v>
      </c>
      <c r="C293" t="s">
        <v>34</v>
      </c>
      <c r="D293" s="3"/>
      <c r="E293" s="3">
        <v>0</v>
      </c>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row>
    <row r="294" spans="1:55" x14ac:dyDescent="0.25">
      <c r="A294" s="1" t="str">
        <f>'Population Definitions'!$A$6</f>
        <v>10-17_males</v>
      </c>
      <c r="C294" t="s">
        <v>34</v>
      </c>
      <c r="D294" s="3"/>
      <c r="E294" s="3">
        <v>0</v>
      </c>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row>
    <row r="295" spans="1:55" x14ac:dyDescent="0.25">
      <c r="A295" s="1" t="str">
        <f>'Population Definitions'!$A$7</f>
        <v>10-17_females</v>
      </c>
      <c r="C295" t="s">
        <v>34</v>
      </c>
      <c r="D295" s="3"/>
      <c r="E295" s="3">
        <v>0</v>
      </c>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row>
    <row r="296" spans="1:55" x14ac:dyDescent="0.25">
      <c r="A296" s="1" t="str">
        <f>'Population Definitions'!$A$8</f>
        <v>18-64_males</v>
      </c>
      <c r="C296" t="s">
        <v>34</v>
      </c>
      <c r="D296" s="3"/>
      <c r="E296" s="3">
        <v>1849362.248971533</v>
      </c>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row>
    <row r="297" spans="1:55" x14ac:dyDescent="0.25">
      <c r="A297" s="1" t="str">
        <f>'Population Definitions'!$A$9</f>
        <v>18-64_females</v>
      </c>
      <c r="C297" t="s">
        <v>34</v>
      </c>
      <c r="D297" s="3"/>
      <c r="E297" s="3">
        <v>1795946.6253426089</v>
      </c>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row>
    <row r="298" spans="1:55" x14ac:dyDescent="0.25">
      <c r="A298" s="1" t="str">
        <f>'Population Definitions'!$A$10</f>
        <v>65+_males</v>
      </c>
      <c r="C298" t="s">
        <v>34</v>
      </c>
      <c r="D298" s="3"/>
      <c r="E298" s="3">
        <v>118193.901001108</v>
      </c>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row>
    <row r="299" spans="1:55" x14ac:dyDescent="0.25">
      <c r="A299" s="1" t="str">
        <f>'Population Definitions'!$A$11</f>
        <v>65+_females</v>
      </c>
      <c r="C299" t="s">
        <v>34</v>
      </c>
      <c r="D299" s="3"/>
      <c r="E299" s="3">
        <v>163088.99639540119</v>
      </c>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row>
    <row r="300" spans="1:55" x14ac:dyDescent="0.25">
      <c r="A300" s="1" t="str">
        <f>'Population Definitions'!$A$12</f>
        <v>Prisoners_males</v>
      </c>
      <c r="C300" t="s">
        <v>34</v>
      </c>
      <c r="D300" s="3"/>
      <c r="E300" s="3">
        <v>4871.12536153568</v>
      </c>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row>
    <row r="301" spans="1:55" x14ac:dyDescent="0.25">
      <c r="A301" s="1" t="str">
        <f>'Population Definitions'!$A$13</f>
        <v>Prisoners_females</v>
      </c>
      <c r="C301" t="s">
        <v>34</v>
      </c>
      <c r="D301" s="3"/>
      <c r="E301" s="3">
        <v>221.24577379137091</v>
      </c>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row>
    <row r="302" spans="1:55" x14ac:dyDescent="0.25">
      <c r="A302" s="1" t="str">
        <f>'Population Definitions'!$A$14</f>
        <v>Prisoners_PWID_males</v>
      </c>
      <c r="C302" t="s">
        <v>34</v>
      </c>
      <c r="D302" s="3"/>
      <c r="E302" s="3">
        <v>1145.863525854955</v>
      </c>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row>
    <row r="303" spans="1:55" x14ac:dyDescent="0.25">
      <c r="A303" s="1" t="str">
        <f>'Population Definitions'!$A$15</f>
        <v>Prisoners_PWID_females</v>
      </c>
      <c r="C303" t="s">
        <v>34</v>
      </c>
      <c r="D303" s="3"/>
      <c r="E303" s="3">
        <v>86.139788007735547</v>
      </c>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row>
    <row r="305" spans="1:55" x14ac:dyDescent="0.25">
      <c r="A305" s="1" t="s">
        <v>146</v>
      </c>
      <c r="B305" s="1" t="s">
        <v>31</v>
      </c>
      <c r="C305" s="1" t="s">
        <v>32</v>
      </c>
      <c r="D305" s="1" t="s">
        <v>33</v>
      </c>
      <c r="E305" s="1">
        <v>2000</v>
      </c>
      <c r="F305" s="1">
        <v>2001</v>
      </c>
      <c r="G305" s="1">
        <v>2002</v>
      </c>
      <c r="H305" s="1">
        <v>2003</v>
      </c>
      <c r="I305" s="1">
        <v>2004</v>
      </c>
      <c r="J305" s="1">
        <v>2005</v>
      </c>
      <c r="K305" s="1">
        <v>2006</v>
      </c>
      <c r="L305" s="1">
        <v>2007</v>
      </c>
      <c r="M305" s="1">
        <v>2008</v>
      </c>
      <c r="N305" s="1">
        <v>2009</v>
      </c>
      <c r="O305" s="1">
        <v>2010</v>
      </c>
      <c r="P305" s="1">
        <v>2011</v>
      </c>
      <c r="Q305" s="1">
        <v>2012</v>
      </c>
      <c r="R305" s="1">
        <v>2013</v>
      </c>
      <c r="S305" s="1">
        <v>2014</v>
      </c>
      <c r="T305" s="1">
        <v>2015</v>
      </c>
      <c r="U305" s="1">
        <v>2016</v>
      </c>
      <c r="V305" s="1">
        <v>2017</v>
      </c>
      <c r="W305" s="1">
        <v>2018</v>
      </c>
      <c r="X305" s="1">
        <v>2019</v>
      </c>
      <c r="Y305" s="1">
        <v>2020</v>
      </c>
      <c r="Z305" s="1">
        <v>2021</v>
      </c>
      <c r="AA305" s="1">
        <v>2022</v>
      </c>
      <c r="AB305" s="1">
        <v>2023</v>
      </c>
      <c r="AC305" s="1">
        <v>2024</v>
      </c>
      <c r="AD305" s="1">
        <v>2025</v>
      </c>
      <c r="AE305" s="1">
        <v>2026</v>
      </c>
      <c r="AF305" s="1">
        <v>2027</v>
      </c>
      <c r="AG305" s="1">
        <v>2028</v>
      </c>
      <c r="AH305" s="1">
        <v>2029</v>
      </c>
      <c r="AI305" s="1">
        <v>2030</v>
      </c>
      <c r="AJ305" s="1">
        <v>2031</v>
      </c>
      <c r="AK305" s="1">
        <v>2032</v>
      </c>
      <c r="AL305" s="1">
        <v>2033</v>
      </c>
      <c r="AM305" s="1">
        <v>2034</v>
      </c>
      <c r="AN305" s="1">
        <v>2035</v>
      </c>
      <c r="AO305" s="1">
        <v>2036</v>
      </c>
      <c r="AP305" s="1">
        <v>2037</v>
      </c>
      <c r="AQ305" s="1">
        <v>2038</v>
      </c>
      <c r="AR305" s="1">
        <v>2039</v>
      </c>
      <c r="AS305" s="1">
        <v>2040</v>
      </c>
      <c r="AT305" s="1">
        <v>2041</v>
      </c>
      <c r="AU305" s="1">
        <v>2042</v>
      </c>
      <c r="AV305" s="1">
        <v>2043</v>
      </c>
      <c r="AW305" s="1">
        <v>2044</v>
      </c>
      <c r="AX305" s="1">
        <v>2045</v>
      </c>
      <c r="AY305" s="1">
        <v>2046</v>
      </c>
      <c r="AZ305" s="1">
        <v>2047</v>
      </c>
      <c r="BA305" s="1">
        <v>2048</v>
      </c>
      <c r="BB305" s="1">
        <v>2049</v>
      </c>
      <c r="BC305" s="1">
        <v>2050</v>
      </c>
    </row>
    <row r="306" spans="1:55" x14ac:dyDescent="0.25">
      <c r="A306" s="1" t="str">
        <f>'Population Definitions'!$A$2</f>
        <v>PWID_males</v>
      </c>
      <c r="C306" t="s">
        <v>34</v>
      </c>
      <c r="D306" s="3"/>
      <c r="E306" s="3">
        <v>0</v>
      </c>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row>
    <row r="307" spans="1:55" x14ac:dyDescent="0.25">
      <c r="A307" s="1" t="str">
        <f>'Population Definitions'!$A$3</f>
        <v>PWID_females</v>
      </c>
      <c r="C307" t="s">
        <v>34</v>
      </c>
      <c r="D307" s="3"/>
      <c r="E307" s="3">
        <v>0</v>
      </c>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row>
    <row r="308" spans="1:55" x14ac:dyDescent="0.25">
      <c r="A308" s="1" t="str">
        <f>'Population Definitions'!$A$4</f>
        <v>0-9_males</v>
      </c>
      <c r="C308" t="s">
        <v>34</v>
      </c>
      <c r="D308" s="3"/>
      <c r="E308" s="3">
        <v>0</v>
      </c>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row>
    <row r="309" spans="1:55" x14ac:dyDescent="0.25">
      <c r="A309" s="1" t="str">
        <f>'Population Definitions'!$A$5</f>
        <v>0-9_females</v>
      </c>
      <c r="C309" t="s">
        <v>34</v>
      </c>
      <c r="D309" s="3"/>
      <c r="E309" s="3">
        <v>0</v>
      </c>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row>
    <row r="310" spans="1:55" x14ac:dyDescent="0.25">
      <c r="A310" s="1" t="str">
        <f>'Population Definitions'!$A$6</f>
        <v>10-17_males</v>
      </c>
      <c r="C310" t="s">
        <v>34</v>
      </c>
      <c r="D310" s="3"/>
      <c r="E310" s="3">
        <v>0</v>
      </c>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row>
    <row r="311" spans="1:55" x14ac:dyDescent="0.25">
      <c r="A311" s="1" t="str">
        <f>'Population Definitions'!$A$7</f>
        <v>10-17_females</v>
      </c>
      <c r="C311" t="s">
        <v>34</v>
      </c>
      <c r="D311" s="3"/>
      <c r="E311" s="3">
        <v>0</v>
      </c>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row>
    <row r="312" spans="1:55" x14ac:dyDescent="0.25">
      <c r="A312" s="1" t="str">
        <f>'Population Definitions'!$A$8</f>
        <v>18-64_males</v>
      </c>
      <c r="C312" t="s">
        <v>34</v>
      </c>
      <c r="D312" s="3"/>
      <c r="E312" s="3">
        <v>0</v>
      </c>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row>
    <row r="313" spans="1:55" x14ac:dyDescent="0.25">
      <c r="A313" s="1" t="str">
        <f>'Population Definitions'!$A$9</f>
        <v>18-64_females</v>
      </c>
      <c r="C313" t="s">
        <v>34</v>
      </c>
      <c r="D313" s="3"/>
      <c r="E313" s="3">
        <v>0</v>
      </c>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row>
    <row r="314" spans="1:55" x14ac:dyDescent="0.25">
      <c r="A314" s="1" t="str">
        <f>'Population Definitions'!$A$10</f>
        <v>65+_males</v>
      </c>
      <c r="C314" t="s">
        <v>34</v>
      </c>
      <c r="D314" s="3"/>
      <c r="E314" s="3">
        <v>0</v>
      </c>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row>
    <row r="315" spans="1:55" x14ac:dyDescent="0.25">
      <c r="A315" s="1" t="str">
        <f>'Population Definitions'!$A$11</f>
        <v>65+_females</v>
      </c>
      <c r="C315" t="s">
        <v>34</v>
      </c>
      <c r="D315" s="3"/>
      <c r="E315" s="3">
        <v>0</v>
      </c>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row>
    <row r="316" spans="1:55" x14ac:dyDescent="0.25">
      <c r="A316" s="1" t="str">
        <f>'Population Definitions'!$A$12</f>
        <v>Prisoners_males</v>
      </c>
      <c r="C316" t="s">
        <v>34</v>
      </c>
      <c r="D316" s="3"/>
      <c r="E316" s="3">
        <v>0</v>
      </c>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row>
    <row r="317" spans="1:55" x14ac:dyDescent="0.25">
      <c r="A317" s="1" t="str">
        <f>'Population Definitions'!$A$13</f>
        <v>Prisoners_females</v>
      </c>
      <c r="C317" t="s">
        <v>34</v>
      </c>
      <c r="D317" s="3"/>
      <c r="E317" s="3">
        <v>0</v>
      </c>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row>
    <row r="318" spans="1:55" x14ac:dyDescent="0.25">
      <c r="A318" s="1" t="str">
        <f>'Population Definitions'!$A$14</f>
        <v>Prisoners_PWID_males</v>
      </c>
      <c r="C318" t="s">
        <v>34</v>
      </c>
      <c r="D318" s="3"/>
      <c r="E318" s="3">
        <v>0</v>
      </c>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row>
    <row r="319" spans="1:55" x14ac:dyDescent="0.25">
      <c r="A319" s="1" t="str">
        <f>'Population Definitions'!$A$15</f>
        <v>Prisoners_PWID_females</v>
      </c>
      <c r="C319" t="s">
        <v>34</v>
      </c>
      <c r="D319" s="3"/>
      <c r="E319" s="3">
        <v>0</v>
      </c>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row>
    <row r="321" spans="1:55" x14ac:dyDescent="0.25">
      <c r="A321" s="1" t="s">
        <v>147</v>
      </c>
      <c r="B321" s="1" t="s">
        <v>31</v>
      </c>
      <c r="C321" s="1" t="s">
        <v>32</v>
      </c>
      <c r="D321" s="1" t="s">
        <v>33</v>
      </c>
      <c r="E321" s="1">
        <v>2000</v>
      </c>
      <c r="F321" s="1">
        <v>2001</v>
      </c>
      <c r="G321" s="1">
        <v>2002</v>
      </c>
      <c r="H321" s="1">
        <v>2003</v>
      </c>
      <c r="I321" s="1">
        <v>2004</v>
      </c>
      <c r="J321" s="1">
        <v>2005</v>
      </c>
      <c r="K321" s="1">
        <v>2006</v>
      </c>
      <c r="L321" s="1">
        <v>2007</v>
      </c>
      <c r="M321" s="1">
        <v>2008</v>
      </c>
      <c r="N321" s="1">
        <v>2009</v>
      </c>
      <c r="O321" s="1">
        <v>2010</v>
      </c>
      <c r="P321" s="1">
        <v>2011</v>
      </c>
      <c r="Q321" s="1">
        <v>2012</v>
      </c>
      <c r="R321" s="1">
        <v>2013</v>
      </c>
      <c r="S321" s="1">
        <v>2014</v>
      </c>
      <c r="T321" s="1">
        <v>2015</v>
      </c>
      <c r="U321" s="1">
        <v>2016</v>
      </c>
      <c r="V321" s="1">
        <v>2017</v>
      </c>
      <c r="W321" s="1">
        <v>2018</v>
      </c>
      <c r="X321" s="1">
        <v>2019</v>
      </c>
      <c r="Y321" s="1">
        <v>2020</v>
      </c>
      <c r="Z321" s="1">
        <v>2021</v>
      </c>
      <c r="AA321" s="1">
        <v>2022</v>
      </c>
      <c r="AB321" s="1">
        <v>2023</v>
      </c>
      <c r="AC321" s="1">
        <v>2024</v>
      </c>
      <c r="AD321" s="1">
        <v>2025</v>
      </c>
      <c r="AE321" s="1">
        <v>2026</v>
      </c>
      <c r="AF321" s="1">
        <v>2027</v>
      </c>
      <c r="AG321" s="1">
        <v>2028</v>
      </c>
      <c r="AH321" s="1">
        <v>2029</v>
      </c>
      <c r="AI321" s="1">
        <v>2030</v>
      </c>
      <c r="AJ321" s="1">
        <v>2031</v>
      </c>
      <c r="AK321" s="1">
        <v>2032</v>
      </c>
      <c r="AL321" s="1">
        <v>2033</v>
      </c>
      <c r="AM321" s="1">
        <v>2034</v>
      </c>
      <c r="AN321" s="1">
        <v>2035</v>
      </c>
      <c r="AO321" s="1">
        <v>2036</v>
      </c>
      <c r="AP321" s="1">
        <v>2037</v>
      </c>
      <c r="AQ321" s="1">
        <v>2038</v>
      </c>
      <c r="AR321" s="1">
        <v>2039</v>
      </c>
      <c r="AS321" s="1">
        <v>2040</v>
      </c>
      <c r="AT321" s="1">
        <v>2041</v>
      </c>
      <c r="AU321" s="1">
        <v>2042</v>
      </c>
      <c r="AV321" s="1">
        <v>2043</v>
      </c>
      <c r="AW321" s="1">
        <v>2044</v>
      </c>
      <c r="AX321" s="1">
        <v>2045</v>
      </c>
      <c r="AY321" s="1">
        <v>2046</v>
      </c>
      <c r="AZ321" s="1">
        <v>2047</v>
      </c>
      <c r="BA321" s="1">
        <v>2048</v>
      </c>
      <c r="BB321" s="1">
        <v>2049</v>
      </c>
      <c r="BC321" s="1">
        <v>2050</v>
      </c>
    </row>
    <row r="322" spans="1:55" x14ac:dyDescent="0.25">
      <c r="A322" s="1" t="str">
        <f>'Population Definitions'!$A$2</f>
        <v>PWID_males</v>
      </c>
      <c r="C322" t="s">
        <v>34</v>
      </c>
      <c r="D322" s="3"/>
      <c r="E322" s="3">
        <v>0</v>
      </c>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row>
    <row r="323" spans="1:55" x14ac:dyDescent="0.25">
      <c r="A323" s="1" t="str">
        <f>'Population Definitions'!$A$3</f>
        <v>PWID_females</v>
      </c>
      <c r="C323" t="s">
        <v>34</v>
      </c>
      <c r="D323" s="3"/>
      <c r="E323" s="3">
        <v>0</v>
      </c>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row>
    <row r="324" spans="1:55" x14ac:dyDescent="0.25">
      <c r="A324" s="1" t="str">
        <f>'Population Definitions'!$A$4</f>
        <v>0-9_males</v>
      </c>
      <c r="C324" t="s">
        <v>34</v>
      </c>
      <c r="D324" s="3"/>
      <c r="E324" s="3">
        <v>0</v>
      </c>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row>
    <row r="325" spans="1:55" x14ac:dyDescent="0.25">
      <c r="A325" s="1" t="str">
        <f>'Population Definitions'!$A$5</f>
        <v>0-9_females</v>
      </c>
      <c r="C325" t="s">
        <v>34</v>
      </c>
      <c r="D325" s="3"/>
      <c r="E325" s="3">
        <v>0</v>
      </c>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row>
    <row r="326" spans="1:55" x14ac:dyDescent="0.25">
      <c r="A326" s="1" t="str">
        <f>'Population Definitions'!$A$6</f>
        <v>10-17_males</v>
      </c>
      <c r="C326" t="s">
        <v>34</v>
      </c>
      <c r="D326" s="3"/>
      <c r="E326" s="3">
        <v>0</v>
      </c>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row>
    <row r="327" spans="1:55" x14ac:dyDescent="0.25">
      <c r="A327" s="1" t="str">
        <f>'Population Definitions'!$A$7</f>
        <v>10-17_females</v>
      </c>
      <c r="C327" t="s">
        <v>34</v>
      </c>
      <c r="D327" s="3"/>
      <c r="E327" s="3">
        <v>0</v>
      </c>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row>
    <row r="328" spans="1:55" x14ac:dyDescent="0.25">
      <c r="A328" s="1" t="str">
        <f>'Population Definitions'!$A$8</f>
        <v>18-64_males</v>
      </c>
      <c r="C328" t="s">
        <v>34</v>
      </c>
      <c r="D328" s="3"/>
      <c r="E328" s="3">
        <v>0</v>
      </c>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row>
    <row r="329" spans="1:55" x14ac:dyDescent="0.25">
      <c r="A329" s="1" t="str">
        <f>'Population Definitions'!$A$9</f>
        <v>18-64_females</v>
      </c>
      <c r="C329" t="s">
        <v>34</v>
      </c>
      <c r="D329" s="3"/>
      <c r="E329" s="3">
        <v>0</v>
      </c>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row>
    <row r="330" spans="1:55" x14ac:dyDescent="0.25">
      <c r="A330" s="1" t="str">
        <f>'Population Definitions'!$A$10</f>
        <v>65+_males</v>
      </c>
      <c r="C330" t="s">
        <v>34</v>
      </c>
      <c r="D330" s="3"/>
      <c r="E330" s="3">
        <v>0</v>
      </c>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row>
    <row r="331" spans="1:55" x14ac:dyDescent="0.25">
      <c r="A331" s="1" t="str">
        <f>'Population Definitions'!$A$11</f>
        <v>65+_females</v>
      </c>
      <c r="C331" t="s">
        <v>34</v>
      </c>
      <c r="D331" s="3"/>
      <c r="E331" s="3">
        <v>0</v>
      </c>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row>
    <row r="332" spans="1:55" x14ac:dyDescent="0.25">
      <c r="A332" s="1" t="str">
        <f>'Population Definitions'!$A$12</f>
        <v>Prisoners_males</v>
      </c>
      <c r="C332" t="s">
        <v>34</v>
      </c>
      <c r="D332" s="3"/>
      <c r="E332" s="3">
        <v>0</v>
      </c>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row>
    <row r="333" spans="1:55" x14ac:dyDescent="0.25">
      <c r="A333" s="1" t="str">
        <f>'Population Definitions'!$A$13</f>
        <v>Prisoners_females</v>
      </c>
      <c r="C333" t="s">
        <v>34</v>
      </c>
      <c r="D333" s="3"/>
      <c r="E333" s="3">
        <v>0</v>
      </c>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row>
    <row r="334" spans="1:55" x14ac:dyDescent="0.25">
      <c r="A334" s="1" t="str">
        <f>'Population Definitions'!$A$14</f>
        <v>Prisoners_PWID_males</v>
      </c>
      <c r="C334" t="s">
        <v>34</v>
      </c>
      <c r="D334" s="3"/>
      <c r="E334" s="3">
        <v>0</v>
      </c>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row>
    <row r="335" spans="1:55" x14ac:dyDescent="0.25">
      <c r="A335" s="1" t="str">
        <f>'Population Definitions'!$A$15</f>
        <v>Prisoners_PWID_females</v>
      </c>
      <c r="C335" t="s">
        <v>34</v>
      </c>
      <c r="D335" s="3"/>
      <c r="E335" s="3">
        <v>0</v>
      </c>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row>
    <row r="337" spans="1:55" x14ac:dyDescent="0.25">
      <c r="A337" s="1" t="s">
        <v>148</v>
      </c>
      <c r="B337" s="1" t="s">
        <v>31</v>
      </c>
      <c r="C337" s="1" t="s">
        <v>32</v>
      </c>
      <c r="D337" s="1" t="s">
        <v>33</v>
      </c>
      <c r="E337" s="1">
        <v>2000</v>
      </c>
      <c r="F337" s="1">
        <v>2001</v>
      </c>
      <c r="G337" s="1">
        <v>2002</v>
      </c>
      <c r="H337" s="1">
        <v>2003</v>
      </c>
      <c r="I337" s="1">
        <v>2004</v>
      </c>
      <c r="J337" s="1">
        <v>2005</v>
      </c>
      <c r="K337" s="1">
        <v>2006</v>
      </c>
      <c r="L337" s="1">
        <v>2007</v>
      </c>
      <c r="M337" s="1">
        <v>2008</v>
      </c>
      <c r="N337" s="1">
        <v>2009</v>
      </c>
      <c r="O337" s="1">
        <v>2010</v>
      </c>
      <c r="P337" s="1">
        <v>2011</v>
      </c>
      <c r="Q337" s="1">
        <v>2012</v>
      </c>
      <c r="R337" s="1">
        <v>2013</v>
      </c>
      <c r="S337" s="1">
        <v>2014</v>
      </c>
      <c r="T337" s="1">
        <v>2015</v>
      </c>
      <c r="U337" s="1">
        <v>2016</v>
      </c>
      <c r="V337" s="1">
        <v>2017</v>
      </c>
      <c r="W337" s="1">
        <v>2018</v>
      </c>
      <c r="X337" s="1">
        <v>2019</v>
      </c>
      <c r="Y337" s="1">
        <v>2020</v>
      </c>
      <c r="Z337" s="1">
        <v>2021</v>
      </c>
      <c r="AA337" s="1">
        <v>2022</v>
      </c>
      <c r="AB337" s="1">
        <v>2023</v>
      </c>
      <c r="AC337" s="1">
        <v>2024</v>
      </c>
      <c r="AD337" s="1">
        <v>2025</v>
      </c>
      <c r="AE337" s="1">
        <v>2026</v>
      </c>
      <c r="AF337" s="1">
        <v>2027</v>
      </c>
      <c r="AG337" s="1">
        <v>2028</v>
      </c>
      <c r="AH337" s="1">
        <v>2029</v>
      </c>
      <c r="AI337" s="1">
        <v>2030</v>
      </c>
      <c r="AJ337" s="1">
        <v>2031</v>
      </c>
      <c r="AK337" s="1">
        <v>2032</v>
      </c>
      <c r="AL337" s="1">
        <v>2033</v>
      </c>
      <c r="AM337" s="1">
        <v>2034</v>
      </c>
      <c r="AN337" s="1">
        <v>2035</v>
      </c>
      <c r="AO337" s="1">
        <v>2036</v>
      </c>
      <c r="AP337" s="1">
        <v>2037</v>
      </c>
      <c r="AQ337" s="1">
        <v>2038</v>
      </c>
      <c r="AR337" s="1">
        <v>2039</v>
      </c>
      <c r="AS337" s="1">
        <v>2040</v>
      </c>
      <c r="AT337" s="1">
        <v>2041</v>
      </c>
      <c r="AU337" s="1">
        <v>2042</v>
      </c>
      <c r="AV337" s="1">
        <v>2043</v>
      </c>
      <c r="AW337" s="1">
        <v>2044</v>
      </c>
      <c r="AX337" s="1">
        <v>2045</v>
      </c>
      <c r="AY337" s="1">
        <v>2046</v>
      </c>
      <c r="AZ337" s="1">
        <v>2047</v>
      </c>
      <c r="BA337" s="1">
        <v>2048</v>
      </c>
      <c r="BB337" s="1">
        <v>2049</v>
      </c>
      <c r="BC337" s="1">
        <v>2050</v>
      </c>
    </row>
    <row r="338" spans="1:55" x14ac:dyDescent="0.25">
      <c r="A338" s="1" t="str">
        <f>'Population Definitions'!$A$2</f>
        <v>PWID_males</v>
      </c>
      <c r="C338" t="s">
        <v>34</v>
      </c>
      <c r="D338" s="3"/>
      <c r="E338" s="3">
        <v>0</v>
      </c>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row>
    <row r="339" spans="1:55" x14ac:dyDescent="0.25">
      <c r="A339" s="1" t="str">
        <f>'Population Definitions'!$A$3</f>
        <v>PWID_females</v>
      </c>
      <c r="C339" t="s">
        <v>34</v>
      </c>
      <c r="D339" s="3"/>
      <c r="E339" s="3">
        <v>0</v>
      </c>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row>
    <row r="340" spans="1:55" x14ac:dyDescent="0.25">
      <c r="A340" s="1" t="str">
        <f>'Population Definitions'!$A$4</f>
        <v>0-9_males</v>
      </c>
      <c r="C340" t="s">
        <v>34</v>
      </c>
      <c r="D340" s="3"/>
      <c r="E340" s="3">
        <v>0</v>
      </c>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row>
    <row r="341" spans="1:55" x14ac:dyDescent="0.25">
      <c r="A341" s="1" t="str">
        <f>'Population Definitions'!$A$5</f>
        <v>0-9_females</v>
      </c>
      <c r="C341" t="s">
        <v>34</v>
      </c>
      <c r="D341" s="3"/>
      <c r="E341" s="3">
        <v>0</v>
      </c>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row>
    <row r="342" spans="1:55" x14ac:dyDescent="0.25">
      <c r="A342" s="1" t="str">
        <f>'Population Definitions'!$A$6</f>
        <v>10-17_males</v>
      </c>
      <c r="C342" t="s">
        <v>34</v>
      </c>
      <c r="D342" s="3"/>
      <c r="E342" s="3">
        <v>0</v>
      </c>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row>
    <row r="343" spans="1:55" x14ac:dyDescent="0.25">
      <c r="A343" s="1" t="str">
        <f>'Population Definitions'!$A$7</f>
        <v>10-17_females</v>
      </c>
      <c r="C343" t="s">
        <v>34</v>
      </c>
      <c r="D343" s="3"/>
      <c r="E343" s="3">
        <v>0</v>
      </c>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row>
    <row r="344" spans="1:55" x14ac:dyDescent="0.25">
      <c r="A344" s="1" t="str">
        <f>'Population Definitions'!$A$8</f>
        <v>18-64_males</v>
      </c>
      <c r="C344" t="s">
        <v>34</v>
      </c>
      <c r="D344" s="3"/>
      <c r="E344" s="3">
        <v>0</v>
      </c>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row>
    <row r="345" spans="1:55" x14ac:dyDescent="0.25">
      <c r="A345" s="1" t="str">
        <f>'Population Definitions'!$A$9</f>
        <v>18-64_females</v>
      </c>
      <c r="C345" t="s">
        <v>34</v>
      </c>
      <c r="D345" s="3"/>
      <c r="E345" s="3">
        <v>0</v>
      </c>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row>
    <row r="346" spans="1:55" x14ac:dyDescent="0.25">
      <c r="A346" s="1" t="str">
        <f>'Population Definitions'!$A$10</f>
        <v>65+_males</v>
      </c>
      <c r="C346" t="s">
        <v>34</v>
      </c>
      <c r="D346" s="3"/>
      <c r="E346" s="3">
        <v>0</v>
      </c>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row>
    <row r="347" spans="1:55" x14ac:dyDescent="0.25">
      <c r="A347" s="1" t="str">
        <f>'Population Definitions'!$A$11</f>
        <v>65+_females</v>
      </c>
      <c r="C347" t="s">
        <v>34</v>
      </c>
      <c r="D347" s="3"/>
      <c r="E347" s="3">
        <v>0</v>
      </c>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row>
    <row r="348" spans="1:55" x14ac:dyDescent="0.25">
      <c r="A348" s="1" t="str">
        <f>'Population Definitions'!$A$12</f>
        <v>Prisoners_males</v>
      </c>
      <c r="C348" t="s">
        <v>34</v>
      </c>
      <c r="D348" s="3"/>
      <c r="E348" s="3">
        <v>0</v>
      </c>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row>
    <row r="349" spans="1:55" x14ac:dyDescent="0.25">
      <c r="A349" s="1" t="str">
        <f>'Population Definitions'!$A$13</f>
        <v>Prisoners_females</v>
      </c>
      <c r="C349" t="s">
        <v>34</v>
      </c>
      <c r="D349" s="3"/>
      <c r="E349" s="3">
        <v>0</v>
      </c>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row>
    <row r="350" spans="1:55" x14ac:dyDescent="0.25">
      <c r="A350" s="1" t="str">
        <f>'Population Definitions'!$A$14</f>
        <v>Prisoners_PWID_males</v>
      </c>
      <c r="C350" t="s">
        <v>34</v>
      </c>
      <c r="D350" s="3"/>
      <c r="E350" s="3">
        <v>0</v>
      </c>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row>
    <row r="351" spans="1:55" x14ac:dyDescent="0.25">
      <c r="A351" s="1" t="str">
        <f>'Population Definitions'!$A$15</f>
        <v>Prisoners_PWID_females</v>
      </c>
      <c r="C351" t="s">
        <v>34</v>
      </c>
      <c r="D351" s="3"/>
      <c r="E351" s="3">
        <v>0</v>
      </c>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row>
    <row r="353" spans="1:55" x14ac:dyDescent="0.25">
      <c r="A353" s="1" t="s">
        <v>149</v>
      </c>
      <c r="B353" s="1" t="s">
        <v>31</v>
      </c>
      <c r="C353" s="1" t="s">
        <v>32</v>
      </c>
      <c r="D353" s="1" t="s">
        <v>33</v>
      </c>
      <c r="E353" s="1">
        <v>2000</v>
      </c>
      <c r="F353" s="1">
        <v>2001</v>
      </c>
      <c r="G353" s="1">
        <v>2002</v>
      </c>
      <c r="H353" s="1">
        <v>2003</v>
      </c>
      <c r="I353" s="1">
        <v>2004</v>
      </c>
      <c r="J353" s="1">
        <v>2005</v>
      </c>
      <c r="K353" s="1">
        <v>2006</v>
      </c>
      <c r="L353" s="1">
        <v>2007</v>
      </c>
      <c r="M353" s="1">
        <v>2008</v>
      </c>
      <c r="N353" s="1">
        <v>2009</v>
      </c>
      <c r="O353" s="1">
        <v>2010</v>
      </c>
      <c r="P353" s="1">
        <v>2011</v>
      </c>
      <c r="Q353" s="1">
        <v>2012</v>
      </c>
      <c r="R353" s="1">
        <v>2013</v>
      </c>
      <c r="S353" s="1">
        <v>2014</v>
      </c>
      <c r="T353" s="1">
        <v>2015</v>
      </c>
      <c r="U353" s="1">
        <v>2016</v>
      </c>
      <c r="V353" s="1">
        <v>2017</v>
      </c>
      <c r="W353" s="1">
        <v>2018</v>
      </c>
      <c r="X353" s="1">
        <v>2019</v>
      </c>
      <c r="Y353" s="1">
        <v>2020</v>
      </c>
      <c r="Z353" s="1">
        <v>2021</v>
      </c>
      <c r="AA353" s="1">
        <v>2022</v>
      </c>
      <c r="AB353" s="1">
        <v>2023</v>
      </c>
      <c r="AC353" s="1">
        <v>2024</v>
      </c>
      <c r="AD353" s="1">
        <v>2025</v>
      </c>
      <c r="AE353" s="1">
        <v>2026</v>
      </c>
      <c r="AF353" s="1">
        <v>2027</v>
      </c>
      <c r="AG353" s="1">
        <v>2028</v>
      </c>
      <c r="AH353" s="1">
        <v>2029</v>
      </c>
      <c r="AI353" s="1">
        <v>2030</v>
      </c>
      <c r="AJ353" s="1">
        <v>2031</v>
      </c>
      <c r="AK353" s="1">
        <v>2032</v>
      </c>
      <c r="AL353" s="1">
        <v>2033</v>
      </c>
      <c r="AM353" s="1">
        <v>2034</v>
      </c>
      <c r="AN353" s="1">
        <v>2035</v>
      </c>
      <c r="AO353" s="1">
        <v>2036</v>
      </c>
      <c r="AP353" s="1">
        <v>2037</v>
      </c>
      <c r="AQ353" s="1">
        <v>2038</v>
      </c>
      <c r="AR353" s="1">
        <v>2039</v>
      </c>
      <c r="AS353" s="1">
        <v>2040</v>
      </c>
      <c r="AT353" s="1">
        <v>2041</v>
      </c>
      <c r="AU353" s="1">
        <v>2042</v>
      </c>
      <c r="AV353" s="1">
        <v>2043</v>
      </c>
      <c r="AW353" s="1">
        <v>2044</v>
      </c>
      <c r="AX353" s="1">
        <v>2045</v>
      </c>
      <c r="AY353" s="1">
        <v>2046</v>
      </c>
      <c r="AZ353" s="1">
        <v>2047</v>
      </c>
      <c r="BA353" s="1">
        <v>2048</v>
      </c>
      <c r="BB353" s="1">
        <v>2049</v>
      </c>
      <c r="BC353" s="1">
        <v>2050</v>
      </c>
    </row>
    <row r="354" spans="1:55" x14ac:dyDescent="0.25">
      <c r="A354" s="1" t="str">
        <f>'Population Definitions'!$A$2</f>
        <v>PWID_males</v>
      </c>
      <c r="C354" t="s">
        <v>34</v>
      </c>
      <c r="D354" s="3"/>
      <c r="E354" s="3">
        <v>0</v>
      </c>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row>
    <row r="355" spans="1:55" x14ac:dyDescent="0.25">
      <c r="A355" s="1" t="str">
        <f>'Population Definitions'!$A$3</f>
        <v>PWID_females</v>
      </c>
      <c r="C355" t="s">
        <v>34</v>
      </c>
      <c r="D355" s="3"/>
      <c r="E355" s="3">
        <v>0</v>
      </c>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row>
    <row r="356" spans="1:55" x14ac:dyDescent="0.25">
      <c r="A356" s="1" t="str">
        <f>'Population Definitions'!$A$4</f>
        <v>0-9_males</v>
      </c>
      <c r="C356" t="s">
        <v>34</v>
      </c>
      <c r="D356" s="3"/>
      <c r="E356" s="3">
        <v>0</v>
      </c>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row>
    <row r="357" spans="1:55" x14ac:dyDescent="0.25">
      <c r="A357" s="1" t="str">
        <f>'Population Definitions'!$A$5</f>
        <v>0-9_females</v>
      </c>
      <c r="C357" t="s">
        <v>34</v>
      </c>
      <c r="D357" s="3"/>
      <c r="E357" s="3">
        <v>0</v>
      </c>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row>
    <row r="358" spans="1:55" x14ac:dyDescent="0.25">
      <c r="A358" s="1" t="str">
        <f>'Population Definitions'!$A$6</f>
        <v>10-17_males</v>
      </c>
      <c r="C358" t="s">
        <v>34</v>
      </c>
      <c r="D358" s="3"/>
      <c r="E358" s="3">
        <v>0</v>
      </c>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row>
    <row r="359" spans="1:55" x14ac:dyDescent="0.25">
      <c r="A359" s="1" t="str">
        <f>'Population Definitions'!$A$7</f>
        <v>10-17_females</v>
      </c>
      <c r="C359" t="s">
        <v>34</v>
      </c>
      <c r="D359" s="3"/>
      <c r="E359" s="3">
        <v>0</v>
      </c>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row>
    <row r="360" spans="1:55" x14ac:dyDescent="0.25">
      <c r="A360" s="1" t="str">
        <f>'Population Definitions'!$A$8</f>
        <v>18-64_males</v>
      </c>
      <c r="C360" t="s">
        <v>34</v>
      </c>
      <c r="D360" s="3"/>
      <c r="E360" s="3">
        <v>0</v>
      </c>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row>
    <row r="361" spans="1:55" x14ac:dyDescent="0.25">
      <c r="A361" s="1" t="str">
        <f>'Population Definitions'!$A$9</f>
        <v>18-64_females</v>
      </c>
      <c r="C361" t="s">
        <v>34</v>
      </c>
      <c r="D361" s="3"/>
      <c r="E361" s="3">
        <v>0</v>
      </c>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row>
    <row r="362" spans="1:55" x14ac:dyDescent="0.25">
      <c r="A362" s="1" t="str">
        <f>'Population Definitions'!$A$10</f>
        <v>65+_males</v>
      </c>
      <c r="C362" t="s">
        <v>34</v>
      </c>
      <c r="D362" s="3"/>
      <c r="E362" s="3">
        <v>0</v>
      </c>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row>
    <row r="363" spans="1:55" x14ac:dyDescent="0.25">
      <c r="A363" s="1" t="str">
        <f>'Population Definitions'!$A$11</f>
        <v>65+_females</v>
      </c>
      <c r="C363" t="s">
        <v>34</v>
      </c>
      <c r="D363" s="3"/>
      <c r="E363" s="3">
        <v>0</v>
      </c>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row>
    <row r="364" spans="1:55" x14ac:dyDescent="0.25">
      <c r="A364" s="1" t="str">
        <f>'Population Definitions'!$A$12</f>
        <v>Prisoners_males</v>
      </c>
      <c r="C364" t="s">
        <v>34</v>
      </c>
      <c r="D364" s="3"/>
      <c r="E364" s="3">
        <v>0</v>
      </c>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row>
    <row r="365" spans="1:55" x14ac:dyDescent="0.25">
      <c r="A365" s="1" t="str">
        <f>'Population Definitions'!$A$13</f>
        <v>Prisoners_females</v>
      </c>
      <c r="C365" t="s">
        <v>34</v>
      </c>
      <c r="D365" s="3"/>
      <c r="E365" s="3">
        <v>0</v>
      </c>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row>
    <row r="366" spans="1:55" x14ac:dyDescent="0.25">
      <c r="A366" s="1" t="str">
        <f>'Population Definitions'!$A$14</f>
        <v>Prisoners_PWID_males</v>
      </c>
      <c r="C366" t="s">
        <v>34</v>
      </c>
      <c r="D366" s="3"/>
      <c r="E366" s="3">
        <v>0</v>
      </c>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row>
    <row r="367" spans="1:55" x14ac:dyDescent="0.25">
      <c r="A367" s="1" t="str">
        <f>'Population Definitions'!$A$15</f>
        <v>Prisoners_PWID_females</v>
      </c>
      <c r="C367" t="s">
        <v>34</v>
      </c>
      <c r="D367" s="3"/>
      <c r="E367" s="3">
        <v>0</v>
      </c>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row>
    <row r="369" spans="1:55" x14ac:dyDescent="0.25">
      <c r="A369" s="1" t="s">
        <v>150</v>
      </c>
      <c r="B369" s="1" t="s">
        <v>31</v>
      </c>
      <c r="C369" s="1" t="s">
        <v>32</v>
      </c>
      <c r="D369" s="1" t="s">
        <v>33</v>
      </c>
      <c r="E369" s="1">
        <v>2000</v>
      </c>
      <c r="F369" s="1">
        <v>2001</v>
      </c>
      <c r="G369" s="1">
        <v>2002</v>
      </c>
      <c r="H369" s="1">
        <v>2003</v>
      </c>
      <c r="I369" s="1">
        <v>2004</v>
      </c>
      <c r="J369" s="1">
        <v>2005</v>
      </c>
      <c r="K369" s="1">
        <v>2006</v>
      </c>
      <c r="L369" s="1">
        <v>2007</v>
      </c>
      <c r="M369" s="1">
        <v>2008</v>
      </c>
      <c r="N369" s="1">
        <v>2009</v>
      </c>
      <c r="O369" s="1">
        <v>2010</v>
      </c>
      <c r="P369" s="1">
        <v>2011</v>
      </c>
      <c r="Q369" s="1">
        <v>2012</v>
      </c>
      <c r="R369" s="1">
        <v>2013</v>
      </c>
      <c r="S369" s="1">
        <v>2014</v>
      </c>
      <c r="T369" s="1">
        <v>2015</v>
      </c>
      <c r="U369" s="1">
        <v>2016</v>
      </c>
      <c r="V369" s="1">
        <v>2017</v>
      </c>
      <c r="W369" s="1">
        <v>2018</v>
      </c>
      <c r="X369" s="1">
        <v>2019</v>
      </c>
      <c r="Y369" s="1">
        <v>2020</v>
      </c>
      <c r="Z369" s="1">
        <v>2021</v>
      </c>
      <c r="AA369" s="1">
        <v>2022</v>
      </c>
      <c r="AB369" s="1">
        <v>2023</v>
      </c>
      <c r="AC369" s="1">
        <v>2024</v>
      </c>
      <c r="AD369" s="1">
        <v>2025</v>
      </c>
      <c r="AE369" s="1">
        <v>2026</v>
      </c>
      <c r="AF369" s="1">
        <v>2027</v>
      </c>
      <c r="AG369" s="1">
        <v>2028</v>
      </c>
      <c r="AH369" s="1">
        <v>2029</v>
      </c>
      <c r="AI369" s="1">
        <v>2030</v>
      </c>
      <c r="AJ369" s="1">
        <v>2031</v>
      </c>
      <c r="AK369" s="1">
        <v>2032</v>
      </c>
      <c r="AL369" s="1">
        <v>2033</v>
      </c>
      <c r="AM369" s="1">
        <v>2034</v>
      </c>
      <c r="AN369" s="1">
        <v>2035</v>
      </c>
      <c r="AO369" s="1">
        <v>2036</v>
      </c>
      <c r="AP369" s="1">
        <v>2037</v>
      </c>
      <c r="AQ369" s="1">
        <v>2038</v>
      </c>
      <c r="AR369" s="1">
        <v>2039</v>
      </c>
      <c r="AS369" s="1">
        <v>2040</v>
      </c>
      <c r="AT369" s="1">
        <v>2041</v>
      </c>
      <c r="AU369" s="1">
        <v>2042</v>
      </c>
      <c r="AV369" s="1">
        <v>2043</v>
      </c>
      <c r="AW369" s="1">
        <v>2044</v>
      </c>
      <c r="AX369" s="1">
        <v>2045</v>
      </c>
      <c r="AY369" s="1">
        <v>2046</v>
      </c>
      <c r="AZ369" s="1">
        <v>2047</v>
      </c>
      <c r="BA369" s="1">
        <v>2048</v>
      </c>
      <c r="BB369" s="1">
        <v>2049</v>
      </c>
      <c r="BC369" s="1">
        <v>2050</v>
      </c>
    </row>
    <row r="370" spans="1:55" x14ac:dyDescent="0.25">
      <c r="A370" s="1" t="str">
        <f>'Population Definitions'!$A$2</f>
        <v>PWID_males</v>
      </c>
      <c r="C370" t="s">
        <v>34</v>
      </c>
      <c r="D370" s="3"/>
      <c r="E370" s="3">
        <v>0</v>
      </c>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row>
    <row r="371" spans="1:55" x14ac:dyDescent="0.25">
      <c r="A371" s="1" t="str">
        <f>'Population Definitions'!$A$3</f>
        <v>PWID_females</v>
      </c>
      <c r="C371" t="s">
        <v>34</v>
      </c>
      <c r="D371" s="3"/>
      <c r="E371" s="3">
        <v>0</v>
      </c>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row>
    <row r="372" spans="1:55" x14ac:dyDescent="0.25">
      <c r="A372" s="1" t="str">
        <f>'Population Definitions'!$A$4</f>
        <v>0-9_males</v>
      </c>
      <c r="C372" t="s">
        <v>34</v>
      </c>
      <c r="D372" s="3"/>
      <c r="E372" s="3">
        <v>0</v>
      </c>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row>
    <row r="373" spans="1:55" x14ac:dyDescent="0.25">
      <c r="A373" s="1" t="str">
        <f>'Population Definitions'!$A$5</f>
        <v>0-9_females</v>
      </c>
      <c r="C373" t="s">
        <v>34</v>
      </c>
      <c r="D373" s="3"/>
      <c r="E373" s="3">
        <v>0</v>
      </c>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row>
    <row r="374" spans="1:55" x14ac:dyDescent="0.25">
      <c r="A374" s="1" t="str">
        <f>'Population Definitions'!$A$6</f>
        <v>10-17_males</v>
      </c>
      <c r="C374" t="s">
        <v>34</v>
      </c>
      <c r="D374" s="3"/>
      <c r="E374" s="3">
        <v>0</v>
      </c>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row>
    <row r="375" spans="1:55" x14ac:dyDescent="0.25">
      <c r="A375" s="1" t="str">
        <f>'Population Definitions'!$A$7</f>
        <v>10-17_females</v>
      </c>
      <c r="C375" t="s">
        <v>34</v>
      </c>
      <c r="D375" s="3"/>
      <c r="E375" s="3">
        <v>0</v>
      </c>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row>
    <row r="376" spans="1:55" x14ac:dyDescent="0.25">
      <c r="A376" s="1" t="str">
        <f>'Population Definitions'!$A$8</f>
        <v>18-64_males</v>
      </c>
      <c r="C376" t="s">
        <v>34</v>
      </c>
      <c r="D376" s="3"/>
      <c r="E376" s="3">
        <v>0</v>
      </c>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row>
    <row r="377" spans="1:55" x14ac:dyDescent="0.25">
      <c r="A377" s="1" t="str">
        <f>'Population Definitions'!$A$9</f>
        <v>18-64_females</v>
      </c>
      <c r="C377" t="s">
        <v>34</v>
      </c>
      <c r="D377" s="3"/>
      <c r="E377" s="3">
        <v>0</v>
      </c>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row>
    <row r="378" spans="1:55" x14ac:dyDescent="0.25">
      <c r="A378" s="1" t="str">
        <f>'Population Definitions'!$A$10</f>
        <v>65+_males</v>
      </c>
      <c r="C378" t="s">
        <v>34</v>
      </c>
      <c r="D378" s="3"/>
      <c r="E378" s="3">
        <v>0</v>
      </c>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row>
    <row r="379" spans="1:55" x14ac:dyDescent="0.25">
      <c r="A379" s="1" t="str">
        <f>'Population Definitions'!$A$11</f>
        <v>65+_females</v>
      </c>
      <c r="C379" t="s">
        <v>34</v>
      </c>
      <c r="D379" s="3"/>
      <c r="E379" s="3">
        <v>0</v>
      </c>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row>
    <row r="380" spans="1:55" x14ac:dyDescent="0.25">
      <c r="A380" s="1" t="str">
        <f>'Population Definitions'!$A$12</f>
        <v>Prisoners_males</v>
      </c>
      <c r="C380" t="s">
        <v>34</v>
      </c>
      <c r="D380" s="3"/>
      <c r="E380" s="3">
        <v>0</v>
      </c>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row>
    <row r="381" spans="1:55" x14ac:dyDescent="0.25">
      <c r="A381" s="1" t="str">
        <f>'Population Definitions'!$A$13</f>
        <v>Prisoners_females</v>
      </c>
      <c r="C381" t="s">
        <v>34</v>
      </c>
      <c r="D381" s="3"/>
      <c r="E381" s="3">
        <v>0</v>
      </c>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row>
    <row r="382" spans="1:55" x14ac:dyDescent="0.25">
      <c r="A382" s="1" t="str">
        <f>'Population Definitions'!$A$14</f>
        <v>Prisoners_PWID_males</v>
      </c>
      <c r="C382" t="s">
        <v>34</v>
      </c>
      <c r="D382" s="3"/>
      <c r="E382" s="3">
        <v>0</v>
      </c>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row>
    <row r="383" spans="1:55" x14ac:dyDescent="0.25">
      <c r="A383" s="1" t="str">
        <f>'Population Definitions'!$A$15</f>
        <v>Prisoners_PWID_females</v>
      </c>
      <c r="C383" t="s">
        <v>34</v>
      </c>
      <c r="D383" s="3"/>
      <c r="E383" s="3">
        <v>0</v>
      </c>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row>
    <row r="385" spans="1:55" x14ac:dyDescent="0.25">
      <c r="A385" s="1" t="s">
        <v>151</v>
      </c>
      <c r="B385" s="1" t="s">
        <v>31</v>
      </c>
      <c r="C385" s="1" t="s">
        <v>32</v>
      </c>
      <c r="D385" s="1" t="s">
        <v>33</v>
      </c>
      <c r="E385" s="1">
        <v>2000</v>
      </c>
      <c r="F385" s="1">
        <v>2001</v>
      </c>
      <c r="G385" s="1">
        <v>2002</v>
      </c>
      <c r="H385" s="1">
        <v>2003</v>
      </c>
      <c r="I385" s="1">
        <v>2004</v>
      </c>
      <c r="J385" s="1">
        <v>2005</v>
      </c>
      <c r="K385" s="1">
        <v>2006</v>
      </c>
      <c r="L385" s="1">
        <v>2007</v>
      </c>
      <c r="M385" s="1">
        <v>2008</v>
      </c>
      <c r="N385" s="1">
        <v>2009</v>
      </c>
      <c r="O385" s="1">
        <v>2010</v>
      </c>
      <c r="P385" s="1">
        <v>2011</v>
      </c>
      <c r="Q385" s="1">
        <v>2012</v>
      </c>
      <c r="R385" s="1">
        <v>2013</v>
      </c>
      <c r="S385" s="1">
        <v>2014</v>
      </c>
      <c r="T385" s="1">
        <v>2015</v>
      </c>
      <c r="U385" s="1">
        <v>2016</v>
      </c>
      <c r="V385" s="1">
        <v>2017</v>
      </c>
      <c r="W385" s="1">
        <v>2018</v>
      </c>
      <c r="X385" s="1">
        <v>2019</v>
      </c>
      <c r="Y385" s="1">
        <v>2020</v>
      </c>
      <c r="Z385" s="1">
        <v>2021</v>
      </c>
      <c r="AA385" s="1">
        <v>2022</v>
      </c>
      <c r="AB385" s="1">
        <v>2023</v>
      </c>
      <c r="AC385" s="1">
        <v>2024</v>
      </c>
      <c r="AD385" s="1">
        <v>2025</v>
      </c>
      <c r="AE385" s="1">
        <v>2026</v>
      </c>
      <c r="AF385" s="1">
        <v>2027</v>
      </c>
      <c r="AG385" s="1">
        <v>2028</v>
      </c>
      <c r="AH385" s="1">
        <v>2029</v>
      </c>
      <c r="AI385" s="1">
        <v>2030</v>
      </c>
      <c r="AJ385" s="1">
        <v>2031</v>
      </c>
      <c r="AK385" s="1">
        <v>2032</v>
      </c>
      <c r="AL385" s="1">
        <v>2033</v>
      </c>
      <c r="AM385" s="1">
        <v>2034</v>
      </c>
      <c r="AN385" s="1">
        <v>2035</v>
      </c>
      <c r="AO385" s="1">
        <v>2036</v>
      </c>
      <c r="AP385" s="1">
        <v>2037</v>
      </c>
      <c r="AQ385" s="1">
        <v>2038</v>
      </c>
      <c r="AR385" s="1">
        <v>2039</v>
      </c>
      <c r="AS385" s="1">
        <v>2040</v>
      </c>
      <c r="AT385" s="1">
        <v>2041</v>
      </c>
      <c r="AU385" s="1">
        <v>2042</v>
      </c>
      <c r="AV385" s="1">
        <v>2043</v>
      </c>
      <c r="AW385" s="1">
        <v>2044</v>
      </c>
      <c r="AX385" s="1">
        <v>2045</v>
      </c>
      <c r="AY385" s="1">
        <v>2046</v>
      </c>
      <c r="AZ385" s="1">
        <v>2047</v>
      </c>
      <c r="BA385" s="1">
        <v>2048</v>
      </c>
      <c r="BB385" s="1">
        <v>2049</v>
      </c>
      <c r="BC385" s="1">
        <v>2050</v>
      </c>
    </row>
    <row r="386" spans="1:55" x14ac:dyDescent="0.25">
      <c r="A386" s="1" t="str">
        <f>'Population Definitions'!$A$2</f>
        <v>PWID_males</v>
      </c>
      <c r="C386" t="s">
        <v>34</v>
      </c>
      <c r="D386" s="3"/>
      <c r="E386" s="3">
        <v>0</v>
      </c>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row>
    <row r="387" spans="1:55" x14ac:dyDescent="0.25">
      <c r="A387" s="1" t="str">
        <f>'Population Definitions'!$A$3</f>
        <v>PWID_females</v>
      </c>
      <c r="C387" t="s">
        <v>34</v>
      </c>
      <c r="D387" s="3"/>
      <c r="E387" s="3">
        <v>0</v>
      </c>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row>
    <row r="388" spans="1:55" x14ac:dyDescent="0.25">
      <c r="A388" s="1" t="str">
        <f>'Population Definitions'!$A$4</f>
        <v>0-9_males</v>
      </c>
      <c r="C388" t="s">
        <v>34</v>
      </c>
      <c r="D388" s="3"/>
      <c r="E388" s="3">
        <v>0</v>
      </c>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row>
    <row r="389" spans="1:55" x14ac:dyDescent="0.25">
      <c r="A389" s="1" t="str">
        <f>'Population Definitions'!$A$5</f>
        <v>0-9_females</v>
      </c>
      <c r="C389" t="s">
        <v>34</v>
      </c>
      <c r="D389" s="3"/>
      <c r="E389" s="3">
        <v>0</v>
      </c>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row>
    <row r="390" spans="1:55" x14ac:dyDescent="0.25">
      <c r="A390" s="1" t="str">
        <f>'Population Definitions'!$A$6</f>
        <v>10-17_males</v>
      </c>
      <c r="C390" t="s">
        <v>34</v>
      </c>
      <c r="D390" s="3"/>
      <c r="E390" s="3">
        <v>0</v>
      </c>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row>
    <row r="391" spans="1:55" x14ac:dyDescent="0.25">
      <c r="A391" s="1" t="str">
        <f>'Population Definitions'!$A$7</f>
        <v>10-17_females</v>
      </c>
      <c r="C391" t="s">
        <v>34</v>
      </c>
      <c r="D391" s="3"/>
      <c r="E391" s="3">
        <v>0</v>
      </c>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row>
    <row r="392" spans="1:55" x14ac:dyDescent="0.25">
      <c r="A392" s="1" t="str">
        <f>'Population Definitions'!$A$8</f>
        <v>18-64_males</v>
      </c>
      <c r="C392" t="s">
        <v>34</v>
      </c>
      <c r="D392" s="3"/>
      <c r="E392" s="3">
        <v>0</v>
      </c>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row>
    <row r="393" spans="1:55" x14ac:dyDescent="0.25">
      <c r="A393" s="1" t="str">
        <f>'Population Definitions'!$A$9</f>
        <v>18-64_females</v>
      </c>
      <c r="C393" t="s">
        <v>34</v>
      </c>
      <c r="D393" s="3"/>
      <c r="E393" s="3">
        <v>0</v>
      </c>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row>
    <row r="394" spans="1:55" x14ac:dyDescent="0.25">
      <c r="A394" s="1" t="str">
        <f>'Population Definitions'!$A$10</f>
        <v>65+_males</v>
      </c>
      <c r="C394" t="s">
        <v>34</v>
      </c>
      <c r="D394" s="3"/>
      <c r="E394" s="3">
        <v>0</v>
      </c>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row>
    <row r="395" spans="1:55" x14ac:dyDescent="0.25">
      <c r="A395" s="1" t="str">
        <f>'Population Definitions'!$A$11</f>
        <v>65+_females</v>
      </c>
      <c r="C395" t="s">
        <v>34</v>
      </c>
      <c r="D395" s="3"/>
      <c r="E395" s="3">
        <v>0</v>
      </c>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row>
    <row r="396" spans="1:55" x14ac:dyDescent="0.25">
      <c r="A396" s="1" t="str">
        <f>'Population Definitions'!$A$12</f>
        <v>Prisoners_males</v>
      </c>
      <c r="C396" t="s">
        <v>34</v>
      </c>
      <c r="D396" s="3"/>
      <c r="E396" s="3">
        <v>0</v>
      </c>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row>
    <row r="397" spans="1:55" x14ac:dyDescent="0.25">
      <c r="A397" s="1" t="str">
        <f>'Population Definitions'!$A$13</f>
        <v>Prisoners_females</v>
      </c>
      <c r="C397" t="s">
        <v>34</v>
      </c>
      <c r="D397" s="3"/>
      <c r="E397" s="3">
        <v>0</v>
      </c>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row>
    <row r="398" spans="1:55" x14ac:dyDescent="0.25">
      <c r="A398" s="1" t="str">
        <f>'Population Definitions'!$A$14</f>
        <v>Prisoners_PWID_males</v>
      </c>
      <c r="C398" t="s">
        <v>34</v>
      </c>
      <c r="D398" s="3"/>
      <c r="E398" s="3">
        <v>0</v>
      </c>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row>
    <row r="399" spans="1:55" x14ac:dyDescent="0.25">
      <c r="A399" s="1" t="str">
        <f>'Population Definitions'!$A$15</f>
        <v>Prisoners_PWID_females</v>
      </c>
      <c r="C399" t="s">
        <v>34</v>
      </c>
      <c r="D399" s="3"/>
      <c r="E399" s="3">
        <v>0</v>
      </c>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row>
    <row r="401" spans="1:55" x14ac:dyDescent="0.25">
      <c r="A401" s="1" t="s">
        <v>152</v>
      </c>
      <c r="B401" s="1" t="s">
        <v>31</v>
      </c>
      <c r="C401" s="1" t="s">
        <v>32</v>
      </c>
      <c r="D401" s="1" t="s">
        <v>33</v>
      </c>
      <c r="E401" s="1">
        <v>2000</v>
      </c>
      <c r="F401" s="1">
        <v>2001</v>
      </c>
      <c r="G401" s="1">
        <v>2002</v>
      </c>
      <c r="H401" s="1">
        <v>2003</v>
      </c>
      <c r="I401" s="1">
        <v>2004</v>
      </c>
      <c r="J401" s="1">
        <v>2005</v>
      </c>
      <c r="K401" s="1">
        <v>2006</v>
      </c>
      <c r="L401" s="1">
        <v>2007</v>
      </c>
      <c r="M401" s="1">
        <v>2008</v>
      </c>
      <c r="N401" s="1">
        <v>2009</v>
      </c>
      <c r="O401" s="1">
        <v>2010</v>
      </c>
      <c r="P401" s="1">
        <v>2011</v>
      </c>
      <c r="Q401" s="1">
        <v>2012</v>
      </c>
      <c r="R401" s="1">
        <v>2013</v>
      </c>
      <c r="S401" s="1">
        <v>2014</v>
      </c>
      <c r="T401" s="1">
        <v>2015</v>
      </c>
      <c r="U401" s="1">
        <v>2016</v>
      </c>
      <c r="V401" s="1">
        <v>2017</v>
      </c>
      <c r="W401" s="1">
        <v>2018</v>
      </c>
      <c r="X401" s="1">
        <v>2019</v>
      </c>
      <c r="Y401" s="1">
        <v>2020</v>
      </c>
      <c r="Z401" s="1">
        <v>2021</v>
      </c>
      <c r="AA401" s="1">
        <v>2022</v>
      </c>
      <c r="AB401" s="1">
        <v>2023</v>
      </c>
      <c r="AC401" s="1">
        <v>2024</v>
      </c>
      <c r="AD401" s="1">
        <v>2025</v>
      </c>
      <c r="AE401" s="1">
        <v>2026</v>
      </c>
      <c r="AF401" s="1">
        <v>2027</v>
      </c>
      <c r="AG401" s="1">
        <v>2028</v>
      </c>
      <c r="AH401" s="1">
        <v>2029</v>
      </c>
      <c r="AI401" s="1">
        <v>2030</v>
      </c>
      <c r="AJ401" s="1">
        <v>2031</v>
      </c>
      <c r="AK401" s="1">
        <v>2032</v>
      </c>
      <c r="AL401" s="1">
        <v>2033</v>
      </c>
      <c r="AM401" s="1">
        <v>2034</v>
      </c>
      <c r="AN401" s="1">
        <v>2035</v>
      </c>
      <c r="AO401" s="1">
        <v>2036</v>
      </c>
      <c r="AP401" s="1">
        <v>2037</v>
      </c>
      <c r="AQ401" s="1">
        <v>2038</v>
      </c>
      <c r="AR401" s="1">
        <v>2039</v>
      </c>
      <c r="AS401" s="1">
        <v>2040</v>
      </c>
      <c r="AT401" s="1">
        <v>2041</v>
      </c>
      <c r="AU401" s="1">
        <v>2042</v>
      </c>
      <c r="AV401" s="1">
        <v>2043</v>
      </c>
      <c r="AW401" s="1">
        <v>2044</v>
      </c>
      <c r="AX401" s="1">
        <v>2045</v>
      </c>
      <c r="AY401" s="1">
        <v>2046</v>
      </c>
      <c r="AZ401" s="1">
        <v>2047</v>
      </c>
      <c r="BA401" s="1">
        <v>2048</v>
      </c>
      <c r="BB401" s="1">
        <v>2049</v>
      </c>
      <c r="BC401" s="1">
        <v>2050</v>
      </c>
    </row>
    <row r="402" spans="1:55" x14ac:dyDescent="0.25">
      <c r="A402" s="1" t="str">
        <f>'Population Definitions'!$A$2</f>
        <v>PWID_males</v>
      </c>
      <c r="C402" t="s">
        <v>34</v>
      </c>
      <c r="D402" s="3"/>
      <c r="E402" s="3">
        <v>0</v>
      </c>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row>
    <row r="403" spans="1:55" x14ac:dyDescent="0.25">
      <c r="A403" s="1" t="str">
        <f>'Population Definitions'!$A$3</f>
        <v>PWID_females</v>
      </c>
      <c r="C403" t="s">
        <v>34</v>
      </c>
      <c r="D403" s="3"/>
      <c r="E403" s="3">
        <v>0</v>
      </c>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row>
    <row r="404" spans="1:55" x14ac:dyDescent="0.25">
      <c r="A404" s="1" t="str">
        <f>'Population Definitions'!$A$4</f>
        <v>0-9_males</v>
      </c>
      <c r="C404" t="s">
        <v>34</v>
      </c>
      <c r="D404" s="3"/>
      <c r="E404" s="3">
        <v>0</v>
      </c>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row>
    <row r="405" spans="1:55" x14ac:dyDescent="0.25">
      <c r="A405" s="1" t="str">
        <f>'Population Definitions'!$A$5</f>
        <v>0-9_females</v>
      </c>
      <c r="C405" t="s">
        <v>34</v>
      </c>
      <c r="D405" s="3"/>
      <c r="E405" s="3">
        <v>0</v>
      </c>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row>
    <row r="406" spans="1:55" x14ac:dyDescent="0.25">
      <c r="A406" s="1" t="str">
        <f>'Population Definitions'!$A$6</f>
        <v>10-17_males</v>
      </c>
      <c r="C406" t="s">
        <v>34</v>
      </c>
      <c r="D406" s="3"/>
      <c r="E406" s="3">
        <v>0</v>
      </c>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row>
    <row r="407" spans="1:55" x14ac:dyDescent="0.25">
      <c r="A407" s="1" t="str">
        <f>'Population Definitions'!$A$7</f>
        <v>10-17_females</v>
      </c>
      <c r="C407" t="s">
        <v>34</v>
      </c>
      <c r="D407" s="3"/>
      <c r="E407" s="3">
        <v>0</v>
      </c>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row>
    <row r="408" spans="1:55" x14ac:dyDescent="0.25">
      <c r="A408" s="1" t="str">
        <f>'Population Definitions'!$A$8</f>
        <v>18-64_males</v>
      </c>
      <c r="C408" t="s">
        <v>34</v>
      </c>
      <c r="D408" s="3"/>
      <c r="E408" s="3">
        <v>0</v>
      </c>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row>
    <row r="409" spans="1:55" x14ac:dyDescent="0.25">
      <c r="A409" s="1" t="str">
        <f>'Population Definitions'!$A$9</f>
        <v>18-64_females</v>
      </c>
      <c r="C409" t="s">
        <v>34</v>
      </c>
      <c r="D409" s="3"/>
      <c r="E409" s="3">
        <v>0</v>
      </c>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row>
    <row r="410" spans="1:55" x14ac:dyDescent="0.25">
      <c r="A410" s="1" t="str">
        <f>'Population Definitions'!$A$10</f>
        <v>65+_males</v>
      </c>
      <c r="C410" t="s">
        <v>34</v>
      </c>
      <c r="D410" s="3"/>
      <c r="E410" s="3">
        <v>0</v>
      </c>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row>
    <row r="411" spans="1:55" x14ac:dyDescent="0.25">
      <c r="A411" s="1" t="str">
        <f>'Population Definitions'!$A$11</f>
        <v>65+_females</v>
      </c>
      <c r="C411" t="s">
        <v>34</v>
      </c>
      <c r="D411" s="3"/>
      <c r="E411" s="3">
        <v>0</v>
      </c>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row>
    <row r="412" spans="1:55" x14ac:dyDescent="0.25">
      <c r="A412" s="1" t="str">
        <f>'Population Definitions'!$A$12</f>
        <v>Prisoners_males</v>
      </c>
      <c r="C412" t="s">
        <v>34</v>
      </c>
      <c r="D412" s="3"/>
      <c r="E412" s="3">
        <v>0</v>
      </c>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row>
    <row r="413" spans="1:55" x14ac:dyDescent="0.25">
      <c r="A413" s="1" t="str">
        <f>'Population Definitions'!$A$13</f>
        <v>Prisoners_females</v>
      </c>
      <c r="C413" t="s">
        <v>34</v>
      </c>
      <c r="D413" s="3"/>
      <c r="E413" s="3">
        <v>0</v>
      </c>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row>
    <row r="414" spans="1:55" x14ac:dyDescent="0.25">
      <c r="A414" s="1" t="str">
        <f>'Population Definitions'!$A$14</f>
        <v>Prisoners_PWID_males</v>
      </c>
      <c r="C414" t="s">
        <v>34</v>
      </c>
      <c r="D414" s="3"/>
      <c r="E414" s="3">
        <v>0</v>
      </c>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row>
    <row r="415" spans="1:55" x14ac:dyDescent="0.25">
      <c r="A415" s="1" t="str">
        <f>'Population Definitions'!$A$15</f>
        <v>Prisoners_PWID_females</v>
      </c>
      <c r="C415" t="s">
        <v>34</v>
      </c>
      <c r="D415" s="3"/>
      <c r="E415" s="3">
        <v>0</v>
      </c>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row>
    <row r="417" spans="1:55" x14ac:dyDescent="0.25">
      <c r="A417" s="1" t="s">
        <v>153</v>
      </c>
      <c r="B417" s="1" t="s">
        <v>31</v>
      </c>
      <c r="C417" s="1" t="s">
        <v>32</v>
      </c>
      <c r="D417" s="1" t="s">
        <v>33</v>
      </c>
      <c r="E417" s="1">
        <v>2000</v>
      </c>
      <c r="F417" s="1">
        <v>2001</v>
      </c>
      <c r="G417" s="1">
        <v>2002</v>
      </c>
      <c r="H417" s="1">
        <v>2003</v>
      </c>
      <c r="I417" s="1">
        <v>2004</v>
      </c>
      <c r="J417" s="1">
        <v>2005</v>
      </c>
      <c r="K417" s="1">
        <v>2006</v>
      </c>
      <c r="L417" s="1">
        <v>2007</v>
      </c>
      <c r="M417" s="1">
        <v>2008</v>
      </c>
      <c r="N417" s="1">
        <v>2009</v>
      </c>
      <c r="O417" s="1">
        <v>2010</v>
      </c>
      <c r="P417" s="1">
        <v>2011</v>
      </c>
      <c r="Q417" s="1">
        <v>2012</v>
      </c>
      <c r="R417" s="1">
        <v>2013</v>
      </c>
      <c r="S417" s="1">
        <v>2014</v>
      </c>
      <c r="T417" s="1">
        <v>2015</v>
      </c>
      <c r="U417" s="1">
        <v>2016</v>
      </c>
      <c r="V417" s="1">
        <v>2017</v>
      </c>
      <c r="W417" s="1">
        <v>2018</v>
      </c>
      <c r="X417" s="1">
        <v>2019</v>
      </c>
      <c r="Y417" s="1">
        <v>2020</v>
      </c>
      <c r="Z417" s="1">
        <v>2021</v>
      </c>
      <c r="AA417" s="1">
        <v>2022</v>
      </c>
      <c r="AB417" s="1">
        <v>2023</v>
      </c>
      <c r="AC417" s="1">
        <v>2024</v>
      </c>
      <c r="AD417" s="1">
        <v>2025</v>
      </c>
      <c r="AE417" s="1">
        <v>2026</v>
      </c>
      <c r="AF417" s="1">
        <v>2027</v>
      </c>
      <c r="AG417" s="1">
        <v>2028</v>
      </c>
      <c r="AH417" s="1">
        <v>2029</v>
      </c>
      <c r="AI417" s="1">
        <v>2030</v>
      </c>
      <c r="AJ417" s="1">
        <v>2031</v>
      </c>
      <c r="AK417" s="1">
        <v>2032</v>
      </c>
      <c r="AL417" s="1">
        <v>2033</v>
      </c>
      <c r="AM417" s="1">
        <v>2034</v>
      </c>
      <c r="AN417" s="1">
        <v>2035</v>
      </c>
      <c r="AO417" s="1">
        <v>2036</v>
      </c>
      <c r="AP417" s="1">
        <v>2037</v>
      </c>
      <c r="AQ417" s="1">
        <v>2038</v>
      </c>
      <c r="AR417" s="1">
        <v>2039</v>
      </c>
      <c r="AS417" s="1">
        <v>2040</v>
      </c>
      <c r="AT417" s="1">
        <v>2041</v>
      </c>
      <c r="AU417" s="1">
        <v>2042</v>
      </c>
      <c r="AV417" s="1">
        <v>2043</v>
      </c>
      <c r="AW417" s="1">
        <v>2044</v>
      </c>
      <c r="AX417" s="1">
        <v>2045</v>
      </c>
      <c r="AY417" s="1">
        <v>2046</v>
      </c>
      <c r="AZ417" s="1">
        <v>2047</v>
      </c>
      <c r="BA417" s="1">
        <v>2048</v>
      </c>
      <c r="BB417" s="1">
        <v>2049</v>
      </c>
      <c r="BC417" s="1">
        <v>2050</v>
      </c>
    </row>
    <row r="418" spans="1:55" x14ac:dyDescent="0.25">
      <c r="A418" s="1" t="str">
        <f>'Population Definitions'!$A$2</f>
        <v>PWID_males</v>
      </c>
      <c r="C418" t="s">
        <v>34</v>
      </c>
      <c r="D418" s="3"/>
      <c r="E418" s="3">
        <v>0</v>
      </c>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row>
    <row r="419" spans="1:55" x14ac:dyDescent="0.25">
      <c r="A419" s="1" t="str">
        <f>'Population Definitions'!$A$3</f>
        <v>PWID_females</v>
      </c>
      <c r="C419" t="s">
        <v>34</v>
      </c>
      <c r="D419" s="3"/>
      <c r="E419" s="3">
        <v>0</v>
      </c>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row>
    <row r="420" spans="1:55" x14ac:dyDescent="0.25">
      <c r="A420" s="1" t="str">
        <f>'Population Definitions'!$A$4</f>
        <v>0-9_males</v>
      </c>
      <c r="C420" t="s">
        <v>34</v>
      </c>
      <c r="D420" s="3"/>
      <c r="E420" s="3">
        <v>0</v>
      </c>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row>
    <row r="421" spans="1:55" x14ac:dyDescent="0.25">
      <c r="A421" s="1" t="str">
        <f>'Population Definitions'!$A$5</f>
        <v>0-9_females</v>
      </c>
      <c r="C421" t="s">
        <v>34</v>
      </c>
      <c r="D421" s="3"/>
      <c r="E421" s="3">
        <v>0</v>
      </c>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row>
    <row r="422" spans="1:55" x14ac:dyDescent="0.25">
      <c r="A422" s="1" t="str">
        <f>'Population Definitions'!$A$6</f>
        <v>10-17_males</v>
      </c>
      <c r="C422" t="s">
        <v>34</v>
      </c>
      <c r="D422" s="3"/>
      <c r="E422" s="3">
        <v>0</v>
      </c>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row>
    <row r="423" spans="1:55" x14ac:dyDescent="0.25">
      <c r="A423" s="1" t="str">
        <f>'Population Definitions'!$A$7</f>
        <v>10-17_females</v>
      </c>
      <c r="C423" t="s">
        <v>34</v>
      </c>
      <c r="D423" s="3"/>
      <c r="E423" s="3">
        <v>0</v>
      </c>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row>
    <row r="424" spans="1:55" x14ac:dyDescent="0.25">
      <c r="A424" s="1" t="str">
        <f>'Population Definitions'!$A$8</f>
        <v>18-64_males</v>
      </c>
      <c r="C424" t="s">
        <v>34</v>
      </c>
      <c r="D424" s="3"/>
      <c r="E424" s="3">
        <v>0</v>
      </c>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row>
    <row r="425" spans="1:55" x14ac:dyDescent="0.25">
      <c r="A425" s="1" t="str">
        <f>'Population Definitions'!$A$9</f>
        <v>18-64_females</v>
      </c>
      <c r="C425" t="s">
        <v>34</v>
      </c>
      <c r="D425" s="3"/>
      <c r="E425" s="3">
        <v>0</v>
      </c>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row>
    <row r="426" spans="1:55" x14ac:dyDescent="0.25">
      <c r="A426" s="1" t="str">
        <f>'Population Definitions'!$A$10</f>
        <v>65+_males</v>
      </c>
      <c r="C426" t="s">
        <v>34</v>
      </c>
      <c r="D426" s="3"/>
      <c r="E426" s="3">
        <v>0</v>
      </c>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row>
    <row r="427" spans="1:55" x14ac:dyDescent="0.25">
      <c r="A427" s="1" t="str">
        <f>'Population Definitions'!$A$11</f>
        <v>65+_females</v>
      </c>
      <c r="C427" t="s">
        <v>34</v>
      </c>
      <c r="D427" s="3"/>
      <c r="E427" s="3">
        <v>0</v>
      </c>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row>
    <row r="428" spans="1:55" x14ac:dyDescent="0.25">
      <c r="A428" s="1" t="str">
        <f>'Population Definitions'!$A$12</f>
        <v>Prisoners_males</v>
      </c>
      <c r="C428" t="s">
        <v>34</v>
      </c>
      <c r="D428" s="3"/>
      <c r="E428" s="3">
        <v>0</v>
      </c>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row>
    <row r="429" spans="1:55" x14ac:dyDescent="0.25">
      <c r="A429" s="1" t="str">
        <f>'Population Definitions'!$A$13</f>
        <v>Prisoners_females</v>
      </c>
      <c r="C429" t="s">
        <v>34</v>
      </c>
      <c r="D429" s="3"/>
      <c r="E429" s="3">
        <v>0</v>
      </c>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row>
    <row r="430" spans="1:55" x14ac:dyDescent="0.25">
      <c r="A430" s="1" t="str">
        <f>'Population Definitions'!$A$14</f>
        <v>Prisoners_PWID_males</v>
      </c>
      <c r="C430" t="s">
        <v>34</v>
      </c>
      <c r="D430" s="3"/>
      <c r="E430" s="3">
        <v>0</v>
      </c>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row>
    <row r="431" spans="1:55" x14ac:dyDescent="0.25">
      <c r="A431" s="1" t="str">
        <f>'Population Definitions'!$A$15</f>
        <v>Prisoners_PWID_females</v>
      </c>
      <c r="C431" t="s">
        <v>34</v>
      </c>
      <c r="D431" s="3"/>
      <c r="E431" s="3">
        <v>0</v>
      </c>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row>
    <row r="433" spans="1:55" x14ac:dyDescent="0.25">
      <c r="A433" s="1" t="s">
        <v>154</v>
      </c>
      <c r="B433" s="1" t="s">
        <v>31</v>
      </c>
      <c r="C433" s="1" t="s">
        <v>32</v>
      </c>
      <c r="D433" s="1" t="s">
        <v>33</v>
      </c>
      <c r="E433" s="1">
        <v>2000</v>
      </c>
      <c r="F433" s="1">
        <v>2001</v>
      </c>
      <c r="G433" s="1">
        <v>2002</v>
      </c>
      <c r="H433" s="1">
        <v>2003</v>
      </c>
      <c r="I433" s="1">
        <v>2004</v>
      </c>
      <c r="J433" s="1">
        <v>2005</v>
      </c>
      <c r="K433" s="1">
        <v>2006</v>
      </c>
      <c r="L433" s="1">
        <v>2007</v>
      </c>
      <c r="M433" s="1">
        <v>2008</v>
      </c>
      <c r="N433" s="1">
        <v>2009</v>
      </c>
      <c r="O433" s="1">
        <v>2010</v>
      </c>
      <c r="P433" s="1">
        <v>2011</v>
      </c>
      <c r="Q433" s="1">
        <v>2012</v>
      </c>
      <c r="R433" s="1">
        <v>2013</v>
      </c>
      <c r="S433" s="1">
        <v>2014</v>
      </c>
      <c r="T433" s="1">
        <v>2015</v>
      </c>
      <c r="U433" s="1">
        <v>2016</v>
      </c>
      <c r="V433" s="1">
        <v>2017</v>
      </c>
      <c r="W433" s="1">
        <v>2018</v>
      </c>
      <c r="X433" s="1">
        <v>2019</v>
      </c>
      <c r="Y433" s="1">
        <v>2020</v>
      </c>
      <c r="Z433" s="1">
        <v>2021</v>
      </c>
      <c r="AA433" s="1">
        <v>2022</v>
      </c>
      <c r="AB433" s="1">
        <v>2023</v>
      </c>
      <c r="AC433" s="1">
        <v>2024</v>
      </c>
      <c r="AD433" s="1">
        <v>2025</v>
      </c>
      <c r="AE433" s="1">
        <v>2026</v>
      </c>
      <c r="AF433" s="1">
        <v>2027</v>
      </c>
      <c r="AG433" s="1">
        <v>2028</v>
      </c>
      <c r="AH433" s="1">
        <v>2029</v>
      </c>
      <c r="AI433" s="1">
        <v>2030</v>
      </c>
      <c r="AJ433" s="1">
        <v>2031</v>
      </c>
      <c r="AK433" s="1">
        <v>2032</v>
      </c>
      <c r="AL433" s="1">
        <v>2033</v>
      </c>
      <c r="AM433" s="1">
        <v>2034</v>
      </c>
      <c r="AN433" s="1">
        <v>2035</v>
      </c>
      <c r="AO433" s="1">
        <v>2036</v>
      </c>
      <c r="AP433" s="1">
        <v>2037</v>
      </c>
      <c r="AQ433" s="1">
        <v>2038</v>
      </c>
      <c r="AR433" s="1">
        <v>2039</v>
      </c>
      <c r="AS433" s="1">
        <v>2040</v>
      </c>
      <c r="AT433" s="1">
        <v>2041</v>
      </c>
      <c r="AU433" s="1">
        <v>2042</v>
      </c>
      <c r="AV433" s="1">
        <v>2043</v>
      </c>
      <c r="AW433" s="1">
        <v>2044</v>
      </c>
      <c r="AX433" s="1">
        <v>2045</v>
      </c>
      <c r="AY433" s="1">
        <v>2046</v>
      </c>
      <c r="AZ433" s="1">
        <v>2047</v>
      </c>
      <c r="BA433" s="1">
        <v>2048</v>
      </c>
      <c r="BB433" s="1">
        <v>2049</v>
      </c>
      <c r="BC433" s="1">
        <v>2050</v>
      </c>
    </row>
    <row r="434" spans="1:55" x14ac:dyDescent="0.25">
      <c r="A434" s="1" t="str">
        <f>'Population Definitions'!$A$2</f>
        <v>PWID_males</v>
      </c>
      <c r="C434" t="s">
        <v>34</v>
      </c>
      <c r="D434" s="3"/>
      <c r="E434" s="3">
        <v>0</v>
      </c>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row>
    <row r="435" spans="1:55" x14ac:dyDescent="0.25">
      <c r="A435" s="1" t="str">
        <f>'Population Definitions'!$A$3</f>
        <v>PWID_females</v>
      </c>
      <c r="C435" t="s">
        <v>34</v>
      </c>
      <c r="D435" s="3"/>
      <c r="E435" s="3">
        <v>0</v>
      </c>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row>
    <row r="436" spans="1:55" x14ac:dyDescent="0.25">
      <c r="A436" s="1" t="str">
        <f>'Population Definitions'!$A$4</f>
        <v>0-9_males</v>
      </c>
      <c r="C436" t="s">
        <v>34</v>
      </c>
      <c r="D436" s="3"/>
      <c r="E436" s="3">
        <v>0</v>
      </c>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row>
    <row r="437" spans="1:55" x14ac:dyDescent="0.25">
      <c r="A437" s="1" t="str">
        <f>'Population Definitions'!$A$5</f>
        <v>0-9_females</v>
      </c>
      <c r="C437" t="s">
        <v>34</v>
      </c>
      <c r="D437" s="3"/>
      <c r="E437" s="3">
        <v>0</v>
      </c>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row>
    <row r="438" spans="1:55" x14ac:dyDescent="0.25">
      <c r="A438" s="1" t="str">
        <f>'Population Definitions'!$A$6</f>
        <v>10-17_males</v>
      </c>
      <c r="C438" t="s">
        <v>34</v>
      </c>
      <c r="D438" s="3"/>
      <c r="E438" s="3">
        <v>0</v>
      </c>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row>
    <row r="439" spans="1:55" x14ac:dyDescent="0.25">
      <c r="A439" s="1" t="str">
        <f>'Population Definitions'!$A$7</f>
        <v>10-17_females</v>
      </c>
      <c r="C439" t="s">
        <v>34</v>
      </c>
      <c r="D439" s="3"/>
      <c r="E439" s="3">
        <v>0</v>
      </c>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row>
    <row r="440" spans="1:55" x14ac:dyDescent="0.25">
      <c r="A440" s="1" t="str">
        <f>'Population Definitions'!$A$8</f>
        <v>18-64_males</v>
      </c>
      <c r="C440" t="s">
        <v>34</v>
      </c>
      <c r="D440" s="3"/>
      <c r="E440" s="3">
        <v>0</v>
      </c>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row>
    <row r="441" spans="1:55" x14ac:dyDescent="0.25">
      <c r="A441" s="1" t="str">
        <f>'Population Definitions'!$A$9</f>
        <v>18-64_females</v>
      </c>
      <c r="C441" t="s">
        <v>34</v>
      </c>
      <c r="D441" s="3"/>
      <c r="E441" s="3">
        <v>0</v>
      </c>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row>
    <row r="442" spans="1:55" x14ac:dyDescent="0.25">
      <c r="A442" s="1" t="str">
        <f>'Population Definitions'!$A$10</f>
        <v>65+_males</v>
      </c>
      <c r="C442" t="s">
        <v>34</v>
      </c>
      <c r="D442" s="3"/>
      <c r="E442" s="3">
        <v>0</v>
      </c>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row>
    <row r="443" spans="1:55" x14ac:dyDescent="0.25">
      <c r="A443" s="1" t="str">
        <f>'Population Definitions'!$A$11</f>
        <v>65+_females</v>
      </c>
      <c r="C443" t="s">
        <v>34</v>
      </c>
      <c r="D443" s="3"/>
      <c r="E443" s="3">
        <v>0</v>
      </c>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row>
    <row r="444" spans="1:55" x14ac:dyDescent="0.25">
      <c r="A444" s="1" t="str">
        <f>'Population Definitions'!$A$12</f>
        <v>Prisoners_males</v>
      </c>
      <c r="C444" t="s">
        <v>34</v>
      </c>
      <c r="D444" s="3"/>
      <c r="E444" s="3">
        <v>0</v>
      </c>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row>
    <row r="445" spans="1:55" x14ac:dyDescent="0.25">
      <c r="A445" s="1" t="str">
        <f>'Population Definitions'!$A$13</f>
        <v>Prisoners_females</v>
      </c>
      <c r="C445" t="s">
        <v>34</v>
      </c>
      <c r="D445" s="3"/>
      <c r="E445" s="3">
        <v>0</v>
      </c>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row>
    <row r="446" spans="1:55" x14ac:dyDescent="0.25">
      <c r="A446" s="1" t="str">
        <f>'Population Definitions'!$A$14</f>
        <v>Prisoners_PWID_males</v>
      </c>
      <c r="C446" t="s">
        <v>34</v>
      </c>
      <c r="D446" s="3"/>
      <c r="E446" s="3">
        <v>0</v>
      </c>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row>
    <row r="447" spans="1:55" x14ac:dyDescent="0.25">
      <c r="A447" s="1" t="str">
        <f>'Population Definitions'!$A$15</f>
        <v>Prisoners_PWID_females</v>
      </c>
      <c r="C447" t="s">
        <v>34</v>
      </c>
      <c r="D447" s="3"/>
      <c r="E447" s="3">
        <v>0</v>
      </c>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row>
    <row r="449" spans="1:55" x14ac:dyDescent="0.25">
      <c r="A449" s="1" t="s">
        <v>155</v>
      </c>
      <c r="B449" s="1" t="s">
        <v>31</v>
      </c>
      <c r="C449" s="1" t="s">
        <v>32</v>
      </c>
      <c r="D449" s="1" t="s">
        <v>33</v>
      </c>
      <c r="E449" s="1">
        <v>2000</v>
      </c>
      <c r="F449" s="1">
        <v>2001</v>
      </c>
      <c r="G449" s="1">
        <v>2002</v>
      </c>
      <c r="H449" s="1">
        <v>2003</v>
      </c>
      <c r="I449" s="1">
        <v>2004</v>
      </c>
      <c r="J449" s="1">
        <v>2005</v>
      </c>
      <c r="K449" s="1">
        <v>2006</v>
      </c>
      <c r="L449" s="1">
        <v>2007</v>
      </c>
      <c r="M449" s="1">
        <v>2008</v>
      </c>
      <c r="N449" s="1">
        <v>2009</v>
      </c>
      <c r="O449" s="1">
        <v>2010</v>
      </c>
      <c r="P449" s="1">
        <v>2011</v>
      </c>
      <c r="Q449" s="1">
        <v>2012</v>
      </c>
      <c r="R449" s="1">
        <v>2013</v>
      </c>
      <c r="S449" s="1">
        <v>2014</v>
      </c>
      <c r="T449" s="1">
        <v>2015</v>
      </c>
      <c r="U449" s="1">
        <v>2016</v>
      </c>
      <c r="V449" s="1">
        <v>2017</v>
      </c>
      <c r="W449" s="1">
        <v>2018</v>
      </c>
      <c r="X449" s="1">
        <v>2019</v>
      </c>
      <c r="Y449" s="1">
        <v>2020</v>
      </c>
      <c r="Z449" s="1">
        <v>2021</v>
      </c>
      <c r="AA449" s="1">
        <v>2022</v>
      </c>
      <c r="AB449" s="1">
        <v>2023</v>
      </c>
      <c r="AC449" s="1">
        <v>2024</v>
      </c>
      <c r="AD449" s="1">
        <v>2025</v>
      </c>
      <c r="AE449" s="1">
        <v>2026</v>
      </c>
      <c r="AF449" s="1">
        <v>2027</v>
      </c>
      <c r="AG449" s="1">
        <v>2028</v>
      </c>
      <c r="AH449" s="1">
        <v>2029</v>
      </c>
      <c r="AI449" s="1">
        <v>2030</v>
      </c>
      <c r="AJ449" s="1">
        <v>2031</v>
      </c>
      <c r="AK449" s="1">
        <v>2032</v>
      </c>
      <c r="AL449" s="1">
        <v>2033</v>
      </c>
      <c r="AM449" s="1">
        <v>2034</v>
      </c>
      <c r="AN449" s="1">
        <v>2035</v>
      </c>
      <c r="AO449" s="1">
        <v>2036</v>
      </c>
      <c r="AP449" s="1">
        <v>2037</v>
      </c>
      <c r="AQ449" s="1">
        <v>2038</v>
      </c>
      <c r="AR449" s="1">
        <v>2039</v>
      </c>
      <c r="AS449" s="1">
        <v>2040</v>
      </c>
      <c r="AT449" s="1">
        <v>2041</v>
      </c>
      <c r="AU449" s="1">
        <v>2042</v>
      </c>
      <c r="AV449" s="1">
        <v>2043</v>
      </c>
      <c r="AW449" s="1">
        <v>2044</v>
      </c>
      <c r="AX449" s="1">
        <v>2045</v>
      </c>
      <c r="AY449" s="1">
        <v>2046</v>
      </c>
      <c r="AZ449" s="1">
        <v>2047</v>
      </c>
      <c r="BA449" s="1">
        <v>2048</v>
      </c>
      <c r="BB449" s="1">
        <v>2049</v>
      </c>
      <c r="BC449" s="1">
        <v>2050</v>
      </c>
    </row>
    <row r="450" spans="1:55" x14ac:dyDescent="0.25">
      <c r="A450" s="1" t="str">
        <f>'Population Definitions'!$A$2</f>
        <v>PWID_males</v>
      </c>
      <c r="C450" t="s">
        <v>34</v>
      </c>
      <c r="D450" s="3"/>
      <c r="E450" s="3">
        <v>0</v>
      </c>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row>
    <row r="451" spans="1:55" x14ac:dyDescent="0.25">
      <c r="A451" s="1" t="str">
        <f>'Population Definitions'!$A$3</f>
        <v>PWID_females</v>
      </c>
      <c r="C451" t="s">
        <v>34</v>
      </c>
      <c r="D451" s="3"/>
      <c r="E451" s="3">
        <v>0</v>
      </c>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row>
    <row r="452" spans="1:55" x14ac:dyDescent="0.25">
      <c r="A452" s="1" t="str">
        <f>'Population Definitions'!$A$4</f>
        <v>0-9_males</v>
      </c>
      <c r="C452" t="s">
        <v>34</v>
      </c>
      <c r="D452" s="3"/>
      <c r="E452" s="3">
        <v>0</v>
      </c>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row>
    <row r="453" spans="1:55" x14ac:dyDescent="0.25">
      <c r="A453" s="1" t="str">
        <f>'Population Definitions'!$A$5</f>
        <v>0-9_females</v>
      </c>
      <c r="C453" t="s">
        <v>34</v>
      </c>
      <c r="D453" s="3"/>
      <c r="E453" s="3">
        <v>0</v>
      </c>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row>
    <row r="454" spans="1:55" x14ac:dyDescent="0.25">
      <c r="A454" s="1" t="str">
        <f>'Population Definitions'!$A$6</f>
        <v>10-17_males</v>
      </c>
      <c r="C454" t="s">
        <v>34</v>
      </c>
      <c r="D454" s="3"/>
      <c r="E454" s="3">
        <v>0</v>
      </c>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row>
    <row r="455" spans="1:55" x14ac:dyDescent="0.25">
      <c r="A455" s="1" t="str">
        <f>'Population Definitions'!$A$7</f>
        <v>10-17_females</v>
      </c>
      <c r="C455" t="s">
        <v>34</v>
      </c>
      <c r="D455" s="3"/>
      <c r="E455" s="3">
        <v>0</v>
      </c>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row>
    <row r="456" spans="1:55" x14ac:dyDescent="0.25">
      <c r="A456" s="1" t="str">
        <f>'Population Definitions'!$A$8</f>
        <v>18-64_males</v>
      </c>
      <c r="C456" t="s">
        <v>34</v>
      </c>
      <c r="D456" s="3"/>
      <c r="E456" s="3">
        <v>0</v>
      </c>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row>
    <row r="457" spans="1:55" x14ac:dyDescent="0.25">
      <c r="A457" s="1" t="str">
        <f>'Population Definitions'!$A$9</f>
        <v>18-64_females</v>
      </c>
      <c r="C457" t="s">
        <v>34</v>
      </c>
      <c r="D457" s="3"/>
      <c r="E457" s="3">
        <v>0</v>
      </c>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row>
    <row r="458" spans="1:55" x14ac:dyDescent="0.25">
      <c r="A458" s="1" t="str">
        <f>'Population Definitions'!$A$10</f>
        <v>65+_males</v>
      </c>
      <c r="C458" t="s">
        <v>34</v>
      </c>
      <c r="D458" s="3"/>
      <c r="E458" s="3">
        <v>0</v>
      </c>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row>
    <row r="459" spans="1:55" x14ac:dyDescent="0.25">
      <c r="A459" s="1" t="str">
        <f>'Population Definitions'!$A$11</f>
        <v>65+_females</v>
      </c>
      <c r="C459" t="s">
        <v>34</v>
      </c>
      <c r="D459" s="3"/>
      <c r="E459" s="3">
        <v>0</v>
      </c>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row>
    <row r="460" spans="1:55" x14ac:dyDescent="0.25">
      <c r="A460" s="1" t="str">
        <f>'Population Definitions'!$A$12</f>
        <v>Prisoners_males</v>
      </c>
      <c r="C460" t="s">
        <v>34</v>
      </c>
      <c r="D460" s="3"/>
      <c r="E460" s="3">
        <v>0</v>
      </c>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row>
    <row r="461" spans="1:55" x14ac:dyDescent="0.25">
      <c r="A461" s="1" t="str">
        <f>'Population Definitions'!$A$13</f>
        <v>Prisoners_females</v>
      </c>
      <c r="C461" t="s">
        <v>34</v>
      </c>
      <c r="D461" s="3"/>
      <c r="E461" s="3">
        <v>0</v>
      </c>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row>
    <row r="462" spans="1:55" x14ac:dyDescent="0.25">
      <c r="A462" s="1" t="str">
        <f>'Population Definitions'!$A$14</f>
        <v>Prisoners_PWID_males</v>
      </c>
      <c r="C462" t="s">
        <v>34</v>
      </c>
      <c r="D462" s="3"/>
      <c r="E462" s="3">
        <v>0</v>
      </c>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row>
    <row r="463" spans="1:55" x14ac:dyDescent="0.25">
      <c r="A463" s="1" t="str">
        <f>'Population Definitions'!$A$15</f>
        <v>Prisoners_PWID_females</v>
      </c>
      <c r="C463" t="s">
        <v>34</v>
      </c>
      <c r="D463" s="3"/>
      <c r="E463" s="3">
        <v>0</v>
      </c>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row>
    <row r="465" spans="1:55" x14ac:dyDescent="0.25">
      <c r="A465" s="1" t="s">
        <v>156</v>
      </c>
      <c r="B465" s="1" t="s">
        <v>31</v>
      </c>
      <c r="C465" s="1" t="s">
        <v>32</v>
      </c>
      <c r="D465" s="1" t="s">
        <v>33</v>
      </c>
      <c r="E465" s="1">
        <v>2000</v>
      </c>
      <c r="F465" s="1">
        <v>2001</v>
      </c>
      <c r="G465" s="1">
        <v>2002</v>
      </c>
      <c r="H465" s="1">
        <v>2003</v>
      </c>
      <c r="I465" s="1">
        <v>2004</v>
      </c>
      <c r="J465" s="1">
        <v>2005</v>
      </c>
      <c r="K465" s="1">
        <v>2006</v>
      </c>
      <c r="L465" s="1">
        <v>2007</v>
      </c>
      <c r="M465" s="1">
        <v>2008</v>
      </c>
      <c r="N465" s="1">
        <v>2009</v>
      </c>
      <c r="O465" s="1">
        <v>2010</v>
      </c>
      <c r="P465" s="1">
        <v>2011</v>
      </c>
      <c r="Q465" s="1">
        <v>2012</v>
      </c>
      <c r="R465" s="1">
        <v>2013</v>
      </c>
      <c r="S465" s="1">
        <v>2014</v>
      </c>
      <c r="T465" s="1">
        <v>2015</v>
      </c>
      <c r="U465" s="1">
        <v>2016</v>
      </c>
      <c r="V465" s="1">
        <v>2017</v>
      </c>
      <c r="W465" s="1">
        <v>2018</v>
      </c>
      <c r="X465" s="1">
        <v>2019</v>
      </c>
      <c r="Y465" s="1">
        <v>2020</v>
      </c>
      <c r="Z465" s="1">
        <v>2021</v>
      </c>
      <c r="AA465" s="1">
        <v>2022</v>
      </c>
      <c r="AB465" s="1">
        <v>2023</v>
      </c>
      <c r="AC465" s="1">
        <v>2024</v>
      </c>
      <c r="AD465" s="1">
        <v>2025</v>
      </c>
      <c r="AE465" s="1">
        <v>2026</v>
      </c>
      <c r="AF465" s="1">
        <v>2027</v>
      </c>
      <c r="AG465" s="1">
        <v>2028</v>
      </c>
      <c r="AH465" s="1">
        <v>2029</v>
      </c>
      <c r="AI465" s="1">
        <v>2030</v>
      </c>
      <c r="AJ465" s="1">
        <v>2031</v>
      </c>
      <c r="AK465" s="1">
        <v>2032</v>
      </c>
      <c r="AL465" s="1">
        <v>2033</v>
      </c>
      <c r="AM465" s="1">
        <v>2034</v>
      </c>
      <c r="AN465" s="1">
        <v>2035</v>
      </c>
      <c r="AO465" s="1">
        <v>2036</v>
      </c>
      <c r="AP465" s="1">
        <v>2037</v>
      </c>
      <c r="AQ465" s="1">
        <v>2038</v>
      </c>
      <c r="AR465" s="1">
        <v>2039</v>
      </c>
      <c r="AS465" s="1">
        <v>2040</v>
      </c>
      <c r="AT465" s="1">
        <v>2041</v>
      </c>
      <c r="AU465" s="1">
        <v>2042</v>
      </c>
      <c r="AV465" s="1">
        <v>2043</v>
      </c>
      <c r="AW465" s="1">
        <v>2044</v>
      </c>
      <c r="AX465" s="1">
        <v>2045</v>
      </c>
      <c r="AY465" s="1">
        <v>2046</v>
      </c>
      <c r="AZ465" s="1">
        <v>2047</v>
      </c>
      <c r="BA465" s="1">
        <v>2048</v>
      </c>
      <c r="BB465" s="1">
        <v>2049</v>
      </c>
      <c r="BC465" s="1">
        <v>2050</v>
      </c>
    </row>
    <row r="466" spans="1:55" x14ac:dyDescent="0.25">
      <c r="A466" s="1" t="str">
        <f>'Population Definitions'!$A$2</f>
        <v>PWID_males</v>
      </c>
      <c r="C466" t="s">
        <v>34</v>
      </c>
      <c r="D466" s="3"/>
      <c r="E466" s="3">
        <v>0</v>
      </c>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row>
    <row r="467" spans="1:55" x14ac:dyDescent="0.25">
      <c r="A467" s="1" t="str">
        <f>'Population Definitions'!$A$3</f>
        <v>PWID_females</v>
      </c>
      <c r="C467" t="s">
        <v>34</v>
      </c>
      <c r="D467" s="3"/>
      <c r="E467" s="3">
        <v>0</v>
      </c>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row>
    <row r="468" spans="1:55" x14ac:dyDescent="0.25">
      <c r="A468" s="1" t="str">
        <f>'Population Definitions'!$A$4</f>
        <v>0-9_males</v>
      </c>
      <c r="C468" t="s">
        <v>34</v>
      </c>
      <c r="D468" s="3"/>
      <c r="E468" s="3">
        <v>0</v>
      </c>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row>
    <row r="469" spans="1:55" x14ac:dyDescent="0.25">
      <c r="A469" s="1" t="str">
        <f>'Population Definitions'!$A$5</f>
        <v>0-9_females</v>
      </c>
      <c r="C469" t="s">
        <v>34</v>
      </c>
      <c r="D469" s="3"/>
      <c r="E469" s="3">
        <v>0</v>
      </c>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row>
    <row r="470" spans="1:55" x14ac:dyDescent="0.25">
      <c r="A470" s="1" t="str">
        <f>'Population Definitions'!$A$6</f>
        <v>10-17_males</v>
      </c>
      <c r="C470" t="s">
        <v>34</v>
      </c>
      <c r="D470" s="3"/>
      <c r="E470" s="3">
        <v>0</v>
      </c>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row>
    <row r="471" spans="1:55" x14ac:dyDescent="0.25">
      <c r="A471" s="1" t="str">
        <f>'Population Definitions'!$A$7</f>
        <v>10-17_females</v>
      </c>
      <c r="C471" t="s">
        <v>34</v>
      </c>
      <c r="D471" s="3"/>
      <c r="E471" s="3">
        <v>0</v>
      </c>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row>
    <row r="472" spans="1:55" x14ac:dyDescent="0.25">
      <c r="A472" s="1" t="str">
        <f>'Population Definitions'!$A$8</f>
        <v>18-64_males</v>
      </c>
      <c r="C472" t="s">
        <v>34</v>
      </c>
      <c r="D472" s="3"/>
      <c r="E472" s="3">
        <v>0</v>
      </c>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row>
    <row r="473" spans="1:55" x14ac:dyDescent="0.25">
      <c r="A473" s="1" t="str">
        <f>'Population Definitions'!$A$9</f>
        <v>18-64_females</v>
      </c>
      <c r="C473" t="s">
        <v>34</v>
      </c>
      <c r="D473" s="3"/>
      <c r="E473" s="3">
        <v>0</v>
      </c>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row>
    <row r="474" spans="1:55" x14ac:dyDescent="0.25">
      <c r="A474" s="1" t="str">
        <f>'Population Definitions'!$A$10</f>
        <v>65+_males</v>
      </c>
      <c r="C474" t="s">
        <v>34</v>
      </c>
      <c r="D474" s="3"/>
      <c r="E474" s="3">
        <v>0</v>
      </c>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row>
    <row r="475" spans="1:55" x14ac:dyDescent="0.25">
      <c r="A475" s="1" t="str">
        <f>'Population Definitions'!$A$11</f>
        <v>65+_females</v>
      </c>
      <c r="C475" t="s">
        <v>34</v>
      </c>
      <c r="D475" s="3"/>
      <c r="E475" s="3">
        <v>0</v>
      </c>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row>
    <row r="476" spans="1:55" x14ac:dyDescent="0.25">
      <c r="A476" s="1" t="str">
        <f>'Population Definitions'!$A$12</f>
        <v>Prisoners_males</v>
      </c>
      <c r="C476" t="s">
        <v>34</v>
      </c>
      <c r="D476" s="3"/>
      <c r="E476" s="3">
        <v>0</v>
      </c>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row>
    <row r="477" spans="1:55" x14ac:dyDescent="0.25">
      <c r="A477" s="1" t="str">
        <f>'Population Definitions'!$A$13</f>
        <v>Prisoners_females</v>
      </c>
      <c r="C477" t="s">
        <v>34</v>
      </c>
      <c r="D477" s="3"/>
      <c r="E477" s="3">
        <v>0</v>
      </c>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row>
    <row r="478" spans="1:55" x14ac:dyDescent="0.25">
      <c r="A478" s="1" t="str">
        <f>'Population Definitions'!$A$14</f>
        <v>Prisoners_PWID_males</v>
      </c>
      <c r="C478" t="s">
        <v>34</v>
      </c>
      <c r="D478" s="3"/>
      <c r="E478" s="3">
        <v>0</v>
      </c>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row>
    <row r="479" spans="1:55" x14ac:dyDescent="0.25">
      <c r="A479" s="1" t="str">
        <f>'Population Definitions'!$A$15</f>
        <v>Prisoners_PWID_females</v>
      </c>
      <c r="C479" t="s">
        <v>34</v>
      </c>
      <c r="D479" s="3"/>
      <c r="E479" s="3">
        <v>0</v>
      </c>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row>
    <row r="481" spans="1:55" x14ac:dyDescent="0.25">
      <c r="A481" s="1" t="s">
        <v>157</v>
      </c>
      <c r="B481" s="1" t="s">
        <v>31</v>
      </c>
      <c r="C481" s="1" t="s">
        <v>32</v>
      </c>
      <c r="D481" s="1" t="s">
        <v>33</v>
      </c>
      <c r="E481" s="1">
        <v>2000</v>
      </c>
      <c r="F481" s="1">
        <v>2001</v>
      </c>
      <c r="G481" s="1">
        <v>2002</v>
      </c>
      <c r="H481" s="1">
        <v>2003</v>
      </c>
      <c r="I481" s="1">
        <v>2004</v>
      </c>
      <c r="J481" s="1">
        <v>2005</v>
      </c>
      <c r="K481" s="1">
        <v>2006</v>
      </c>
      <c r="L481" s="1">
        <v>2007</v>
      </c>
      <c r="M481" s="1">
        <v>2008</v>
      </c>
      <c r="N481" s="1">
        <v>2009</v>
      </c>
      <c r="O481" s="1">
        <v>2010</v>
      </c>
      <c r="P481" s="1">
        <v>2011</v>
      </c>
      <c r="Q481" s="1">
        <v>2012</v>
      </c>
      <c r="R481" s="1">
        <v>2013</v>
      </c>
      <c r="S481" s="1">
        <v>2014</v>
      </c>
      <c r="T481" s="1">
        <v>2015</v>
      </c>
      <c r="U481" s="1">
        <v>2016</v>
      </c>
      <c r="V481" s="1">
        <v>2017</v>
      </c>
      <c r="W481" s="1">
        <v>2018</v>
      </c>
      <c r="X481" s="1">
        <v>2019</v>
      </c>
      <c r="Y481" s="1">
        <v>2020</v>
      </c>
      <c r="Z481" s="1">
        <v>2021</v>
      </c>
      <c r="AA481" s="1">
        <v>2022</v>
      </c>
      <c r="AB481" s="1">
        <v>2023</v>
      </c>
      <c r="AC481" s="1">
        <v>2024</v>
      </c>
      <c r="AD481" s="1">
        <v>2025</v>
      </c>
      <c r="AE481" s="1">
        <v>2026</v>
      </c>
      <c r="AF481" s="1">
        <v>2027</v>
      </c>
      <c r="AG481" s="1">
        <v>2028</v>
      </c>
      <c r="AH481" s="1">
        <v>2029</v>
      </c>
      <c r="AI481" s="1">
        <v>2030</v>
      </c>
      <c r="AJ481" s="1">
        <v>2031</v>
      </c>
      <c r="AK481" s="1">
        <v>2032</v>
      </c>
      <c r="AL481" s="1">
        <v>2033</v>
      </c>
      <c r="AM481" s="1">
        <v>2034</v>
      </c>
      <c r="AN481" s="1">
        <v>2035</v>
      </c>
      <c r="AO481" s="1">
        <v>2036</v>
      </c>
      <c r="AP481" s="1">
        <v>2037</v>
      </c>
      <c r="AQ481" s="1">
        <v>2038</v>
      </c>
      <c r="AR481" s="1">
        <v>2039</v>
      </c>
      <c r="AS481" s="1">
        <v>2040</v>
      </c>
      <c r="AT481" s="1">
        <v>2041</v>
      </c>
      <c r="AU481" s="1">
        <v>2042</v>
      </c>
      <c r="AV481" s="1">
        <v>2043</v>
      </c>
      <c r="AW481" s="1">
        <v>2044</v>
      </c>
      <c r="AX481" s="1">
        <v>2045</v>
      </c>
      <c r="AY481" s="1">
        <v>2046</v>
      </c>
      <c r="AZ481" s="1">
        <v>2047</v>
      </c>
      <c r="BA481" s="1">
        <v>2048</v>
      </c>
      <c r="BB481" s="1">
        <v>2049</v>
      </c>
      <c r="BC481" s="1">
        <v>2050</v>
      </c>
    </row>
    <row r="482" spans="1:55" x14ac:dyDescent="0.25">
      <c r="A482" s="1" t="str">
        <f>'Population Definitions'!$A$2</f>
        <v>PWID_males</v>
      </c>
      <c r="C482" t="s">
        <v>34</v>
      </c>
      <c r="D482" s="3"/>
      <c r="E482" s="3">
        <v>0</v>
      </c>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row>
    <row r="483" spans="1:55" x14ac:dyDescent="0.25">
      <c r="A483" s="1" t="str">
        <f>'Population Definitions'!$A$3</f>
        <v>PWID_females</v>
      </c>
      <c r="C483" t="s">
        <v>34</v>
      </c>
      <c r="D483" s="3"/>
      <c r="E483" s="3">
        <v>0</v>
      </c>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row>
    <row r="484" spans="1:55" x14ac:dyDescent="0.25">
      <c r="A484" s="1" t="str">
        <f>'Population Definitions'!$A$4</f>
        <v>0-9_males</v>
      </c>
      <c r="C484" t="s">
        <v>34</v>
      </c>
      <c r="D484" s="3"/>
      <c r="E484" s="3">
        <v>0</v>
      </c>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row>
    <row r="485" spans="1:55" x14ac:dyDescent="0.25">
      <c r="A485" s="1" t="str">
        <f>'Population Definitions'!$A$5</f>
        <v>0-9_females</v>
      </c>
      <c r="C485" t="s">
        <v>34</v>
      </c>
      <c r="D485" s="3"/>
      <c r="E485" s="3">
        <v>0</v>
      </c>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row>
    <row r="486" spans="1:55" x14ac:dyDescent="0.25">
      <c r="A486" s="1" t="str">
        <f>'Population Definitions'!$A$6</f>
        <v>10-17_males</v>
      </c>
      <c r="C486" t="s">
        <v>34</v>
      </c>
      <c r="D486" s="3"/>
      <c r="E486" s="3">
        <v>0</v>
      </c>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row>
    <row r="487" spans="1:55" x14ac:dyDescent="0.25">
      <c r="A487" s="1" t="str">
        <f>'Population Definitions'!$A$7</f>
        <v>10-17_females</v>
      </c>
      <c r="C487" t="s">
        <v>34</v>
      </c>
      <c r="D487" s="3"/>
      <c r="E487" s="3">
        <v>0</v>
      </c>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row>
    <row r="488" spans="1:55" x14ac:dyDescent="0.25">
      <c r="A488" s="1" t="str">
        <f>'Population Definitions'!$A$8</f>
        <v>18-64_males</v>
      </c>
      <c r="C488" t="s">
        <v>34</v>
      </c>
      <c r="D488" s="3"/>
      <c r="E488" s="3">
        <v>0</v>
      </c>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row>
    <row r="489" spans="1:55" x14ac:dyDescent="0.25">
      <c r="A489" s="1" t="str">
        <f>'Population Definitions'!$A$9</f>
        <v>18-64_females</v>
      </c>
      <c r="C489" t="s">
        <v>34</v>
      </c>
      <c r="D489" s="3"/>
      <c r="E489" s="3">
        <v>0</v>
      </c>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row>
    <row r="490" spans="1:55" x14ac:dyDescent="0.25">
      <c r="A490" s="1" t="str">
        <f>'Population Definitions'!$A$10</f>
        <v>65+_males</v>
      </c>
      <c r="C490" t="s">
        <v>34</v>
      </c>
      <c r="D490" s="3"/>
      <c r="E490" s="3">
        <v>0</v>
      </c>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row>
    <row r="491" spans="1:55" x14ac:dyDescent="0.25">
      <c r="A491" s="1" t="str">
        <f>'Population Definitions'!$A$11</f>
        <v>65+_females</v>
      </c>
      <c r="C491" t="s">
        <v>34</v>
      </c>
      <c r="D491" s="3"/>
      <c r="E491" s="3">
        <v>0</v>
      </c>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row>
    <row r="492" spans="1:55" x14ac:dyDescent="0.25">
      <c r="A492" s="1" t="str">
        <f>'Population Definitions'!$A$12</f>
        <v>Prisoners_males</v>
      </c>
      <c r="C492" t="s">
        <v>34</v>
      </c>
      <c r="D492" s="3"/>
      <c r="E492" s="3">
        <v>0</v>
      </c>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row>
    <row r="493" spans="1:55" x14ac:dyDescent="0.25">
      <c r="A493" s="1" t="str">
        <f>'Population Definitions'!$A$13</f>
        <v>Prisoners_females</v>
      </c>
      <c r="C493" t="s">
        <v>34</v>
      </c>
      <c r="D493" s="3"/>
      <c r="E493" s="3">
        <v>0</v>
      </c>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row>
    <row r="494" spans="1:55" x14ac:dyDescent="0.25">
      <c r="A494" s="1" t="str">
        <f>'Population Definitions'!$A$14</f>
        <v>Prisoners_PWID_males</v>
      </c>
      <c r="C494" t="s">
        <v>34</v>
      </c>
      <c r="D494" s="3"/>
      <c r="E494" s="3">
        <v>0</v>
      </c>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row>
    <row r="495" spans="1:55" x14ac:dyDescent="0.25">
      <c r="A495" s="1" t="str">
        <f>'Population Definitions'!$A$15</f>
        <v>Prisoners_PWID_females</v>
      </c>
      <c r="C495" t="s">
        <v>34</v>
      </c>
      <c r="D495" s="3"/>
      <c r="E495" s="3">
        <v>0</v>
      </c>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row>
    <row r="497" spans="1:55" x14ac:dyDescent="0.25">
      <c r="A497" s="1" t="s">
        <v>158</v>
      </c>
      <c r="B497" s="1" t="s">
        <v>31</v>
      </c>
      <c r="C497" s="1" t="s">
        <v>32</v>
      </c>
      <c r="D497" s="1" t="s">
        <v>33</v>
      </c>
      <c r="E497" s="1">
        <v>2000</v>
      </c>
      <c r="F497" s="1">
        <v>2001</v>
      </c>
      <c r="G497" s="1">
        <v>2002</v>
      </c>
      <c r="H497" s="1">
        <v>2003</v>
      </c>
      <c r="I497" s="1">
        <v>2004</v>
      </c>
      <c r="J497" s="1">
        <v>2005</v>
      </c>
      <c r="K497" s="1">
        <v>2006</v>
      </c>
      <c r="L497" s="1">
        <v>2007</v>
      </c>
      <c r="M497" s="1">
        <v>2008</v>
      </c>
      <c r="N497" s="1">
        <v>2009</v>
      </c>
      <c r="O497" s="1">
        <v>2010</v>
      </c>
      <c r="P497" s="1">
        <v>2011</v>
      </c>
      <c r="Q497" s="1">
        <v>2012</v>
      </c>
      <c r="R497" s="1">
        <v>2013</v>
      </c>
      <c r="S497" s="1">
        <v>2014</v>
      </c>
      <c r="T497" s="1">
        <v>2015</v>
      </c>
      <c r="U497" s="1">
        <v>2016</v>
      </c>
      <c r="V497" s="1">
        <v>2017</v>
      </c>
      <c r="W497" s="1">
        <v>2018</v>
      </c>
      <c r="X497" s="1">
        <v>2019</v>
      </c>
      <c r="Y497" s="1">
        <v>2020</v>
      </c>
      <c r="Z497" s="1">
        <v>2021</v>
      </c>
      <c r="AA497" s="1">
        <v>2022</v>
      </c>
      <c r="AB497" s="1">
        <v>2023</v>
      </c>
      <c r="AC497" s="1">
        <v>2024</v>
      </c>
      <c r="AD497" s="1">
        <v>2025</v>
      </c>
      <c r="AE497" s="1">
        <v>2026</v>
      </c>
      <c r="AF497" s="1">
        <v>2027</v>
      </c>
      <c r="AG497" s="1">
        <v>2028</v>
      </c>
      <c r="AH497" s="1">
        <v>2029</v>
      </c>
      <c r="AI497" s="1">
        <v>2030</v>
      </c>
      <c r="AJ497" s="1">
        <v>2031</v>
      </c>
      <c r="AK497" s="1">
        <v>2032</v>
      </c>
      <c r="AL497" s="1">
        <v>2033</v>
      </c>
      <c r="AM497" s="1">
        <v>2034</v>
      </c>
      <c r="AN497" s="1">
        <v>2035</v>
      </c>
      <c r="AO497" s="1">
        <v>2036</v>
      </c>
      <c r="AP497" s="1">
        <v>2037</v>
      </c>
      <c r="AQ497" s="1">
        <v>2038</v>
      </c>
      <c r="AR497" s="1">
        <v>2039</v>
      </c>
      <c r="AS497" s="1">
        <v>2040</v>
      </c>
      <c r="AT497" s="1">
        <v>2041</v>
      </c>
      <c r="AU497" s="1">
        <v>2042</v>
      </c>
      <c r="AV497" s="1">
        <v>2043</v>
      </c>
      <c r="AW497" s="1">
        <v>2044</v>
      </c>
      <c r="AX497" s="1">
        <v>2045</v>
      </c>
      <c r="AY497" s="1">
        <v>2046</v>
      </c>
      <c r="AZ497" s="1">
        <v>2047</v>
      </c>
      <c r="BA497" s="1">
        <v>2048</v>
      </c>
      <c r="BB497" s="1">
        <v>2049</v>
      </c>
      <c r="BC497" s="1">
        <v>2050</v>
      </c>
    </row>
    <row r="498" spans="1:55" x14ac:dyDescent="0.25">
      <c r="A498" s="1" t="str">
        <f>'Population Definitions'!$A$2</f>
        <v>PWID_males</v>
      </c>
      <c r="C498" t="s">
        <v>34</v>
      </c>
      <c r="D498" s="3"/>
      <c r="E498" s="3">
        <v>0</v>
      </c>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row>
    <row r="499" spans="1:55" x14ac:dyDescent="0.25">
      <c r="A499" s="1" t="str">
        <f>'Population Definitions'!$A$3</f>
        <v>PWID_females</v>
      </c>
      <c r="C499" t="s">
        <v>34</v>
      </c>
      <c r="D499" s="3"/>
      <c r="E499" s="3">
        <v>0</v>
      </c>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row>
    <row r="500" spans="1:55" x14ac:dyDescent="0.25">
      <c r="A500" s="1" t="str">
        <f>'Population Definitions'!$A$4</f>
        <v>0-9_males</v>
      </c>
      <c r="C500" t="s">
        <v>34</v>
      </c>
      <c r="D500" s="3"/>
      <c r="E500" s="3">
        <v>0</v>
      </c>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row>
    <row r="501" spans="1:55" x14ac:dyDescent="0.25">
      <c r="A501" s="1" t="str">
        <f>'Population Definitions'!$A$5</f>
        <v>0-9_females</v>
      </c>
      <c r="C501" t="s">
        <v>34</v>
      </c>
      <c r="D501" s="3"/>
      <c r="E501" s="3">
        <v>0</v>
      </c>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row>
    <row r="502" spans="1:55" x14ac:dyDescent="0.25">
      <c r="A502" s="1" t="str">
        <f>'Population Definitions'!$A$6</f>
        <v>10-17_males</v>
      </c>
      <c r="C502" t="s">
        <v>34</v>
      </c>
      <c r="D502" s="3"/>
      <c r="E502" s="3">
        <v>0</v>
      </c>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row>
    <row r="503" spans="1:55" x14ac:dyDescent="0.25">
      <c r="A503" s="1" t="str">
        <f>'Population Definitions'!$A$7</f>
        <v>10-17_females</v>
      </c>
      <c r="C503" t="s">
        <v>34</v>
      </c>
      <c r="D503" s="3"/>
      <c r="E503" s="3">
        <v>0</v>
      </c>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row>
    <row r="504" spans="1:55" x14ac:dyDescent="0.25">
      <c r="A504" s="1" t="str">
        <f>'Population Definitions'!$A$8</f>
        <v>18-64_males</v>
      </c>
      <c r="C504" t="s">
        <v>34</v>
      </c>
      <c r="D504" s="3"/>
      <c r="E504" s="3">
        <v>0</v>
      </c>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row>
    <row r="505" spans="1:55" x14ac:dyDescent="0.25">
      <c r="A505" s="1" t="str">
        <f>'Population Definitions'!$A$9</f>
        <v>18-64_females</v>
      </c>
      <c r="C505" t="s">
        <v>34</v>
      </c>
      <c r="D505" s="3"/>
      <c r="E505" s="3">
        <v>0</v>
      </c>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row>
    <row r="506" spans="1:55" x14ac:dyDescent="0.25">
      <c r="A506" s="1" t="str">
        <f>'Population Definitions'!$A$10</f>
        <v>65+_males</v>
      </c>
      <c r="C506" t="s">
        <v>34</v>
      </c>
      <c r="D506" s="3"/>
      <c r="E506" s="3">
        <v>0</v>
      </c>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row>
    <row r="507" spans="1:55" x14ac:dyDescent="0.25">
      <c r="A507" s="1" t="str">
        <f>'Population Definitions'!$A$11</f>
        <v>65+_females</v>
      </c>
      <c r="C507" t="s">
        <v>34</v>
      </c>
      <c r="D507" s="3"/>
      <c r="E507" s="3">
        <v>0</v>
      </c>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row>
    <row r="508" spans="1:55" x14ac:dyDescent="0.25">
      <c r="A508" s="1" t="str">
        <f>'Population Definitions'!$A$12</f>
        <v>Prisoners_males</v>
      </c>
      <c r="C508" t="s">
        <v>34</v>
      </c>
      <c r="D508" s="3"/>
      <c r="E508" s="3">
        <v>0</v>
      </c>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row>
    <row r="509" spans="1:55" x14ac:dyDescent="0.25">
      <c r="A509" s="1" t="str">
        <f>'Population Definitions'!$A$13</f>
        <v>Prisoners_females</v>
      </c>
      <c r="C509" t="s">
        <v>34</v>
      </c>
      <c r="D509" s="3"/>
      <c r="E509" s="3">
        <v>0</v>
      </c>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row>
    <row r="510" spans="1:55" x14ac:dyDescent="0.25">
      <c r="A510" s="1" t="str">
        <f>'Population Definitions'!$A$14</f>
        <v>Prisoners_PWID_males</v>
      </c>
      <c r="C510" t="s">
        <v>34</v>
      </c>
      <c r="D510" s="3"/>
      <c r="E510" s="3">
        <v>0</v>
      </c>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row>
    <row r="511" spans="1:55" x14ac:dyDescent="0.25">
      <c r="A511" s="1" t="str">
        <f>'Population Definitions'!$A$15</f>
        <v>Prisoners_PWID_females</v>
      </c>
      <c r="C511" t="s">
        <v>34</v>
      </c>
      <c r="D511" s="3"/>
      <c r="E511" s="3">
        <v>0</v>
      </c>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row>
    <row r="513" spans="1:55" x14ac:dyDescent="0.25">
      <c r="A513" s="1" t="s">
        <v>159</v>
      </c>
      <c r="B513" s="1" t="s">
        <v>31</v>
      </c>
      <c r="C513" s="1" t="s">
        <v>32</v>
      </c>
      <c r="D513" s="1" t="s">
        <v>33</v>
      </c>
      <c r="E513" s="1">
        <v>2000</v>
      </c>
      <c r="F513" s="1">
        <v>2001</v>
      </c>
      <c r="G513" s="1">
        <v>2002</v>
      </c>
      <c r="H513" s="1">
        <v>2003</v>
      </c>
      <c r="I513" s="1">
        <v>2004</v>
      </c>
      <c r="J513" s="1">
        <v>2005</v>
      </c>
      <c r="K513" s="1">
        <v>2006</v>
      </c>
      <c r="L513" s="1">
        <v>2007</v>
      </c>
      <c r="M513" s="1">
        <v>2008</v>
      </c>
      <c r="N513" s="1">
        <v>2009</v>
      </c>
      <c r="O513" s="1">
        <v>2010</v>
      </c>
      <c r="P513" s="1">
        <v>2011</v>
      </c>
      <c r="Q513" s="1">
        <v>2012</v>
      </c>
      <c r="R513" s="1">
        <v>2013</v>
      </c>
      <c r="S513" s="1">
        <v>2014</v>
      </c>
      <c r="T513" s="1">
        <v>2015</v>
      </c>
      <c r="U513" s="1">
        <v>2016</v>
      </c>
      <c r="V513" s="1">
        <v>2017</v>
      </c>
      <c r="W513" s="1">
        <v>2018</v>
      </c>
      <c r="X513" s="1">
        <v>2019</v>
      </c>
      <c r="Y513" s="1">
        <v>2020</v>
      </c>
      <c r="Z513" s="1">
        <v>2021</v>
      </c>
      <c r="AA513" s="1">
        <v>2022</v>
      </c>
      <c r="AB513" s="1">
        <v>2023</v>
      </c>
      <c r="AC513" s="1">
        <v>2024</v>
      </c>
      <c r="AD513" s="1">
        <v>2025</v>
      </c>
      <c r="AE513" s="1">
        <v>2026</v>
      </c>
      <c r="AF513" s="1">
        <v>2027</v>
      </c>
      <c r="AG513" s="1">
        <v>2028</v>
      </c>
      <c r="AH513" s="1">
        <v>2029</v>
      </c>
      <c r="AI513" s="1">
        <v>2030</v>
      </c>
      <c r="AJ513" s="1">
        <v>2031</v>
      </c>
      <c r="AK513" s="1">
        <v>2032</v>
      </c>
      <c r="AL513" s="1">
        <v>2033</v>
      </c>
      <c r="AM513" s="1">
        <v>2034</v>
      </c>
      <c r="AN513" s="1">
        <v>2035</v>
      </c>
      <c r="AO513" s="1">
        <v>2036</v>
      </c>
      <c r="AP513" s="1">
        <v>2037</v>
      </c>
      <c r="AQ513" s="1">
        <v>2038</v>
      </c>
      <c r="AR513" s="1">
        <v>2039</v>
      </c>
      <c r="AS513" s="1">
        <v>2040</v>
      </c>
      <c r="AT513" s="1">
        <v>2041</v>
      </c>
      <c r="AU513" s="1">
        <v>2042</v>
      </c>
      <c r="AV513" s="1">
        <v>2043</v>
      </c>
      <c r="AW513" s="1">
        <v>2044</v>
      </c>
      <c r="AX513" s="1">
        <v>2045</v>
      </c>
      <c r="AY513" s="1">
        <v>2046</v>
      </c>
      <c r="AZ513" s="1">
        <v>2047</v>
      </c>
      <c r="BA513" s="1">
        <v>2048</v>
      </c>
      <c r="BB513" s="1">
        <v>2049</v>
      </c>
      <c r="BC513" s="1">
        <v>2050</v>
      </c>
    </row>
    <row r="514" spans="1:55" x14ac:dyDescent="0.25">
      <c r="A514" s="1" t="str">
        <f>'Population Definitions'!$A$2</f>
        <v>PWID_males</v>
      </c>
      <c r="C514" t="s">
        <v>34</v>
      </c>
      <c r="D514" s="3"/>
      <c r="E514" s="3">
        <v>0</v>
      </c>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row>
    <row r="515" spans="1:55" x14ac:dyDescent="0.25">
      <c r="A515" s="1" t="str">
        <f>'Population Definitions'!$A$3</f>
        <v>PWID_females</v>
      </c>
      <c r="C515" t="s">
        <v>34</v>
      </c>
      <c r="D515" s="3"/>
      <c r="E515" s="3">
        <v>0</v>
      </c>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row>
    <row r="516" spans="1:55" x14ac:dyDescent="0.25">
      <c r="A516" s="1" t="str">
        <f>'Population Definitions'!$A$4</f>
        <v>0-9_males</v>
      </c>
      <c r="C516" t="s">
        <v>34</v>
      </c>
      <c r="D516" s="3"/>
      <c r="E516" s="3">
        <v>0</v>
      </c>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row>
    <row r="517" spans="1:55" x14ac:dyDescent="0.25">
      <c r="A517" s="1" t="str">
        <f>'Population Definitions'!$A$5</f>
        <v>0-9_females</v>
      </c>
      <c r="C517" t="s">
        <v>34</v>
      </c>
      <c r="D517" s="3"/>
      <c r="E517" s="3">
        <v>0</v>
      </c>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row>
    <row r="518" spans="1:55" x14ac:dyDescent="0.25">
      <c r="A518" s="1" t="str">
        <f>'Population Definitions'!$A$6</f>
        <v>10-17_males</v>
      </c>
      <c r="C518" t="s">
        <v>34</v>
      </c>
      <c r="D518" s="3"/>
      <c r="E518" s="3">
        <v>0</v>
      </c>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row>
    <row r="519" spans="1:55" x14ac:dyDescent="0.25">
      <c r="A519" s="1" t="str">
        <f>'Population Definitions'!$A$7</f>
        <v>10-17_females</v>
      </c>
      <c r="C519" t="s">
        <v>34</v>
      </c>
      <c r="D519" s="3"/>
      <c r="E519" s="3">
        <v>0</v>
      </c>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row>
    <row r="520" spans="1:55" x14ac:dyDescent="0.25">
      <c r="A520" s="1" t="str">
        <f>'Population Definitions'!$A$8</f>
        <v>18-64_males</v>
      </c>
      <c r="C520" t="s">
        <v>34</v>
      </c>
      <c r="D520" s="3"/>
      <c r="E520" s="3">
        <v>0</v>
      </c>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row>
    <row r="521" spans="1:55" x14ac:dyDescent="0.25">
      <c r="A521" s="1" t="str">
        <f>'Population Definitions'!$A$9</f>
        <v>18-64_females</v>
      </c>
      <c r="C521" t="s">
        <v>34</v>
      </c>
      <c r="D521" s="3"/>
      <c r="E521" s="3">
        <v>0</v>
      </c>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row>
    <row r="522" spans="1:55" x14ac:dyDescent="0.25">
      <c r="A522" s="1" t="str">
        <f>'Population Definitions'!$A$10</f>
        <v>65+_males</v>
      </c>
      <c r="C522" t="s">
        <v>34</v>
      </c>
      <c r="D522" s="3"/>
      <c r="E522" s="3">
        <v>0</v>
      </c>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row>
    <row r="523" spans="1:55" x14ac:dyDescent="0.25">
      <c r="A523" s="1" t="str">
        <f>'Population Definitions'!$A$11</f>
        <v>65+_females</v>
      </c>
      <c r="C523" t="s">
        <v>34</v>
      </c>
      <c r="D523" s="3"/>
      <c r="E523" s="3">
        <v>0</v>
      </c>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row>
    <row r="524" spans="1:55" x14ac:dyDescent="0.25">
      <c r="A524" s="1" t="str">
        <f>'Population Definitions'!$A$12</f>
        <v>Prisoners_males</v>
      </c>
      <c r="C524" t="s">
        <v>34</v>
      </c>
      <c r="D524" s="3"/>
      <c r="E524" s="3">
        <v>0</v>
      </c>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row>
    <row r="525" spans="1:55" x14ac:dyDescent="0.25">
      <c r="A525" s="1" t="str">
        <f>'Population Definitions'!$A$13</f>
        <v>Prisoners_females</v>
      </c>
      <c r="C525" t="s">
        <v>34</v>
      </c>
      <c r="D525" s="3"/>
      <c r="E525" s="3">
        <v>0</v>
      </c>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row>
    <row r="526" spans="1:55" x14ac:dyDescent="0.25">
      <c r="A526" s="1" t="str">
        <f>'Population Definitions'!$A$14</f>
        <v>Prisoners_PWID_males</v>
      </c>
      <c r="C526" t="s">
        <v>34</v>
      </c>
      <c r="D526" s="3"/>
      <c r="E526" s="3">
        <v>0</v>
      </c>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row>
    <row r="527" spans="1:55" x14ac:dyDescent="0.25">
      <c r="A527" s="1" t="str">
        <f>'Population Definitions'!$A$15</f>
        <v>Prisoners_PWID_females</v>
      </c>
      <c r="C527" t="s">
        <v>34</v>
      </c>
      <c r="D527" s="3"/>
      <c r="E527" s="3">
        <v>0</v>
      </c>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row>
    <row r="529" spans="1:55" x14ac:dyDescent="0.25">
      <c r="A529" s="1" t="s">
        <v>160</v>
      </c>
      <c r="B529" s="1" t="s">
        <v>31</v>
      </c>
      <c r="C529" s="1" t="s">
        <v>32</v>
      </c>
      <c r="D529" s="1" t="s">
        <v>33</v>
      </c>
      <c r="E529" s="1">
        <v>2000</v>
      </c>
      <c r="F529" s="1">
        <v>2001</v>
      </c>
      <c r="G529" s="1">
        <v>2002</v>
      </c>
      <c r="H529" s="1">
        <v>2003</v>
      </c>
      <c r="I529" s="1">
        <v>2004</v>
      </c>
      <c r="J529" s="1">
        <v>2005</v>
      </c>
      <c r="K529" s="1">
        <v>2006</v>
      </c>
      <c r="L529" s="1">
        <v>2007</v>
      </c>
      <c r="M529" s="1">
        <v>2008</v>
      </c>
      <c r="N529" s="1">
        <v>2009</v>
      </c>
      <c r="O529" s="1">
        <v>2010</v>
      </c>
      <c r="P529" s="1">
        <v>2011</v>
      </c>
      <c r="Q529" s="1">
        <v>2012</v>
      </c>
      <c r="R529" s="1">
        <v>2013</v>
      </c>
      <c r="S529" s="1">
        <v>2014</v>
      </c>
      <c r="T529" s="1">
        <v>2015</v>
      </c>
      <c r="U529" s="1">
        <v>2016</v>
      </c>
      <c r="V529" s="1">
        <v>2017</v>
      </c>
      <c r="W529" s="1">
        <v>2018</v>
      </c>
      <c r="X529" s="1">
        <v>2019</v>
      </c>
      <c r="Y529" s="1">
        <v>2020</v>
      </c>
      <c r="Z529" s="1">
        <v>2021</v>
      </c>
      <c r="AA529" s="1">
        <v>2022</v>
      </c>
      <c r="AB529" s="1">
        <v>2023</v>
      </c>
      <c r="AC529" s="1">
        <v>2024</v>
      </c>
      <c r="AD529" s="1">
        <v>2025</v>
      </c>
      <c r="AE529" s="1">
        <v>2026</v>
      </c>
      <c r="AF529" s="1">
        <v>2027</v>
      </c>
      <c r="AG529" s="1">
        <v>2028</v>
      </c>
      <c r="AH529" s="1">
        <v>2029</v>
      </c>
      <c r="AI529" s="1">
        <v>2030</v>
      </c>
      <c r="AJ529" s="1">
        <v>2031</v>
      </c>
      <c r="AK529" s="1">
        <v>2032</v>
      </c>
      <c r="AL529" s="1">
        <v>2033</v>
      </c>
      <c r="AM529" s="1">
        <v>2034</v>
      </c>
      <c r="AN529" s="1">
        <v>2035</v>
      </c>
      <c r="AO529" s="1">
        <v>2036</v>
      </c>
      <c r="AP529" s="1">
        <v>2037</v>
      </c>
      <c r="AQ529" s="1">
        <v>2038</v>
      </c>
      <c r="AR529" s="1">
        <v>2039</v>
      </c>
      <c r="AS529" s="1">
        <v>2040</v>
      </c>
      <c r="AT529" s="1">
        <v>2041</v>
      </c>
      <c r="AU529" s="1">
        <v>2042</v>
      </c>
      <c r="AV529" s="1">
        <v>2043</v>
      </c>
      <c r="AW529" s="1">
        <v>2044</v>
      </c>
      <c r="AX529" s="1">
        <v>2045</v>
      </c>
      <c r="AY529" s="1">
        <v>2046</v>
      </c>
      <c r="AZ529" s="1">
        <v>2047</v>
      </c>
      <c r="BA529" s="1">
        <v>2048</v>
      </c>
      <c r="BB529" s="1">
        <v>2049</v>
      </c>
      <c r="BC529" s="1">
        <v>2050</v>
      </c>
    </row>
    <row r="530" spans="1:55" x14ac:dyDescent="0.25">
      <c r="A530" s="1" t="str">
        <f>'Population Definitions'!$A$2</f>
        <v>PWID_males</v>
      </c>
      <c r="C530" t="s">
        <v>34</v>
      </c>
      <c r="D530" s="3"/>
      <c r="E530" s="3">
        <v>2805.3887546249421</v>
      </c>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row>
    <row r="531" spans="1:55" x14ac:dyDescent="0.25">
      <c r="A531" s="1" t="str">
        <f>'Population Definitions'!$A$3</f>
        <v>PWID_females</v>
      </c>
      <c r="C531" t="s">
        <v>34</v>
      </c>
      <c r="D531" s="3"/>
      <c r="E531" s="3">
        <v>131.6074158161247</v>
      </c>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row>
    <row r="532" spans="1:55" x14ac:dyDescent="0.25">
      <c r="A532" s="1" t="str">
        <f>'Population Definitions'!$A$4</f>
        <v>0-9_males</v>
      </c>
      <c r="C532" t="s">
        <v>34</v>
      </c>
      <c r="D532" s="3"/>
      <c r="E532" s="3">
        <v>0</v>
      </c>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row>
    <row r="533" spans="1:55" x14ac:dyDescent="0.25">
      <c r="A533" s="1" t="str">
        <f>'Population Definitions'!$A$5</f>
        <v>0-9_females</v>
      </c>
      <c r="C533" t="s">
        <v>34</v>
      </c>
      <c r="D533" s="3"/>
      <c r="E533" s="3">
        <v>0</v>
      </c>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row>
    <row r="534" spans="1:55" x14ac:dyDescent="0.25">
      <c r="A534" s="1" t="str">
        <f>'Population Definitions'!$A$6</f>
        <v>10-17_males</v>
      </c>
      <c r="C534" t="s">
        <v>34</v>
      </c>
      <c r="D534" s="3"/>
      <c r="E534" s="3">
        <v>0</v>
      </c>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row>
    <row r="535" spans="1:55" x14ac:dyDescent="0.25">
      <c r="A535" s="1" t="str">
        <f>'Population Definitions'!$A$7</f>
        <v>10-17_females</v>
      </c>
      <c r="C535" t="s">
        <v>34</v>
      </c>
      <c r="D535" s="3"/>
      <c r="E535" s="3">
        <v>0</v>
      </c>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row>
    <row r="536" spans="1:55" x14ac:dyDescent="0.25">
      <c r="A536" s="1" t="str">
        <f>'Population Definitions'!$A$8</f>
        <v>18-64_males</v>
      </c>
      <c r="C536" t="s">
        <v>34</v>
      </c>
      <c r="D536" s="3"/>
      <c r="E536" s="3">
        <v>560021.82654794923</v>
      </c>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row>
    <row r="537" spans="1:55" x14ac:dyDescent="0.25">
      <c r="A537" s="1" t="str">
        <f>'Population Definitions'!$A$9</f>
        <v>18-64_females</v>
      </c>
      <c r="C537" t="s">
        <v>34</v>
      </c>
      <c r="D537" s="3"/>
      <c r="E537" s="3">
        <v>543846.56660225545</v>
      </c>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row>
    <row r="538" spans="1:55" x14ac:dyDescent="0.25">
      <c r="A538" s="1" t="str">
        <f>'Population Definitions'!$A$10</f>
        <v>65+_males</v>
      </c>
      <c r="C538" t="s">
        <v>34</v>
      </c>
      <c r="D538" s="3"/>
      <c r="E538" s="3">
        <v>35791.346104462893</v>
      </c>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row>
    <row r="539" spans="1:55" x14ac:dyDescent="0.25">
      <c r="A539" s="1" t="str">
        <f>'Population Definitions'!$A$11</f>
        <v>65+_females</v>
      </c>
      <c r="C539" t="s">
        <v>34</v>
      </c>
      <c r="D539" s="3"/>
      <c r="E539" s="3">
        <v>49386.429133619902</v>
      </c>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row>
    <row r="540" spans="1:55" x14ac:dyDescent="0.25">
      <c r="A540" s="1" t="str">
        <f>'Population Definitions'!$A$12</f>
        <v>Prisoners_males</v>
      </c>
      <c r="C540" t="s">
        <v>34</v>
      </c>
      <c r="D540" s="3"/>
      <c r="E540" s="3">
        <v>1475.068783213409</v>
      </c>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row>
    <row r="541" spans="1:55" x14ac:dyDescent="0.25">
      <c r="A541" s="1" t="str">
        <f>'Population Definitions'!$A$13</f>
        <v>Prisoners_females</v>
      </c>
      <c r="C541" t="s">
        <v>34</v>
      </c>
      <c r="D541" s="3"/>
      <c r="E541" s="3">
        <v>66.997400008333997</v>
      </c>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row>
    <row r="542" spans="1:55" x14ac:dyDescent="0.25">
      <c r="A542" s="1" t="str">
        <f>'Population Definitions'!$A$14</f>
        <v>Prisoners_PWID_males</v>
      </c>
      <c r="C542" t="s">
        <v>34</v>
      </c>
      <c r="D542" s="3"/>
      <c r="E542" s="3">
        <v>346.98912291566029</v>
      </c>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row>
    <row r="543" spans="1:55" x14ac:dyDescent="0.25">
      <c r="A543" s="1" t="str">
        <f>'Population Definitions'!$A$15</f>
        <v>Prisoners_PWID_females</v>
      </c>
      <c r="C543" t="s">
        <v>34</v>
      </c>
      <c r="D543" s="3"/>
      <c r="E543" s="3">
        <v>26.084755134032029</v>
      </c>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row>
    <row r="545" spans="1:55" x14ac:dyDescent="0.25">
      <c r="A545" s="1" t="s">
        <v>161</v>
      </c>
      <c r="B545" s="1" t="s">
        <v>31</v>
      </c>
      <c r="C545" s="1" t="s">
        <v>32</v>
      </c>
      <c r="D545" s="1" t="s">
        <v>33</v>
      </c>
      <c r="E545" s="1">
        <v>2000</v>
      </c>
      <c r="F545" s="1">
        <v>2001</v>
      </c>
      <c r="G545" s="1">
        <v>2002</v>
      </c>
      <c r="H545" s="1">
        <v>2003</v>
      </c>
      <c r="I545" s="1">
        <v>2004</v>
      </c>
      <c r="J545" s="1">
        <v>2005</v>
      </c>
      <c r="K545" s="1">
        <v>2006</v>
      </c>
      <c r="L545" s="1">
        <v>2007</v>
      </c>
      <c r="M545" s="1">
        <v>2008</v>
      </c>
      <c r="N545" s="1">
        <v>2009</v>
      </c>
      <c r="O545" s="1">
        <v>2010</v>
      </c>
      <c r="P545" s="1">
        <v>2011</v>
      </c>
      <c r="Q545" s="1">
        <v>2012</v>
      </c>
      <c r="R545" s="1">
        <v>2013</v>
      </c>
      <c r="S545" s="1">
        <v>2014</v>
      </c>
      <c r="T545" s="1">
        <v>2015</v>
      </c>
      <c r="U545" s="1">
        <v>2016</v>
      </c>
      <c r="V545" s="1">
        <v>2017</v>
      </c>
      <c r="W545" s="1">
        <v>2018</v>
      </c>
      <c r="X545" s="1">
        <v>2019</v>
      </c>
      <c r="Y545" s="1">
        <v>2020</v>
      </c>
      <c r="Z545" s="1">
        <v>2021</v>
      </c>
      <c r="AA545" s="1">
        <v>2022</v>
      </c>
      <c r="AB545" s="1">
        <v>2023</v>
      </c>
      <c r="AC545" s="1">
        <v>2024</v>
      </c>
      <c r="AD545" s="1">
        <v>2025</v>
      </c>
      <c r="AE545" s="1">
        <v>2026</v>
      </c>
      <c r="AF545" s="1">
        <v>2027</v>
      </c>
      <c r="AG545" s="1">
        <v>2028</v>
      </c>
      <c r="AH545" s="1">
        <v>2029</v>
      </c>
      <c r="AI545" s="1">
        <v>2030</v>
      </c>
      <c r="AJ545" s="1">
        <v>2031</v>
      </c>
      <c r="AK545" s="1">
        <v>2032</v>
      </c>
      <c r="AL545" s="1">
        <v>2033</v>
      </c>
      <c r="AM545" s="1">
        <v>2034</v>
      </c>
      <c r="AN545" s="1">
        <v>2035</v>
      </c>
      <c r="AO545" s="1">
        <v>2036</v>
      </c>
      <c r="AP545" s="1">
        <v>2037</v>
      </c>
      <c r="AQ545" s="1">
        <v>2038</v>
      </c>
      <c r="AR545" s="1">
        <v>2039</v>
      </c>
      <c r="AS545" s="1">
        <v>2040</v>
      </c>
      <c r="AT545" s="1">
        <v>2041</v>
      </c>
      <c r="AU545" s="1">
        <v>2042</v>
      </c>
      <c r="AV545" s="1">
        <v>2043</v>
      </c>
      <c r="AW545" s="1">
        <v>2044</v>
      </c>
      <c r="AX545" s="1">
        <v>2045</v>
      </c>
      <c r="AY545" s="1">
        <v>2046</v>
      </c>
      <c r="AZ545" s="1">
        <v>2047</v>
      </c>
      <c r="BA545" s="1">
        <v>2048</v>
      </c>
      <c r="BB545" s="1">
        <v>2049</v>
      </c>
      <c r="BC545" s="1">
        <v>2050</v>
      </c>
    </row>
    <row r="546" spans="1:55" x14ac:dyDescent="0.25">
      <c r="A546" s="1" t="str">
        <f>'Population Definitions'!$A$2</f>
        <v>PWID_males</v>
      </c>
      <c r="C546" t="s">
        <v>34</v>
      </c>
      <c r="D546" s="3"/>
      <c r="E546" s="3">
        <v>2805.3887546249421</v>
      </c>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row>
    <row r="547" spans="1:55" x14ac:dyDescent="0.25">
      <c r="A547" s="1" t="str">
        <f>'Population Definitions'!$A$3</f>
        <v>PWID_females</v>
      </c>
      <c r="C547" t="s">
        <v>34</v>
      </c>
      <c r="D547" s="3"/>
      <c r="E547" s="3">
        <v>131.6074158161247</v>
      </c>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row>
    <row r="548" spans="1:55" x14ac:dyDescent="0.25">
      <c r="A548" s="1" t="str">
        <f>'Population Definitions'!$A$4</f>
        <v>0-9_males</v>
      </c>
      <c r="C548" t="s">
        <v>34</v>
      </c>
      <c r="D548" s="3"/>
      <c r="E548" s="3">
        <v>0</v>
      </c>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row>
    <row r="549" spans="1:55" x14ac:dyDescent="0.25">
      <c r="A549" s="1" t="str">
        <f>'Population Definitions'!$A$5</f>
        <v>0-9_females</v>
      </c>
      <c r="C549" t="s">
        <v>34</v>
      </c>
      <c r="D549" s="3"/>
      <c r="E549" s="3">
        <v>0</v>
      </c>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row>
    <row r="550" spans="1:55" x14ac:dyDescent="0.25">
      <c r="A550" s="1" t="str">
        <f>'Population Definitions'!$A$6</f>
        <v>10-17_males</v>
      </c>
      <c r="C550" t="s">
        <v>34</v>
      </c>
      <c r="D550" s="3"/>
      <c r="E550" s="3">
        <v>0</v>
      </c>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row>
    <row r="551" spans="1:55" x14ac:dyDescent="0.25">
      <c r="A551" s="1" t="str">
        <f>'Population Definitions'!$A$7</f>
        <v>10-17_females</v>
      </c>
      <c r="C551" t="s">
        <v>34</v>
      </c>
      <c r="D551" s="3"/>
      <c r="E551" s="3">
        <v>0</v>
      </c>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row>
    <row r="552" spans="1:55" x14ac:dyDescent="0.25">
      <c r="A552" s="1" t="str">
        <f>'Population Definitions'!$A$8</f>
        <v>18-64_males</v>
      </c>
      <c r="C552" t="s">
        <v>34</v>
      </c>
      <c r="D552" s="3"/>
      <c r="E552" s="3">
        <v>560021.82654794923</v>
      </c>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row>
    <row r="553" spans="1:55" x14ac:dyDescent="0.25">
      <c r="A553" s="1" t="str">
        <f>'Population Definitions'!$A$9</f>
        <v>18-64_females</v>
      </c>
      <c r="C553" t="s">
        <v>34</v>
      </c>
      <c r="D553" s="3"/>
      <c r="E553" s="3">
        <v>543846.56660225545</v>
      </c>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row>
    <row r="554" spans="1:55" x14ac:dyDescent="0.25">
      <c r="A554" s="1" t="str">
        <f>'Population Definitions'!$A$10</f>
        <v>65+_males</v>
      </c>
      <c r="C554" t="s">
        <v>34</v>
      </c>
      <c r="D554" s="3"/>
      <c r="E554" s="3">
        <v>35791.346104462893</v>
      </c>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row>
    <row r="555" spans="1:55" x14ac:dyDescent="0.25">
      <c r="A555" s="1" t="str">
        <f>'Population Definitions'!$A$11</f>
        <v>65+_females</v>
      </c>
      <c r="C555" t="s">
        <v>34</v>
      </c>
      <c r="D555" s="3"/>
      <c r="E555" s="3">
        <v>49386.429133619902</v>
      </c>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row>
    <row r="556" spans="1:55" x14ac:dyDescent="0.25">
      <c r="A556" s="1" t="str">
        <f>'Population Definitions'!$A$12</f>
        <v>Prisoners_males</v>
      </c>
      <c r="C556" t="s">
        <v>34</v>
      </c>
      <c r="D556" s="3"/>
      <c r="E556" s="3">
        <v>1475.068783213409</v>
      </c>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row>
    <row r="557" spans="1:55" x14ac:dyDescent="0.25">
      <c r="A557" s="1" t="str">
        <f>'Population Definitions'!$A$13</f>
        <v>Prisoners_females</v>
      </c>
      <c r="C557" t="s">
        <v>34</v>
      </c>
      <c r="D557" s="3"/>
      <c r="E557" s="3">
        <v>66.997400008333997</v>
      </c>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row>
    <row r="558" spans="1:55" x14ac:dyDescent="0.25">
      <c r="A558" s="1" t="str">
        <f>'Population Definitions'!$A$14</f>
        <v>Prisoners_PWID_males</v>
      </c>
      <c r="C558" t="s">
        <v>34</v>
      </c>
      <c r="D558" s="3"/>
      <c r="E558" s="3">
        <v>346.98912291566029</v>
      </c>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row>
    <row r="559" spans="1:55" x14ac:dyDescent="0.25">
      <c r="A559" s="1" t="str">
        <f>'Population Definitions'!$A$15</f>
        <v>Prisoners_PWID_females</v>
      </c>
      <c r="C559" t="s">
        <v>34</v>
      </c>
      <c r="D559" s="3"/>
      <c r="E559" s="3">
        <v>26.084755134032029</v>
      </c>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row>
    <row r="561" spans="1:55" x14ac:dyDescent="0.25">
      <c r="A561" s="1" t="s">
        <v>162</v>
      </c>
      <c r="B561" s="1" t="s">
        <v>31</v>
      </c>
      <c r="C561" s="1" t="s">
        <v>32</v>
      </c>
      <c r="D561" s="1" t="s">
        <v>33</v>
      </c>
      <c r="E561" s="1">
        <v>2000</v>
      </c>
      <c r="F561" s="1">
        <v>2001</v>
      </c>
      <c r="G561" s="1">
        <v>2002</v>
      </c>
      <c r="H561" s="1">
        <v>2003</v>
      </c>
      <c r="I561" s="1">
        <v>2004</v>
      </c>
      <c r="J561" s="1">
        <v>2005</v>
      </c>
      <c r="K561" s="1">
        <v>2006</v>
      </c>
      <c r="L561" s="1">
        <v>2007</v>
      </c>
      <c r="M561" s="1">
        <v>2008</v>
      </c>
      <c r="N561" s="1">
        <v>2009</v>
      </c>
      <c r="O561" s="1">
        <v>2010</v>
      </c>
      <c r="P561" s="1">
        <v>2011</v>
      </c>
      <c r="Q561" s="1">
        <v>2012</v>
      </c>
      <c r="R561" s="1">
        <v>2013</v>
      </c>
      <c r="S561" s="1">
        <v>2014</v>
      </c>
      <c r="T561" s="1">
        <v>2015</v>
      </c>
      <c r="U561" s="1">
        <v>2016</v>
      </c>
      <c r="V561" s="1">
        <v>2017</v>
      </c>
      <c r="W561" s="1">
        <v>2018</v>
      </c>
      <c r="X561" s="1">
        <v>2019</v>
      </c>
      <c r="Y561" s="1">
        <v>2020</v>
      </c>
      <c r="Z561" s="1">
        <v>2021</v>
      </c>
      <c r="AA561" s="1">
        <v>2022</v>
      </c>
      <c r="AB561" s="1">
        <v>2023</v>
      </c>
      <c r="AC561" s="1">
        <v>2024</v>
      </c>
      <c r="AD561" s="1">
        <v>2025</v>
      </c>
      <c r="AE561" s="1">
        <v>2026</v>
      </c>
      <c r="AF561" s="1">
        <v>2027</v>
      </c>
      <c r="AG561" s="1">
        <v>2028</v>
      </c>
      <c r="AH561" s="1">
        <v>2029</v>
      </c>
      <c r="AI561" s="1">
        <v>2030</v>
      </c>
      <c r="AJ561" s="1">
        <v>2031</v>
      </c>
      <c r="AK561" s="1">
        <v>2032</v>
      </c>
      <c r="AL561" s="1">
        <v>2033</v>
      </c>
      <c r="AM561" s="1">
        <v>2034</v>
      </c>
      <c r="AN561" s="1">
        <v>2035</v>
      </c>
      <c r="AO561" s="1">
        <v>2036</v>
      </c>
      <c r="AP561" s="1">
        <v>2037</v>
      </c>
      <c r="AQ561" s="1">
        <v>2038</v>
      </c>
      <c r="AR561" s="1">
        <v>2039</v>
      </c>
      <c r="AS561" s="1">
        <v>2040</v>
      </c>
      <c r="AT561" s="1">
        <v>2041</v>
      </c>
      <c r="AU561" s="1">
        <v>2042</v>
      </c>
      <c r="AV561" s="1">
        <v>2043</v>
      </c>
      <c r="AW561" s="1">
        <v>2044</v>
      </c>
      <c r="AX561" s="1">
        <v>2045</v>
      </c>
      <c r="AY561" s="1">
        <v>2046</v>
      </c>
      <c r="AZ561" s="1">
        <v>2047</v>
      </c>
      <c r="BA561" s="1">
        <v>2048</v>
      </c>
      <c r="BB561" s="1">
        <v>2049</v>
      </c>
      <c r="BC561" s="1">
        <v>2050</v>
      </c>
    </row>
    <row r="562" spans="1:55" x14ac:dyDescent="0.25">
      <c r="A562" s="1" t="str">
        <f>'Population Definitions'!$A$2</f>
        <v>PWID_males</v>
      </c>
      <c r="C562" t="s">
        <v>34</v>
      </c>
      <c r="D562" s="3"/>
      <c r="E562" s="3">
        <v>701.34718865623552</v>
      </c>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row>
    <row r="563" spans="1:55" x14ac:dyDescent="0.25">
      <c r="A563" s="1" t="str">
        <f>'Population Definitions'!$A$3</f>
        <v>PWID_females</v>
      </c>
      <c r="C563" t="s">
        <v>34</v>
      </c>
      <c r="D563" s="3"/>
      <c r="E563" s="3">
        <v>32.901853954031182</v>
      </c>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row>
    <row r="564" spans="1:55" x14ac:dyDescent="0.25">
      <c r="A564" s="1" t="str">
        <f>'Population Definitions'!$A$4</f>
        <v>0-9_males</v>
      </c>
      <c r="C564" t="s">
        <v>34</v>
      </c>
      <c r="D564" s="3"/>
      <c r="E564" s="3">
        <v>0</v>
      </c>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row>
    <row r="565" spans="1:55" x14ac:dyDescent="0.25">
      <c r="A565" s="1" t="str">
        <f>'Population Definitions'!$A$5</f>
        <v>0-9_females</v>
      </c>
      <c r="C565" t="s">
        <v>34</v>
      </c>
      <c r="D565" s="3"/>
      <c r="E565" s="3">
        <v>0</v>
      </c>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row>
    <row r="566" spans="1:55" x14ac:dyDescent="0.25">
      <c r="A566" s="1" t="str">
        <f>'Population Definitions'!$A$6</f>
        <v>10-17_males</v>
      </c>
      <c r="C566" t="s">
        <v>34</v>
      </c>
      <c r="D566" s="3"/>
      <c r="E566" s="3">
        <v>0</v>
      </c>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row>
    <row r="567" spans="1:55" x14ac:dyDescent="0.25">
      <c r="A567" s="1" t="str">
        <f>'Population Definitions'!$A$7</f>
        <v>10-17_females</v>
      </c>
      <c r="C567" t="s">
        <v>34</v>
      </c>
      <c r="D567" s="3"/>
      <c r="E567" s="3">
        <v>0</v>
      </c>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row>
    <row r="568" spans="1:55" x14ac:dyDescent="0.25">
      <c r="A568" s="1" t="str">
        <f>'Population Definitions'!$A$8</f>
        <v>18-64_males</v>
      </c>
      <c r="C568" t="s">
        <v>34</v>
      </c>
      <c r="D568" s="3"/>
      <c r="E568" s="3">
        <v>140005.45663698731</v>
      </c>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row>
    <row r="569" spans="1:55" x14ac:dyDescent="0.25">
      <c r="A569" s="1" t="str">
        <f>'Population Definitions'!$A$9</f>
        <v>18-64_females</v>
      </c>
      <c r="C569" t="s">
        <v>34</v>
      </c>
      <c r="D569" s="3"/>
      <c r="E569" s="3">
        <v>135961.64165056389</v>
      </c>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row>
    <row r="570" spans="1:55" x14ac:dyDescent="0.25">
      <c r="A570" s="1" t="str">
        <f>'Population Definitions'!$A$10</f>
        <v>65+_males</v>
      </c>
      <c r="C570" t="s">
        <v>34</v>
      </c>
      <c r="D570" s="3"/>
      <c r="E570" s="3">
        <v>8947.8365261157214</v>
      </c>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row>
    <row r="571" spans="1:55" x14ac:dyDescent="0.25">
      <c r="A571" s="1" t="str">
        <f>'Population Definitions'!$A$11</f>
        <v>65+_females</v>
      </c>
      <c r="C571" t="s">
        <v>34</v>
      </c>
      <c r="D571" s="3"/>
      <c r="E571" s="3">
        <v>12346.607283404979</v>
      </c>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row>
    <row r="572" spans="1:55" x14ac:dyDescent="0.25">
      <c r="A572" s="1" t="str">
        <f>'Population Definitions'!$A$12</f>
        <v>Prisoners_males</v>
      </c>
      <c r="C572" t="s">
        <v>34</v>
      </c>
      <c r="D572" s="3"/>
      <c r="E572" s="3">
        <v>368.76719580335208</v>
      </c>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row>
    <row r="573" spans="1:55" x14ac:dyDescent="0.25">
      <c r="A573" s="1" t="str">
        <f>'Population Definitions'!$A$13</f>
        <v>Prisoners_females</v>
      </c>
      <c r="C573" t="s">
        <v>34</v>
      </c>
      <c r="D573" s="3"/>
      <c r="E573" s="3">
        <v>16.749350002083499</v>
      </c>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row>
    <row r="574" spans="1:55" x14ac:dyDescent="0.25">
      <c r="A574" s="1" t="str">
        <f>'Population Definitions'!$A$14</f>
        <v>Prisoners_PWID_males</v>
      </c>
      <c r="C574" t="s">
        <v>34</v>
      </c>
      <c r="D574" s="3"/>
      <c r="E574" s="3">
        <v>86.747280728915072</v>
      </c>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row>
    <row r="575" spans="1:55" x14ac:dyDescent="0.25">
      <c r="A575" s="1" t="str">
        <f>'Population Definitions'!$A$15</f>
        <v>Prisoners_PWID_females</v>
      </c>
      <c r="C575" t="s">
        <v>34</v>
      </c>
      <c r="D575" s="3"/>
      <c r="E575" s="3">
        <v>6.5211887835080056</v>
      </c>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row>
    <row r="577" spans="1:55" x14ac:dyDescent="0.25">
      <c r="A577" s="1" t="s">
        <v>163</v>
      </c>
      <c r="B577" s="1" t="s">
        <v>31</v>
      </c>
      <c r="C577" s="1" t="s">
        <v>32</v>
      </c>
      <c r="D577" s="1" t="s">
        <v>33</v>
      </c>
      <c r="E577" s="1">
        <v>2000</v>
      </c>
      <c r="F577" s="1">
        <v>2001</v>
      </c>
      <c r="G577" s="1">
        <v>2002</v>
      </c>
      <c r="H577" s="1">
        <v>2003</v>
      </c>
      <c r="I577" s="1">
        <v>2004</v>
      </c>
      <c r="J577" s="1">
        <v>2005</v>
      </c>
      <c r="K577" s="1">
        <v>2006</v>
      </c>
      <c r="L577" s="1">
        <v>2007</v>
      </c>
      <c r="M577" s="1">
        <v>2008</v>
      </c>
      <c r="N577" s="1">
        <v>2009</v>
      </c>
      <c r="O577" s="1">
        <v>2010</v>
      </c>
      <c r="P577" s="1">
        <v>2011</v>
      </c>
      <c r="Q577" s="1">
        <v>2012</v>
      </c>
      <c r="R577" s="1">
        <v>2013</v>
      </c>
      <c r="S577" s="1">
        <v>2014</v>
      </c>
      <c r="T577" s="1">
        <v>2015</v>
      </c>
      <c r="U577" s="1">
        <v>2016</v>
      </c>
      <c r="V577" s="1">
        <v>2017</v>
      </c>
      <c r="W577" s="1">
        <v>2018</v>
      </c>
      <c r="X577" s="1">
        <v>2019</v>
      </c>
      <c r="Y577" s="1">
        <v>2020</v>
      </c>
      <c r="Z577" s="1">
        <v>2021</v>
      </c>
      <c r="AA577" s="1">
        <v>2022</v>
      </c>
      <c r="AB577" s="1">
        <v>2023</v>
      </c>
      <c r="AC577" s="1">
        <v>2024</v>
      </c>
      <c r="AD577" s="1">
        <v>2025</v>
      </c>
      <c r="AE577" s="1">
        <v>2026</v>
      </c>
      <c r="AF577" s="1">
        <v>2027</v>
      </c>
      <c r="AG577" s="1">
        <v>2028</v>
      </c>
      <c r="AH577" s="1">
        <v>2029</v>
      </c>
      <c r="AI577" s="1">
        <v>2030</v>
      </c>
      <c r="AJ577" s="1">
        <v>2031</v>
      </c>
      <c r="AK577" s="1">
        <v>2032</v>
      </c>
      <c r="AL577" s="1">
        <v>2033</v>
      </c>
      <c r="AM577" s="1">
        <v>2034</v>
      </c>
      <c r="AN577" s="1">
        <v>2035</v>
      </c>
      <c r="AO577" s="1">
        <v>2036</v>
      </c>
      <c r="AP577" s="1">
        <v>2037</v>
      </c>
      <c r="AQ577" s="1">
        <v>2038</v>
      </c>
      <c r="AR577" s="1">
        <v>2039</v>
      </c>
      <c r="AS577" s="1">
        <v>2040</v>
      </c>
      <c r="AT577" s="1">
        <v>2041</v>
      </c>
      <c r="AU577" s="1">
        <v>2042</v>
      </c>
      <c r="AV577" s="1">
        <v>2043</v>
      </c>
      <c r="AW577" s="1">
        <v>2044</v>
      </c>
      <c r="AX577" s="1">
        <v>2045</v>
      </c>
      <c r="AY577" s="1">
        <v>2046</v>
      </c>
      <c r="AZ577" s="1">
        <v>2047</v>
      </c>
      <c r="BA577" s="1">
        <v>2048</v>
      </c>
      <c r="BB577" s="1">
        <v>2049</v>
      </c>
      <c r="BC577" s="1">
        <v>2050</v>
      </c>
    </row>
    <row r="578" spans="1:55" x14ac:dyDescent="0.25">
      <c r="A578" s="1" t="str">
        <f>'Population Definitions'!$A$2</f>
        <v>PWID_males</v>
      </c>
      <c r="C578" t="s">
        <v>34</v>
      </c>
      <c r="D578" s="3"/>
      <c r="E578" s="3">
        <v>200.3849110446387</v>
      </c>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row>
    <row r="579" spans="1:55" x14ac:dyDescent="0.25">
      <c r="A579" s="1" t="str">
        <f>'Population Definitions'!$A$3</f>
        <v>PWID_females</v>
      </c>
      <c r="C579" t="s">
        <v>34</v>
      </c>
      <c r="D579" s="3"/>
      <c r="E579" s="3">
        <v>9.4005297011517666</v>
      </c>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row>
    <row r="580" spans="1:55" x14ac:dyDescent="0.25">
      <c r="A580" s="1" t="str">
        <f>'Population Definitions'!$A$4</f>
        <v>0-9_males</v>
      </c>
      <c r="C580" t="s">
        <v>34</v>
      </c>
      <c r="D580" s="3"/>
      <c r="E580" s="3">
        <v>0</v>
      </c>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row>
    <row r="581" spans="1:55" x14ac:dyDescent="0.25">
      <c r="A581" s="1" t="str">
        <f>'Population Definitions'!$A$5</f>
        <v>0-9_females</v>
      </c>
      <c r="C581" t="s">
        <v>34</v>
      </c>
      <c r="D581" s="3"/>
      <c r="E581" s="3">
        <v>0</v>
      </c>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row>
    <row r="582" spans="1:55" x14ac:dyDescent="0.25">
      <c r="A582" s="1" t="str">
        <f>'Population Definitions'!$A$6</f>
        <v>10-17_males</v>
      </c>
      <c r="C582" t="s">
        <v>34</v>
      </c>
      <c r="D582" s="3"/>
      <c r="E582" s="3">
        <v>0</v>
      </c>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row>
    <row r="583" spans="1:55" x14ac:dyDescent="0.25">
      <c r="A583" s="1" t="str">
        <f>'Population Definitions'!$A$7</f>
        <v>10-17_females</v>
      </c>
      <c r="C583" t="s">
        <v>34</v>
      </c>
      <c r="D583" s="3"/>
      <c r="E583" s="3">
        <v>0</v>
      </c>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row>
    <row r="584" spans="1:55" x14ac:dyDescent="0.25">
      <c r="A584" s="1" t="str">
        <f>'Population Definitions'!$A$8</f>
        <v>18-64_males</v>
      </c>
      <c r="C584" t="s">
        <v>34</v>
      </c>
      <c r="D584" s="3"/>
      <c r="E584" s="3">
        <v>40001.559039139232</v>
      </c>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row>
    <row r="585" spans="1:55" x14ac:dyDescent="0.25">
      <c r="A585" s="1" t="str">
        <f>'Population Definitions'!$A$9</f>
        <v>18-64_females</v>
      </c>
      <c r="C585" t="s">
        <v>34</v>
      </c>
      <c r="D585" s="3"/>
      <c r="E585" s="3">
        <v>38846.183328732543</v>
      </c>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row>
    <row r="586" spans="1:55" x14ac:dyDescent="0.25">
      <c r="A586" s="1" t="str">
        <f>'Population Definitions'!$A$10</f>
        <v>65+_males</v>
      </c>
      <c r="C586" t="s">
        <v>34</v>
      </c>
      <c r="D586" s="3"/>
      <c r="E586" s="3">
        <v>2556.5247217473488</v>
      </c>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row>
    <row r="587" spans="1:55" x14ac:dyDescent="0.25">
      <c r="A587" s="1" t="str">
        <f>'Population Definitions'!$A$11</f>
        <v>65+_females</v>
      </c>
      <c r="C587" t="s">
        <v>34</v>
      </c>
      <c r="D587" s="3"/>
      <c r="E587" s="3">
        <v>3527.6020809728502</v>
      </c>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row>
    <row r="588" spans="1:55" x14ac:dyDescent="0.25">
      <c r="A588" s="1" t="str">
        <f>'Population Definitions'!$A$12</f>
        <v>Prisoners_males</v>
      </c>
      <c r="C588" t="s">
        <v>34</v>
      </c>
      <c r="D588" s="3"/>
      <c r="E588" s="3">
        <v>105.36205594381489</v>
      </c>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row>
    <row r="589" spans="1:55" x14ac:dyDescent="0.25">
      <c r="A589" s="1" t="str">
        <f>'Population Definitions'!$A$13</f>
        <v>Prisoners_females</v>
      </c>
      <c r="C589" t="s">
        <v>34</v>
      </c>
      <c r="D589" s="3"/>
      <c r="E589" s="3">
        <v>4.785528572023857</v>
      </c>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row>
    <row r="590" spans="1:55" x14ac:dyDescent="0.25">
      <c r="A590" s="1" t="str">
        <f>'Population Definitions'!$A$14</f>
        <v>Prisoners_PWID_males</v>
      </c>
      <c r="C590" t="s">
        <v>34</v>
      </c>
      <c r="D590" s="3"/>
      <c r="E590" s="3">
        <v>24.78493735111859</v>
      </c>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row>
    <row r="591" spans="1:55" x14ac:dyDescent="0.25">
      <c r="A591" s="1" t="str">
        <f>'Population Definitions'!$A$15</f>
        <v>Prisoners_PWID_females</v>
      </c>
      <c r="C591" t="s">
        <v>34</v>
      </c>
      <c r="D591" s="3"/>
      <c r="E591" s="3">
        <v>1.863196795288002</v>
      </c>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row>
    <row r="593" spans="1:55" x14ac:dyDescent="0.25">
      <c r="A593" s="1" t="s">
        <v>164</v>
      </c>
      <c r="B593" s="1" t="s">
        <v>31</v>
      </c>
      <c r="C593" s="1" t="s">
        <v>32</v>
      </c>
      <c r="D593" s="1" t="s">
        <v>33</v>
      </c>
      <c r="E593" s="1">
        <v>2000</v>
      </c>
      <c r="F593" s="1">
        <v>2001</v>
      </c>
      <c r="G593" s="1">
        <v>2002</v>
      </c>
      <c r="H593" s="1">
        <v>2003</v>
      </c>
      <c r="I593" s="1">
        <v>2004</v>
      </c>
      <c r="J593" s="1">
        <v>2005</v>
      </c>
      <c r="K593" s="1">
        <v>2006</v>
      </c>
      <c r="L593" s="1">
        <v>2007</v>
      </c>
      <c r="M593" s="1">
        <v>2008</v>
      </c>
      <c r="N593" s="1">
        <v>2009</v>
      </c>
      <c r="O593" s="1">
        <v>2010</v>
      </c>
      <c r="P593" s="1">
        <v>2011</v>
      </c>
      <c r="Q593" s="1">
        <v>2012</v>
      </c>
      <c r="R593" s="1">
        <v>2013</v>
      </c>
      <c r="S593" s="1">
        <v>2014</v>
      </c>
      <c r="T593" s="1">
        <v>2015</v>
      </c>
      <c r="U593" s="1">
        <v>2016</v>
      </c>
      <c r="V593" s="1">
        <v>2017</v>
      </c>
      <c r="W593" s="1">
        <v>2018</v>
      </c>
      <c r="X593" s="1">
        <v>2019</v>
      </c>
      <c r="Y593" s="1">
        <v>2020</v>
      </c>
      <c r="Z593" s="1">
        <v>2021</v>
      </c>
      <c r="AA593" s="1">
        <v>2022</v>
      </c>
      <c r="AB593" s="1">
        <v>2023</v>
      </c>
      <c r="AC593" s="1">
        <v>2024</v>
      </c>
      <c r="AD593" s="1">
        <v>2025</v>
      </c>
      <c r="AE593" s="1">
        <v>2026</v>
      </c>
      <c r="AF593" s="1">
        <v>2027</v>
      </c>
      <c r="AG593" s="1">
        <v>2028</v>
      </c>
      <c r="AH593" s="1">
        <v>2029</v>
      </c>
      <c r="AI593" s="1">
        <v>2030</v>
      </c>
      <c r="AJ593" s="1">
        <v>2031</v>
      </c>
      <c r="AK593" s="1">
        <v>2032</v>
      </c>
      <c r="AL593" s="1">
        <v>2033</v>
      </c>
      <c r="AM593" s="1">
        <v>2034</v>
      </c>
      <c r="AN593" s="1">
        <v>2035</v>
      </c>
      <c r="AO593" s="1">
        <v>2036</v>
      </c>
      <c r="AP593" s="1">
        <v>2037</v>
      </c>
      <c r="AQ593" s="1">
        <v>2038</v>
      </c>
      <c r="AR593" s="1">
        <v>2039</v>
      </c>
      <c r="AS593" s="1">
        <v>2040</v>
      </c>
      <c r="AT593" s="1">
        <v>2041</v>
      </c>
      <c r="AU593" s="1">
        <v>2042</v>
      </c>
      <c r="AV593" s="1">
        <v>2043</v>
      </c>
      <c r="AW593" s="1">
        <v>2044</v>
      </c>
      <c r="AX593" s="1">
        <v>2045</v>
      </c>
      <c r="AY593" s="1">
        <v>2046</v>
      </c>
      <c r="AZ593" s="1">
        <v>2047</v>
      </c>
      <c r="BA593" s="1">
        <v>2048</v>
      </c>
      <c r="BB593" s="1">
        <v>2049</v>
      </c>
      <c r="BC593" s="1">
        <v>2050</v>
      </c>
    </row>
    <row r="594" spans="1:55" x14ac:dyDescent="0.25">
      <c r="A594" s="1" t="str">
        <f>'Population Definitions'!$A$2</f>
        <v>PWID_males</v>
      </c>
      <c r="C594" t="s">
        <v>34</v>
      </c>
      <c r="D594" s="3"/>
      <c r="E594" s="3">
        <v>133.5899406964258</v>
      </c>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row>
    <row r="595" spans="1:55" x14ac:dyDescent="0.25">
      <c r="A595" s="1" t="str">
        <f>'Population Definitions'!$A$3</f>
        <v>PWID_females</v>
      </c>
      <c r="C595" t="s">
        <v>34</v>
      </c>
      <c r="D595" s="3"/>
      <c r="E595" s="3">
        <v>6.2670198007678453</v>
      </c>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row>
    <row r="596" spans="1:55" x14ac:dyDescent="0.25">
      <c r="A596" s="1" t="str">
        <f>'Population Definitions'!$A$4</f>
        <v>0-9_males</v>
      </c>
      <c r="C596" t="s">
        <v>34</v>
      </c>
      <c r="D596" s="3"/>
      <c r="E596" s="3">
        <v>0</v>
      </c>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row>
    <row r="597" spans="1:55" x14ac:dyDescent="0.25">
      <c r="A597" s="1" t="str">
        <f>'Population Definitions'!$A$5</f>
        <v>0-9_females</v>
      </c>
      <c r="C597" t="s">
        <v>34</v>
      </c>
      <c r="D597" s="3"/>
      <c r="E597" s="3">
        <v>0</v>
      </c>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row>
    <row r="598" spans="1:55" x14ac:dyDescent="0.25">
      <c r="A598" s="1" t="str">
        <f>'Population Definitions'!$A$6</f>
        <v>10-17_males</v>
      </c>
      <c r="C598" t="s">
        <v>34</v>
      </c>
      <c r="D598" s="3"/>
      <c r="E598" s="3">
        <v>0</v>
      </c>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row>
    <row r="599" spans="1:55" x14ac:dyDescent="0.25">
      <c r="A599" s="1" t="str">
        <f>'Population Definitions'!$A$7</f>
        <v>10-17_females</v>
      </c>
      <c r="C599" t="s">
        <v>34</v>
      </c>
      <c r="D599" s="3"/>
      <c r="E599" s="3">
        <v>0</v>
      </c>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row>
    <row r="600" spans="1:55" x14ac:dyDescent="0.25">
      <c r="A600" s="1" t="str">
        <f>'Population Definitions'!$A$8</f>
        <v>18-64_males</v>
      </c>
      <c r="C600" t="s">
        <v>34</v>
      </c>
      <c r="D600" s="3"/>
      <c r="E600" s="3">
        <v>26667.706026092819</v>
      </c>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row>
    <row r="601" spans="1:55" x14ac:dyDescent="0.25">
      <c r="A601" s="1" t="str">
        <f>'Population Definitions'!$A$9</f>
        <v>18-64_females</v>
      </c>
      <c r="C601" t="s">
        <v>34</v>
      </c>
      <c r="D601" s="3"/>
      <c r="E601" s="3">
        <v>25897.455552488362</v>
      </c>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row>
    <row r="602" spans="1:55" x14ac:dyDescent="0.25">
      <c r="A602" s="1" t="str">
        <f>'Population Definitions'!$A$10</f>
        <v>65+_males</v>
      </c>
      <c r="C602" t="s">
        <v>34</v>
      </c>
      <c r="D602" s="3"/>
      <c r="E602" s="3">
        <v>1704.3498144982329</v>
      </c>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row>
    <row r="603" spans="1:55" x14ac:dyDescent="0.25">
      <c r="A603" s="1" t="str">
        <f>'Population Definitions'!$A$11</f>
        <v>65+_females</v>
      </c>
      <c r="C603" t="s">
        <v>34</v>
      </c>
      <c r="D603" s="3"/>
      <c r="E603" s="3">
        <v>2351.734720648567</v>
      </c>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row>
    <row r="604" spans="1:55" x14ac:dyDescent="0.25">
      <c r="A604" s="1" t="str">
        <f>'Population Definitions'!$A$12</f>
        <v>Prisoners_males</v>
      </c>
      <c r="C604" t="s">
        <v>34</v>
      </c>
      <c r="D604" s="3"/>
      <c r="E604" s="3">
        <v>70.241370629209939</v>
      </c>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row>
    <row r="605" spans="1:55" x14ac:dyDescent="0.25">
      <c r="A605" s="1" t="str">
        <f>'Population Definitions'!$A$13</f>
        <v>Prisoners_females</v>
      </c>
      <c r="C605" t="s">
        <v>34</v>
      </c>
      <c r="D605" s="3"/>
      <c r="E605" s="3">
        <v>3.1903523813492378</v>
      </c>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row>
    <row r="606" spans="1:55" x14ac:dyDescent="0.25">
      <c r="A606" s="1" t="str">
        <f>'Population Definitions'!$A$14</f>
        <v>Prisoners_PWID_males</v>
      </c>
      <c r="C606" t="s">
        <v>34</v>
      </c>
      <c r="D606" s="3"/>
      <c r="E606" s="3">
        <v>16.5232915674124</v>
      </c>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row>
    <row r="607" spans="1:55" x14ac:dyDescent="0.25">
      <c r="A607" s="1" t="str">
        <f>'Population Definitions'!$A$15</f>
        <v>Prisoners_PWID_females</v>
      </c>
      <c r="C607" t="s">
        <v>34</v>
      </c>
      <c r="D607" s="3"/>
      <c r="E607" s="3">
        <v>1.2421311968586679</v>
      </c>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row>
    <row r="609" spans="1:55" x14ac:dyDescent="0.25">
      <c r="A609" s="1" t="s">
        <v>165</v>
      </c>
      <c r="B609" s="1" t="s">
        <v>31</v>
      </c>
      <c r="C609" s="1" t="s">
        <v>32</v>
      </c>
      <c r="D609" s="1" t="s">
        <v>33</v>
      </c>
      <c r="E609" s="1">
        <v>2000</v>
      </c>
      <c r="F609" s="1">
        <v>2001</v>
      </c>
      <c r="G609" s="1">
        <v>2002</v>
      </c>
      <c r="H609" s="1">
        <v>2003</v>
      </c>
      <c r="I609" s="1">
        <v>2004</v>
      </c>
      <c r="J609" s="1">
        <v>2005</v>
      </c>
      <c r="K609" s="1">
        <v>2006</v>
      </c>
      <c r="L609" s="1">
        <v>2007</v>
      </c>
      <c r="M609" s="1">
        <v>2008</v>
      </c>
      <c r="N609" s="1">
        <v>2009</v>
      </c>
      <c r="O609" s="1">
        <v>2010</v>
      </c>
      <c r="P609" s="1">
        <v>2011</v>
      </c>
      <c r="Q609" s="1">
        <v>2012</v>
      </c>
      <c r="R609" s="1">
        <v>2013</v>
      </c>
      <c r="S609" s="1">
        <v>2014</v>
      </c>
      <c r="T609" s="1">
        <v>2015</v>
      </c>
      <c r="U609" s="1">
        <v>2016</v>
      </c>
      <c r="V609" s="1">
        <v>2017</v>
      </c>
      <c r="W609" s="1">
        <v>2018</v>
      </c>
      <c r="X609" s="1">
        <v>2019</v>
      </c>
      <c r="Y609" s="1">
        <v>2020</v>
      </c>
      <c r="Z609" s="1">
        <v>2021</v>
      </c>
      <c r="AA609" s="1">
        <v>2022</v>
      </c>
      <c r="AB609" s="1">
        <v>2023</v>
      </c>
      <c r="AC609" s="1">
        <v>2024</v>
      </c>
      <c r="AD609" s="1">
        <v>2025</v>
      </c>
      <c r="AE609" s="1">
        <v>2026</v>
      </c>
      <c r="AF609" s="1">
        <v>2027</v>
      </c>
      <c r="AG609" s="1">
        <v>2028</v>
      </c>
      <c r="AH609" s="1">
        <v>2029</v>
      </c>
      <c r="AI609" s="1">
        <v>2030</v>
      </c>
      <c r="AJ609" s="1">
        <v>2031</v>
      </c>
      <c r="AK609" s="1">
        <v>2032</v>
      </c>
      <c r="AL609" s="1">
        <v>2033</v>
      </c>
      <c r="AM609" s="1">
        <v>2034</v>
      </c>
      <c r="AN609" s="1">
        <v>2035</v>
      </c>
      <c r="AO609" s="1">
        <v>2036</v>
      </c>
      <c r="AP609" s="1">
        <v>2037</v>
      </c>
      <c r="AQ609" s="1">
        <v>2038</v>
      </c>
      <c r="AR609" s="1">
        <v>2039</v>
      </c>
      <c r="AS609" s="1">
        <v>2040</v>
      </c>
      <c r="AT609" s="1">
        <v>2041</v>
      </c>
      <c r="AU609" s="1">
        <v>2042</v>
      </c>
      <c r="AV609" s="1">
        <v>2043</v>
      </c>
      <c r="AW609" s="1">
        <v>2044</v>
      </c>
      <c r="AX609" s="1">
        <v>2045</v>
      </c>
      <c r="AY609" s="1">
        <v>2046</v>
      </c>
      <c r="AZ609" s="1">
        <v>2047</v>
      </c>
      <c r="BA609" s="1">
        <v>2048</v>
      </c>
      <c r="BB609" s="1">
        <v>2049</v>
      </c>
      <c r="BC609" s="1">
        <v>2050</v>
      </c>
    </row>
    <row r="610" spans="1:55" x14ac:dyDescent="0.25">
      <c r="A610" s="1" t="str">
        <f>'Population Definitions'!$A$2</f>
        <v>PWID_males</v>
      </c>
      <c r="C610" t="s">
        <v>34</v>
      </c>
      <c r="D610" s="3"/>
      <c r="E610" s="3">
        <v>30.057736656695809</v>
      </c>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row>
    <row r="611" spans="1:55" x14ac:dyDescent="0.25">
      <c r="A611" s="1" t="str">
        <f>'Population Definitions'!$A$3</f>
        <v>PWID_females</v>
      </c>
      <c r="C611" t="s">
        <v>34</v>
      </c>
      <c r="D611" s="3"/>
      <c r="E611" s="3">
        <v>1.4100794551727649</v>
      </c>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row>
    <row r="612" spans="1:55" x14ac:dyDescent="0.25">
      <c r="A612" s="1" t="str">
        <f>'Population Definitions'!$A$4</f>
        <v>0-9_males</v>
      </c>
      <c r="C612" t="s">
        <v>34</v>
      </c>
      <c r="D612" s="3"/>
      <c r="E612" s="3">
        <v>0</v>
      </c>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row>
    <row r="613" spans="1:55" x14ac:dyDescent="0.25">
      <c r="A613" s="1" t="str">
        <f>'Population Definitions'!$A$5</f>
        <v>0-9_females</v>
      </c>
      <c r="C613" t="s">
        <v>34</v>
      </c>
      <c r="D613" s="3"/>
      <c r="E613" s="3">
        <v>0</v>
      </c>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row>
    <row r="614" spans="1:55" x14ac:dyDescent="0.25">
      <c r="A614" s="1" t="str">
        <f>'Population Definitions'!$A$6</f>
        <v>10-17_males</v>
      </c>
      <c r="C614" t="s">
        <v>34</v>
      </c>
      <c r="D614" s="3"/>
      <c r="E614" s="3">
        <v>0</v>
      </c>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row>
    <row r="615" spans="1:55" x14ac:dyDescent="0.25">
      <c r="A615" s="1" t="str">
        <f>'Population Definitions'!$A$7</f>
        <v>10-17_females</v>
      </c>
      <c r="C615" t="s">
        <v>34</v>
      </c>
      <c r="D615" s="3"/>
      <c r="E615" s="3">
        <v>0</v>
      </c>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row>
    <row r="616" spans="1:55" x14ac:dyDescent="0.25">
      <c r="A616" s="1" t="str">
        <f>'Population Definitions'!$A$8</f>
        <v>18-64_males</v>
      </c>
      <c r="C616" t="s">
        <v>34</v>
      </c>
      <c r="D616" s="3"/>
      <c r="E616" s="3">
        <v>6000.2338558708852</v>
      </c>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row>
    <row r="617" spans="1:55" x14ac:dyDescent="0.25">
      <c r="A617" s="1" t="str">
        <f>'Population Definitions'!$A$9</f>
        <v>18-64_females</v>
      </c>
      <c r="C617" t="s">
        <v>34</v>
      </c>
      <c r="D617" s="3"/>
      <c r="E617" s="3">
        <v>5826.9274993098797</v>
      </c>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row>
    <row r="618" spans="1:55" x14ac:dyDescent="0.25">
      <c r="A618" s="1" t="str">
        <f>'Population Definitions'!$A$10</f>
        <v>65+_males</v>
      </c>
      <c r="C618" t="s">
        <v>34</v>
      </c>
      <c r="D618" s="3"/>
      <c r="E618" s="3">
        <v>383.47870826210232</v>
      </c>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row>
    <row r="619" spans="1:55" x14ac:dyDescent="0.25">
      <c r="A619" s="1" t="str">
        <f>'Population Definitions'!$A$11</f>
        <v>65+_females</v>
      </c>
      <c r="C619" t="s">
        <v>34</v>
      </c>
      <c r="D619" s="3"/>
      <c r="E619" s="3">
        <v>529.14031214592751</v>
      </c>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row>
    <row r="620" spans="1:55" x14ac:dyDescent="0.25">
      <c r="A620" s="1" t="str">
        <f>'Population Definitions'!$A$12</f>
        <v>Prisoners_males</v>
      </c>
      <c r="C620" t="s">
        <v>34</v>
      </c>
      <c r="D620" s="3"/>
      <c r="E620" s="3">
        <v>15.80430839157223</v>
      </c>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row>
    <row r="621" spans="1:55" x14ac:dyDescent="0.25">
      <c r="A621" s="1" t="str">
        <f>'Population Definitions'!$A$13</f>
        <v>Prisoners_females</v>
      </c>
      <c r="C621" t="s">
        <v>34</v>
      </c>
      <c r="D621" s="3"/>
      <c r="E621" s="3">
        <v>0.71782928580357852</v>
      </c>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row>
    <row r="622" spans="1:55" x14ac:dyDescent="0.25">
      <c r="A622" s="1" t="str">
        <f>'Population Definitions'!$A$14</f>
        <v>Prisoners_PWID_males</v>
      </c>
      <c r="C622" t="s">
        <v>34</v>
      </c>
      <c r="D622" s="3"/>
      <c r="E622" s="3">
        <v>3.7177406026677891</v>
      </c>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row>
    <row r="623" spans="1:55" x14ac:dyDescent="0.25">
      <c r="A623" s="1" t="str">
        <f>'Population Definitions'!$A$15</f>
        <v>Prisoners_PWID_females</v>
      </c>
      <c r="C623" t="s">
        <v>34</v>
      </c>
      <c r="D623" s="3"/>
      <c r="E623" s="3">
        <v>0.27947951929320031</v>
      </c>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row>
    <row r="625" spans="1:55" x14ac:dyDescent="0.25">
      <c r="A625" s="1" t="s">
        <v>166</v>
      </c>
      <c r="B625" s="1" t="s">
        <v>31</v>
      </c>
      <c r="C625" s="1" t="s">
        <v>32</v>
      </c>
      <c r="D625" s="1" t="s">
        <v>33</v>
      </c>
      <c r="E625" s="1">
        <v>2000</v>
      </c>
      <c r="F625" s="1">
        <v>2001</v>
      </c>
      <c r="G625" s="1">
        <v>2002</v>
      </c>
      <c r="H625" s="1">
        <v>2003</v>
      </c>
      <c r="I625" s="1">
        <v>2004</v>
      </c>
      <c r="J625" s="1">
        <v>2005</v>
      </c>
      <c r="K625" s="1">
        <v>2006</v>
      </c>
      <c r="L625" s="1">
        <v>2007</v>
      </c>
      <c r="M625" s="1">
        <v>2008</v>
      </c>
      <c r="N625" s="1">
        <v>2009</v>
      </c>
      <c r="O625" s="1">
        <v>2010</v>
      </c>
      <c r="P625" s="1">
        <v>2011</v>
      </c>
      <c r="Q625" s="1">
        <v>2012</v>
      </c>
      <c r="R625" s="1">
        <v>2013</v>
      </c>
      <c r="S625" s="1">
        <v>2014</v>
      </c>
      <c r="T625" s="1">
        <v>2015</v>
      </c>
      <c r="U625" s="1">
        <v>2016</v>
      </c>
      <c r="V625" s="1">
        <v>2017</v>
      </c>
      <c r="W625" s="1">
        <v>2018</v>
      </c>
      <c r="X625" s="1">
        <v>2019</v>
      </c>
      <c r="Y625" s="1">
        <v>2020</v>
      </c>
      <c r="Z625" s="1">
        <v>2021</v>
      </c>
      <c r="AA625" s="1">
        <v>2022</v>
      </c>
      <c r="AB625" s="1">
        <v>2023</v>
      </c>
      <c r="AC625" s="1">
        <v>2024</v>
      </c>
      <c r="AD625" s="1">
        <v>2025</v>
      </c>
      <c r="AE625" s="1">
        <v>2026</v>
      </c>
      <c r="AF625" s="1">
        <v>2027</v>
      </c>
      <c r="AG625" s="1">
        <v>2028</v>
      </c>
      <c r="AH625" s="1">
        <v>2029</v>
      </c>
      <c r="AI625" s="1">
        <v>2030</v>
      </c>
      <c r="AJ625" s="1">
        <v>2031</v>
      </c>
      <c r="AK625" s="1">
        <v>2032</v>
      </c>
      <c r="AL625" s="1">
        <v>2033</v>
      </c>
      <c r="AM625" s="1">
        <v>2034</v>
      </c>
      <c r="AN625" s="1">
        <v>2035</v>
      </c>
      <c r="AO625" s="1">
        <v>2036</v>
      </c>
      <c r="AP625" s="1">
        <v>2037</v>
      </c>
      <c r="AQ625" s="1">
        <v>2038</v>
      </c>
      <c r="AR625" s="1">
        <v>2039</v>
      </c>
      <c r="AS625" s="1">
        <v>2040</v>
      </c>
      <c r="AT625" s="1">
        <v>2041</v>
      </c>
      <c r="AU625" s="1">
        <v>2042</v>
      </c>
      <c r="AV625" s="1">
        <v>2043</v>
      </c>
      <c r="AW625" s="1">
        <v>2044</v>
      </c>
      <c r="AX625" s="1">
        <v>2045</v>
      </c>
      <c r="AY625" s="1">
        <v>2046</v>
      </c>
      <c r="AZ625" s="1">
        <v>2047</v>
      </c>
      <c r="BA625" s="1">
        <v>2048</v>
      </c>
      <c r="BB625" s="1">
        <v>2049</v>
      </c>
      <c r="BC625" s="1">
        <v>2050</v>
      </c>
    </row>
    <row r="626" spans="1:55" x14ac:dyDescent="0.25">
      <c r="A626" s="1" t="str">
        <f>'Population Definitions'!$A$2</f>
        <v>PWID_males</v>
      </c>
      <c r="C626" t="s">
        <v>34</v>
      </c>
      <c r="D626" s="3"/>
      <c r="E626" s="3">
        <v>3.3397485174110191</v>
      </c>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row>
    <row r="627" spans="1:55" x14ac:dyDescent="0.25">
      <c r="A627" s="1" t="str">
        <f>'Population Definitions'!$A$3</f>
        <v>PWID_females</v>
      </c>
      <c r="C627" t="s">
        <v>34</v>
      </c>
      <c r="D627" s="3"/>
      <c r="E627" s="3">
        <v>0.15667549501921371</v>
      </c>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row>
    <row r="628" spans="1:55" x14ac:dyDescent="0.25">
      <c r="A628" s="1" t="str">
        <f>'Population Definitions'!$A$4</f>
        <v>0-9_males</v>
      </c>
      <c r="C628" t="s">
        <v>34</v>
      </c>
      <c r="D628" s="3"/>
      <c r="E628" s="3">
        <v>0</v>
      </c>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row>
    <row r="629" spans="1:55" x14ac:dyDescent="0.25">
      <c r="A629" s="1" t="str">
        <f>'Population Definitions'!$A$5</f>
        <v>0-9_females</v>
      </c>
      <c r="C629" t="s">
        <v>34</v>
      </c>
      <c r="D629" s="3"/>
      <c r="E629" s="3">
        <v>0</v>
      </c>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row>
    <row r="630" spans="1:55" x14ac:dyDescent="0.25">
      <c r="A630" s="1" t="str">
        <f>'Population Definitions'!$A$6</f>
        <v>10-17_males</v>
      </c>
      <c r="C630" t="s">
        <v>34</v>
      </c>
      <c r="D630" s="3"/>
      <c r="E630" s="3">
        <v>0</v>
      </c>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row>
    <row r="631" spans="1:55" x14ac:dyDescent="0.25">
      <c r="A631" s="1" t="str">
        <f>'Population Definitions'!$A$7</f>
        <v>10-17_females</v>
      </c>
      <c r="C631" t="s">
        <v>34</v>
      </c>
      <c r="D631" s="3"/>
      <c r="E631" s="3">
        <v>0</v>
      </c>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row>
    <row r="632" spans="1:55" x14ac:dyDescent="0.25">
      <c r="A632" s="1" t="str">
        <f>'Population Definitions'!$A$8</f>
        <v>18-64_males</v>
      </c>
      <c r="C632" t="s">
        <v>34</v>
      </c>
      <c r="D632" s="3"/>
      <c r="E632" s="3">
        <v>666.69265065239517</v>
      </c>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row>
    <row r="633" spans="1:55" x14ac:dyDescent="0.25">
      <c r="A633" s="1" t="str">
        <f>'Population Definitions'!$A$9</f>
        <v>18-64_females</v>
      </c>
      <c r="C633" t="s">
        <v>34</v>
      </c>
      <c r="D633" s="3"/>
      <c r="E633" s="3">
        <v>647.43638881228139</v>
      </c>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row>
    <row r="634" spans="1:55" x14ac:dyDescent="0.25">
      <c r="A634" s="1" t="str">
        <f>'Population Definitions'!$A$10</f>
        <v>65+_males</v>
      </c>
      <c r="C634" t="s">
        <v>34</v>
      </c>
      <c r="D634" s="3"/>
      <c r="E634" s="3">
        <v>42.608745362460589</v>
      </c>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row>
    <row r="635" spans="1:55" x14ac:dyDescent="0.25">
      <c r="A635" s="1" t="str">
        <f>'Population Definitions'!$A$11</f>
        <v>65+_females</v>
      </c>
      <c r="C635" t="s">
        <v>34</v>
      </c>
      <c r="D635" s="3"/>
      <c r="E635" s="3">
        <v>58.793368016220747</v>
      </c>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row>
    <row r="636" spans="1:55" x14ac:dyDescent="0.25">
      <c r="A636" s="1" t="str">
        <f>'Population Definitions'!$A$12</f>
        <v>Prisoners_males</v>
      </c>
      <c r="C636" t="s">
        <v>34</v>
      </c>
      <c r="D636" s="3"/>
      <c r="E636" s="3">
        <v>1.7560342657304451</v>
      </c>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row>
    <row r="637" spans="1:55" x14ac:dyDescent="0.25">
      <c r="A637" s="1" t="str">
        <f>'Population Definitions'!$A$13</f>
        <v>Prisoners_females</v>
      </c>
      <c r="C637" t="s">
        <v>34</v>
      </c>
      <c r="D637" s="3"/>
      <c r="E637" s="3">
        <v>7.9758809533739886E-2</v>
      </c>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row>
    <row r="638" spans="1:55" x14ac:dyDescent="0.25">
      <c r="A638" s="1" t="str">
        <f>'Population Definitions'!$A$14</f>
        <v>Prisoners_PWID_males</v>
      </c>
      <c r="C638" t="s">
        <v>34</v>
      </c>
      <c r="D638" s="3"/>
      <c r="E638" s="3">
        <v>0.41308228918535611</v>
      </c>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row>
    <row r="639" spans="1:55" x14ac:dyDescent="0.25">
      <c r="A639" s="1" t="str">
        <f>'Population Definitions'!$A$15</f>
        <v>Prisoners_PWID_females</v>
      </c>
      <c r="C639" t="s">
        <v>34</v>
      </c>
      <c r="D639" s="3"/>
      <c r="E639" s="3">
        <v>3.1053279921470171E-2</v>
      </c>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row>
    <row r="641" spans="1:57" x14ac:dyDescent="0.25">
      <c r="A641" s="1" t="s">
        <v>167</v>
      </c>
      <c r="B641" s="1" t="s">
        <v>31</v>
      </c>
      <c r="C641" s="1" t="s">
        <v>32</v>
      </c>
      <c r="D641" s="1" t="s">
        <v>33</v>
      </c>
      <c r="E641" s="1" t="s">
        <v>38</v>
      </c>
      <c r="F641" s="1"/>
      <c r="G641" s="1">
        <v>2000</v>
      </c>
      <c r="H641" s="1">
        <v>2001</v>
      </c>
      <c r="I641" s="1">
        <v>2002</v>
      </c>
      <c r="J641" s="1">
        <v>2003</v>
      </c>
      <c r="K641" s="1">
        <v>2004</v>
      </c>
      <c r="L641" s="1">
        <v>2005</v>
      </c>
      <c r="M641" s="1">
        <v>2006</v>
      </c>
      <c r="N641" s="1">
        <v>2007</v>
      </c>
      <c r="O641" s="1">
        <v>2008</v>
      </c>
      <c r="P641" s="1">
        <v>2009</v>
      </c>
      <c r="Q641" s="1">
        <v>2010</v>
      </c>
      <c r="R641" s="1">
        <v>2011</v>
      </c>
      <c r="S641" s="1">
        <v>2012</v>
      </c>
      <c r="T641" s="1">
        <v>2013</v>
      </c>
      <c r="U641" s="1">
        <v>2014</v>
      </c>
      <c r="V641" s="1">
        <v>2015</v>
      </c>
      <c r="W641" s="1">
        <v>2016</v>
      </c>
      <c r="X641" s="1">
        <v>2017</v>
      </c>
      <c r="Y641" s="1">
        <v>2018</v>
      </c>
      <c r="Z641" s="1">
        <v>2019</v>
      </c>
      <c r="AA641" s="1">
        <v>2020</v>
      </c>
      <c r="AB641" s="1">
        <v>2021</v>
      </c>
      <c r="AC641" s="1">
        <v>2022</v>
      </c>
      <c r="AD641" s="1">
        <v>2023</v>
      </c>
      <c r="AE641" s="1">
        <v>2024</v>
      </c>
      <c r="AF641" s="1">
        <v>2025</v>
      </c>
      <c r="AG641" s="1">
        <v>2026</v>
      </c>
      <c r="AH641" s="1">
        <v>2027</v>
      </c>
      <c r="AI641" s="1">
        <v>2028</v>
      </c>
      <c r="AJ641" s="1">
        <v>2029</v>
      </c>
      <c r="AK641" s="1">
        <v>2030</v>
      </c>
      <c r="AL641" s="1">
        <v>2031</v>
      </c>
      <c r="AM641" s="1">
        <v>2032</v>
      </c>
      <c r="AN641" s="1">
        <v>2033</v>
      </c>
      <c r="AO641" s="1">
        <v>2034</v>
      </c>
      <c r="AP641" s="1">
        <v>2035</v>
      </c>
      <c r="AQ641" s="1">
        <v>2036</v>
      </c>
      <c r="AR641" s="1">
        <v>2037</v>
      </c>
      <c r="AS641" s="1">
        <v>2038</v>
      </c>
      <c r="AT641" s="1">
        <v>2039</v>
      </c>
      <c r="AU641" s="1">
        <v>2040</v>
      </c>
      <c r="AV641" s="1">
        <v>2041</v>
      </c>
      <c r="AW641" s="1">
        <v>2042</v>
      </c>
      <c r="AX641" s="1">
        <v>2043</v>
      </c>
      <c r="AY641" s="1">
        <v>2044</v>
      </c>
      <c r="AZ641" s="1">
        <v>2045</v>
      </c>
      <c r="BA641" s="1">
        <v>2046</v>
      </c>
      <c r="BB641" s="1">
        <v>2047</v>
      </c>
      <c r="BC641" s="1">
        <v>2048</v>
      </c>
      <c r="BD641" s="1">
        <v>2049</v>
      </c>
      <c r="BE641" s="1">
        <v>2050</v>
      </c>
    </row>
    <row r="642" spans="1:57" x14ac:dyDescent="0.25">
      <c r="A642" s="1" t="str">
        <f>'Population Definitions'!$A$2</f>
        <v>PWID_males</v>
      </c>
      <c r="C642" t="s">
        <v>34</v>
      </c>
      <c r="D642" s="3"/>
      <c r="E642" s="3">
        <v>0</v>
      </c>
      <c r="F642" s="4" t="s">
        <v>39</v>
      </c>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row>
    <row r="643" spans="1:57" x14ac:dyDescent="0.25">
      <c r="A643" s="1" t="str">
        <f>'Population Definitions'!$A$3</f>
        <v>PWID_females</v>
      </c>
      <c r="C643" t="s">
        <v>34</v>
      </c>
      <c r="D643" s="3"/>
      <c r="E643" s="3">
        <v>0</v>
      </c>
      <c r="F643" s="4" t="s">
        <v>39</v>
      </c>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row>
    <row r="644" spans="1:57" x14ac:dyDescent="0.25">
      <c r="A644" s="1" t="str">
        <f>'Population Definitions'!$A$4</f>
        <v>0-9_males</v>
      </c>
      <c r="C644" t="s">
        <v>34</v>
      </c>
      <c r="D644" s="3"/>
      <c r="E644" s="3">
        <v>0</v>
      </c>
      <c r="F644" s="4" t="s">
        <v>39</v>
      </c>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row>
    <row r="645" spans="1:57" x14ac:dyDescent="0.25">
      <c r="A645" s="1" t="str">
        <f>'Population Definitions'!$A$5</f>
        <v>0-9_females</v>
      </c>
      <c r="C645" t="s">
        <v>34</v>
      </c>
      <c r="D645" s="3"/>
      <c r="E645" s="3">
        <v>0</v>
      </c>
      <c r="F645" s="4" t="s">
        <v>39</v>
      </c>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row>
    <row r="646" spans="1:57" x14ac:dyDescent="0.25">
      <c r="A646" s="1" t="str">
        <f>'Population Definitions'!$A$6</f>
        <v>10-17_males</v>
      </c>
      <c r="C646" t="s">
        <v>34</v>
      </c>
      <c r="D646" s="3"/>
      <c r="E646" s="3">
        <v>0</v>
      </c>
      <c r="F646" s="4" t="s">
        <v>39</v>
      </c>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row>
    <row r="647" spans="1:57" x14ac:dyDescent="0.25">
      <c r="A647" s="1" t="str">
        <f>'Population Definitions'!$A$7</f>
        <v>10-17_females</v>
      </c>
      <c r="C647" t="s">
        <v>34</v>
      </c>
      <c r="D647" s="3"/>
      <c r="E647" s="3">
        <v>0</v>
      </c>
      <c r="F647" s="4" t="s">
        <v>39</v>
      </c>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row>
    <row r="648" spans="1:57" x14ac:dyDescent="0.25">
      <c r="A648" s="1" t="str">
        <f>'Population Definitions'!$A$8</f>
        <v>18-64_males</v>
      </c>
      <c r="C648" t="s">
        <v>34</v>
      </c>
      <c r="D648" s="3"/>
      <c r="E648" s="3">
        <v>0</v>
      </c>
      <c r="F648" s="4" t="s">
        <v>39</v>
      </c>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row>
    <row r="649" spans="1:57" x14ac:dyDescent="0.25">
      <c r="A649" s="1" t="str">
        <f>'Population Definitions'!$A$9</f>
        <v>18-64_females</v>
      </c>
      <c r="C649" t="s">
        <v>34</v>
      </c>
      <c r="D649" s="3"/>
      <c r="E649" s="3">
        <v>0</v>
      </c>
      <c r="F649" s="4" t="s">
        <v>39</v>
      </c>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row>
    <row r="650" spans="1:57" x14ac:dyDescent="0.25">
      <c r="A650" s="1" t="str">
        <f>'Population Definitions'!$A$10</f>
        <v>65+_males</v>
      </c>
      <c r="C650" t="s">
        <v>34</v>
      </c>
      <c r="D650" s="3"/>
      <c r="E650" s="3">
        <v>0</v>
      </c>
      <c r="F650" s="4" t="s">
        <v>39</v>
      </c>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row>
    <row r="651" spans="1:57" x14ac:dyDescent="0.25">
      <c r="A651" s="1" t="str">
        <f>'Population Definitions'!$A$11</f>
        <v>65+_females</v>
      </c>
      <c r="C651" t="s">
        <v>34</v>
      </c>
      <c r="D651" s="3"/>
      <c r="E651" s="3">
        <v>0</v>
      </c>
      <c r="F651" s="4" t="s">
        <v>39</v>
      </c>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row>
    <row r="652" spans="1:57" x14ac:dyDescent="0.25">
      <c r="A652" s="1" t="str">
        <f>'Population Definitions'!$A$12</f>
        <v>Prisoners_males</v>
      </c>
      <c r="C652" t="s">
        <v>34</v>
      </c>
      <c r="D652" s="3"/>
      <c r="E652" s="3">
        <v>0</v>
      </c>
      <c r="F652" s="4" t="s">
        <v>39</v>
      </c>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row>
    <row r="653" spans="1:57" x14ac:dyDescent="0.25">
      <c r="A653" s="1" t="str">
        <f>'Population Definitions'!$A$13</f>
        <v>Prisoners_females</v>
      </c>
      <c r="C653" t="s">
        <v>34</v>
      </c>
      <c r="D653" s="3"/>
      <c r="E653" s="3">
        <v>0</v>
      </c>
      <c r="F653" s="4" t="s">
        <v>39</v>
      </c>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row>
    <row r="654" spans="1:57" x14ac:dyDescent="0.25">
      <c r="A654" s="1" t="str">
        <f>'Population Definitions'!$A$14</f>
        <v>Prisoners_PWID_males</v>
      </c>
      <c r="C654" t="s">
        <v>34</v>
      </c>
      <c r="D654" s="3"/>
      <c r="E654" s="3">
        <v>0</v>
      </c>
      <c r="F654" s="4" t="s">
        <v>39</v>
      </c>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row>
    <row r="655" spans="1:57" x14ac:dyDescent="0.25">
      <c r="A655" s="1" t="str">
        <f>'Population Definitions'!$A$15</f>
        <v>Prisoners_PWID_females</v>
      </c>
      <c r="C655" t="s">
        <v>34</v>
      </c>
      <c r="D655" s="3"/>
      <c r="E655" s="3">
        <v>0</v>
      </c>
      <c r="F655" s="4" t="s">
        <v>39</v>
      </c>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row>
    <row r="657" spans="1:55" x14ac:dyDescent="0.25">
      <c r="A657" s="1" t="s">
        <v>168</v>
      </c>
      <c r="B657" s="1" t="s">
        <v>31</v>
      </c>
      <c r="C657" s="1" t="s">
        <v>32</v>
      </c>
      <c r="D657" s="1" t="s">
        <v>33</v>
      </c>
      <c r="E657" s="1">
        <v>2000</v>
      </c>
      <c r="F657" s="1">
        <v>2001</v>
      </c>
      <c r="G657" s="1">
        <v>2002</v>
      </c>
      <c r="H657" s="1">
        <v>2003</v>
      </c>
      <c r="I657" s="1">
        <v>2004</v>
      </c>
      <c r="J657" s="1">
        <v>2005</v>
      </c>
      <c r="K657" s="1">
        <v>2006</v>
      </c>
      <c r="L657" s="1">
        <v>2007</v>
      </c>
      <c r="M657" s="1">
        <v>2008</v>
      </c>
      <c r="N657" s="1">
        <v>2009</v>
      </c>
      <c r="O657" s="1">
        <v>2010</v>
      </c>
      <c r="P657" s="1">
        <v>2011</v>
      </c>
      <c r="Q657" s="1">
        <v>2012</v>
      </c>
      <c r="R657" s="1">
        <v>2013</v>
      </c>
      <c r="S657" s="1">
        <v>2014</v>
      </c>
      <c r="T657" s="1">
        <v>2015</v>
      </c>
      <c r="U657" s="1">
        <v>2016</v>
      </c>
      <c r="V657" s="1">
        <v>2017</v>
      </c>
      <c r="W657" s="1">
        <v>2018</v>
      </c>
      <c r="X657" s="1">
        <v>2019</v>
      </c>
      <c r="Y657" s="1">
        <v>2020</v>
      </c>
      <c r="Z657" s="1">
        <v>2021</v>
      </c>
      <c r="AA657" s="1">
        <v>2022</v>
      </c>
      <c r="AB657" s="1">
        <v>2023</v>
      </c>
      <c r="AC657" s="1">
        <v>2024</v>
      </c>
      <c r="AD657" s="1">
        <v>2025</v>
      </c>
      <c r="AE657" s="1">
        <v>2026</v>
      </c>
      <c r="AF657" s="1">
        <v>2027</v>
      </c>
      <c r="AG657" s="1">
        <v>2028</v>
      </c>
      <c r="AH657" s="1">
        <v>2029</v>
      </c>
      <c r="AI657" s="1">
        <v>2030</v>
      </c>
      <c r="AJ657" s="1">
        <v>2031</v>
      </c>
      <c r="AK657" s="1">
        <v>2032</v>
      </c>
      <c r="AL657" s="1">
        <v>2033</v>
      </c>
      <c r="AM657" s="1">
        <v>2034</v>
      </c>
      <c r="AN657" s="1">
        <v>2035</v>
      </c>
      <c r="AO657" s="1">
        <v>2036</v>
      </c>
      <c r="AP657" s="1">
        <v>2037</v>
      </c>
      <c r="AQ657" s="1">
        <v>2038</v>
      </c>
      <c r="AR657" s="1">
        <v>2039</v>
      </c>
      <c r="AS657" s="1">
        <v>2040</v>
      </c>
      <c r="AT657" s="1">
        <v>2041</v>
      </c>
      <c r="AU657" s="1">
        <v>2042</v>
      </c>
      <c r="AV657" s="1">
        <v>2043</v>
      </c>
      <c r="AW657" s="1">
        <v>2044</v>
      </c>
      <c r="AX657" s="1">
        <v>2045</v>
      </c>
      <c r="AY657" s="1">
        <v>2046</v>
      </c>
      <c r="AZ657" s="1">
        <v>2047</v>
      </c>
      <c r="BA657" s="1">
        <v>2048</v>
      </c>
      <c r="BB657" s="1">
        <v>2049</v>
      </c>
      <c r="BC657" s="1">
        <v>2050</v>
      </c>
    </row>
    <row r="658" spans="1:55" x14ac:dyDescent="0.25">
      <c r="A658" s="1" t="str">
        <f>'Population Definitions'!$A$2</f>
        <v>PWID_males</v>
      </c>
      <c r="C658" t="s">
        <v>34</v>
      </c>
      <c r="D658" s="3"/>
      <c r="E658" s="3">
        <v>0</v>
      </c>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row>
    <row r="659" spans="1:55" x14ac:dyDescent="0.25">
      <c r="A659" s="1" t="str">
        <f>'Population Definitions'!$A$3</f>
        <v>PWID_females</v>
      </c>
      <c r="C659" t="s">
        <v>34</v>
      </c>
      <c r="D659" s="3"/>
      <c r="E659" s="3">
        <v>0</v>
      </c>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row>
    <row r="660" spans="1:55" x14ac:dyDescent="0.25">
      <c r="A660" s="1" t="str">
        <f>'Population Definitions'!$A$4</f>
        <v>0-9_males</v>
      </c>
      <c r="C660" t="s">
        <v>34</v>
      </c>
      <c r="D660" s="3"/>
      <c r="E660" s="3">
        <v>0</v>
      </c>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row>
    <row r="661" spans="1:55" x14ac:dyDescent="0.25">
      <c r="A661" s="1" t="str">
        <f>'Population Definitions'!$A$5</f>
        <v>0-9_females</v>
      </c>
      <c r="C661" t="s">
        <v>34</v>
      </c>
      <c r="D661" s="3"/>
      <c r="E661" s="3">
        <v>0</v>
      </c>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row>
    <row r="662" spans="1:55" x14ac:dyDescent="0.25">
      <c r="A662" s="1" t="str">
        <f>'Population Definitions'!$A$6</f>
        <v>10-17_males</v>
      </c>
      <c r="C662" t="s">
        <v>34</v>
      </c>
      <c r="D662" s="3"/>
      <c r="E662" s="3">
        <v>0</v>
      </c>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row>
    <row r="663" spans="1:55" x14ac:dyDescent="0.25">
      <c r="A663" s="1" t="str">
        <f>'Population Definitions'!$A$7</f>
        <v>10-17_females</v>
      </c>
      <c r="C663" t="s">
        <v>34</v>
      </c>
      <c r="D663" s="3"/>
      <c r="E663" s="3">
        <v>0</v>
      </c>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row>
    <row r="664" spans="1:55" x14ac:dyDescent="0.25">
      <c r="A664" s="1" t="str">
        <f>'Population Definitions'!$A$8</f>
        <v>18-64_males</v>
      </c>
      <c r="C664" t="s">
        <v>34</v>
      </c>
      <c r="D664" s="3"/>
      <c r="E664" s="3">
        <v>0</v>
      </c>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row>
    <row r="665" spans="1:55" x14ac:dyDescent="0.25">
      <c r="A665" s="1" t="str">
        <f>'Population Definitions'!$A$9</f>
        <v>18-64_females</v>
      </c>
      <c r="C665" t="s">
        <v>34</v>
      </c>
      <c r="D665" s="3"/>
      <c r="E665" s="3">
        <v>0</v>
      </c>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row>
    <row r="666" spans="1:55" x14ac:dyDescent="0.25">
      <c r="A666" s="1" t="str">
        <f>'Population Definitions'!$A$10</f>
        <v>65+_males</v>
      </c>
      <c r="C666" t="s">
        <v>34</v>
      </c>
      <c r="D666" s="3"/>
      <c r="E666" s="3">
        <v>0</v>
      </c>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row>
    <row r="667" spans="1:55" x14ac:dyDescent="0.25">
      <c r="A667" s="1" t="str">
        <f>'Population Definitions'!$A$11</f>
        <v>65+_females</v>
      </c>
      <c r="C667" t="s">
        <v>34</v>
      </c>
      <c r="D667" s="3"/>
      <c r="E667" s="3">
        <v>0</v>
      </c>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row>
    <row r="668" spans="1:55" x14ac:dyDescent="0.25">
      <c r="A668" s="1" t="str">
        <f>'Population Definitions'!$A$12</f>
        <v>Prisoners_males</v>
      </c>
      <c r="C668" t="s">
        <v>34</v>
      </c>
      <c r="D668" s="3"/>
      <c r="E668" s="3">
        <v>0</v>
      </c>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row>
    <row r="669" spans="1:55" x14ac:dyDescent="0.25">
      <c r="A669" s="1" t="str">
        <f>'Population Definitions'!$A$13</f>
        <v>Prisoners_females</v>
      </c>
      <c r="C669" t="s">
        <v>34</v>
      </c>
      <c r="D669" s="3"/>
      <c r="E669" s="3">
        <v>0</v>
      </c>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row>
    <row r="670" spans="1:55" x14ac:dyDescent="0.25">
      <c r="A670" s="1" t="str">
        <f>'Population Definitions'!$A$14</f>
        <v>Prisoners_PWID_males</v>
      </c>
      <c r="C670" t="s">
        <v>34</v>
      </c>
      <c r="D670" s="3"/>
      <c r="E670" s="3">
        <v>0</v>
      </c>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row>
    <row r="671" spans="1:55" x14ac:dyDescent="0.25">
      <c r="A671" s="1" t="str">
        <f>'Population Definitions'!$A$15</f>
        <v>Prisoners_PWID_females</v>
      </c>
      <c r="C671" t="s">
        <v>34</v>
      </c>
      <c r="D671" s="3"/>
      <c r="E671" s="3">
        <v>0</v>
      </c>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row>
    <row r="673" spans="1:55" x14ac:dyDescent="0.25">
      <c r="A673" s="1" t="s">
        <v>169</v>
      </c>
      <c r="B673" s="1" t="s">
        <v>31</v>
      </c>
      <c r="C673" s="1" t="s">
        <v>32</v>
      </c>
      <c r="D673" s="1" t="s">
        <v>33</v>
      </c>
      <c r="E673" s="1">
        <v>2000</v>
      </c>
      <c r="F673" s="1">
        <v>2001</v>
      </c>
      <c r="G673" s="1">
        <v>2002</v>
      </c>
      <c r="H673" s="1">
        <v>2003</v>
      </c>
      <c r="I673" s="1">
        <v>2004</v>
      </c>
      <c r="J673" s="1">
        <v>2005</v>
      </c>
      <c r="K673" s="1">
        <v>2006</v>
      </c>
      <c r="L673" s="1">
        <v>2007</v>
      </c>
      <c r="M673" s="1">
        <v>2008</v>
      </c>
      <c r="N673" s="1">
        <v>2009</v>
      </c>
      <c r="O673" s="1">
        <v>2010</v>
      </c>
      <c r="P673" s="1">
        <v>2011</v>
      </c>
      <c r="Q673" s="1">
        <v>2012</v>
      </c>
      <c r="R673" s="1">
        <v>2013</v>
      </c>
      <c r="S673" s="1">
        <v>2014</v>
      </c>
      <c r="T673" s="1">
        <v>2015</v>
      </c>
      <c r="U673" s="1">
        <v>2016</v>
      </c>
      <c r="V673" s="1">
        <v>2017</v>
      </c>
      <c r="W673" s="1">
        <v>2018</v>
      </c>
      <c r="X673" s="1">
        <v>2019</v>
      </c>
      <c r="Y673" s="1">
        <v>2020</v>
      </c>
      <c r="Z673" s="1">
        <v>2021</v>
      </c>
      <c r="AA673" s="1">
        <v>2022</v>
      </c>
      <c r="AB673" s="1">
        <v>2023</v>
      </c>
      <c r="AC673" s="1">
        <v>2024</v>
      </c>
      <c r="AD673" s="1">
        <v>2025</v>
      </c>
      <c r="AE673" s="1">
        <v>2026</v>
      </c>
      <c r="AF673" s="1">
        <v>2027</v>
      </c>
      <c r="AG673" s="1">
        <v>2028</v>
      </c>
      <c r="AH673" s="1">
        <v>2029</v>
      </c>
      <c r="AI673" s="1">
        <v>2030</v>
      </c>
      <c r="AJ673" s="1">
        <v>2031</v>
      </c>
      <c r="AK673" s="1">
        <v>2032</v>
      </c>
      <c r="AL673" s="1">
        <v>2033</v>
      </c>
      <c r="AM673" s="1">
        <v>2034</v>
      </c>
      <c r="AN673" s="1">
        <v>2035</v>
      </c>
      <c r="AO673" s="1">
        <v>2036</v>
      </c>
      <c r="AP673" s="1">
        <v>2037</v>
      </c>
      <c r="AQ673" s="1">
        <v>2038</v>
      </c>
      <c r="AR673" s="1">
        <v>2039</v>
      </c>
      <c r="AS673" s="1">
        <v>2040</v>
      </c>
      <c r="AT673" s="1">
        <v>2041</v>
      </c>
      <c r="AU673" s="1">
        <v>2042</v>
      </c>
      <c r="AV673" s="1">
        <v>2043</v>
      </c>
      <c r="AW673" s="1">
        <v>2044</v>
      </c>
      <c r="AX673" s="1">
        <v>2045</v>
      </c>
      <c r="AY673" s="1">
        <v>2046</v>
      </c>
      <c r="AZ673" s="1">
        <v>2047</v>
      </c>
      <c r="BA673" s="1">
        <v>2048</v>
      </c>
      <c r="BB673" s="1">
        <v>2049</v>
      </c>
      <c r="BC673" s="1">
        <v>2050</v>
      </c>
    </row>
    <row r="674" spans="1:55" x14ac:dyDescent="0.25">
      <c r="A674" s="1" t="str">
        <f>'Population Definitions'!$A$2</f>
        <v>PWID_males</v>
      </c>
      <c r="C674" t="s">
        <v>34</v>
      </c>
      <c r="D674" s="3"/>
      <c r="E674" s="3">
        <v>0</v>
      </c>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row>
    <row r="675" spans="1:55" x14ac:dyDescent="0.25">
      <c r="A675" s="1" t="str">
        <f>'Population Definitions'!$A$3</f>
        <v>PWID_females</v>
      </c>
      <c r="C675" t="s">
        <v>34</v>
      </c>
      <c r="D675" s="3"/>
      <c r="E675" s="3">
        <v>0</v>
      </c>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row>
    <row r="676" spans="1:55" x14ac:dyDescent="0.25">
      <c r="A676" s="1" t="str">
        <f>'Population Definitions'!$A$4</f>
        <v>0-9_males</v>
      </c>
      <c r="C676" t="s">
        <v>34</v>
      </c>
      <c r="D676" s="3"/>
      <c r="E676" s="3">
        <v>0</v>
      </c>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row>
    <row r="677" spans="1:55" x14ac:dyDescent="0.25">
      <c r="A677" s="1" t="str">
        <f>'Population Definitions'!$A$5</f>
        <v>0-9_females</v>
      </c>
      <c r="C677" t="s">
        <v>34</v>
      </c>
      <c r="D677" s="3"/>
      <c r="E677" s="3">
        <v>0</v>
      </c>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row>
    <row r="678" spans="1:55" x14ac:dyDescent="0.25">
      <c r="A678" s="1" t="str">
        <f>'Population Definitions'!$A$6</f>
        <v>10-17_males</v>
      </c>
      <c r="C678" t="s">
        <v>34</v>
      </c>
      <c r="D678" s="3"/>
      <c r="E678" s="3">
        <v>0</v>
      </c>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row>
    <row r="679" spans="1:55" x14ac:dyDescent="0.25">
      <c r="A679" s="1" t="str">
        <f>'Population Definitions'!$A$7</f>
        <v>10-17_females</v>
      </c>
      <c r="C679" t="s">
        <v>34</v>
      </c>
      <c r="D679" s="3"/>
      <c r="E679" s="3">
        <v>0</v>
      </c>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row>
    <row r="680" spans="1:55" x14ac:dyDescent="0.25">
      <c r="A680" s="1" t="str">
        <f>'Population Definitions'!$A$8</f>
        <v>18-64_males</v>
      </c>
      <c r="C680" t="s">
        <v>34</v>
      </c>
      <c r="D680" s="3"/>
      <c r="E680" s="3">
        <v>0</v>
      </c>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row>
    <row r="681" spans="1:55" x14ac:dyDescent="0.25">
      <c r="A681" s="1" t="str">
        <f>'Population Definitions'!$A$9</f>
        <v>18-64_females</v>
      </c>
      <c r="C681" t="s">
        <v>34</v>
      </c>
      <c r="D681" s="3"/>
      <c r="E681" s="3">
        <v>0</v>
      </c>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row>
    <row r="682" spans="1:55" x14ac:dyDescent="0.25">
      <c r="A682" s="1" t="str">
        <f>'Population Definitions'!$A$10</f>
        <v>65+_males</v>
      </c>
      <c r="C682" t="s">
        <v>34</v>
      </c>
      <c r="D682" s="3"/>
      <c r="E682" s="3">
        <v>0</v>
      </c>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row>
    <row r="683" spans="1:55" x14ac:dyDescent="0.25">
      <c r="A683" s="1" t="str">
        <f>'Population Definitions'!$A$11</f>
        <v>65+_females</v>
      </c>
      <c r="C683" t="s">
        <v>34</v>
      </c>
      <c r="D683" s="3"/>
      <c r="E683" s="3">
        <v>0</v>
      </c>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row>
    <row r="684" spans="1:55" x14ac:dyDescent="0.25">
      <c r="A684" s="1" t="str">
        <f>'Population Definitions'!$A$12</f>
        <v>Prisoners_males</v>
      </c>
      <c r="C684" t="s">
        <v>34</v>
      </c>
      <c r="D684" s="3"/>
      <c r="E684" s="3">
        <v>0</v>
      </c>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row>
    <row r="685" spans="1:55" x14ac:dyDescent="0.25">
      <c r="A685" s="1" t="str">
        <f>'Population Definitions'!$A$13</f>
        <v>Prisoners_females</v>
      </c>
      <c r="C685" t="s">
        <v>34</v>
      </c>
      <c r="D685" s="3"/>
      <c r="E685" s="3">
        <v>0</v>
      </c>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row>
    <row r="686" spans="1:55" x14ac:dyDescent="0.25">
      <c r="A686" s="1" t="str">
        <f>'Population Definitions'!$A$14</f>
        <v>Prisoners_PWID_males</v>
      </c>
      <c r="C686" t="s">
        <v>34</v>
      </c>
      <c r="D686" s="3"/>
      <c r="E686" s="3">
        <v>0</v>
      </c>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row>
    <row r="687" spans="1:55" x14ac:dyDescent="0.25">
      <c r="A687" s="1" t="str">
        <f>'Population Definitions'!$A$15</f>
        <v>Prisoners_PWID_females</v>
      </c>
      <c r="C687" t="s">
        <v>34</v>
      </c>
      <c r="D687" s="3"/>
      <c r="E687" s="3">
        <v>0</v>
      </c>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row>
    <row r="689" spans="1:55" x14ac:dyDescent="0.25">
      <c r="A689" s="1" t="s">
        <v>170</v>
      </c>
      <c r="B689" s="1" t="s">
        <v>31</v>
      </c>
      <c r="C689" s="1" t="s">
        <v>32</v>
      </c>
      <c r="D689" s="1" t="s">
        <v>33</v>
      </c>
      <c r="E689" s="1">
        <v>2000</v>
      </c>
      <c r="F689" s="1">
        <v>2001</v>
      </c>
      <c r="G689" s="1">
        <v>2002</v>
      </c>
      <c r="H689" s="1">
        <v>2003</v>
      </c>
      <c r="I689" s="1">
        <v>2004</v>
      </c>
      <c r="J689" s="1">
        <v>2005</v>
      </c>
      <c r="K689" s="1">
        <v>2006</v>
      </c>
      <c r="L689" s="1">
        <v>2007</v>
      </c>
      <c r="M689" s="1">
        <v>2008</v>
      </c>
      <c r="N689" s="1">
        <v>2009</v>
      </c>
      <c r="O689" s="1">
        <v>2010</v>
      </c>
      <c r="P689" s="1">
        <v>2011</v>
      </c>
      <c r="Q689" s="1">
        <v>2012</v>
      </c>
      <c r="R689" s="1">
        <v>2013</v>
      </c>
      <c r="S689" s="1">
        <v>2014</v>
      </c>
      <c r="T689" s="1">
        <v>2015</v>
      </c>
      <c r="U689" s="1">
        <v>2016</v>
      </c>
      <c r="V689" s="1">
        <v>2017</v>
      </c>
      <c r="W689" s="1">
        <v>2018</v>
      </c>
      <c r="X689" s="1">
        <v>2019</v>
      </c>
      <c r="Y689" s="1">
        <v>2020</v>
      </c>
      <c r="Z689" s="1">
        <v>2021</v>
      </c>
      <c r="AA689" s="1">
        <v>2022</v>
      </c>
      <c r="AB689" s="1">
        <v>2023</v>
      </c>
      <c r="AC689" s="1">
        <v>2024</v>
      </c>
      <c r="AD689" s="1">
        <v>2025</v>
      </c>
      <c r="AE689" s="1">
        <v>2026</v>
      </c>
      <c r="AF689" s="1">
        <v>2027</v>
      </c>
      <c r="AG689" s="1">
        <v>2028</v>
      </c>
      <c r="AH689" s="1">
        <v>2029</v>
      </c>
      <c r="AI689" s="1">
        <v>2030</v>
      </c>
      <c r="AJ689" s="1">
        <v>2031</v>
      </c>
      <c r="AK689" s="1">
        <v>2032</v>
      </c>
      <c r="AL689" s="1">
        <v>2033</v>
      </c>
      <c r="AM689" s="1">
        <v>2034</v>
      </c>
      <c r="AN689" s="1">
        <v>2035</v>
      </c>
      <c r="AO689" s="1">
        <v>2036</v>
      </c>
      <c r="AP689" s="1">
        <v>2037</v>
      </c>
      <c r="AQ689" s="1">
        <v>2038</v>
      </c>
      <c r="AR689" s="1">
        <v>2039</v>
      </c>
      <c r="AS689" s="1">
        <v>2040</v>
      </c>
      <c r="AT689" s="1">
        <v>2041</v>
      </c>
      <c r="AU689" s="1">
        <v>2042</v>
      </c>
      <c r="AV689" s="1">
        <v>2043</v>
      </c>
      <c r="AW689" s="1">
        <v>2044</v>
      </c>
      <c r="AX689" s="1">
        <v>2045</v>
      </c>
      <c r="AY689" s="1">
        <v>2046</v>
      </c>
      <c r="AZ689" s="1">
        <v>2047</v>
      </c>
      <c r="BA689" s="1">
        <v>2048</v>
      </c>
      <c r="BB689" s="1">
        <v>2049</v>
      </c>
      <c r="BC689" s="1">
        <v>2050</v>
      </c>
    </row>
    <row r="690" spans="1:55" x14ac:dyDescent="0.25">
      <c r="A690" s="1" t="str">
        <f>'Population Definitions'!$A$2</f>
        <v>PWID_males</v>
      </c>
      <c r="C690" t="s">
        <v>34</v>
      </c>
      <c r="D690" s="3"/>
      <c r="E690" s="3">
        <v>0</v>
      </c>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row>
    <row r="691" spans="1:55" x14ac:dyDescent="0.25">
      <c r="A691" s="1" t="str">
        <f>'Population Definitions'!$A$3</f>
        <v>PWID_females</v>
      </c>
      <c r="C691" t="s">
        <v>34</v>
      </c>
      <c r="D691" s="3"/>
      <c r="E691" s="3">
        <v>0</v>
      </c>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row>
    <row r="692" spans="1:55" x14ac:dyDescent="0.25">
      <c r="A692" s="1" t="str">
        <f>'Population Definitions'!$A$4</f>
        <v>0-9_males</v>
      </c>
      <c r="C692" t="s">
        <v>34</v>
      </c>
      <c r="D692" s="3"/>
      <c r="E692" s="3">
        <v>0</v>
      </c>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row>
    <row r="693" spans="1:55" x14ac:dyDescent="0.25">
      <c r="A693" s="1" t="str">
        <f>'Population Definitions'!$A$5</f>
        <v>0-9_females</v>
      </c>
      <c r="C693" t="s">
        <v>34</v>
      </c>
      <c r="D693" s="3"/>
      <c r="E693" s="3">
        <v>0</v>
      </c>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row>
    <row r="694" spans="1:55" x14ac:dyDescent="0.25">
      <c r="A694" s="1" t="str">
        <f>'Population Definitions'!$A$6</f>
        <v>10-17_males</v>
      </c>
      <c r="C694" t="s">
        <v>34</v>
      </c>
      <c r="D694" s="3"/>
      <c r="E694" s="3">
        <v>0</v>
      </c>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row>
    <row r="695" spans="1:55" x14ac:dyDescent="0.25">
      <c r="A695" s="1" t="str">
        <f>'Population Definitions'!$A$7</f>
        <v>10-17_females</v>
      </c>
      <c r="C695" t="s">
        <v>34</v>
      </c>
      <c r="D695" s="3"/>
      <c r="E695" s="3">
        <v>0</v>
      </c>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row>
    <row r="696" spans="1:55" x14ac:dyDescent="0.25">
      <c r="A696" s="1" t="str">
        <f>'Population Definitions'!$A$8</f>
        <v>18-64_males</v>
      </c>
      <c r="C696" t="s">
        <v>34</v>
      </c>
      <c r="D696" s="3"/>
      <c r="E696" s="3">
        <v>0</v>
      </c>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row>
    <row r="697" spans="1:55" x14ac:dyDescent="0.25">
      <c r="A697" s="1" t="str">
        <f>'Population Definitions'!$A$9</f>
        <v>18-64_females</v>
      </c>
      <c r="C697" t="s">
        <v>34</v>
      </c>
      <c r="D697" s="3"/>
      <c r="E697" s="3">
        <v>0</v>
      </c>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row>
    <row r="698" spans="1:55" x14ac:dyDescent="0.25">
      <c r="A698" s="1" t="str">
        <f>'Population Definitions'!$A$10</f>
        <v>65+_males</v>
      </c>
      <c r="C698" t="s">
        <v>34</v>
      </c>
      <c r="D698" s="3"/>
      <c r="E698" s="3">
        <v>0</v>
      </c>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row>
    <row r="699" spans="1:55" x14ac:dyDescent="0.25">
      <c r="A699" s="1" t="str">
        <f>'Population Definitions'!$A$11</f>
        <v>65+_females</v>
      </c>
      <c r="C699" t="s">
        <v>34</v>
      </c>
      <c r="D699" s="3"/>
      <c r="E699" s="3">
        <v>0</v>
      </c>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row>
    <row r="700" spans="1:55" x14ac:dyDescent="0.25">
      <c r="A700" s="1" t="str">
        <f>'Population Definitions'!$A$12</f>
        <v>Prisoners_males</v>
      </c>
      <c r="C700" t="s">
        <v>34</v>
      </c>
      <c r="D700" s="3"/>
      <c r="E700" s="3">
        <v>0</v>
      </c>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row>
    <row r="701" spans="1:55" x14ac:dyDescent="0.25">
      <c r="A701" s="1" t="str">
        <f>'Population Definitions'!$A$13</f>
        <v>Prisoners_females</v>
      </c>
      <c r="C701" t="s">
        <v>34</v>
      </c>
      <c r="D701" s="3"/>
      <c r="E701" s="3">
        <v>0</v>
      </c>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row>
    <row r="702" spans="1:55" x14ac:dyDescent="0.25">
      <c r="A702" s="1" t="str">
        <f>'Population Definitions'!$A$14</f>
        <v>Prisoners_PWID_males</v>
      </c>
      <c r="C702" t="s">
        <v>34</v>
      </c>
      <c r="D702" s="3"/>
      <c r="E702" s="3">
        <v>0</v>
      </c>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row>
    <row r="703" spans="1:55" x14ac:dyDescent="0.25">
      <c r="A703" s="1" t="str">
        <f>'Population Definitions'!$A$15</f>
        <v>Prisoners_PWID_females</v>
      </c>
      <c r="C703" t="s">
        <v>34</v>
      </c>
      <c r="D703" s="3"/>
      <c r="E703" s="3">
        <v>0</v>
      </c>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row>
    <row r="705" spans="1:55" x14ac:dyDescent="0.25">
      <c r="A705" s="1" t="s">
        <v>171</v>
      </c>
      <c r="B705" s="1" t="s">
        <v>31</v>
      </c>
      <c r="C705" s="1" t="s">
        <v>32</v>
      </c>
      <c r="D705" s="1" t="s">
        <v>33</v>
      </c>
      <c r="E705" s="1">
        <v>2000</v>
      </c>
      <c r="F705" s="1">
        <v>2001</v>
      </c>
      <c r="G705" s="1">
        <v>2002</v>
      </c>
      <c r="H705" s="1">
        <v>2003</v>
      </c>
      <c r="I705" s="1">
        <v>2004</v>
      </c>
      <c r="J705" s="1">
        <v>2005</v>
      </c>
      <c r="K705" s="1">
        <v>2006</v>
      </c>
      <c r="L705" s="1">
        <v>2007</v>
      </c>
      <c r="M705" s="1">
        <v>2008</v>
      </c>
      <c r="N705" s="1">
        <v>2009</v>
      </c>
      <c r="O705" s="1">
        <v>2010</v>
      </c>
      <c r="P705" s="1">
        <v>2011</v>
      </c>
      <c r="Q705" s="1">
        <v>2012</v>
      </c>
      <c r="R705" s="1">
        <v>2013</v>
      </c>
      <c r="S705" s="1">
        <v>2014</v>
      </c>
      <c r="T705" s="1">
        <v>2015</v>
      </c>
      <c r="U705" s="1">
        <v>2016</v>
      </c>
      <c r="V705" s="1">
        <v>2017</v>
      </c>
      <c r="W705" s="1">
        <v>2018</v>
      </c>
      <c r="X705" s="1">
        <v>2019</v>
      </c>
      <c r="Y705" s="1">
        <v>2020</v>
      </c>
      <c r="Z705" s="1">
        <v>2021</v>
      </c>
      <c r="AA705" s="1">
        <v>2022</v>
      </c>
      <c r="AB705" s="1">
        <v>2023</v>
      </c>
      <c r="AC705" s="1">
        <v>2024</v>
      </c>
      <c r="AD705" s="1">
        <v>2025</v>
      </c>
      <c r="AE705" s="1">
        <v>2026</v>
      </c>
      <c r="AF705" s="1">
        <v>2027</v>
      </c>
      <c r="AG705" s="1">
        <v>2028</v>
      </c>
      <c r="AH705" s="1">
        <v>2029</v>
      </c>
      <c r="AI705" s="1">
        <v>2030</v>
      </c>
      <c r="AJ705" s="1">
        <v>2031</v>
      </c>
      <c r="AK705" s="1">
        <v>2032</v>
      </c>
      <c r="AL705" s="1">
        <v>2033</v>
      </c>
      <c r="AM705" s="1">
        <v>2034</v>
      </c>
      <c r="AN705" s="1">
        <v>2035</v>
      </c>
      <c r="AO705" s="1">
        <v>2036</v>
      </c>
      <c r="AP705" s="1">
        <v>2037</v>
      </c>
      <c r="AQ705" s="1">
        <v>2038</v>
      </c>
      <c r="AR705" s="1">
        <v>2039</v>
      </c>
      <c r="AS705" s="1">
        <v>2040</v>
      </c>
      <c r="AT705" s="1">
        <v>2041</v>
      </c>
      <c r="AU705" s="1">
        <v>2042</v>
      </c>
      <c r="AV705" s="1">
        <v>2043</v>
      </c>
      <c r="AW705" s="1">
        <v>2044</v>
      </c>
      <c r="AX705" s="1">
        <v>2045</v>
      </c>
      <c r="AY705" s="1">
        <v>2046</v>
      </c>
      <c r="AZ705" s="1">
        <v>2047</v>
      </c>
      <c r="BA705" s="1">
        <v>2048</v>
      </c>
      <c r="BB705" s="1">
        <v>2049</v>
      </c>
      <c r="BC705" s="1">
        <v>2050</v>
      </c>
    </row>
    <row r="706" spans="1:55" x14ac:dyDescent="0.25">
      <c r="A706" s="1" t="str">
        <f>'Population Definitions'!$A$2</f>
        <v>PWID_males</v>
      </c>
      <c r="C706" t="s">
        <v>34</v>
      </c>
      <c r="D706" s="3"/>
      <c r="E706" s="3">
        <v>0</v>
      </c>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row>
    <row r="707" spans="1:55" x14ac:dyDescent="0.25">
      <c r="A707" s="1" t="str">
        <f>'Population Definitions'!$A$3</f>
        <v>PWID_females</v>
      </c>
      <c r="C707" t="s">
        <v>34</v>
      </c>
      <c r="D707" s="3"/>
      <c r="E707" s="3">
        <v>0</v>
      </c>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row>
    <row r="708" spans="1:55" x14ac:dyDescent="0.25">
      <c r="A708" s="1" t="str">
        <f>'Population Definitions'!$A$4</f>
        <v>0-9_males</v>
      </c>
      <c r="C708" t="s">
        <v>34</v>
      </c>
      <c r="D708" s="3"/>
      <c r="E708" s="3">
        <v>0</v>
      </c>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row>
    <row r="709" spans="1:55" x14ac:dyDescent="0.25">
      <c r="A709" s="1" t="str">
        <f>'Population Definitions'!$A$5</f>
        <v>0-9_females</v>
      </c>
      <c r="C709" t="s">
        <v>34</v>
      </c>
      <c r="D709" s="3"/>
      <c r="E709" s="3">
        <v>0</v>
      </c>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row>
    <row r="710" spans="1:55" x14ac:dyDescent="0.25">
      <c r="A710" s="1" t="str">
        <f>'Population Definitions'!$A$6</f>
        <v>10-17_males</v>
      </c>
      <c r="C710" t="s">
        <v>34</v>
      </c>
      <c r="D710" s="3"/>
      <c r="E710" s="3">
        <v>0</v>
      </c>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row>
    <row r="711" spans="1:55" x14ac:dyDescent="0.25">
      <c r="A711" s="1" t="str">
        <f>'Population Definitions'!$A$7</f>
        <v>10-17_females</v>
      </c>
      <c r="C711" t="s">
        <v>34</v>
      </c>
      <c r="D711" s="3"/>
      <c r="E711" s="3">
        <v>0</v>
      </c>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row>
    <row r="712" spans="1:55" x14ac:dyDescent="0.25">
      <c r="A712" s="1" t="str">
        <f>'Population Definitions'!$A$8</f>
        <v>18-64_males</v>
      </c>
      <c r="C712" t="s">
        <v>34</v>
      </c>
      <c r="D712" s="3"/>
      <c r="E712" s="3">
        <v>0</v>
      </c>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row>
    <row r="713" spans="1:55" x14ac:dyDescent="0.25">
      <c r="A713" s="1" t="str">
        <f>'Population Definitions'!$A$9</f>
        <v>18-64_females</v>
      </c>
      <c r="C713" t="s">
        <v>34</v>
      </c>
      <c r="D713" s="3"/>
      <c r="E713" s="3">
        <v>0</v>
      </c>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row>
    <row r="714" spans="1:55" x14ac:dyDescent="0.25">
      <c r="A714" s="1" t="str">
        <f>'Population Definitions'!$A$10</f>
        <v>65+_males</v>
      </c>
      <c r="C714" t="s">
        <v>34</v>
      </c>
      <c r="D714" s="3"/>
      <c r="E714" s="3">
        <v>0</v>
      </c>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row>
    <row r="715" spans="1:55" x14ac:dyDescent="0.25">
      <c r="A715" s="1" t="str">
        <f>'Population Definitions'!$A$11</f>
        <v>65+_females</v>
      </c>
      <c r="C715" t="s">
        <v>34</v>
      </c>
      <c r="D715" s="3"/>
      <c r="E715" s="3">
        <v>0</v>
      </c>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row>
    <row r="716" spans="1:55" x14ac:dyDescent="0.25">
      <c r="A716" s="1" t="str">
        <f>'Population Definitions'!$A$12</f>
        <v>Prisoners_males</v>
      </c>
      <c r="C716" t="s">
        <v>34</v>
      </c>
      <c r="D716" s="3"/>
      <c r="E716" s="3">
        <v>0</v>
      </c>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row>
    <row r="717" spans="1:55" x14ac:dyDescent="0.25">
      <c r="A717" s="1" t="str">
        <f>'Population Definitions'!$A$13</f>
        <v>Prisoners_females</v>
      </c>
      <c r="C717" t="s">
        <v>34</v>
      </c>
      <c r="D717" s="3"/>
      <c r="E717" s="3">
        <v>0</v>
      </c>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row>
    <row r="718" spans="1:55" x14ac:dyDescent="0.25">
      <c r="A718" s="1" t="str">
        <f>'Population Definitions'!$A$14</f>
        <v>Prisoners_PWID_males</v>
      </c>
      <c r="C718" t="s">
        <v>34</v>
      </c>
      <c r="D718" s="3"/>
      <c r="E718" s="3">
        <v>0</v>
      </c>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row>
    <row r="719" spans="1:55" x14ac:dyDescent="0.25">
      <c r="A719" s="1" t="str">
        <f>'Population Definitions'!$A$15</f>
        <v>Prisoners_PWID_females</v>
      </c>
      <c r="C719" t="s">
        <v>34</v>
      </c>
      <c r="D719" s="3"/>
      <c r="E719" s="3">
        <v>0</v>
      </c>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row>
    <row r="721" spans="1:55" x14ac:dyDescent="0.25">
      <c r="A721" s="1" t="s">
        <v>172</v>
      </c>
      <c r="B721" s="1" t="s">
        <v>31</v>
      </c>
      <c r="C721" s="1" t="s">
        <v>32</v>
      </c>
      <c r="D721" s="1" t="s">
        <v>33</v>
      </c>
      <c r="E721" s="1">
        <v>2000</v>
      </c>
      <c r="F721" s="1">
        <v>2001</v>
      </c>
      <c r="G721" s="1">
        <v>2002</v>
      </c>
      <c r="H721" s="1">
        <v>2003</v>
      </c>
      <c r="I721" s="1">
        <v>2004</v>
      </c>
      <c r="J721" s="1">
        <v>2005</v>
      </c>
      <c r="K721" s="1">
        <v>2006</v>
      </c>
      <c r="L721" s="1">
        <v>2007</v>
      </c>
      <c r="M721" s="1">
        <v>2008</v>
      </c>
      <c r="N721" s="1">
        <v>2009</v>
      </c>
      <c r="O721" s="1">
        <v>2010</v>
      </c>
      <c r="P721" s="1">
        <v>2011</v>
      </c>
      <c r="Q721" s="1">
        <v>2012</v>
      </c>
      <c r="R721" s="1">
        <v>2013</v>
      </c>
      <c r="S721" s="1">
        <v>2014</v>
      </c>
      <c r="T721" s="1">
        <v>2015</v>
      </c>
      <c r="U721" s="1">
        <v>2016</v>
      </c>
      <c r="V721" s="1">
        <v>2017</v>
      </c>
      <c r="W721" s="1">
        <v>2018</v>
      </c>
      <c r="X721" s="1">
        <v>2019</v>
      </c>
      <c r="Y721" s="1">
        <v>2020</v>
      </c>
      <c r="Z721" s="1">
        <v>2021</v>
      </c>
      <c r="AA721" s="1">
        <v>2022</v>
      </c>
      <c r="AB721" s="1">
        <v>2023</v>
      </c>
      <c r="AC721" s="1">
        <v>2024</v>
      </c>
      <c r="AD721" s="1">
        <v>2025</v>
      </c>
      <c r="AE721" s="1">
        <v>2026</v>
      </c>
      <c r="AF721" s="1">
        <v>2027</v>
      </c>
      <c r="AG721" s="1">
        <v>2028</v>
      </c>
      <c r="AH721" s="1">
        <v>2029</v>
      </c>
      <c r="AI721" s="1">
        <v>2030</v>
      </c>
      <c r="AJ721" s="1">
        <v>2031</v>
      </c>
      <c r="AK721" s="1">
        <v>2032</v>
      </c>
      <c r="AL721" s="1">
        <v>2033</v>
      </c>
      <c r="AM721" s="1">
        <v>2034</v>
      </c>
      <c r="AN721" s="1">
        <v>2035</v>
      </c>
      <c r="AO721" s="1">
        <v>2036</v>
      </c>
      <c r="AP721" s="1">
        <v>2037</v>
      </c>
      <c r="AQ721" s="1">
        <v>2038</v>
      </c>
      <c r="AR721" s="1">
        <v>2039</v>
      </c>
      <c r="AS721" s="1">
        <v>2040</v>
      </c>
      <c r="AT721" s="1">
        <v>2041</v>
      </c>
      <c r="AU721" s="1">
        <v>2042</v>
      </c>
      <c r="AV721" s="1">
        <v>2043</v>
      </c>
      <c r="AW721" s="1">
        <v>2044</v>
      </c>
      <c r="AX721" s="1">
        <v>2045</v>
      </c>
      <c r="AY721" s="1">
        <v>2046</v>
      </c>
      <c r="AZ721" s="1">
        <v>2047</v>
      </c>
      <c r="BA721" s="1">
        <v>2048</v>
      </c>
      <c r="BB721" s="1">
        <v>2049</v>
      </c>
      <c r="BC721" s="1">
        <v>2050</v>
      </c>
    </row>
    <row r="722" spans="1:55" x14ac:dyDescent="0.25">
      <c r="A722" s="1" t="str">
        <f>'Population Definitions'!$A$2</f>
        <v>PWID_males</v>
      </c>
      <c r="C722" t="s">
        <v>34</v>
      </c>
      <c r="D722" s="3"/>
      <c r="E722" s="3">
        <v>0</v>
      </c>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row>
    <row r="723" spans="1:55" x14ac:dyDescent="0.25">
      <c r="A723" s="1" t="str">
        <f>'Population Definitions'!$A$3</f>
        <v>PWID_females</v>
      </c>
      <c r="C723" t="s">
        <v>34</v>
      </c>
      <c r="D723" s="3"/>
      <c r="E723" s="3">
        <v>0</v>
      </c>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row>
    <row r="724" spans="1:55" x14ac:dyDescent="0.25">
      <c r="A724" s="1" t="str">
        <f>'Population Definitions'!$A$4</f>
        <v>0-9_males</v>
      </c>
      <c r="C724" t="s">
        <v>34</v>
      </c>
      <c r="D724" s="3"/>
      <c r="E724" s="3">
        <v>0</v>
      </c>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row>
    <row r="725" spans="1:55" x14ac:dyDescent="0.25">
      <c r="A725" s="1" t="str">
        <f>'Population Definitions'!$A$5</f>
        <v>0-9_females</v>
      </c>
      <c r="C725" t="s">
        <v>34</v>
      </c>
      <c r="D725" s="3"/>
      <c r="E725" s="3">
        <v>0</v>
      </c>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row>
    <row r="726" spans="1:55" x14ac:dyDescent="0.25">
      <c r="A726" s="1" t="str">
        <f>'Population Definitions'!$A$6</f>
        <v>10-17_males</v>
      </c>
      <c r="C726" t="s">
        <v>34</v>
      </c>
      <c r="D726" s="3"/>
      <c r="E726" s="3">
        <v>0</v>
      </c>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row>
    <row r="727" spans="1:55" x14ac:dyDescent="0.25">
      <c r="A727" s="1" t="str">
        <f>'Population Definitions'!$A$7</f>
        <v>10-17_females</v>
      </c>
      <c r="C727" t="s">
        <v>34</v>
      </c>
      <c r="D727" s="3"/>
      <c r="E727" s="3">
        <v>0</v>
      </c>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row>
    <row r="728" spans="1:55" x14ac:dyDescent="0.25">
      <c r="A728" s="1" t="str">
        <f>'Population Definitions'!$A$8</f>
        <v>18-64_males</v>
      </c>
      <c r="C728" t="s">
        <v>34</v>
      </c>
      <c r="D728" s="3"/>
      <c r="E728" s="3">
        <v>0</v>
      </c>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row>
    <row r="729" spans="1:55" x14ac:dyDescent="0.25">
      <c r="A729" s="1" t="str">
        <f>'Population Definitions'!$A$9</f>
        <v>18-64_females</v>
      </c>
      <c r="C729" t="s">
        <v>34</v>
      </c>
      <c r="D729" s="3"/>
      <c r="E729" s="3">
        <v>0</v>
      </c>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row>
    <row r="730" spans="1:55" x14ac:dyDescent="0.25">
      <c r="A730" s="1" t="str">
        <f>'Population Definitions'!$A$10</f>
        <v>65+_males</v>
      </c>
      <c r="C730" t="s">
        <v>34</v>
      </c>
      <c r="D730" s="3"/>
      <c r="E730" s="3">
        <v>0</v>
      </c>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row>
    <row r="731" spans="1:55" x14ac:dyDescent="0.25">
      <c r="A731" s="1" t="str">
        <f>'Population Definitions'!$A$11</f>
        <v>65+_females</v>
      </c>
      <c r="C731" t="s">
        <v>34</v>
      </c>
      <c r="D731" s="3"/>
      <c r="E731" s="3">
        <v>0</v>
      </c>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row>
    <row r="732" spans="1:55" x14ac:dyDescent="0.25">
      <c r="A732" s="1" t="str">
        <f>'Population Definitions'!$A$12</f>
        <v>Prisoners_males</v>
      </c>
      <c r="C732" t="s">
        <v>34</v>
      </c>
      <c r="D732" s="3"/>
      <c r="E732" s="3">
        <v>0</v>
      </c>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row>
    <row r="733" spans="1:55" x14ac:dyDescent="0.25">
      <c r="A733" s="1" t="str">
        <f>'Population Definitions'!$A$13</f>
        <v>Prisoners_females</v>
      </c>
      <c r="C733" t="s">
        <v>34</v>
      </c>
      <c r="D733" s="3"/>
      <c r="E733" s="3">
        <v>0</v>
      </c>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row>
    <row r="734" spans="1:55" x14ac:dyDescent="0.25">
      <c r="A734" s="1" t="str">
        <f>'Population Definitions'!$A$14</f>
        <v>Prisoners_PWID_males</v>
      </c>
      <c r="C734" t="s">
        <v>34</v>
      </c>
      <c r="D734" s="3"/>
      <c r="E734" s="3">
        <v>0</v>
      </c>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row>
    <row r="735" spans="1:55" x14ac:dyDescent="0.25">
      <c r="A735" s="1" t="str">
        <f>'Population Definitions'!$A$15</f>
        <v>Prisoners_PWID_females</v>
      </c>
      <c r="C735" t="s">
        <v>34</v>
      </c>
      <c r="D735" s="3"/>
      <c r="E735" s="3">
        <v>0</v>
      </c>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row>
    <row r="737" spans="1:55" x14ac:dyDescent="0.25">
      <c r="A737" s="1" t="s">
        <v>173</v>
      </c>
      <c r="B737" s="1" t="s">
        <v>31</v>
      </c>
      <c r="C737" s="1" t="s">
        <v>32</v>
      </c>
      <c r="D737" s="1" t="s">
        <v>33</v>
      </c>
      <c r="E737" s="1">
        <v>2000</v>
      </c>
      <c r="F737" s="1">
        <v>2001</v>
      </c>
      <c r="G737" s="1">
        <v>2002</v>
      </c>
      <c r="H737" s="1">
        <v>2003</v>
      </c>
      <c r="I737" s="1">
        <v>2004</v>
      </c>
      <c r="J737" s="1">
        <v>2005</v>
      </c>
      <c r="K737" s="1">
        <v>2006</v>
      </c>
      <c r="L737" s="1">
        <v>2007</v>
      </c>
      <c r="M737" s="1">
        <v>2008</v>
      </c>
      <c r="N737" s="1">
        <v>2009</v>
      </c>
      <c r="O737" s="1">
        <v>2010</v>
      </c>
      <c r="P737" s="1">
        <v>2011</v>
      </c>
      <c r="Q737" s="1">
        <v>2012</v>
      </c>
      <c r="R737" s="1">
        <v>2013</v>
      </c>
      <c r="S737" s="1">
        <v>2014</v>
      </c>
      <c r="T737" s="1">
        <v>2015</v>
      </c>
      <c r="U737" s="1">
        <v>2016</v>
      </c>
      <c r="V737" s="1">
        <v>2017</v>
      </c>
      <c r="W737" s="1">
        <v>2018</v>
      </c>
      <c r="X737" s="1">
        <v>2019</v>
      </c>
      <c r="Y737" s="1">
        <v>2020</v>
      </c>
      <c r="Z737" s="1">
        <v>2021</v>
      </c>
      <c r="AA737" s="1">
        <v>2022</v>
      </c>
      <c r="AB737" s="1">
        <v>2023</v>
      </c>
      <c r="AC737" s="1">
        <v>2024</v>
      </c>
      <c r="AD737" s="1">
        <v>2025</v>
      </c>
      <c r="AE737" s="1">
        <v>2026</v>
      </c>
      <c r="AF737" s="1">
        <v>2027</v>
      </c>
      <c r="AG737" s="1">
        <v>2028</v>
      </c>
      <c r="AH737" s="1">
        <v>2029</v>
      </c>
      <c r="AI737" s="1">
        <v>2030</v>
      </c>
      <c r="AJ737" s="1">
        <v>2031</v>
      </c>
      <c r="AK737" s="1">
        <v>2032</v>
      </c>
      <c r="AL737" s="1">
        <v>2033</v>
      </c>
      <c r="AM737" s="1">
        <v>2034</v>
      </c>
      <c r="AN737" s="1">
        <v>2035</v>
      </c>
      <c r="AO737" s="1">
        <v>2036</v>
      </c>
      <c r="AP737" s="1">
        <v>2037</v>
      </c>
      <c r="AQ737" s="1">
        <v>2038</v>
      </c>
      <c r="AR737" s="1">
        <v>2039</v>
      </c>
      <c r="AS737" s="1">
        <v>2040</v>
      </c>
      <c r="AT737" s="1">
        <v>2041</v>
      </c>
      <c r="AU737" s="1">
        <v>2042</v>
      </c>
      <c r="AV737" s="1">
        <v>2043</v>
      </c>
      <c r="AW737" s="1">
        <v>2044</v>
      </c>
      <c r="AX737" s="1">
        <v>2045</v>
      </c>
      <c r="AY737" s="1">
        <v>2046</v>
      </c>
      <c r="AZ737" s="1">
        <v>2047</v>
      </c>
      <c r="BA737" s="1">
        <v>2048</v>
      </c>
      <c r="BB737" s="1">
        <v>2049</v>
      </c>
      <c r="BC737" s="1">
        <v>2050</v>
      </c>
    </row>
    <row r="738" spans="1:55" x14ac:dyDescent="0.25">
      <c r="A738" s="1" t="str">
        <f>'Population Definitions'!$A$2</f>
        <v>PWID_males</v>
      </c>
      <c r="C738" t="s">
        <v>34</v>
      </c>
      <c r="D738" s="3"/>
      <c r="E738" s="3">
        <v>0</v>
      </c>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row>
    <row r="739" spans="1:55" x14ac:dyDescent="0.25">
      <c r="A739" s="1" t="str">
        <f>'Population Definitions'!$A$3</f>
        <v>PWID_females</v>
      </c>
      <c r="C739" t="s">
        <v>34</v>
      </c>
      <c r="D739" s="3"/>
      <c r="E739" s="3">
        <v>0</v>
      </c>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row>
    <row r="740" spans="1:55" x14ac:dyDescent="0.25">
      <c r="A740" s="1" t="str">
        <f>'Population Definitions'!$A$4</f>
        <v>0-9_males</v>
      </c>
      <c r="C740" t="s">
        <v>34</v>
      </c>
      <c r="D740" s="3"/>
      <c r="E740" s="3">
        <v>0</v>
      </c>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row>
    <row r="741" spans="1:55" x14ac:dyDescent="0.25">
      <c r="A741" s="1" t="str">
        <f>'Population Definitions'!$A$5</f>
        <v>0-9_females</v>
      </c>
      <c r="C741" t="s">
        <v>34</v>
      </c>
      <c r="D741" s="3"/>
      <c r="E741" s="3">
        <v>0</v>
      </c>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row>
    <row r="742" spans="1:55" x14ac:dyDescent="0.25">
      <c r="A742" s="1" t="str">
        <f>'Population Definitions'!$A$6</f>
        <v>10-17_males</v>
      </c>
      <c r="C742" t="s">
        <v>34</v>
      </c>
      <c r="D742" s="3"/>
      <c r="E742" s="3">
        <v>0</v>
      </c>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row>
    <row r="743" spans="1:55" x14ac:dyDescent="0.25">
      <c r="A743" s="1" t="str">
        <f>'Population Definitions'!$A$7</f>
        <v>10-17_females</v>
      </c>
      <c r="C743" t="s">
        <v>34</v>
      </c>
      <c r="D743" s="3"/>
      <c r="E743" s="3">
        <v>0</v>
      </c>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row>
    <row r="744" spans="1:55" x14ac:dyDescent="0.25">
      <c r="A744" s="1" t="str">
        <f>'Population Definitions'!$A$8</f>
        <v>18-64_males</v>
      </c>
      <c r="C744" t="s">
        <v>34</v>
      </c>
      <c r="D744" s="3"/>
      <c r="E744" s="3">
        <v>0</v>
      </c>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row>
    <row r="745" spans="1:55" x14ac:dyDescent="0.25">
      <c r="A745" s="1" t="str">
        <f>'Population Definitions'!$A$9</f>
        <v>18-64_females</v>
      </c>
      <c r="C745" t="s">
        <v>34</v>
      </c>
      <c r="D745" s="3"/>
      <c r="E745" s="3">
        <v>0</v>
      </c>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row>
    <row r="746" spans="1:55" x14ac:dyDescent="0.25">
      <c r="A746" s="1" t="str">
        <f>'Population Definitions'!$A$10</f>
        <v>65+_males</v>
      </c>
      <c r="C746" t="s">
        <v>34</v>
      </c>
      <c r="D746" s="3"/>
      <c r="E746" s="3">
        <v>0</v>
      </c>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row>
    <row r="747" spans="1:55" x14ac:dyDescent="0.25">
      <c r="A747" s="1" t="str">
        <f>'Population Definitions'!$A$11</f>
        <v>65+_females</v>
      </c>
      <c r="C747" t="s">
        <v>34</v>
      </c>
      <c r="D747" s="3"/>
      <c r="E747" s="3">
        <v>0</v>
      </c>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row>
    <row r="748" spans="1:55" x14ac:dyDescent="0.25">
      <c r="A748" s="1" t="str">
        <f>'Population Definitions'!$A$12</f>
        <v>Prisoners_males</v>
      </c>
      <c r="C748" t="s">
        <v>34</v>
      </c>
      <c r="D748" s="3"/>
      <c r="E748" s="3">
        <v>0</v>
      </c>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row>
    <row r="749" spans="1:55" x14ac:dyDescent="0.25">
      <c r="A749" s="1" t="str">
        <f>'Population Definitions'!$A$13</f>
        <v>Prisoners_females</v>
      </c>
      <c r="C749" t="s">
        <v>34</v>
      </c>
      <c r="D749" s="3"/>
      <c r="E749" s="3">
        <v>0</v>
      </c>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row>
    <row r="750" spans="1:55" x14ac:dyDescent="0.25">
      <c r="A750" s="1" t="str">
        <f>'Population Definitions'!$A$14</f>
        <v>Prisoners_PWID_males</v>
      </c>
      <c r="C750" t="s">
        <v>34</v>
      </c>
      <c r="D750" s="3"/>
      <c r="E750" s="3">
        <v>0</v>
      </c>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row>
    <row r="751" spans="1:55" x14ac:dyDescent="0.25">
      <c r="A751" s="1" t="str">
        <f>'Population Definitions'!$A$15</f>
        <v>Prisoners_PWID_females</v>
      </c>
      <c r="C751" t="s">
        <v>34</v>
      </c>
      <c r="D751" s="3"/>
      <c r="E751" s="3">
        <v>0</v>
      </c>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row>
    <row r="753" spans="1:55" x14ac:dyDescent="0.25">
      <c r="A753" s="1" t="s">
        <v>174</v>
      </c>
      <c r="B753" s="1" t="s">
        <v>31</v>
      </c>
      <c r="C753" s="1" t="s">
        <v>32</v>
      </c>
      <c r="D753" s="1" t="s">
        <v>33</v>
      </c>
      <c r="E753" s="1">
        <v>2000</v>
      </c>
      <c r="F753" s="1">
        <v>2001</v>
      </c>
      <c r="G753" s="1">
        <v>2002</v>
      </c>
      <c r="H753" s="1">
        <v>2003</v>
      </c>
      <c r="I753" s="1">
        <v>2004</v>
      </c>
      <c r="J753" s="1">
        <v>2005</v>
      </c>
      <c r="K753" s="1">
        <v>2006</v>
      </c>
      <c r="L753" s="1">
        <v>2007</v>
      </c>
      <c r="M753" s="1">
        <v>2008</v>
      </c>
      <c r="N753" s="1">
        <v>2009</v>
      </c>
      <c r="O753" s="1">
        <v>2010</v>
      </c>
      <c r="P753" s="1">
        <v>2011</v>
      </c>
      <c r="Q753" s="1">
        <v>2012</v>
      </c>
      <c r="R753" s="1">
        <v>2013</v>
      </c>
      <c r="S753" s="1">
        <v>2014</v>
      </c>
      <c r="T753" s="1">
        <v>2015</v>
      </c>
      <c r="U753" s="1">
        <v>2016</v>
      </c>
      <c r="V753" s="1">
        <v>2017</v>
      </c>
      <c r="W753" s="1">
        <v>2018</v>
      </c>
      <c r="X753" s="1">
        <v>2019</v>
      </c>
      <c r="Y753" s="1">
        <v>2020</v>
      </c>
      <c r="Z753" s="1">
        <v>2021</v>
      </c>
      <c r="AA753" s="1">
        <v>2022</v>
      </c>
      <c r="AB753" s="1">
        <v>2023</v>
      </c>
      <c r="AC753" s="1">
        <v>2024</v>
      </c>
      <c r="AD753" s="1">
        <v>2025</v>
      </c>
      <c r="AE753" s="1">
        <v>2026</v>
      </c>
      <c r="AF753" s="1">
        <v>2027</v>
      </c>
      <c r="AG753" s="1">
        <v>2028</v>
      </c>
      <c r="AH753" s="1">
        <v>2029</v>
      </c>
      <c r="AI753" s="1">
        <v>2030</v>
      </c>
      <c r="AJ753" s="1">
        <v>2031</v>
      </c>
      <c r="AK753" s="1">
        <v>2032</v>
      </c>
      <c r="AL753" s="1">
        <v>2033</v>
      </c>
      <c r="AM753" s="1">
        <v>2034</v>
      </c>
      <c r="AN753" s="1">
        <v>2035</v>
      </c>
      <c r="AO753" s="1">
        <v>2036</v>
      </c>
      <c r="AP753" s="1">
        <v>2037</v>
      </c>
      <c r="AQ753" s="1">
        <v>2038</v>
      </c>
      <c r="AR753" s="1">
        <v>2039</v>
      </c>
      <c r="AS753" s="1">
        <v>2040</v>
      </c>
      <c r="AT753" s="1">
        <v>2041</v>
      </c>
      <c r="AU753" s="1">
        <v>2042</v>
      </c>
      <c r="AV753" s="1">
        <v>2043</v>
      </c>
      <c r="AW753" s="1">
        <v>2044</v>
      </c>
      <c r="AX753" s="1">
        <v>2045</v>
      </c>
      <c r="AY753" s="1">
        <v>2046</v>
      </c>
      <c r="AZ753" s="1">
        <v>2047</v>
      </c>
      <c r="BA753" s="1">
        <v>2048</v>
      </c>
      <c r="BB753" s="1">
        <v>2049</v>
      </c>
      <c r="BC753" s="1">
        <v>2050</v>
      </c>
    </row>
    <row r="754" spans="1:55" x14ac:dyDescent="0.25">
      <c r="A754" s="1" t="str">
        <f>'Population Definitions'!$A$2</f>
        <v>PWID_males</v>
      </c>
      <c r="C754" t="s">
        <v>34</v>
      </c>
      <c r="D754" s="3"/>
      <c r="E754" s="3">
        <v>0</v>
      </c>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row>
    <row r="755" spans="1:55" x14ac:dyDescent="0.25">
      <c r="A755" s="1" t="str">
        <f>'Population Definitions'!$A$3</f>
        <v>PWID_females</v>
      </c>
      <c r="C755" t="s">
        <v>34</v>
      </c>
      <c r="D755" s="3"/>
      <c r="E755" s="3">
        <v>0</v>
      </c>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row>
    <row r="756" spans="1:55" x14ac:dyDescent="0.25">
      <c r="A756" s="1" t="str">
        <f>'Population Definitions'!$A$4</f>
        <v>0-9_males</v>
      </c>
      <c r="C756" t="s">
        <v>34</v>
      </c>
      <c r="D756" s="3"/>
      <c r="E756" s="3">
        <v>0</v>
      </c>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row>
    <row r="757" spans="1:55" x14ac:dyDescent="0.25">
      <c r="A757" s="1" t="str">
        <f>'Population Definitions'!$A$5</f>
        <v>0-9_females</v>
      </c>
      <c r="C757" t="s">
        <v>34</v>
      </c>
      <c r="D757" s="3"/>
      <c r="E757" s="3">
        <v>0</v>
      </c>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row>
    <row r="758" spans="1:55" x14ac:dyDescent="0.25">
      <c r="A758" s="1" t="str">
        <f>'Population Definitions'!$A$6</f>
        <v>10-17_males</v>
      </c>
      <c r="C758" t="s">
        <v>34</v>
      </c>
      <c r="D758" s="3"/>
      <c r="E758" s="3">
        <v>0</v>
      </c>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row>
    <row r="759" spans="1:55" x14ac:dyDescent="0.25">
      <c r="A759" s="1" t="str">
        <f>'Population Definitions'!$A$7</f>
        <v>10-17_females</v>
      </c>
      <c r="C759" t="s">
        <v>34</v>
      </c>
      <c r="D759" s="3"/>
      <c r="E759" s="3">
        <v>0</v>
      </c>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row>
    <row r="760" spans="1:55" x14ac:dyDescent="0.25">
      <c r="A760" s="1" t="str">
        <f>'Population Definitions'!$A$8</f>
        <v>18-64_males</v>
      </c>
      <c r="C760" t="s">
        <v>34</v>
      </c>
      <c r="D760" s="3"/>
      <c r="E760" s="3">
        <v>0</v>
      </c>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row>
    <row r="761" spans="1:55" x14ac:dyDescent="0.25">
      <c r="A761" s="1" t="str">
        <f>'Population Definitions'!$A$9</f>
        <v>18-64_females</v>
      </c>
      <c r="C761" t="s">
        <v>34</v>
      </c>
      <c r="D761" s="3"/>
      <c r="E761" s="3">
        <v>0</v>
      </c>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row>
    <row r="762" spans="1:55" x14ac:dyDescent="0.25">
      <c r="A762" s="1" t="str">
        <f>'Population Definitions'!$A$10</f>
        <v>65+_males</v>
      </c>
      <c r="C762" t="s">
        <v>34</v>
      </c>
      <c r="D762" s="3"/>
      <c r="E762" s="3">
        <v>0</v>
      </c>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row>
    <row r="763" spans="1:55" x14ac:dyDescent="0.25">
      <c r="A763" s="1" t="str">
        <f>'Population Definitions'!$A$11</f>
        <v>65+_females</v>
      </c>
      <c r="C763" t="s">
        <v>34</v>
      </c>
      <c r="D763" s="3"/>
      <c r="E763" s="3">
        <v>0</v>
      </c>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row>
    <row r="764" spans="1:55" x14ac:dyDescent="0.25">
      <c r="A764" s="1" t="str">
        <f>'Population Definitions'!$A$12</f>
        <v>Prisoners_males</v>
      </c>
      <c r="C764" t="s">
        <v>34</v>
      </c>
      <c r="D764" s="3"/>
      <c r="E764" s="3">
        <v>0</v>
      </c>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row>
    <row r="765" spans="1:55" x14ac:dyDescent="0.25">
      <c r="A765" s="1" t="str">
        <f>'Population Definitions'!$A$13</f>
        <v>Prisoners_females</v>
      </c>
      <c r="C765" t="s">
        <v>34</v>
      </c>
      <c r="D765" s="3"/>
      <c r="E765" s="3">
        <v>0</v>
      </c>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row>
    <row r="766" spans="1:55" x14ac:dyDescent="0.25">
      <c r="A766" s="1" t="str">
        <f>'Population Definitions'!$A$14</f>
        <v>Prisoners_PWID_males</v>
      </c>
      <c r="C766" t="s">
        <v>34</v>
      </c>
      <c r="D766" s="3"/>
      <c r="E766" s="3">
        <v>0</v>
      </c>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row>
    <row r="767" spans="1:55" x14ac:dyDescent="0.25">
      <c r="A767" s="1" t="str">
        <f>'Population Definitions'!$A$15</f>
        <v>Prisoners_PWID_females</v>
      </c>
      <c r="C767" t="s">
        <v>34</v>
      </c>
      <c r="D767" s="3"/>
      <c r="E767" s="3">
        <v>0</v>
      </c>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row>
    <row r="769" spans="1:55" x14ac:dyDescent="0.25">
      <c r="A769" s="1" t="s">
        <v>175</v>
      </c>
      <c r="B769" s="1" t="s">
        <v>31</v>
      </c>
      <c r="C769" s="1" t="s">
        <v>32</v>
      </c>
      <c r="D769" s="1" t="s">
        <v>33</v>
      </c>
      <c r="E769" s="1">
        <v>2000</v>
      </c>
      <c r="F769" s="1">
        <v>2001</v>
      </c>
      <c r="G769" s="1">
        <v>2002</v>
      </c>
      <c r="H769" s="1">
        <v>2003</v>
      </c>
      <c r="I769" s="1">
        <v>2004</v>
      </c>
      <c r="J769" s="1">
        <v>2005</v>
      </c>
      <c r="K769" s="1">
        <v>2006</v>
      </c>
      <c r="L769" s="1">
        <v>2007</v>
      </c>
      <c r="M769" s="1">
        <v>2008</v>
      </c>
      <c r="N769" s="1">
        <v>2009</v>
      </c>
      <c r="O769" s="1">
        <v>2010</v>
      </c>
      <c r="P769" s="1">
        <v>2011</v>
      </c>
      <c r="Q769" s="1">
        <v>2012</v>
      </c>
      <c r="R769" s="1">
        <v>2013</v>
      </c>
      <c r="S769" s="1">
        <v>2014</v>
      </c>
      <c r="T769" s="1">
        <v>2015</v>
      </c>
      <c r="U769" s="1">
        <v>2016</v>
      </c>
      <c r="V769" s="1">
        <v>2017</v>
      </c>
      <c r="W769" s="1">
        <v>2018</v>
      </c>
      <c r="X769" s="1">
        <v>2019</v>
      </c>
      <c r="Y769" s="1">
        <v>2020</v>
      </c>
      <c r="Z769" s="1">
        <v>2021</v>
      </c>
      <c r="AA769" s="1">
        <v>2022</v>
      </c>
      <c r="AB769" s="1">
        <v>2023</v>
      </c>
      <c r="AC769" s="1">
        <v>2024</v>
      </c>
      <c r="AD769" s="1">
        <v>2025</v>
      </c>
      <c r="AE769" s="1">
        <v>2026</v>
      </c>
      <c r="AF769" s="1">
        <v>2027</v>
      </c>
      <c r="AG769" s="1">
        <v>2028</v>
      </c>
      <c r="AH769" s="1">
        <v>2029</v>
      </c>
      <c r="AI769" s="1">
        <v>2030</v>
      </c>
      <c r="AJ769" s="1">
        <v>2031</v>
      </c>
      <c r="AK769" s="1">
        <v>2032</v>
      </c>
      <c r="AL769" s="1">
        <v>2033</v>
      </c>
      <c r="AM769" s="1">
        <v>2034</v>
      </c>
      <c r="AN769" s="1">
        <v>2035</v>
      </c>
      <c r="AO769" s="1">
        <v>2036</v>
      </c>
      <c r="AP769" s="1">
        <v>2037</v>
      </c>
      <c r="AQ769" s="1">
        <v>2038</v>
      </c>
      <c r="AR769" s="1">
        <v>2039</v>
      </c>
      <c r="AS769" s="1">
        <v>2040</v>
      </c>
      <c r="AT769" s="1">
        <v>2041</v>
      </c>
      <c r="AU769" s="1">
        <v>2042</v>
      </c>
      <c r="AV769" s="1">
        <v>2043</v>
      </c>
      <c r="AW769" s="1">
        <v>2044</v>
      </c>
      <c r="AX769" s="1">
        <v>2045</v>
      </c>
      <c r="AY769" s="1">
        <v>2046</v>
      </c>
      <c r="AZ769" s="1">
        <v>2047</v>
      </c>
      <c r="BA769" s="1">
        <v>2048</v>
      </c>
      <c r="BB769" s="1">
        <v>2049</v>
      </c>
      <c r="BC769" s="1">
        <v>2050</v>
      </c>
    </row>
    <row r="770" spans="1:55" x14ac:dyDescent="0.25">
      <c r="A770" s="1" t="str">
        <f>'Population Definitions'!$A$2</f>
        <v>PWID_males</v>
      </c>
      <c r="C770" t="s">
        <v>34</v>
      </c>
      <c r="D770" s="3"/>
      <c r="E770" s="3">
        <v>0</v>
      </c>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row>
    <row r="771" spans="1:55" x14ac:dyDescent="0.25">
      <c r="A771" s="1" t="str">
        <f>'Population Definitions'!$A$3</f>
        <v>PWID_females</v>
      </c>
      <c r="C771" t="s">
        <v>34</v>
      </c>
      <c r="D771" s="3"/>
      <c r="E771" s="3">
        <v>0</v>
      </c>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row>
    <row r="772" spans="1:55" x14ac:dyDescent="0.25">
      <c r="A772" s="1" t="str">
        <f>'Population Definitions'!$A$4</f>
        <v>0-9_males</v>
      </c>
      <c r="C772" t="s">
        <v>34</v>
      </c>
      <c r="D772" s="3"/>
      <c r="E772" s="3">
        <v>0</v>
      </c>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row>
    <row r="773" spans="1:55" x14ac:dyDescent="0.25">
      <c r="A773" s="1" t="str">
        <f>'Population Definitions'!$A$5</f>
        <v>0-9_females</v>
      </c>
      <c r="C773" t="s">
        <v>34</v>
      </c>
      <c r="D773" s="3"/>
      <c r="E773" s="3">
        <v>0</v>
      </c>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row>
    <row r="774" spans="1:55" x14ac:dyDescent="0.25">
      <c r="A774" s="1" t="str">
        <f>'Population Definitions'!$A$6</f>
        <v>10-17_males</v>
      </c>
      <c r="C774" t="s">
        <v>34</v>
      </c>
      <c r="D774" s="3"/>
      <c r="E774" s="3">
        <v>0</v>
      </c>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row>
    <row r="775" spans="1:55" x14ac:dyDescent="0.25">
      <c r="A775" s="1" t="str">
        <f>'Population Definitions'!$A$7</f>
        <v>10-17_females</v>
      </c>
      <c r="C775" t="s">
        <v>34</v>
      </c>
      <c r="D775" s="3"/>
      <c r="E775" s="3">
        <v>0</v>
      </c>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row>
    <row r="776" spans="1:55" x14ac:dyDescent="0.25">
      <c r="A776" s="1" t="str">
        <f>'Population Definitions'!$A$8</f>
        <v>18-64_males</v>
      </c>
      <c r="C776" t="s">
        <v>34</v>
      </c>
      <c r="D776" s="3"/>
      <c r="E776" s="3">
        <v>0</v>
      </c>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row>
    <row r="777" spans="1:55" x14ac:dyDescent="0.25">
      <c r="A777" s="1" t="str">
        <f>'Population Definitions'!$A$9</f>
        <v>18-64_females</v>
      </c>
      <c r="C777" t="s">
        <v>34</v>
      </c>
      <c r="D777" s="3"/>
      <c r="E777" s="3">
        <v>0</v>
      </c>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row>
    <row r="778" spans="1:55" x14ac:dyDescent="0.25">
      <c r="A778" s="1" t="str">
        <f>'Population Definitions'!$A$10</f>
        <v>65+_males</v>
      </c>
      <c r="C778" t="s">
        <v>34</v>
      </c>
      <c r="D778" s="3"/>
      <c r="E778" s="3">
        <v>0</v>
      </c>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row>
    <row r="779" spans="1:55" x14ac:dyDescent="0.25">
      <c r="A779" s="1" t="str">
        <f>'Population Definitions'!$A$11</f>
        <v>65+_females</v>
      </c>
      <c r="C779" t="s">
        <v>34</v>
      </c>
      <c r="D779" s="3"/>
      <c r="E779" s="3">
        <v>0</v>
      </c>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row>
    <row r="780" spans="1:55" x14ac:dyDescent="0.25">
      <c r="A780" s="1" t="str">
        <f>'Population Definitions'!$A$12</f>
        <v>Prisoners_males</v>
      </c>
      <c r="C780" t="s">
        <v>34</v>
      </c>
      <c r="D780" s="3"/>
      <c r="E780" s="3">
        <v>0</v>
      </c>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row>
    <row r="781" spans="1:55" x14ac:dyDescent="0.25">
      <c r="A781" s="1" t="str">
        <f>'Population Definitions'!$A$13</f>
        <v>Prisoners_females</v>
      </c>
      <c r="C781" t="s">
        <v>34</v>
      </c>
      <c r="D781" s="3"/>
      <c r="E781" s="3">
        <v>0</v>
      </c>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row>
    <row r="782" spans="1:55" x14ac:dyDescent="0.25">
      <c r="A782" s="1" t="str">
        <f>'Population Definitions'!$A$14</f>
        <v>Prisoners_PWID_males</v>
      </c>
      <c r="C782" t="s">
        <v>34</v>
      </c>
      <c r="D782" s="3"/>
      <c r="E782" s="3">
        <v>0</v>
      </c>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row>
    <row r="783" spans="1:55" x14ac:dyDescent="0.25">
      <c r="A783" s="1" t="str">
        <f>'Population Definitions'!$A$15</f>
        <v>Prisoners_PWID_females</v>
      </c>
      <c r="C783" t="s">
        <v>34</v>
      </c>
      <c r="D783" s="3"/>
      <c r="E783" s="3">
        <v>0</v>
      </c>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row>
    <row r="785" spans="1:55" x14ac:dyDescent="0.25">
      <c r="A785" s="1" t="s">
        <v>176</v>
      </c>
      <c r="B785" s="1" t="s">
        <v>31</v>
      </c>
      <c r="C785" s="1" t="s">
        <v>32</v>
      </c>
      <c r="D785" s="1" t="s">
        <v>33</v>
      </c>
      <c r="E785" s="1">
        <v>2000</v>
      </c>
      <c r="F785" s="1">
        <v>2001</v>
      </c>
      <c r="G785" s="1">
        <v>2002</v>
      </c>
      <c r="H785" s="1">
        <v>2003</v>
      </c>
      <c r="I785" s="1">
        <v>2004</v>
      </c>
      <c r="J785" s="1">
        <v>2005</v>
      </c>
      <c r="K785" s="1">
        <v>2006</v>
      </c>
      <c r="L785" s="1">
        <v>2007</v>
      </c>
      <c r="M785" s="1">
        <v>2008</v>
      </c>
      <c r="N785" s="1">
        <v>2009</v>
      </c>
      <c r="O785" s="1">
        <v>2010</v>
      </c>
      <c r="P785" s="1">
        <v>2011</v>
      </c>
      <c r="Q785" s="1">
        <v>2012</v>
      </c>
      <c r="R785" s="1">
        <v>2013</v>
      </c>
      <c r="S785" s="1">
        <v>2014</v>
      </c>
      <c r="T785" s="1">
        <v>2015</v>
      </c>
      <c r="U785" s="1">
        <v>2016</v>
      </c>
      <c r="V785" s="1">
        <v>2017</v>
      </c>
      <c r="W785" s="1">
        <v>2018</v>
      </c>
      <c r="X785" s="1">
        <v>2019</v>
      </c>
      <c r="Y785" s="1">
        <v>2020</v>
      </c>
      <c r="Z785" s="1">
        <v>2021</v>
      </c>
      <c r="AA785" s="1">
        <v>2022</v>
      </c>
      <c r="AB785" s="1">
        <v>2023</v>
      </c>
      <c r="AC785" s="1">
        <v>2024</v>
      </c>
      <c r="AD785" s="1">
        <v>2025</v>
      </c>
      <c r="AE785" s="1">
        <v>2026</v>
      </c>
      <c r="AF785" s="1">
        <v>2027</v>
      </c>
      <c r="AG785" s="1">
        <v>2028</v>
      </c>
      <c r="AH785" s="1">
        <v>2029</v>
      </c>
      <c r="AI785" s="1">
        <v>2030</v>
      </c>
      <c r="AJ785" s="1">
        <v>2031</v>
      </c>
      <c r="AK785" s="1">
        <v>2032</v>
      </c>
      <c r="AL785" s="1">
        <v>2033</v>
      </c>
      <c r="AM785" s="1">
        <v>2034</v>
      </c>
      <c r="AN785" s="1">
        <v>2035</v>
      </c>
      <c r="AO785" s="1">
        <v>2036</v>
      </c>
      <c r="AP785" s="1">
        <v>2037</v>
      </c>
      <c r="AQ785" s="1">
        <v>2038</v>
      </c>
      <c r="AR785" s="1">
        <v>2039</v>
      </c>
      <c r="AS785" s="1">
        <v>2040</v>
      </c>
      <c r="AT785" s="1">
        <v>2041</v>
      </c>
      <c r="AU785" s="1">
        <v>2042</v>
      </c>
      <c r="AV785" s="1">
        <v>2043</v>
      </c>
      <c r="AW785" s="1">
        <v>2044</v>
      </c>
      <c r="AX785" s="1">
        <v>2045</v>
      </c>
      <c r="AY785" s="1">
        <v>2046</v>
      </c>
      <c r="AZ785" s="1">
        <v>2047</v>
      </c>
      <c r="BA785" s="1">
        <v>2048</v>
      </c>
      <c r="BB785" s="1">
        <v>2049</v>
      </c>
      <c r="BC785" s="1">
        <v>2050</v>
      </c>
    </row>
    <row r="786" spans="1:55" x14ac:dyDescent="0.25">
      <c r="A786" s="1" t="str">
        <f>'Population Definitions'!$A$2</f>
        <v>PWID_males</v>
      </c>
      <c r="C786" t="s">
        <v>34</v>
      </c>
      <c r="D786" s="3"/>
      <c r="E786" s="3">
        <v>0</v>
      </c>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row>
    <row r="787" spans="1:55" x14ac:dyDescent="0.25">
      <c r="A787" s="1" t="str">
        <f>'Population Definitions'!$A$3</f>
        <v>PWID_females</v>
      </c>
      <c r="C787" t="s">
        <v>34</v>
      </c>
      <c r="D787" s="3"/>
      <c r="E787" s="3">
        <v>0</v>
      </c>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row>
    <row r="788" spans="1:55" x14ac:dyDescent="0.25">
      <c r="A788" s="1" t="str">
        <f>'Population Definitions'!$A$4</f>
        <v>0-9_males</v>
      </c>
      <c r="C788" t="s">
        <v>34</v>
      </c>
      <c r="D788" s="3"/>
      <c r="E788" s="3">
        <v>0</v>
      </c>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row>
    <row r="789" spans="1:55" x14ac:dyDescent="0.25">
      <c r="A789" s="1" t="str">
        <f>'Population Definitions'!$A$5</f>
        <v>0-9_females</v>
      </c>
      <c r="C789" t="s">
        <v>34</v>
      </c>
      <c r="D789" s="3"/>
      <c r="E789" s="3">
        <v>0</v>
      </c>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row>
    <row r="790" spans="1:55" x14ac:dyDescent="0.25">
      <c r="A790" s="1" t="str">
        <f>'Population Definitions'!$A$6</f>
        <v>10-17_males</v>
      </c>
      <c r="C790" t="s">
        <v>34</v>
      </c>
      <c r="D790" s="3"/>
      <c r="E790" s="3">
        <v>0</v>
      </c>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row>
    <row r="791" spans="1:55" x14ac:dyDescent="0.25">
      <c r="A791" s="1" t="str">
        <f>'Population Definitions'!$A$7</f>
        <v>10-17_females</v>
      </c>
      <c r="C791" t="s">
        <v>34</v>
      </c>
      <c r="D791" s="3"/>
      <c r="E791" s="3">
        <v>0</v>
      </c>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row>
    <row r="792" spans="1:55" x14ac:dyDescent="0.25">
      <c r="A792" s="1" t="str">
        <f>'Population Definitions'!$A$8</f>
        <v>18-64_males</v>
      </c>
      <c r="C792" t="s">
        <v>34</v>
      </c>
      <c r="D792" s="3"/>
      <c r="E792" s="3">
        <v>0</v>
      </c>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row>
    <row r="793" spans="1:55" x14ac:dyDescent="0.25">
      <c r="A793" s="1" t="str">
        <f>'Population Definitions'!$A$9</f>
        <v>18-64_females</v>
      </c>
      <c r="C793" t="s">
        <v>34</v>
      </c>
      <c r="D793" s="3"/>
      <c r="E793" s="3">
        <v>0</v>
      </c>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row>
    <row r="794" spans="1:55" x14ac:dyDescent="0.25">
      <c r="A794" s="1" t="str">
        <f>'Population Definitions'!$A$10</f>
        <v>65+_males</v>
      </c>
      <c r="C794" t="s">
        <v>34</v>
      </c>
      <c r="D794" s="3"/>
      <c r="E794" s="3">
        <v>0</v>
      </c>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row>
    <row r="795" spans="1:55" x14ac:dyDescent="0.25">
      <c r="A795" s="1" t="str">
        <f>'Population Definitions'!$A$11</f>
        <v>65+_females</v>
      </c>
      <c r="C795" t="s">
        <v>34</v>
      </c>
      <c r="D795" s="3"/>
      <c r="E795" s="3">
        <v>0</v>
      </c>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row>
    <row r="796" spans="1:55" x14ac:dyDescent="0.25">
      <c r="A796" s="1" t="str">
        <f>'Population Definitions'!$A$12</f>
        <v>Prisoners_males</v>
      </c>
      <c r="C796" t="s">
        <v>34</v>
      </c>
      <c r="D796" s="3"/>
      <c r="E796" s="3">
        <v>0</v>
      </c>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row>
    <row r="797" spans="1:55" x14ac:dyDescent="0.25">
      <c r="A797" s="1" t="str">
        <f>'Population Definitions'!$A$13</f>
        <v>Prisoners_females</v>
      </c>
      <c r="C797" t="s">
        <v>34</v>
      </c>
      <c r="D797" s="3"/>
      <c r="E797" s="3">
        <v>0</v>
      </c>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row>
    <row r="798" spans="1:55" x14ac:dyDescent="0.25">
      <c r="A798" s="1" t="str">
        <f>'Population Definitions'!$A$14</f>
        <v>Prisoners_PWID_males</v>
      </c>
      <c r="C798" t="s">
        <v>34</v>
      </c>
      <c r="D798" s="3"/>
      <c r="E798" s="3">
        <v>0</v>
      </c>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row>
    <row r="799" spans="1:55" x14ac:dyDescent="0.25">
      <c r="A799" s="1" t="str">
        <f>'Population Definitions'!$A$15</f>
        <v>Prisoners_PWID_females</v>
      </c>
      <c r="C799" t="s">
        <v>34</v>
      </c>
      <c r="D799" s="3"/>
      <c r="E799" s="3">
        <v>0</v>
      </c>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row>
    <row r="801" spans="1:55" x14ac:dyDescent="0.25">
      <c r="A801" s="1" t="s">
        <v>177</v>
      </c>
      <c r="B801" s="1" t="s">
        <v>31</v>
      </c>
      <c r="C801" s="1" t="s">
        <v>32</v>
      </c>
      <c r="D801" s="1" t="s">
        <v>33</v>
      </c>
      <c r="E801" s="1">
        <v>2000</v>
      </c>
      <c r="F801" s="1">
        <v>2001</v>
      </c>
      <c r="G801" s="1">
        <v>2002</v>
      </c>
      <c r="H801" s="1">
        <v>2003</v>
      </c>
      <c r="I801" s="1">
        <v>2004</v>
      </c>
      <c r="J801" s="1">
        <v>2005</v>
      </c>
      <c r="K801" s="1">
        <v>2006</v>
      </c>
      <c r="L801" s="1">
        <v>2007</v>
      </c>
      <c r="M801" s="1">
        <v>2008</v>
      </c>
      <c r="N801" s="1">
        <v>2009</v>
      </c>
      <c r="O801" s="1">
        <v>2010</v>
      </c>
      <c r="P801" s="1">
        <v>2011</v>
      </c>
      <c r="Q801" s="1">
        <v>2012</v>
      </c>
      <c r="R801" s="1">
        <v>2013</v>
      </c>
      <c r="S801" s="1">
        <v>2014</v>
      </c>
      <c r="T801" s="1">
        <v>2015</v>
      </c>
      <c r="U801" s="1">
        <v>2016</v>
      </c>
      <c r="V801" s="1">
        <v>2017</v>
      </c>
      <c r="W801" s="1">
        <v>2018</v>
      </c>
      <c r="X801" s="1">
        <v>2019</v>
      </c>
      <c r="Y801" s="1">
        <v>2020</v>
      </c>
      <c r="Z801" s="1">
        <v>2021</v>
      </c>
      <c r="AA801" s="1">
        <v>2022</v>
      </c>
      <c r="AB801" s="1">
        <v>2023</v>
      </c>
      <c r="AC801" s="1">
        <v>2024</v>
      </c>
      <c r="AD801" s="1">
        <v>2025</v>
      </c>
      <c r="AE801" s="1">
        <v>2026</v>
      </c>
      <c r="AF801" s="1">
        <v>2027</v>
      </c>
      <c r="AG801" s="1">
        <v>2028</v>
      </c>
      <c r="AH801" s="1">
        <v>2029</v>
      </c>
      <c r="AI801" s="1">
        <v>2030</v>
      </c>
      <c r="AJ801" s="1">
        <v>2031</v>
      </c>
      <c r="AK801" s="1">
        <v>2032</v>
      </c>
      <c r="AL801" s="1">
        <v>2033</v>
      </c>
      <c r="AM801" s="1">
        <v>2034</v>
      </c>
      <c r="AN801" s="1">
        <v>2035</v>
      </c>
      <c r="AO801" s="1">
        <v>2036</v>
      </c>
      <c r="AP801" s="1">
        <v>2037</v>
      </c>
      <c r="AQ801" s="1">
        <v>2038</v>
      </c>
      <c r="AR801" s="1">
        <v>2039</v>
      </c>
      <c r="AS801" s="1">
        <v>2040</v>
      </c>
      <c r="AT801" s="1">
        <v>2041</v>
      </c>
      <c r="AU801" s="1">
        <v>2042</v>
      </c>
      <c r="AV801" s="1">
        <v>2043</v>
      </c>
      <c r="AW801" s="1">
        <v>2044</v>
      </c>
      <c r="AX801" s="1">
        <v>2045</v>
      </c>
      <c r="AY801" s="1">
        <v>2046</v>
      </c>
      <c r="AZ801" s="1">
        <v>2047</v>
      </c>
      <c r="BA801" s="1">
        <v>2048</v>
      </c>
      <c r="BB801" s="1">
        <v>2049</v>
      </c>
      <c r="BC801" s="1">
        <v>2050</v>
      </c>
    </row>
    <row r="802" spans="1:55" x14ac:dyDescent="0.25">
      <c r="A802" s="1" t="str">
        <f>'Population Definitions'!$A$2</f>
        <v>PWID_males</v>
      </c>
      <c r="C802" t="s">
        <v>34</v>
      </c>
      <c r="D802" s="3"/>
      <c r="E802" s="3">
        <v>0</v>
      </c>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row>
    <row r="803" spans="1:55" x14ac:dyDescent="0.25">
      <c r="A803" s="1" t="str">
        <f>'Population Definitions'!$A$3</f>
        <v>PWID_females</v>
      </c>
      <c r="C803" t="s">
        <v>34</v>
      </c>
      <c r="D803" s="3"/>
      <c r="E803" s="3">
        <v>0</v>
      </c>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row>
    <row r="804" spans="1:55" x14ac:dyDescent="0.25">
      <c r="A804" s="1" t="str">
        <f>'Population Definitions'!$A$4</f>
        <v>0-9_males</v>
      </c>
      <c r="C804" t="s">
        <v>34</v>
      </c>
      <c r="D804" s="3"/>
      <c r="E804" s="3">
        <v>0</v>
      </c>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row>
    <row r="805" spans="1:55" x14ac:dyDescent="0.25">
      <c r="A805" s="1" t="str">
        <f>'Population Definitions'!$A$5</f>
        <v>0-9_females</v>
      </c>
      <c r="C805" t="s">
        <v>34</v>
      </c>
      <c r="D805" s="3"/>
      <c r="E805" s="3">
        <v>0</v>
      </c>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row>
    <row r="806" spans="1:55" x14ac:dyDescent="0.25">
      <c r="A806" s="1" t="str">
        <f>'Population Definitions'!$A$6</f>
        <v>10-17_males</v>
      </c>
      <c r="C806" t="s">
        <v>34</v>
      </c>
      <c r="D806" s="3"/>
      <c r="E806" s="3">
        <v>0</v>
      </c>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row>
    <row r="807" spans="1:55" x14ac:dyDescent="0.25">
      <c r="A807" s="1" t="str">
        <f>'Population Definitions'!$A$7</f>
        <v>10-17_females</v>
      </c>
      <c r="C807" t="s">
        <v>34</v>
      </c>
      <c r="D807" s="3"/>
      <c r="E807" s="3">
        <v>0</v>
      </c>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row>
    <row r="808" spans="1:55" x14ac:dyDescent="0.25">
      <c r="A808" s="1" t="str">
        <f>'Population Definitions'!$A$8</f>
        <v>18-64_males</v>
      </c>
      <c r="C808" t="s">
        <v>34</v>
      </c>
      <c r="D808" s="3"/>
      <c r="E808" s="3">
        <v>0</v>
      </c>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row>
    <row r="809" spans="1:55" x14ac:dyDescent="0.25">
      <c r="A809" s="1" t="str">
        <f>'Population Definitions'!$A$9</f>
        <v>18-64_females</v>
      </c>
      <c r="C809" t="s">
        <v>34</v>
      </c>
      <c r="D809" s="3"/>
      <c r="E809" s="3">
        <v>0</v>
      </c>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row>
    <row r="810" spans="1:55" x14ac:dyDescent="0.25">
      <c r="A810" s="1" t="str">
        <f>'Population Definitions'!$A$10</f>
        <v>65+_males</v>
      </c>
      <c r="C810" t="s">
        <v>34</v>
      </c>
      <c r="D810" s="3"/>
      <c r="E810" s="3">
        <v>0</v>
      </c>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row>
    <row r="811" spans="1:55" x14ac:dyDescent="0.25">
      <c r="A811" s="1" t="str">
        <f>'Population Definitions'!$A$11</f>
        <v>65+_females</v>
      </c>
      <c r="C811" t="s">
        <v>34</v>
      </c>
      <c r="D811" s="3"/>
      <c r="E811" s="3">
        <v>0</v>
      </c>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row>
    <row r="812" spans="1:55" x14ac:dyDescent="0.25">
      <c r="A812" s="1" t="str">
        <f>'Population Definitions'!$A$12</f>
        <v>Prisoners_males</v>
      </c>
      <c r="C812" t="s">
        <v>34</v>
      </c>
      <c r="D812" s="3"/>
      <c r="E812" s="3">
        <v>0</v>
      </c>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row>
    <row r="813" spans="1:55" x14ac:dyDescent="0.25">
      <c r="A813" s="1" t="str">
        <f>'Population Definitions'!$A$13</f>
        <v>Prisoners_females</v>
      </c>
      <c r="C813" t="s">
        <v>34</v>
      </c>
      <c r="D813" s="3"/>
      <c r="E813" s="3">
        <v>0</v>
      </c>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row>
    <row r="814" spans="1:55" x14ac:dyDescent="0.25">
      <c r="A814" s="1" t="str">
        <f>'Population Definitions'!$A$14</f>
        <v>Prisoners_PWID_males</v>
      </c>
      <c r="C814" t="s">
        <v>34</v>
      </c>
      <c r="D814" s="3"/>
      <c r="E814" s="3">
        <v>0</v>
      </c>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row>
    <row r="815" spans="1:55" x14ac:dyDescent="0.25">
      <c r="A815" s="1" t="str">
        <f>'Population Definitions'!$A$15</f>
        <v>Prisoners_PWID_females</v>
      </c>
      <c r="C815" t="s">
        <v>34</v>
      </c>
      <c r="D815" s="3"/>
      <c r="E815" s="3">
        <v>0</v>
      </c>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row>
    <row r="817" spans="1:55" x14ac:dyDescent="0.25">
      <c r="A817" s="1" t="s">
        <v>178</v>
      </c>
      <c r="B817" s="1" t="s">
        <v>31</v>
      </c>
      <c r="C817" s="1" t="s">
        <v>32</v>
      </c>
      <c r="D817" s="1" t="s">
        <v>33</v>
      </c>
      <c r="E817" s="1">
        <v>2000</v>
      </c>
      <c r="F817" s="1">
        <v>2001</v>
      </c>
      <c r="G817" s="1">
        <v>2002</v>
      </c>
      <c r="H817" s="1">
        <v>2003</v>
      </c>
      <c r="I817" s="1">
        <v>2004</v>
      </c>
      <c r="J817" s="1">
        <v>2005</v>
      </c>
      <c r="K817" s="1">
        <v>2006</v>
      </c>
      <c r="L817" s="1">
        <v>2007</v>
      </c>
      <c r="M817" s="1">
        <v>2008</v>
      </c>
      <c r="N817" s="1">
        <v>2009</v>
      </c>
      <c r="O817" s="1">
        <v>2010</v>
      </c>
      <c r="P817" s="1">
        <v>2011</v>
      </c>
      <c r="Q817" s="1">
        <v>2012</v>
      </c>
      <c r="R817" s="1">
        <v>2013</v>
      </c>
      <c r="S817" s="1">
        <v>2014</v>
      </c>
      <c r="T817" s="1">
        <v>2015</v>
      </c>
      <c r="U817" s="1">
        <v>2016</v>
      </c>
      <c r="V817" s="1">
        <v>2017</v>
      </c>
      <c r="W817" s="1">
        <v>2018</v>
      </c>
      <c r="X817" s="1">
        <v>2019</v>
      </c>
      <c r="Y817" s="1">
        <v>2020</v>
      </c>
      <c r="Z817" s="1">
        <v>2021</v>
      </c>
      <c r="AA817" s="1">
        <v>2022</v>
      </c>
      <c r="AB817" s="1">
        <v>2023</v>
      </c>
      <c r="AC817" s="1">
        <v>2024</v>
      </c>
      <c r="AD817" s="1">
        <v>2025</v>
      </c>
      <c r="AE817" s="1">
        <v>2026</v>
      </c>
      <c r="AF817" s="1">
        <v>2027</v>
      </c>
      <c r="AG817" s="1">
        <v>2028</v>
      </c>
      <c r="AH817" s="1">
        <v>2029</v>
      </c>
      <c r="AI817" s="1">
        <v>2030</v>
      </c>
      <c r="AJ817" s="1">
        <v>2031</v>
      </c>
      <c r="AK817" s="1">
        <v>2032</v>
      </c>
      <c r="AL817" s="1">
        <v>2033</v>
      </c>
      <c r="AM817" s="1">
        <v>2034</v>
      </c>
      <c r="AN817" s="1">
        <v>2035</v>
      </c>
      <c r="AO817" s="1">
        <v>2036</v>
      </c>
      <c r="AP817" s="1">
        <v>2037</v>
      </c>
      <c r="AQ817" s="1">
        <v>2038</v>
      </c>
      <c r="AR817" s="1">
        <v>2039</v>
      </c>
      <c r="AS817" s="1">
        <v>2040</v>
      </c>
      <c r="AT817" s="1">
        <v>2041</v>
      </c>
      <c r="AU817" s="1">
        <v>2042</v>
      </c>
      <c r="AV817" s="1">
        <v>2043</v>
      </c>
      <c r="AW817" s="1">
        <v>2044</v>
      </c>
      <c r="AX817" s="1">
        <v>2045</v>
      </c>
      <c r="AY817" s="1">
        <v>2046</v>
      </c>
      <c r="AZ817" s="1">
        <v>2047</v>
      </c>
      <c r="BA817" s="1">
        <v>2048</v>
      </c>
      <c r="BB817" s="1">
        <v>2049</v>
      </c>
      <c r="BC817" s="1">
        <v>2050</v>
      </c>
    </row>
    <row r="818" spans="1:55" x14ac:dyDescent="0.25">
      <c r="A818" s="1" t="str">
        <f>'Population Definitions'!$A$2</f>
        <v>PWID_males</v>
      </c>
      <c r="C818" t="s">
        <v>34</v>
      </c>
      <c r="D818" s="3"/>
      <c r="E818" s="3">
        <v>0</v>
      </c>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row>
    <row r="819" spans="1:55" x14ac:dyDescent="0.25">
      <c r="A819" s="1" t="str">
        <f>'Population Definitions'!$A$3</f>
        <v>PWID_females</v>
      </c>
      <c r="C819" t="s">
        <v>34</v>
      </c>
      <c r="D819" s="3"/>
      <c r="E819" s="3">
        <v>0</v>
      </c>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row>
    <row r="820" spans="1:55" x14ac:dyDescent="0.25">
      <c r="A820" s="1" t="str">
        <f>'Population Definitions'!$A$4</f>
        <v>0-9_males</v>
      </c>
      <c r="C820" t="s">
        <v>34</v>
      </c>
      <c r="D820" s="3"/>
      <c r="E820" s="3">
        <v>0</v>
      </c>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row>
    <row r="821" spans="1:55" x14ac:dyDescent="0.25">
      <c r="A821" s="1" t="str">
        <f>'Population Definitions'!$A$5</f>
        <v>0-9_females</v>
      </c>
      <c r="C821" t="s">
        <v>34</v>
      </c>
      <c r="D821" s="3"/>
      <c r="E821" s="3">
        <v>0</v>
      </c>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row>
    <row r="822" spans="1:55" x14ac:dyDescent="0.25">
      <c r="A822" s="1" t="str">
        <f>'Population Definitions'!$A$6</f>
        <v>10-17_males</v>
      </c>
      <c r="C822" t="s">
        <v>34</v>
      </c>
      <c r="D822" s="3"/>
      <c r="E822" s="3">
        <v>0</v>
      </c>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row>
    <row r="823" spans="1:55" x14ac:dyDescent="0.25">
      <c r="A823" s="1" t="str">
        <f>'Population Definitions'!$A$7</f>
        <v>10-17_females</v>
      </c>
      <c r="C823" t="s">
        <v>34</v>
      </c>
      <c r="D823" s="3"/>
      <c r="E823" s="3">
        <v>0</v>
      </c>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row>
    <row r="824" spans="1:55" x14ac:dyDescent="0.25">
      <c r="A824" s="1" t="str">
        <f>'Population Definitions'!$A$8</f>
        <v>18-64_males</v>
      </c>
      <c r="C824" t="s">
        <v>34</v>
      </c>
      <c r="D824" s="3"/>
      <c r="E824" s="3">
        <v>0</v>
      </c>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row>
    <row r="825" spans="1:55" x14ac:dyDescent="0.25">
      <c r="A825" s="1" t="str">
        <f>'Population Definitions'!$A$9</f>
        <v>18-64_females</v>
      </c>
      <c r="C825" t="s">
        <v>34</v>
      </c>
      <c r="D825" s="3"/>
      <c r="E825" s="3">
        <v>0</v>
      </c>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row>
    <row r="826" spans="1:55" x14ac:dyDescent="0.25">
      <c r="A826" s="1" t="str">
        <f>'Population Definitions'!$A$10</f>
        <v>65+_males</v>
      </c>
      <c r="C826" t="s">
        <v>34</v>
      </c>
      <c r="D826" s="3"/>
      <c r="E826" s="3">
        <v>0</v>
      </c>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row>
    <row r="827" spans="1:55" x14ac:dyDescent="0.25">
      <c r="A827" s="1" t="str">
        <f>'Population Definitions'!$A$11</f>
        <v>65+_females</v>
      </c>
      <c r="C827" t="s">
        <v>34</v>
      </c>
      <c r="D827" s="3"/>
      <c r="E827" s="3">
        <v>0</v>
      </c>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row>
    <row r="828" spans="1:55" x14ac:dyDescent="0.25">
      <c r="A828" s="1" t="str">
        <f>'Population Definitions'!$A$12</f>
        <v>Prisoners_males</v>
      </c>
      <c r="C828" t="s">
        <v>34</v>
      </c>
      <c r="D828" s="3"/>
      <c r="E828" s="3">
        <v>0</v>
      </c>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row>
    <row r="829" spans="1:55" x14ac:dyDescent="0.25">
      <c r="A829" s="1" t="str">
        <f>'Population Definitions'!$A$13</f>
        <v>Prisoners_females</v>
      </c>
      <c r="C829" t="s">
        <v>34</v>
      </c>
      <c r="D829" s="3"/>
      <c r="E829" s="3">
        <v>0</v>
      </c>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row>
    <row r="830" spans="1:55" x14ac:dyDescent="0.25">
      <c r="A830" s="1" t="str">
        <f>'Population Definitions'!$A$14</f>
        <v>Prisoners_PWID_males</v>
      </c>
      <c r="C830" t="s">
        <v>34</v>
      </c>
      <c r="D830" s="3"/>
      <c r="E830" s="3">
        <v>0</v>
      </c>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row>
    <row r="831" spans="1:55" x14ac:dyDescent="0.25">
      <c r="A831" s="1" t="str">
        <f>'Population Definitions'!$A$15</f>
        <v>Prisoners_PWID_females</v>
      </c>
      <c r="C831" t="s">
        <v>34</v>
      </c>
      <c r="D831" s="3"/>
      <c r="E831" s="3">
        <v>0</v>
      </c>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row>
    <row r="833" spans="1:55" x14ac:dyDescent="0.25">
      <c r="A833" s="1" t="s">
        <v>179</v>
      </c>
      <c r="B833" s="1" t="s">
        <v>31</v>
      </c>
      <c r="C833" s="1" t="s">
        <v>32</v>
      </c>
      <c r="D833" s="1" t="s">
        <v>33</v>
      </c>
      <c r="E833" s="1">
        <v>2000</v>
      </c>
      <c r="F833" s="1">
        <v>2001</v>
      </c>
      <c r="G833" s="1">
        <v>2002</v>
      </c>
      <c r="H833" s="1">
        <v>2003</v>
      </c>
      <c r="I833" s="1">
        <v>2004</v>
      </c>
      <c r="J833" s="1">
        <v>2005</v>
      </c>
      <c r="K833" s="1">
        <v>2006</v>
      </c>
      <c r="L833" s="1">
        <v>2007</v>
      </c>
      <c r="M833" s="1">
        <v>2008</v>
      </c>
      <c r="N833" s="1">
        <v>2009</v>
      </c>
      <c r="O833" s="1">
        <v>2010</v>
      </c>
      <c r="P833" s="1">
        <v>2011</v>
      </c>
      <c r="Q833" s="1">
        <v>2012</v>
      </c>
      <c r="R833" s="1">
        <v>2013</v>
      </c>
      <c r="S833" s="1">
        <v>2014</v>
      </c>
      <c r="T833" s="1">
        <v>2015</v>
      </c>
      <c r="U833" s="1">
        <v>2016</v>
      </c>
      <c r="V833" s="1">
        <v>2017</v>
      </c>
      <c r="W833" s="1">
        <v>2018</v>
      </c>
      <c r="X833" s="1">
        <v>2019</v>
      </c>
      <c r="Y833" s="1">
        <v>2020</v>
      </c>
      <c r="Z833" s="1">
        <v>2021</v>
      </c>
      <c r="AA833" s="1">
        <v>2022</v>
      </c>
      <c r="AB833" s="1">
        <v>2023</v>
      </c>
      <c r="AC833" s="1">
        <v>2024</v>
      </c>
      <c r="AD833" s="1">
        <v>2025</v>
      </c>
      <c r="AE833" s="1">
        <v>2026</v>
      </c>
      <c r="AF833" s="1">
        <v>2027</v>
      </c>
      <c r="AG833" s="1">
        <v>2028</v>
      </c>
      <c r="AH833" s="1">
        <v>2029</v>
      </c>
      <c r="AI833" s="1">
        <v>2030</v>
      </c>
      <c r="AJ833" s="1">
        <v>2031</v>
      </c>
      <c r="AK833" s="1">
        <v>2032</v>
      </c>
      <c r="AL833" s="1">
        <v>2033</v>
      </c>
      <c r="AM833" s="1">
        <v>2034</v>
      </c>
      <c r="AN833" s="1">
        <v>2035</v>
      </c>
      <c r="AO833" s="1">
        <v>2036</v>
      </c>
      <c r="AP833" s="1">
        <v>2037</v>
      </c>
      <c r="AQ833" s="1">
        <v>2038</v>
      </c>
      <c r="AR833" s="1">
        <v>2039</v>
      </c>
      <c r="AS833" s="1">
        <v>2040</v>
      </c>
      <c r="AT833" s="1">
        <v>2041</v>
      </c>
      <c r="AU833" s="1">
        <v>2042</v>
      </c>
      <c r="AV833" s="1">
        <v>2043</v>
      </c>
      <c r="AW833" s="1">
        <v>2044</v>
      </c>
      <c r="AX833" s="1">
        <v>2045</v>
      </c>
      <c r="AY833" s="1">
        <v>2046</v>
      </c>
      <c r="AZ833" s="1">
        <v>2047</v>
      </c>
      <c r="BA833" s="1">
        <v>2048</v>
      </c>
      <c r="BB833" s="1">
        <v>2049</v>
      </c>
      <c r="BC833" s="1">
        <v>2050</v>
      </c>
    </row>
    <row r="834" spans="1:55" x14ac:dyDescent="0.25">
      <c r="A834" s="1" t="str">
        <f>'Population Definitions'!$A$2</f>
        <v>PWID_males</v>
      </c>
      <c r="C834" t="s">
        <v>34</v>
      </c>
      <c r="D834" s="3"/>
      <c r="E834" s="3">
        <v>0</v>
      </c>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row>
    <row r="835" spans="1:55" x14ac:dyDescent="0.25">
      <c r="A835" s="1" t="str">
        <f>'Population Definitions'!$A$3</f>
        <v>PWID_females</v>
      </c>
      <c r="C835" t="s">
        <v>34</v>
      </c>
      <c r="D835" s="3"/>
      <c r="E835" s="3">
        <v>0</v>
      </c>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row>
    <row r="836" spans="1:55" x14ac:dyDescent="0.25">
      <c r="A836" s="1" t="str">
        <f>'Population Definitions'!$A$4</f>
        <v>0-9_males</v>
      </c>
      <c r="C836" t="s">
        <v>34</v>
      </c>
      <c r="D836" s="3"/>
      <c r="E836" s="3">
        <v>0</v>
      </c>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row>
    <row r="837" spans="1:55" x14ac:dyDescent="0.25">
      <c r="A837" s="1" t="str">
        <f>'Population Definitions'!$A$5</f>
        <v>0-9_females</v>
      </c>
      <c r="C837" t="s">
        <v>34</v>
      </c>
      <c r="D837" s="3"/>
      <c r="E837" s="3">
        <v>0</v>
      </c>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row>
    <row r="838" spans="1:55" x14ac:dyDescent="0.25">
      <c r="A838" s="1" t="str">
        <f>'Population Definitions'!$A$6</f>
        <v>10-17_males</v>
      </c>
      <c r="C838" t="s">
        <v>34</v>
      </c>
      <c r="D838" s="3"/>
      <c r="E838" s="3">
        <v>0</v>
      </c>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row>
    <row r="839" spans="1:55" x14ac:dyDescent="0.25">
      <c r="A839" s="1" t="str">
        <f>'Population Definitions'!$A$7</f>
        <v>10-17_females</v>
      </c>
      <c r="C839" t="s">
        <v>34</v>
      </c>
      <c r="D839" s="3"/>
      <c r="E839" s="3">
        <v>0</v>
      </c>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row>
    <row r="840" spans="1:55" x14ac:dyDescent="0.25">
      <c r="A840" s="1" t="str">
        <f>'Population Definitions'!$A$8</f>
        <v>18-64_males</v>
      </c>
      <c r="C840" t="s">
        <v>34</v>
      </c>
      <c r="D840" s="3"/>
      <c r="E840" s="3">
        <v>0</v>
      </c>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row>
    <row r="841" spans="1:55" x14ac:dyDescent="0.25">
      <c r="A841" s="1" t="str">
        <f>'Population Definitions'!$A$9</f>
        <v>18-64_females</v>
      </c>
      <c r="C841" t="s">
        <v>34</v>
      </c>
      <c r="D841" s="3"/>
      <c r="E841" s="3">
        <v>0</v>
      </c>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row>
    <row r="842" spans="1:55" x14ac:dyDescent="0.25">
      <c r="A842" s="1" t="str">
        <f>'Population Definitions'!$A$10</f>
        <v>65+_males</v>
      </c>
      <c r="C842" t="s">
        <v>34</v>
      </c>
      <c r="D842" s="3"/>
      <c r="E842" s="3">
        <v>0</v>
      </c>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row>
    <row r="843" spans="1:55" x14ac:dyDescent="0.25">
      <c r="A843" s="1" t="str">
        <f>'Population Definitions'!$A$11</f>
        <v>65+_females</v>
      </c>
      <c r="C843" t="s">
        <v>34</v>
      </c>
      <c r="D843" s="3"/>
      <c r="E843" s="3">
        <v>0</v>
      </c>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row>
    <row r="844" spans="1:55" x14ac:dyDescent="0.25">
      <c r="A844" s="1" t="str">
        <f>'Population Definitions'!$A$12</f>
        <v>Prisoners_males</v>
      </c>
      <c r="C844" t="s">
        <v>34</v>
      </c>
      <c r="D844" s="3"/>
      <c r="E844" s="3">
        <v>0</v>
      </c>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row>
    <row r="845" spans="1:55" x14ac:dyDescent="0.25">
      <c r="A845" s="1" t="str">
        <f>'Population Definitions'!$A$13</f>
        <v>Prisoners_females</v>
      </c>
      <c r="C845" t="s">
        <v>34</v>
      </c>
      <c r="D845" s="3"/>
      <c r="E845" s="3">
        <v>0</v>
      </c>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row>
    <row r="846" spans="1:55" x14ac:dyDescent="0.25">
      <c r="A846" s="1" t="str">
        <f>'Population Definitions'!$A$14</f>
        <v>Prisoners_PWID_males</v>
      </c>
      <c r="C846" t="s">
        <v>34</v>
      </c>
      <c r="D846" s="3"/>
      <c r="E846" s="3">
        <v>0</v>
      </c>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row>
    <row r="847" spans="1:55" x14ac:dyDescent="0.25">
      <c r="A847" s="1" t="str">
        <f>'Population Definitions'!$A$15</f>
        <v>Prisoners_PWID_females</v>
      </c>
      <c r="C847" t="s">
        <v>34</v>
      </c>
      <c r="D847" s="3"/>
      <c r="E847" s="3">
        <v>0</v>
      </c>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row>
    <row r="849" spans="1:55" x14ac:dyDescent="0.25">
      <c r="A849" s="1" t="s">
        <v>180</v>
      </c>
      <c r="B849" s="1" t="s">
        <v>31</v>
      </c>
      <c r="C849" s="1" t="s">
        <v>32</v>
      </c>
      <c r="D849" s="1" t="s">
        <v>33</v>
      </c>
      <c r="E849" s="1">
        <v>2000</v>
      </c>
      <c r="F849" s="1">
        <v>2001</v>
      </c>
      <c r="G849" s="1">
        <v>2002</v>
      </c>
      <c r="H849" s="1">
        <v>2003</v>
      </c>
      <c r="I849" s="1">
        <v>2004</v>
      </c>
      <c r="J849" s="1">
        <v>2005</v>
      </c>
      <c r="K849" s="1">
        <v>2006</v>
      </c>
      <c r="L849" s="1">
        <v>2007</v>
      </c>
      <c r="M849" s="1">
        <v>2008</v>
      </c>
      <c r="N849" s="1">
        <v>2009</v>
      </c>
      <c r="O849" s="1">
        <v>2010</v>
      </c>
      <c r="P849" s="1">
        <v>2011</v>
      </c>
      <c r="Q849" s="1">
        <v>2012</v>
      </c>
      <c r="R849" s="1">
        <v>2013</v>
      </c>
      <c r="S849" s="1">
        <v>2014</v>
      </c>
      <c r="T849" s="1">
        <v>2015</v>
      </c>
      <c r="U849" s="1">
        <v>2016</v>
      </c>
      <c r="V849" s="1">
        <v>2017</v>
      </c>
      <c r="W849" s="1">
        <v>2018</v>
      </c>
      <c r="X849" s="1">
        <v>2019</v>
      </c>
      <c r="Y849" s="1">
        <v>2020</v>
      </c>
      <c r="Z849" s="1">
        <v>2021</v>
      </c>
      <c r="AA849" s="1">
        <v>2022</v>
      </c>
      <c r="AB849" s="1">
        <v>2023</v>
      </c>
      <c r="AC849" s="1">
        <v>2024</v>
      </c>
      <c r="AD849" s="1">
        <v>2025</v>
      </c>
      <c r="AE849" s="1">
        <v>2026</v>
      </c>
      <c r="AF849" s="1">
        <v>2027</v>
      </c>
      <c r="AG849" s="1">
        <v>2028</v>
      </c>
      <c r="AH849" s="1">
        <v>2029</v>
      </c>
      <c r="AI849" s="1">
        <v>2030</v>
      </c>
      <c r="AJ849" s="1">
        <v>2031</v>
      </c>
      <c r="AK849" s="1">
        <v>2032</v>
      </c>
      <c r="AL849" s="1">
        <v>2033</v>
      </c>
      <c r="AM849" s="1">
        <v>2034</v>
      </c>
      <c r="AN849" s="1">
        <v>2035</v>
      </c>
      <c r="AO849" s="1">
        <v>2036</v>
      </c>
      <c r="AP849" s="1">
        <v>2037</v>
      </c>
      <c r="AQ849" s="1">
        <v>2038</v>
      </c>
      <c r="AR849" s="1">
        <v>2039</v>
      </c>
      <c r="AS849" s="1">
        <v>2040</v>
      </c>
      <c r="AT849" s="1">
        <v>2041</v>
      </c>
      <c r="AU849" s="1">
        <v>2042</v>
      </c>
      <c r="AV849" s="1">
        <v>2043</v>
      </c>
      <c r="AW849" s="1">
        <v>2044</v>
      </c>
      <c r="AX849" s="1">
        <v>2045</v>
      </c>
      <c r="AY849" s="1">
        <v>2046</v>
      </c>
      <c r="AZ849" s="1">
        <v>2047</v>
      </c>
      <c r="BA849" s="1">
        <v>2048</v>
      </c>
      <c r="BB849" s="1">
        <v>2049</v>
      </c>
      <c r="BC849" s="1">
        <v>2050</v>
      </c>
    </row>
    <row r="850" spans="1:55" x14ac:dyDescent="0.25">
      <c r="A850" s="1" t="str">
        <f>'Population Definitions'!$A$2</f>
        <v>PWID_males</v>
      </c>
      <c r="C850" t="s">
        <v>34</v>
      </c>
      <c r="D850" s="3"/>
      <c r="E850" s="3">
        <v>0</v>
      </c>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row>
    <row r="851" spans="1:55" x14ac:dyDescent="0.25">
      <c r="A851" s="1" t="str">
        <f>'Population Definitions'!$A$3</f>
        <v>PWID_females</v>
      </c>
      <c r="C851" t="s">
        <v>34</v>
      </c>
      <c r="D851" s="3"/>
      <c r="E851" s="3">
        <v>0</v>
      </c>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row>
    <row r="852" spans="1:55" x14ac:dyDescent="0.25">
      <c r="A852" s="1" t="str">
        <f>'Population Definitions'!$A$4</f>
        <v>0-9_males</v>
      </c>
      <c r="C852" t="s">
        <v>34</v>
      </c>
      <c r="D852" s="3"/>
      <c r="E852" s="3">
        <v>0</v>
      </c>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row>
    <row r="853" spans="1:55" x14ac:dyDescent="0.25">
      <c r="A853" s="1" t="str">
        <f>'Population Definitions'!$A$5</f>
        <v>0-9_females</v>
      </c>
      <c r="C853" t="s">
        <v>34</v>
      </c>
      <c r="D853" s="3"/>
      <c r="E853" s="3">
        <v>0</v>
      </c>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row>
    <row r="854" spans="1:55" x14ac:dyDescent="0.25">
      <c r="A854" s="1" t="str">
        <f>'Population Definitions'!$A$6</f>
        <v>10-17_males</v>
      </c>
      <c r="C854" t="s">
        <v>34</v>
      </c>
      <c r="D854" s="3"/>
      <c r="E854" s="3">
        <v>0</v>
      </c>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row>
    <row r="855" spans="1:55" x14ac:dyDescent="0.25">
      <c r="A855" s="1" t="str">
        <f>'Population Definitions'!$A$7</f>
        <v>10-17_females</v>
      </c>
      <c r="C855" t="s">
        <v>34</v>
      </c>
      <c r="D855" s="3"/>
      <c r="E855" s="3">
        <v>0</v>
      </c>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row>
    <row r="856" spans="1:55" x14ac:dyDescent="0.25">
      <c r="A856" s="1" t="str">
        <f>'Population Definitions'!$A$8</f>
        <v>18-64_males</v>
      </c>
      <c r="C856" t="s">
        <v>34</v>
      </c>
      <c r="D856" s="3"/>
      <c r="E856" s="3">
        <v>0</v>
      </c>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row>
    <row r="857" spans="1:55" x14ac:dyDescent="0.25">
      <c r="A857" s="1" t="str">
        <f>'Population Definitions'!$A$9</f>
        <v>18-64_females</v>
      </c>
      <c r="C857" t="s">
        <v>34</v>
      </c>
      <c r="D857" s="3"/>
      <c r="E857" s="3">
        <v>0</v>
      </c>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row>
    <row r="858" spans="1:55" x14ac:dyDescent="0.25">
      <c r="A858" s="1" t="str">
        <f>'Population Definitions'!$A$10</f>
        <v>65+_males</v>
      </c>
      <c r="C858" t="s">
        <v>34</v>
      </c>
      <c r="D858" s="3"/>
      <c r="E858" s="3">
        <v>0</v>
      </c>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row>
    <row r="859" spans="1:55" x14ac:dyDescent="0.25">
      <c r="A859" s="1" t="str">
        <f>'Population Definitions'!$A$11</f>
        <v>65+_females</v>
      </c>
      <c r="C859" t="s">
        <v>34</v>
      </c>
      <c r="D859" s="3"/>
      <c r="E859" s="3">
        <v>0</v>
      </c>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row>
    <row r="860" spans="1:55" x14ac:dyDescent="0.25">
      <c r="A860" s="1" t="str">
        <f>'Population Definitions'!$A$12</f>
        <v>Prisoners_males</v>
      </c>
      <c r="C860" t="s">
        <v>34</v>
      </c>
      <c r="D860" s="3"/>
      <c r="E860" s="3">
        <v>0</v>
      </c>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row>
    <row r="861" spans="1:55" x14ac:dyDescent="0.25">
      <c r="A861" s="1" t="str">
        <f>'Population Definitions'!$A$13</f>
        <v>Prisoners_females</v>
      </c>
      <c r="C861" t="s">
        <v>34</v>
      </c>
      <c r="D861" s="3"/>
      <c r="E861" s="3">
        <v>0</v>
      </c>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row>
    <row r="862" spans="1:55" x14ac:dyDescent="0.25">
      <c r="A862" s="1" t="str">
        <f>'Population Definitions'!$A$14</f>
        <v>Prisoners_PWID_males</v>
      </c>
      <c r="C862" t="s">
        <v>34</v>
      </c>
      <c r="D862" s="3"/>
      <c r="E862" s="3">
        <v>0</v>
      </c>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row>
    <row r="863" spans="1:55" x14ac:dyDescent="0.25">
      <c r="A863" s="1" t="str">
        <f>'Population Definitions'!$A$15</f>
        <v>Prisoners_PWID_females</v>
      </c>
      <c r="C863" t="s">
        <v>34</v>
      </c>
      <c r="D863" s="3"/>
      <c r="E863" s="3">
        <v>0</v>
      </c>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row>
    <row r="865" spans="1:55" x14ac:dyDescent="0.25">
      <c r="A865" s="1" t="s">
        <v>181</v>
      </c>
      <c r="B865" s="1" t="s">
        <v>31</v>
      </c>
      <c r="C865" s="1" t="s">
        <v>32</v>
      </c>
      <c r="D865" s="1" t="s">
        <v>33</v>
      </c>
      <c r="E865" s="1">
        <v>2000</v>
      </c>
      <c r="F865" s="1">
        <v>2001</v>
      </c>
      <c r="G865" s="1">
        <v>2002</v>
      </c>
      <c r="H865" s="1">
        <v>2003</v>
      </c>
      <c r="I865" s="1">
        <v>2004</v>
      </c>
      <c r="J865" s="1">
        <v>2005</v>
      </c>
      <c r="K865" s="1">
        <v>2006</v>
      </c>
      <c r="L865" s="1">
        <v>2007</v>
      </c>
      <c r="M865" s="1">
        <v>2008</v>
      </c>
      <c r="N865" s="1">
        <v>2009</v>
      </c>
      <c r="O865" s="1">
        <v>2010</v>
      </c>
      <c r="P865" s="1">
        <v>2011</v>
      </c>
      <c r="Q865" s="1">
        <v>2012</v>
      </c>
      <c r="R865" s="1">
        <v>2013</v>
      </c>
      <c r="S865" s="1">
        <v>2014</v>
      </c>
      <c r="T865" s="1">
        <v>2015</v>
      </c>
      <c r="U865" s="1">
        <v>2016</v>
      </c>
      <c r="V865" s="1">
        <v>2017</v>
      </c>
      <c r="W865" s="1">
        <v>2018</v>
      </c>
      <c r="X865" s="1">
        <v>2019</v>
      </c>
      <c r="Y865" s="1">
        <v>2020</v>
      </c>
      <c r="Z865" s="1">
        <v>2021</v>
      </c>
      <c r="AA865" s="1">
        <v>2022</v>
      </c>
      <c r="AB865" s="1">
        <v>2023</v>
      </c>
      <c r="AC865" s="1">
        <v>2024</v>
      </c>
      <c r="AD865" s="1">
        <v>2025</v>
      </c>
      <c r="AE865" s="1">
        <v>2026</v>
      </c>
      <c r="AF865" s="1">
        <v>2027</v>
      </c>
      <c r="AG865" s="1">
        <v>2028</v>
      </c>
      <c r="AH865" s="1">
        <v>2029</v>
      </c>
      <c r="AI865" s="1">
        <v>2030</v>
      </c>
      <c r="AJ865" s="1">
        <v>2031</v>
      </c>
      <c r="AK865" s="1">
        <v>2032</v>
      </c>
      <c r="AL865" s="1">
        <v>2033</v>
      </c>
      <c r="AM865" s="1">
        <v>2034</v>
      </c>
      <c r="AN865" s="1">
        <v>2035</v>
      </c>
      <c r="AO865" s="1">
        <v>2036</v>
      </c>
      <c r="AP865" s="1">
        <v>2037</v>
      </c>
      <c r="AQ865" s="1">
        <v>2038</v>
      </c>
      <c r="AR865" s="1">
        <v>2039</v>
      </c>
      <c r="AS865" s="1">
        <v>2040</v>
      </c>
      <c r="AT865" s="1">
        <v>2041</v>
      </c>
      <c r="AU865" s="1">
        <v>2042</v>
      </c>
      <c r="AV865" s="1">
        <v>2043</v>
      </c>
      <c r="AW865" s="1">
        <v>2044</v>
      </c>
      <c r="AX865" s="1">
        <v>2045</v>
      </c>
      <c r="AY865" s="1">
        <v>2046</v>
      </c>
      <c r="AZ865" s="1">
        <v>2047</v>
      </c>
      <c r="BA865" s="1">
        <v>2048</v>
      </c>
      <c r="BB865" s="1">
        <v>2049</v>
      </c>
      <c r="BC865" s="1">
        <v>2050</v>
      </c>
    </row>
    <row r="866" spans="1:55" x14ac:dyDescent="0.25">
      <c r="A866" s="1" t="str">
        <f>'Population Definitions'!$A$2</f>
        <v>PWID_males</v>
      </c>
      <c r="C866" t="s">
        <v>34</v>
      </c>
      <c r="D866" s="3"/>
      <c r="E866" s="3">
        <v>0</v>
      </c>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row>
    <row r="867" spans="1:55" x14ac:dyDescent="0.25">
      <c r="A867" s="1" t="str">
        <f>'Population Definitions'!$A$3</f>
        <v>PWID_females</v>
      </c>
      <c r="C867" t="s">
        <v>34</v>
      </c>
      <c r="D867" s="3"/>
      <c r="E867" s="3">
        <v>0</v>
      </c>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row>
    <row r="868" spans="1:55" x14ac:dyDescent="0.25">
      <c r="A868" s="1" t="str">
        <f>'Population Definitions'!$A$4</f>
        <v>0-9_males</v>
      </c>
      <c r="C868" t="s">
        <v>34</v>
      </c>
      <c r="D868" s="3"/>
      <c r="E868" s="3">
        <v>0</v>
      </c>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row>
    <row r="869" spans="1:55" x14ac:dyDescent="0.25">
      <c r="A869" s="1" t="str">
        <f>'Population Definitions'!$A$5</f>
        <v>0-9_females</v>
      </c>
      <c r="C869" t="s">
        <v>34</v>
      </c>
      <c r="D869" s="3"/>
      <c r="E869" s="3">
        <v>0</v>
      </c>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row>
    <row r="870" spans="1:55" x14ac:dyDescent="0.25">
      <c r="A870" s="1" t="str">
        <f>'Population Definitions'!$A$6</f>
        <v>10-17_males</v>
      </c>
      <c r="C870" t="s">
        <v>34</v>
      </c>
      <c r="D870" s="3"/>
      <c r="E870" s="3">
        <v>0</v>
      </c>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row>
    <row r="871" spans="1:55" x14ac:dyDescent="0.25">
      <c r="A871" s="1" t="str">
        <f>'Population Definitions'!$A$7</f>
        <v>10-17_females</v>
      </c>
      <c r="C871" t="s">
        <v>34</v>
      </c>
      <c r="D871" s="3"/>
      <c r="E871" s="3">
        <v>0</v>
      </c>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row>
    <row r="872" spans="1:55" x14ac:dyDescent="0.25">
      <c r="A872" s="1" t="str">
        <f>'Population Definitions'!$A$8</f>
        <v>18-64_males</v>
      </c>
      <c r="C872" t="s">
        <v>34</v>
      </c>
      <c r="D872" s="3"/>
      <c r="E872" s="3">
        <v>0</v>
      </c>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row>
    <row r="873" spans="1:55" x14ac:dyDescent="0.25">
      <c r="A873" s="1" t="str">
        <f>'Population Definitions'!$A$9</f>
        <v>18-64_females</v>
      </c>
      <c r="C873" t="s">
        <v>34</v>
      </c>
      <c r="D873" s="3"/>
      <c r="E873" s="3">
        <v>0</v>
      </c>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row>
    <row r="874" spans="1:55" x14ac:dyDescent="0.25">
      <c r="A874" s="1" t="str">
        <f>'Population Definitions'!$A$10</f>
        <v>65+_males</v>
      </c>
      <c r="C874" t="s">
        <v>34</v>
      </c>
      <c r="D874" s="3"/>
      <c r="E874" s="3">
        <v>0</v>
      </c>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row>
    <row r="875" spans="1:55" x14ac:dyDescent="0.25">
      <c r="A875" s="1" t="str">
        <f>'Population Definitions'!$A$11</f>
        <v>65+_females</v>
      </c>
      <c r="C875" t="s">
        <v>34</v>
      </c>
      <c r="D875" s="3"/>
      <c r="E875" s="3">
        <v>0</v>
      </c>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row>
    <row r="876" spans="1:55" x14ac:dyDescent="0.25">
      <c r="A876" s="1" t="str">
        <f>'Population Definitions'!$A$12</f>
        <v>Prisoners_males</v>
      </c>
      <c r="C876" t="s">
        <v>34</v>
      </c>
      <c r="D876" s="3"/>
      <c r="E876" s="3">
        <v>0</v>
      </c>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row>
    <row r="877" spans="1:55" x14ac:dyDescent="0.25">
      <c r="A877" s="1" t="str">
        <f>'Population Definitions'!$A$13</f>
        <v>Prisoners_females</v>
      </c>
      <c r="C877" t="s">
        <v>34</v>
      </c>
      <c r="D877" s="3"/>
      <c r="E877" s="3">
        <v>0</v>
      </c>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row>
    <row r="878" spans="1:55" x14ac:dyDescent="0.25">
      <c r="A878" s="1" t="str">
        <f>'Population Definitions'!$A$14</f>
        <v>Prisoners_PWID_males</v>
      </c>
      <c r="C878" t="s">
        <v>34</v>
      </c>
      <c r="D878" s="3"/>
      <c r="E878" s="3">
        <v>0</v>
      </c>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row>
    <row r="879" spans="1:55" x14ac:dyDescent="0.25">
      <c r="A879" s="1" t="str">
        <f>'Population Definitions'!$A$15</f>
        <v>Prisoners_PWID_females</v>
      </c>
      <c r="C879" t="s">
        <v>34</v>
      </c>
      <c r="D879" s="3"/>
      <c r="E879" s="3">
        <v>0</v>
      </c>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row>
    <row r="881" spans="1:55" x14ac:dyDescent="0.25">
      <c r="A881" s="1" t="s">
        <v>182</v>
      </c>
      <c r="B881" s="1" t="s">
        <v>31</v>
      </c>
      <c r="C881" s="1" t="s">
        <v>32</v>
      </c>
      <c r="D881" s="1" t="s">
        <v>33</v>
      </c>
      <c r="E881" s="1">
        <v>2000</v>
      </c>
      <c r="F881" s="1">
        <v>2001</v>
      </c>
      <c r="G881" s="1">
        <v>2002</v>
      </c>
      <c r="H881" s="1">
        <v>2003</v>
      </c>
      <c r="I881" s="1">
        <v>2004</v>
      </c>
      <c r="J881" s="1">
        <v>2005</v>
      </c>
      <c r="K881" s="1">
        <v>2006</v>
      </c>
      <c r="L881" s="1">
        <v>2007</v>
      </c>
      <c r="M881" s="1">
        <v>2008</v>
      </c>
      <c r="N881" s="1">
        <v>2009</v>
      </c>
      <c r="O881" s="1">
        <v>2010</v>
      </c>
      <c r="P881" s="1">
        <v>2011</v>
      </c>
      <c r="Q881" s="1">
        <v>2012</v>
      </c>
      <c r="R881" s="1">
        <v>2013</v>
      </c>
      <c r="S881" s="1">
        <v>2014</v>
      </c>
      <c r="T881" s="1">
        <v>2015</v>
      </c>
      <c r="U881" s="1">
        <v>2016</v>
      </c>
      <c r="V881" s="1">
        <v>2017</v>
      </c>
      <c r="W881" s="1">
        <v>2018</v>
      </c>
      <c r="X881" s="1">
        <v>2019</v>
      </c>
      <c r="Y881" s="1">
        <v>2020</v>
      </c>
      <c r="Z881" s="1">
        <v>2021</v>
      </c>
      <c r="AA881" s="1">
        <v>2022</v>
      </c>
      <c r="AB881" s="1">
        <v>2023</v>
      </c>
      <c r="AC881" s="1">
        <v>2024</v>
      </c>
      <c r="AD881" s="1">
        <v>2025</v>
      </c>
      <c r="AE881" s="1">
        <v>2026</v>
      </c>
      <c r="AF881" s="1">
        <v>2027</v>
      </c>
      <c r="AG881" s="1">
        <v>2028</v>
      </c>
      <c r="AH881" s="1">
        <v>2029</v>
      </c>
      <c r="AI881" s="1">
        <v>2030</v>
      </c>
      <c r="AJ881" s="1">
        <v>2031</v>
      </c>
      <c r="AK881" s="1">
        <v>2032</v>
      </c>
      <c r="AL881" s="1">
        <v>2033</v>
      </c>
      <c r="AM881" s="1">
        <v>2034</v>
      </c>
      <c r="AN881" s="1">
        <v>2035</v>
      </c>
      <c r="AO881" s="1">
        <v>2036</v>
      </c>
      <c r="AP881" s="1">
        <v>2037</v>
      </c>
      <c r="AQ881" s="1">
        <v>2038</v>
      </c>
      <c r="AR881" s="1">
        <v>2039</v>
      </c>
      <c r="AS881" s="1">
        <v>2040</v>
      </c>
      <c r="AT881" s="1">
        <v>2041</v>
      </c>
      <c r="AU881" s="1">
        <v>2042</v>
      </c>
      <c r="AV881" s="1">
        <v>2043</v>
      </c>
      <c r="AW881" s="1">
        <v>2044</v>
      </c>
      <c r="AX881" s="1">
        <v>2045</v>
      </c>
      <c r="AY881" s="1">
        <v>2046</v>
      </c>
      <c r="AZ881" s="1">
        <v>2047</v>
      </c>
      <c r="BA881" s="1">
        <v>2048</v>
      </c>
      <c r="BB881" s="1">
        <v>2049</v>
      </c>
      <c r="BC881" s="1">
        <v>2050</v>
      </c>
    </row>
    <row r="882" spans="1:55" x14ac:dyDescent="0.25">
      <c r="A882" s="1" t="str">
        <f>'Population Definitions'!$A$2</f>
        <v>PWID_males</v>
      </c>
      <c r="C882" t="s">
        <v>34</v>
      </c>
      <c r="D882" s="3"/>
      <c r="E882" s="3">
        <v>0</v>
      </c>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row>
    <row r="883" spans="1:55" x14ac:dyDescent="0.25">
      <c r="A883" s="1" t="str">
        <f>'Population Definitions'!$A$3</f>
        <v>PWID_females</v>
      </c>
      <c r="C883" t="s">
        <v>34</v>
      </c>
      <c r="D883" s="3"/>
      <c r="E883" s="3">
        <v>0</v>
      </c>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row>
    <row r="884" spans="1:55" x14ac:dyDescent="0.25">
      <c r="A884" s="1" t="str">
        <f>'Population Definitions'!$A$4</f>
        <v>0-9_males</v>
      </c>
      <c r="C884" t="s">
        <v>34</v>
      </c>
      <c r="D884" s="3"/>
      <c r="E884" s="3">
        <v>0</v>
      </c>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row>
    <row r="885" spans="1:55" x14ac:dyDescent="0.25">
      <c r="A885" s="1" t="str">
        <f>'Population Definitions'!$A$5</f>
        <v>0-9_females</v>
      </c>
      <c r="C885" t="s">
        <v>34</v>
      </c>
      <c r="D885" s="3"/>
      <c r="E885" s="3">
        <v>0</v>
      </c>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row>
    <row r="886" spans="1:55" x14ac:dyDescent="0.25">
      <c r="A886" s="1" t="str">
        <f>'Population Definitions'!$A$6</f>
        <v>10-17_males</v>
      </c>
      <c r="C886" t="s">
        <v>34</v>
      </c>
      <c r="D886" s="3"/>
      <c r="E886" s="3">
        <v>0</v>
      </c>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row>
    <row r="887" spans="1:55" x14ac:dyDescent="0.25">
      <c r="A887" s="1" t="str">
        <f>'Population Definitions'!$A$7</f>
        <v>10-17_females</v>
      </c>
      <c r="C887" t="s">
        <v>34</v>
      </c>
      <c r="D887" s="3"/>
      <c r="E887" s="3">
        <v>0</v>
      </c>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row>
    <row r="888" spans="1:55" x14ac:dyDescent="0.25">
      <c r="A888" s="1" t="str">
        <f>'Population Definitions'!$A$8</f>
        <v>18-64_males</v>
      </c>
      <c r="C888" t="s">
        <v>34</v>
      </c>
      <c r="D888" s="3"/>
      <c r="E888" s="3">
        <v>0</v>
      </c>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row>
    <row r="889" spans="1:55" x14ac:dyDescent="0.25">
      <c r="A889" s="1" t="str">
        <f>'Population Definitions'!$A$9</f>
        <v>18-64_females</v>
      </c>
      <c r="C889" t="s">
        <v>34</v>
      </c>
      <c r="D889" s="3"/>
      <c r="E889" s="3">
        <v>0</v>
      </c>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row>
    <row r="890" spans="1:55" x14ac:dyDescent="0.25">
      <c r="A890" s="1" t="str">
        <f>'Population Definitions'!$A$10</f>
        <v>65+_males</v>
      </c>
      <c r="C890" t="s">
        <v>34</v>
      </c>
      <c r="D890" s="3"/>
      <c r="E890" s="3">
        <v>0</v>
      </c>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row>
    <row r="891" spans="1:55" x14ac:dyDescent="0.25">
      <c r="A891" s="1" t="str">
        <f>'Population Definitions'!$A$11</f>
        <v>65+_females</v>
      </c>
      <c r="C891" t="s">
        <v>34</v>
      </c>
      <c r="D891" s="3"/>
      <c r="E891" s="3">
        <v>0</v>
      </c>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row>
    <row r="892" spans="1:55" x14ac:dyDescent="0.25">
      <c r="A892" s="1" t="str">
        <f>'Population Definitions'!$A$12</f>
        <v>Prisoners_males</v>
      </c>
      <c r="C892" t="s">
        <v>34</v>
      </c>
      <c r="D892" s="3"/>
      <c r="E892" s="3">
        <v>0</v>
      </c>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row>
    <row r="893" spans="1:55" x14ac:dyDescent="0.25">
      <c r="A893" s="1" t="str">
        <f>'Population Definitions'!$A$13</f>
        <v>Prisoners_females</v>
      </c>
      <c r="C893" t="s">
        <v>34</v>
      </c>
      <c r="D893" s="3"/>
      <c r="E893" s="3">
        <v>0</v>
      </c>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row>
    <row r="894" spans="1:55" x14ac:dyDescent="0.25">
      <c r="A894" s="1" t="str">
        <f>'Population Definitions'!$A$14</f>
        <v>Prisoners_PWID_males</v>
      </c>
      <c r="C894" t="s">
        <v>34</v>
      </c>
      <c r="D894" s="3"/>
      <c r="E894" s="3">
        <v>0</v>
      </c>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row>
    <row r="895" spans="1:55" x14ac:dyDescent="0.25">
      <c r="A895" s="1" t="str">
        <f>'Population Definitions'!$A$15</f>
        <v>Prisoners_PWID_females</v>
      </c>
      <c r="C895" t="s">
        <v>34</v>
      </c>
      <c r="D895" s="3"/>
      <c r="E895" s="3">
        <v>0</v>
      </c>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row>
    <row r="897" spans="1:55" x14ac:dyDescent="0.25">
      <c r="A897" s="1" t="s">
        <v>183</v>
      </c>
      <c r="B897" s="1" t="s">
        <v>31</v>
      </c>
      <c r="C897" s="1" t="s">
        <v>32</v>
      </c>
      <c r="D897" s="1" t="s">
        <v>33</v>
      </c>
      <c r="E897" s="1">
        <v>2000</v>
      </c>
      <c r="F897" s="1">
        <v>2001</v>
      </c>
      <c r="G897" s="1">
        <v>2002</v>
      </c>
      <c r="H897" s="1">
        <v>2003</v>
      </c>
      <c r="I897" s="1">
        <v>2004</v>
      </c>
      <c r="J897" s="1">
        <v>2005</v>
      </c>
      <c r="K897" s="1">
        <v>2006</v>
      </c>
      <c r="L897" s="1">
        <v>2007</v>
      </c>
      <c r="M897" s="1">
        <v>2008</v>
      </c>
      <c r="N897" s="1">
        <v>2009</v>
      </c>
      <c r="O897" s="1">
        <v>2010</v>
      </c>
      <c r="P897" s="1">
        <v>2011</v>
      </c>
      <c r="Q897" s="1">
        <v>2012</v>
      </c>
      <c r="R897" s="1">
        <v>2013</v>
      </c>
      <c r="S897" s="1">
        <v>2014</v>
      </c>
      <c r="T897" s="1">
        <v>2015</v>
      </c>
      <c r="U897" s="1">
        <v>2016</v>
      </c>
      <c r="V897" s="1">
        <v>2017</v>
      </c>
      <c r="W897" s="1">
        <v>2018</v>
      </c>
      <c r="X897" s="1">
        <v>2019</v>
      </c>
      <c r="Y897" s="1">
        <v>2020</v>
      </c>
      <c r="Z897" s="1">
        <v>2021</v>
      </c>
      <c r="AA897" s="1">
        <v>2022</v>
      </c>
      <c r="AB897" s="1">
        <v>2023</v>
      </c>
      <c r="AC897" s="1">
        <v>2024</v>
      </c>
      <c r="AD897" s="1">
        <v>2025</v>
      </c>
      <c r="AE897" s="1">
        <v>2026</v>
      </c>
      <c r="AF897" s="1">
        <v>2027</v>
      </c>
      <c r="AG897" s="1">
        <v>2028</v>
      </c>
      <c r="AH897" s="1">
        <v>2029</v>
      </c>
      <c r="AI897" s="1">
        <v>2030</v>
      </c>
      <c r="AJ897" s="1">
        <v>2031</v>
      </c>
      <c r="AK897" s="1">
        <v>2032</v>
      </c>
      <c r="AL897" s="1">
        <v>2033</v>
      </c>
      <c r="AM897" s="1">
        <v>2034</v>
      </c>
      <c r="AN897" s="1">
        <v>2035</v>
      </c>
      <c r="AO897" s="1">
        <v>2036</v>
      </c>
      <c r="AP897" s="1">
        <v>2037</v>
      </c>
      <c r="AQ897" s="1">
        <v>2038</v>
      </c>
      <c r="AR897" s="1">
        <v>2039</v>
      </c>
      <c r="AS897" s="1">
        <v>2040</v>
      </c>
      <c r="AT897" s="1">
        <v>2041</v>
      </c>
      <c r="AU897" s="1">
        <v>2042</v>
      </c>
      <c r="AV897" s="1">
        <v>2043</v>
      </c>
      <c r="AW897" s="1">
        <v>2044</v>
      </c>
      <c r="AX897" s="1">
        <v>2045</v>
      </c>
      <c r="AY897" s="1">
        <v>2046</v>
      </c>
      <c r="AZ897" s="1">
        <v>2047</v>
      </c>
      <c r="BA897" s="1">
        <v>2048</v>
      </c>
      <c r="BB897" s="1">
        <v>2049</v>
      </c>
      <c r="BC897" s="1">
        <v>2050</v>
      </c>
    </row>
    <row r="898" spans="1:55" x14ac:dyDescent="0.25">
      <c r="A898" s="1" t="str">
        <f>'Population Definitions'!$A$2</f>
        <v>PWID_males</v>
      </c>
      <c r="C898" t="s">
        <v>34</v>
      </c>
      <c r="D898" s="3"/>
      <c r="E898" s="3">
        <v>0</v>
      </c>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row>
    <row r="899" spans="1:55" x14ac:dyDescent="0.25">
      <c r="A899" s="1" t="str">
        <f>'Population Definitions'!$A$3</f>
        <v>PWID_females</v>
      </c>
      <c r="C899" t="s">
        <v>34</v>
      </c>
      <c r="D899" s="3"/>
      <c r="E899" s="3">
        <v>0</v>
      </c>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row>
    <row r="900" spans="1:55" x14ac:dyDescent="0.25">
      <c r="A900" s="1" t="str">
        <f>'Population Definitions'!$A$4</f>
        <v>0-9_males</v>
      </c>
      <c r="C900" t="s">
        <v>34</v>
      </c>
      <c r="D900" s="3"/>
      <c r="E900" s="3">
        <v>0</v>
      </c>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row>
    <row r="901" spans="1:55" x14ac:dyDescent="0.25">
      <c r="A901" s="1" t="str">
        <f>'Population Definitions'!$A$5</f>
        <v>0-9_females</v>
      </c>
      <c r="C901" t="s">
        <v>34</v>
      </c>
      <c r="D901" s="3"/>
      <c r="E901" s="3">
        <v>0</v>
      </c>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row>
    <row r="902" spans="1:55" x14ac:dyDescent="0.25">
      <c r="A902" s="1" t="str">
        <f>'Population Definitions'!$A$6</f>
        <v>10-17_males</v>
      </c>
      <c r="C902" t="s">
        <v>34</v>
      </c>
      <c r="D902" s="3"/>
      <c r="E902" s="3">
        <v>0</v>
      </c>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row>
    <row r="903" spans="1:55" x14ac:dyDescent="0.25">
      <c r="A903" s="1" t="str">
        <f>'Population Definitions'!$A$7</f>
        <v>10-17_females</v>
      </c>
      <c r="C903" t="s">
        <v>34</v>
      </c>
      <c r="D903" s="3"/>
      <c r="E903" s="3">
        <v>0</v>
      </c>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row>
    <row r="904" spans="1:55" x14ac:dyDescent="0.25">
      <c r="A904" s="1" t="str">
        <f>'Population Definitions'!$A$8</f>
        <v>18-64_males</v>
      </c>
      <c r="C904" t="s">
        <v>34</v>
      </c>
      <c r="D904" s="3"/>
      <c r="E904" s="3">
        <v>0</v>
      </c>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row>
    <row r="905" spans="1:55" x14ac:dyDescent="0.25">
      <c r="A905" s="1" t="str">
        <f>'Population Definitions'!$A$9</f>
        <v>18-64_females</v>
      </c>
      <c r="C905" t="s">
        <v>34</v>
      </c>
      <c r="D905" s="3"/>
      <c r="E905" s="3">
        <v>0</v>
      </c>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row>
    <row r="906" spans="1:55" x14ac:dyDescent="0.25">
      <c r="A906" s="1" t="str">
        <f>'Population Definitions'!$A$10</f>
        <v>65+_males</v>
      </c>
      <c r="C906" t="s">
        <v>34</v>
      </c>
      <c r="D906" s="3"/>
      <c r="E906" s="3">
        <v>0</v>
      </c>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row>
    <row r="907" spans="1:55" x14ac:dyDescent="0.25">
      <c r="A907" s="1" t="str">
        <f>'Population Definitions'!$A$11</f>
        <v>65+_females</v>
      </c>
      <c r="C907" t="s">
        <v>34</v>
      </c>
      <c r="D907" s="3"/>
      <c r="E907" s="3">
        <v>0</v>
      </c>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row>
    <row r="908" spans="1:55" x14ac:dyDescent="0.25">
      <c r="A908" s="1" t="str">
        <f>'Population Definitions'!$A$12</f>
        <v>Prisoners_males</v>
      </c>
      <c r="C908" t="s">
        <v>34</v>
      </c>
      <c r="D908" s="3"/>
      <c r="E908" s="3">
        <v>0</v>
      </c>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row>
    <row r="909" spans="1:55" x14ac:dyDescent="0.25">
      <c r="A909" s="1" t="str">
        <f>'Population Definitions'!$A$13</f>
        <v>Prisoners_females</v>
      </c>
      <c r="C909" t="s">
        <v>34</v>
      </c>
      <c r="D909" s="3"/>
      <c r="E909" s="3">
        <v>0</v>
      </c>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row>
    <row r="910" spans="1:55" x14ac:dyDescent="0.25">
      <c r="A910" s="1" t="str">
        <f>'Population Definitions'!$A$14</f>
        <v>Prisoners_PWID_males</v>
      </c>
      <c r="C910" t="s">
        <v>34</v>
      </c>
      <c r="D910" s="3"/>
      <c r="E910" s="3">
        <v>0</v>
      </c>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row>
    <row r="911" spans="1:55" x14ac:dyDescent="0.25">
      <c r="A911" s="1" t="str">
        <f>'Population Definitions'!$A$15</f>
        <v>Prisoners_PWID_females</v>
      </c>
      <c r="C911" t="s">
        <v>34</v>
      </c>
      <c r="D911" s="3"/>
      <c r="E911" s="3">
        <v>0</v>
      </c>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row>
    <row r="913" spans="1:55" x14ac:dyDescent="0.25">
      <c r="A913" s="1" t="s">
        <v>184</v>
      </c>
      <c r="B913" s="1" t="s">
        <v>31</v>
      </c>
      <c r="C913" s="1" t="s">
        <v>32</v>
      </c>
      <c r="D913" s="1" t="s">
        <v>33</v>
      </c>
      <c r="E913" s="1">
        <v>2000</v>
      </c>
      <c r="F913" s="1">
        <v>2001</v>
      </c>
      <c r="G913" s="1">
        <v>2002</v>
      </c>
      <c r="H913" s="1">
        <v>2003</v>
      </c>
      <c r="I913" s="1">
        <v>2004</v>
      </c>
      <c r="J913" s="1">
        <v>2005</v>
      </c>
      <c r="K913" s="1">
        <v>2006</v>
      </c>
      <c r="L913" s="1">
        <v>2007</v>
      </c>
      <c r="M913" s="1">
        <v>2008</v>
      </c>
      <c r="N913" s="1">
        <v>2009</v>
      </c>
      <c r="O913" s="1">
        <v>2010</v>
      </c>
      <c r="P913" s="1">
        <v>2011</v>
      </c>
      <c r="Q913" s="1">
        <v>2012</v>
      </c>
      <c r="R913" s="1">
        <v>2013</v>
      </c>
      <c r="S913" s="1">
        <v>2014</v>
      </c>
      <c r="T913" s="1">
        <v>2015</v>
      </c>
      <c r="U913" s="1">
        <v>2016</v>
      </c>
      <c r="V913" s="1">
        <v>2017</v>
      </c>
      <c r="W913" s="1">
        <v>2018</v>
      </c>
      <c r="X913" s="1">
        <v>2019</v>
      </c>
      <c r="Y913" s="1">
        <v>2020</v>
      </c>
      <c r="Z913" s="1">
        <v>2021</v>
      </c>
      <c r="AA913" s="1">
        <v>2022</v>
      </c>
      <c r="AB913" s="1">
        <v>2023</v>
      </c>
      <c r="AC913" s="1">
        <v>2024</v>
      </c>
      <c r="AD913" s="1">
        <v>2025</v>
      </c>
      <c r="AE913" s="1">
        <v>2026</v>
      </c>
      <c r="AF913" s="1">
        <v>2027</v>
      </c>
      <c r="AG913" s="1">
        <v>2028</v>
      </c>
      <c r="AH913" s="1">
        <v>2029</v>
      </c>
      <c r="AI913" s="1">
        <v>2030</v>
      </c>
      <c r="AJ913" s="1">
        <v>2031</v>
      </c>
      <c r="AK913" s="1">
        <v>2032</v>
      </c>
      <c r="AL913" s="1">
        <v>2033</v>
      </c>
      <c r="AM913" s="1">
        <v>2034</v>
      </c>
      <c r="AN913" s="1">
        <v>2035</v>
      </c>
      <c r="AO913" s="1">
        <v>2036</v>
      </c>
      <c r="AP913" s="1">
        <v>2037</v>
      </c>
      <c r="AQ913" s="1">
        <v>2038</v>
      </c>
      <c r="AR913" s="1">
        <v>2039</v>
      </c>
      <c r="AS913" s="1">
        <v>2040</v>
      </c>
      <c r="AT913" s="1">
        <v>2041</v>
      </c>
      <c r="AU913" s="1">
        <v>2042</v>
      </c>
      <c r="AV913" s="1">
        <v>2043</v>
      </c>
      <c r="AW913" s="1">
        <v>2044</v>
      </c>
      <c r="AX913" s="1">
        <v>2045</v>
      </c>
      <c r="AY913" s="1">
        <v>2046</v>
      </c>
      <c r="AZ913" s="1">
        <v>2047</v>
      </c>
      <c r="BA913" s="1">
        <v>2048</v>
      </c>
      <c r="BB913" s="1">
        <v>2049</v>
      </c>
      <c r="BC913" s="1">
        <v>2050</v>
      </c>
    </row>
    <row r="914" spans="1:55" x14ac:dyDescent="0.25">
      <c r="A914" s="1" t="str">
        <f>'Population Definitions'!$A$2</f>
        <v>PWID_males</v>
      </c>
      <c r="C914" t="s">
        <v>34</v>
      </c>
      <c r="D914" s="3"/>
      <c r="E914" s="3">
        <v>0</v>
      </c>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row>
    <row r="915" spans="1:55" x14ac:dyDescent="0.25">
      <c r="A915" s="1" t="str">
        <f>'Population Definitions'!$A$3</f>
        <v>PWID_females</v>
      </c>
      <c r="C915" t="s">
        <v>34</v>
      </c>
      <c r="D915" s="3"/>
      <c r="E915" s="3">
        <v>0</v>
      </c>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row>
    <row r="916" spans="1:55" x14ac:dyDescent="0.25">
      <c r="A916" s="1" t="str">
        <f>'Population Definitions'!$A$4</f>
        <v>0-9_males</v>
      </c>
      <c r="C916" t="s">
        <v>34</v>
      </c>
      <c r="D916" s="3"/>
      <c r="E916" s="3">
        <v>0</v>
      </c>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row>
    <row r="917" spans="1:55" x14ac:dyDescent="0.25">
      <c r="A917" s="1" t="str">
        <f>'Population Definitions'!$A$5</f>
        <v>0-9_females</v>
      </c>
      <c r="C917" t="s">
        <v>34</v>
      </c>
      <c r="D917" s="3"/>
      <c r="E917" s="3">
        <v>0</v>
      </c>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row>
    <row r="918" spans="1:55" x14ac:dyDescent="0.25">
      <c r="A918" s="1" t="str">
        <f>'Population Definitions'!$A$6</f>
        <v>10-17_males</v>
      </c>
      <c r="C918" t="s">
        <v>34</v>
      </c>
      <c r="D918" s="3"/>
      <c r="E918" s="3">
        <v>0</v>
      </c>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row>
    <row r="919" spans="1:55" x14ac:dyDescent="0.25">
      <c r="A919" s="1" t="str">
        <f>'Population Definitions'!$A$7</f>
        <v>10-17_females</v>
      </c>
      <c r="C919" t="s">
        <v>34</v>
      </c>
      <c r="D919" s="3"/>
      <c r="E919" s="3">
        <v>0</v>
      </c>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row>
    <row r="920" spans="1:55" x14ac:dyDescent="0.25">
      <c r="A920" s="1" t="str">
        <f>'Population Definitions'!$A$8</f>
        <v>18-64_males</v>
      </c>
      <c r="C920" t="s">
        <v>34</v>
      </c>
      <c r="D920" s="3"/>
      <c r="E920" s="3">
        <v>0</v>
      </c>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row>
    <row r="921" spans="1:55" x14ac:dyDescent="0.25">
      <c r="A921" s="1" t="str">
        <f>'Population Definitions'!$A$9</f>
        <v>18-64_females</v>
      </c>
      <c r="C921" t="s">
        <v>34</v>
      </c>
      <c r="D921" s="3"/>
      <c r="E921" s="3">
        <v>0</v>
      </c>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row>
    <row r="922" spans="1:55" x14ac:dyDescent="0.25">
      <c r="A922" s="1" t="str">
        <f>'Population Definitions'!$A$10</f>
        <v>65+_males</v>
      </c>
      <c r="C922" t="s">
        <v>34</v>
      </c>
      <c r="D922" s="3"/>
      <c r="E922" s="3">
        <v>0</v>
      </c>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row>
    <row r="923" spans="1:55" x14ac:dyDescent="0.25">
      <c r="A923" s="1" t="str">
        <f>'Population Definitions'!$A$11</f>
        <v>65+_females</v>
      </c>
      <c r="C923" t="s">
        <v>34</v>
      </c>
      <c r="D923" s="3"/>
      <c r="E923" s="3">
        <v>0</v>
      </c>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row>
    <row r="924" spans="1:55" x14ac:dyDescent="0.25">
      <c r="A924" s="1" t="str">
        <f>'Population Definitions'!$A$12</f>
        <v>Prisoners_males</v>
      </c>
      <c r="C924" t="s">
        <v>34</v>
      </c>
      <c r="D924" s="3"/>
      <c r="E924" s="3">
        <v>0</v>
      </c>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row>
    <row r="925" spans="1:55" x14ac:dyDescent="0.25">
      <c r="A925" s="1" t="str">
        <f>'Population Definitions'!$A$13</f>
        <v>Prisoners_females</v>
      </c>
      <c r="C925" t="s">
        <v>34</v>
      </c>
      <c r="D925" s="3"/>
      <c r="E925" s="3">
        <v>0</v>
      </c>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row>
    <row r="926" spans="1:55" x14ac:dyDescent="0.25">
      <c r="A926" s="1" t="str">
        <f>'Population Definitions'!$A$14</f>
        <v>Prisoners_PWID_males</v>
      </c>
      <c r="C926" t="s">
        <v>34</v>
      </c>
      <c r="D926" s="3"/>
      <c r="E926" s="3">
        <v>0</v>
      </c>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row>
    <row r="927" spans="1:55" x14ac:dyDescent="0.25">
      <c r="A927" s="1" t="str">
        <f>'Population Definitions'!$A$15</f>
        <v>Prisoners_PWID_females</v>
      </c>
      <c r="C927" t="s">
        <v>34</v>
      </c>
      <c r="D927" s="3"/>
      <c r="E927" s="3">
        <v>0</v>
      </c>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row>
    <row r="929" spans="1:55" x14ac:dyDescent="0.25">
      <c r="A929" s="1" t="s">
        <v>185</v>
      </c>
      <c r="B929" s="1" t="s">
        <v>31</v>
      </c>
      <c r="C929" s="1" t="s">
        <v>32</v>
      </c>
      <c r="D929" s="1" t="s">
        <v>33</v>
      </c>
      <c r="E929" s="1">
        <v>2000</v>
      </c>
      <c r="F929" s="1">
        <v>2001</v>
      </c>
      <c r="G929" s="1">
        <v>2002</v>
      </c>
      <c r="H929" s="1">
        <v>2003</v>
      </c>
      <c r="I929" s="1">
        <v>2004</v>
      </c>
      <c r="J929" s="1">
        <v>2005</v>
      </c>
      <c r="K929" s="1">
        <v>2006</v>
      </c>
      <c r="L929" s="1">
        <v>2007</v>
      </c>
      <c r="M929" s="1">
        <v>2008</v>
      </c>
      <c r="N929" s="1">
        <v>2009</v>
      </c>
      <c r="O929" s="1">
        <v>2010</v>
      </c>
      <c r="P929" s="1">
        <v>2011</v>
      </c>
      <c r="Q929" s="1">
        <v>2012</v>
      </c>
      <c r="R929" s="1">
        <v>2013</v>
      </c>
      <c r="S929" s="1">
        <v>2014</v>
      </c>
      <c r="T929" s="1">
        <v>2015</v>
      </c>
      <c r="U929" s="1">
        <v>2016</v>
      </c>
      <c r="V929" s="1">
        <v>2017</v>
      </c>
      <c r="W929" s="1">
        <v>2018</v>
      </c>
      <c r="X929" s="1">
        <v>2019</v>
      </c>
      <c r="Y929" s="1">
        <v>2020</v>
      </c>
      <c r="Z929" s="1">
        <v>2021</v>
      </c>
      <c r="AA929" s="1">
        <v>2022</v>
      </c>
      <c r="AB929" s="1">
        <v>2023</v>
      </c>
      <c r="AC929" s="1">
        <v>2024</v>
      </c>
      <c r="AD929" s="1">
        <v>2025</v>
      </c>
      <c r="AE929" s="1">
        <v>2026</v>
      </c>
      <c r="AF929" s="1">
        <v>2027</v>
      </c>
      <c r="AG929" s="1">
        <v>2028</v>
      </c>
      <c r="AH929" s="1">
        <v>2029</v>
      </c>
      <c r="AI929" s="1">
        <v>2030</v>
      </c>
      <c r="AJ929" s="1">
        <v>2031</v>
      </c>
      <c r="AK929" s="1">
        <v>2032</v>
      </c>
      <c r="AL929" s="1">
        <v>2033</v>
      </c>
      <c r="AM929" s="1">
        <v>2034</v>
      </c>
      <c r="AN929" s="1">
        <v>2035</v>
      </c>
      <c r="AO929" s="1">
        <v>2036</v>
      </c>
      <c r="AP929" s="1">
        <v>2037</v>
      </c>
      <c r="AQ929" s="1">
        <v>2038</v>
      </c>
      <c r="AR929" s="1">
        <v>2039</v>
      </c>
      <c r="AS929" s="1">
        <v>2040</v>
      </c>
      <c r="AT929" s="1">
        <v>2041</v>
      </c>
      <c r="AU929" s="1">
        <v>2042</v>
      </c>
      <c r="AV929" s="1">
        <v>2043</v>
      </c>
      <c r="AW929" s="1">
        <v>2044</v>
      </c>
      <c r="AX929" s="1">
        <v>2045</v>
      </c>
      <c r="AY929" s="1">
        <v>2046</v>
      </c>
      <c r="AZ929" s="1">
        <v>2047</v>
      </c>
      <c r="BA929" s="1">
        <v>2048</v>
      </c>
      <c r="BB929" s="1">
        <v>2049</v>
      </c>
      <c r="BC929" s="1">
        <v>2050</v>
      </c>
    </row>
    <row r="930" spans="1:55" x14ac:dyDescent="0.25">
      <c r="A930" s="1" t="str">
        <f>'Population Definitions'!$A$2</f>
        <v>PWID_males</v>
      </c>
      <c r="C930" t="s">
        <v>34</v>
      </c>
      <c r="D930" s="3"/>
      <c r="E930" s="3">
        <v>0</v>
      </c>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row>
    <row r="931" spans="1:55" x14ac:dyDescent="0.25">
      <c r="A931" s="1" t="str">
        <f>'Population Definitions'!$A$3</f>
        <v>PWID_females</v>
      </c>
      <c r="C931" t="s">
        <v>34</v>
      </c>
      <c r="D931" s="3"/>
      <c r="E931" s="3">
        <v>0</v>
      </c>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row>
    <row r="932" spans="1:55" x14ac:dyDescent="0.25">
      <c r="A932" s="1" t="str">
        <f>'Population Definitions'!$A$4</f>
        <v>0-9_males</v>
      </c>
      <c r="C932" t="s">
        <v>34</v>
      </c>
      <c r="D932" s="3"/>
      <c r="E932" s="3">
        <v>0</v>
      </c>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row>
    <row r="933" spans="1:55" x14ac:dyDescent="0.25">
      <c r="A933" s="1" t="str">
        <f>'Population Definitions'!$A$5</f>
        <v>0-9_females</v>
      </c>
      <c r="C933" t="s">
        <v>34</v>
      </c>
      <c r="D933" s="3"/>
      <c r="E933" s="3">
        <v>0</v>
      </c>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row>
    <row r="934" spans="1:55" x14ac:dyDescent="0.25">
      <c r="A934" s="1" t="str">
        <f>'Population Definitions'!$A$6</f>
        <v>10-17_males</v>
      </c>
      <c r="C934" t="s">
        <v>34</v>
      </c>
      <c r="D934" s="3"/>
      <c r="E934" s="3">
        <v>0</v>
      </c>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row>
    <row r="935" spans="1:55" x14ac:dyDescent="0.25">
      <c r="A935" s="1" t="str">
        <f>'Population Definitions'!$A$7</f>
        <v>10-17_females</v>
      </c>
      <c r="C935" t="s">
        <v>34</v>
      </c>
      <c r="D935" s="3"/>
      <c r="E935" s="3">
        <v>0</v>
      </c>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row>
    <row r="936" spans="1:55" x14ac:dyDescent="0.25">
      <c r="A936" s="1" t="str">
        <f>'Population Definitions'!$A$8</f>
        <v>18-64_males</v>
      </c>
      <c r="C936" t="s">
        <v>34</v>
      </c>
      <c r="D936" s="3"/>
      <c r="E936" s="3">
        <v>0</v>
      </c>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row>
    <row r="937" spans="1:55" x14ac:dyDescent="0.25">
      <c r="A937" s="1" t="str">
        <f>'Population Definitions'!$A$9</f>
        <v>18-64_females</v>
      </c>
      <c r="C937" t="s">
        <v>34</v>
      </c>
      <c r="D937" s="3"/>
      <c r="E937" s="3">
        <v>0</v>
      </c>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row>
    <row r="938" spans="1:55" x14ac:dyDescent="0.25">
      <c r="A938" s="1" t="str">
        <f>'Population Definitions'!$A$10</f>
        <v>65+_males</v>
      </c>
      <c r="C938" t="s">
        <v>34</v>
      </c>
      <c r="D938" s="3"/>
      <c r="E938" s="3">
        <v>0</v>
      </c>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row>
    <row r="939" spans="1:55" x14ac:dyDescent="0.25">
      <c r="A939" s="1" t="str">
        <f>'Population Definitions'!$A$11</f>
        <v>65+_females</v>
      </c>
      <c r="C939" t="s">
        <v>34</v>
      </c>
      <c r="D939" s="3"/>
      <c r="E939" s="3">
        <v>0</v>
      </c>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row>
    <row r="940" spans="1:55" x14ac:dyDescent="0.25">
      <c r="A940" s="1" t="str">
        <f>'Population Definitions'!$A$12</f>
        <v>Prisoners_males</v>
      </c>
      <c r="C940" t="s">
        <v>34</v>
      </c>
      <c r="D940" s="3"/>
      <c r="E940" s="3">
        <v>0</v>
      </c>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row>
    <row r="941" spans="1:55" x14ac:dyDescent="0.25">
      <c r="A941" s="1" t="str">
        <f>'Population Definitions'!$A$13</f>
        <v>Prisoners_females</v>
      </c>
      <c r="C941" t="s">
        <v>34</v>
      </c>
      <c r="D941" s="3"/>
      <c r="E941" s="3">
        <v>0</v>
      </c>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row>
    <row r="942" spans="1:55" x14ac:dyDescent="0.25">
      <c r="A942" s="1" t="str">
        <f>'Population Definitions'!$A$14</f>
        <v>Prisoners_PWID_males</v>
      </c>
      <c r="C942" t="s">
        <v>34</v>
      </c>
      <c r="D942" s="3"/>
      <c r="E942" s="3">
        <v>0</v>
      </c>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row>
    <row r="943" spans="1:55" x14ac:dyDescent="0.25">
      <c r="A943" s="1" t="str">
        <f>'Population Definitions'!$A$15</f>
        <v>Prisoners_PWID_females</v>
      </c>
      <c r="C943" t="s">
        <v>34</v>
      </c>
      <c r="D943" s="3"/>
      <c r="E943" s="3">
        <v>0</v>
      </c>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row>
    <row r="945" spans="1:55" x14ac:dyDescent="0.25">
      <c r="A945" s="1" t="s">
        <v>186</v>
      </c>
      <c r="B945" s="1" t="s">
        <v>31</v>
      </c>
      <c r="C945" s="1" t="s">
        <v>32</v>
      </c>
      <c r="D945" s="1" t="s">
        <v>33</v>
      </c>
      <c r="E945" s="1">
        <v>2000</v>
      </c>
      <c r="F945" s="1">
        <v>2001</v>
      </c>
      <c r="G945" s="1">
        <v>2002</v>
      </c>
      <c r="H945" s="1">
        <v>2003</v>
      </c>
      <c r="I945" s="1">
        <v>2004</v>
      </c>
      <c r="J945" s="1">
        <v>2005</v>
      </c>
      <c r="K945" s="1">
        <v>2006</v>
      </c>
      <c r="L945" s="1">
        <v>2007</v>
      </c>
      <c r="M945" s="1">
        <v>2008</v>
      </c>
      <c r="N945" s="1">
        <v>2009</v>
      </c>
      <c r="O945" s="1">
        <v>2010</v>
      </c>
      <c r="P945" s="1">
        <v>2011</v>
      </c>
      <c r="Q945" s="1">
        <v>2012</v>
      </c>
      <c r="R945" s="1">
        <v>2013</v>
      </c>
      <c r="S945" s="1">
        <v>2014</v>
      </c>
      <c r="T945" s="1">
        <v>2015</v>
      </c>
      <c r="U945" s="1">
        <v>2016</v>
      </c>
      <c r="V945" s="1">
        <v>2017</v>
      </c>
      <c r="W945" s="1">
        <v>2018</v>
      </c>
      <c r="X945" s="1">
        <v>2019</v>
      </c>
      <c r="Y945" s="1">
        <v>2020</v>
      </c>
      <c r="Z945" s="1">
        <v>2021</v>
      </c>
      <c r="AA945" s="1">
        <v>2022</v>
      </c>
      <c r="AB945" s="1">
        <v>2023</v>
      </c>
      <c r="AC945" s="1">
        <v>2024</v>
      </c>
      <c r="AD945" s="1">
        <v>2025</v>
      </c>
      <c r="AE945" s="1">
        <v>2026</v>
      </c>
      <c r="AF945" s="1">
        <v>2027</v>
      </c>
      <c r="AG945" s="1">
        <v>2028</v>
      </c>
      <c r="AH945" s="1">
        <v>2029</v>
      </c>
      <c r="AI945" s="1">
        <v>2030</v>
      </c>
      <c r="AJ945" s="1">
        <v>2031</v>
      </c>
      <c r="AK945" s="1">
        <v>2032</v>
      </c>
      <c r="AL945" s="1">
        <v>2033</v>
      </c>
      <c r="AM945" s="1">
        <v>2034</v>
      </c>
      <c r="AN945" s="1">
        <v>2035</v>
      </c>
      <c r="AO945" s="1">
        <v>2036</v>
      </c>
      <c r="AP945" s="1">
        <v>2037</v>
      </c>
      <c r="AQ945" s="1">
        <v>2038</v>
      </c>
      <c r="AR945" s="1">
        <v>2039</v>
      </c>
      <c r="AS945" s="1">
        <v>2040</v>
      </c>
      <c r="AT945" s="1">
        <v>2041</v>
      </c>
      <c r="AU945" s="1">
        <v>2042</v>
      </c>
      <c r="AV945" s="1">
        <v>2043</v>
      </c>
      <c r="AW945" s="1">
        <v>2044</v>
      </c>
      <c r="AX945" s="1">
        <v>2045</v>
      </c>
      <c r="AY945" s="1">
        <v>2046</v>
      </c>
      <c r="AZ945" s="1">
        <v>2047</v>
      </c>
      <c r="BA945" s="1">
        <v>2048</v>
      </c>
      <c r="BB945" s="1">
        <v>2049</v>
      </c>
      <c r="BC945" s="1">
        <v>2050</v>
      </c>
    </row>
    <row r="946" spans="1:55" x14ac:dyDescent="0.25">
      <c r="A946" s="1" t="str">
        <f>'Population Definitions'!$A$2</f>
        <v>PWID_males</v>
      </c>
      <c r="C946" t="s">
        <v>34</v>
      </c>
      <c r="D946" s="3"/>
      <c r="E946" s="3">
        <v>0</v>
      </c>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row>
    <row r="947" spans="1:55" x14ac:dyDescent="0.25">
      <c r="A947" s="1" t="str">
        <f>'Population Definitions'!$A$3</f>
        <v>PWID_females</v>
      </c>
      <c r="C947" t="s">
        <v>34</v>
      </c>
      <c r="D947" s="3"/>
      <c r="E947" s="3">
        <v>0</v>
      </c>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row>
    <row r="948" spans="1:55" x14ac:dyDescent="0.25">
      <c r="A948" s="1" t="str">
        <f>'Population Definitions'!$A$4</f>
        <v>0-9_males</v>
      </c>
      <c r="C948" t="s">
        <v>34</v>
      </c>
      <c r="D948" s="3"/>
      <c r="E948" s="3">
        <v>0</v>
      </c>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row>
    <row r="949" spans="1:55" x14ac:dyDescent="0.25">
      <c r="A949" s="1" t="str">
        <f>'Population Definitions'!$A$5</f>
        <v>0-9_females</v>
      </c>
      <c r="C949" t="s">
        <v>34</v>
      </c>
      <c r="D949" s="3"/>
      <c r="E949" s="3">
        <v>0</v>
      </c>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row>
    <row r="950" spans="1:55" x14ac:dyDescent="0.25">
      <c r="A950" s="1" t="str">
        <f>'Population Definitions'!$A$6</f>
        <v>10-17_males</v>
      </c>
      <c r="C950" t="s">
        <v>34</v>
      </c>
      <c r="D950" s="3"/>
      <c r="E950" s="3">
        <v>0</v>
      </c>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row>
    <row r="951" spans="1:55" x14ac:dyDescent="0.25">
      <c r="A951" s="1" t="str">
        <f>'Population Definitions'!$A$7</f>
        <v>10-17_females</v>
      </c>
      <c r="C951" t="s">
        <v>34</v>
      </c>
      <c r="D951" s="3"/>
      <c r="E951" s="3">
        <v>0</v>
      </c>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row>
    <row r="952" spans="1:55" x14ac:dyDescent="0.25">
      <c r="A952" s="1" t="str">
        <f>'Population Definitions'!$A$8</f>
        <v>18-64_males</v>
      </c>
      <c r="C952" t="s">
        <v>34</v>
      </c>
      <c r="D952" s="3"/>
      <c r="E952" s="3">
        <v>0</v>
      </c>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row>
    <row r="953" spans="1:55" x14ac:dyDescent="0.25">
      <c r="A953" s="1" t="str">
        <f>'Population Definitions'!$A$9</f>
        <v>18-64_females</v>
      </c>
      <c r="C953" t="s">
        <v>34</v>
      </c>
      <c r="D953" s="3"/>
      <c r="E953" s="3">
        <v>0</v>
      </c>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row>
    <row r="954" spans="1:55" x14ac:dyDescent="0.25">
      <c r="A954" s="1" t="str">
        <f>'Population Definitions'!$A$10</f>
        <v>65+_males</v>
      </c>
      <c r="C954" t="s">
        <v>34</v>
      </c>
      <c r="D954" s="3"/>
      <c r="E954" s="3">
        <v>0</v>
      </c>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row>
    <row r="955" spans="1:55" x14ac:dyDescent="0.25">
      <c r="A955" s="1" t="str">
        <f>'Population Definitions'!$A$11</f>
        <v>65+_females</v>
      </c>
      <c r="C955" t="s">
        <v>34</v>
      </c>
      <c r="D955" s="3"/>
      <c r="E955" s="3">
        <v>0</v>
      </c>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row>
    <row r="956" spans="1:55" x14ac:dyDescent="0.25">
      <c r="A956" s="1" t="str">
        <f>'Population Definitions'!$A$12</f>
        <v>Prisoners_males</v>
      </c>
      <c r="C956" t="s">
        <v>34</v>
      </c>
      <c r="D956" s="3"/>
      <c r="E956" s="3">
        <v>0</v>
      </c>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row>
    <row r="957" spans="1:55" x14ac:dyDescent="0.25">
      <c r="A957" s="1" t="str">
        <f>'Population Definitions'!$A$13</f>
        <v>Prisoners_females</v>
      </c>
      <c r="C957" t="s">
        <v>34</v>
      </c>
      <c r="D957" s="3"/>
      <c r="E957" s="3">
        <v>0</v>
      </c>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row>
    <row r="958" spans="1:55" x14ac:dyDescent="0.25">
      <c r="A958" s="1" t="str">
        <f>'Population Definitions'!$A$14</f>
        <v>Prisoners_PWID_males</v>
      </c>
      <c r="C958" t="s">
        <v>34</v>
      </c>
      <c r="D958" s="3"/>
      <c r="E958" s="3">
        <v>0</v>
      </c>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row>
    <row r="959" spans="1:55" x14ac:dyDescent="0.25">
      <c r="A959" s="1" t="str">
        <f>'Population Definitions'!$A$15</f>
        <v>Prisoners_PWID_females</v>
      </c>
      <c r="C959" t="s">
        <v>34</v>
      </c>
      <c r="D959" s="3"/>
      <c r="E959" s="3">
        <v>0</v>
      </c>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row>
    <row r="961" spans="1:55" x14ac:dyDescent="0.25">
      <c r="A961" s="1" t="s">
        <v>187</v>
      </c>
      <c r="B961" s="1" t="s">
        <v>31</v>
      </c>
      <c r="C961" s="1" t="s">
        <v>32</v>
      </c>
      <c r="D961" s="1" t="s">
        <v>33</v>
      </c>
      <c r="E961" s="1">
        <v>2000</v>
      </c>
      <c r="F961" s="1">
        <v>2001</v>
      </c>
      <c r="G961" s="1">
        <v>2002</v>
      </c>
      <c r="H961" s="1">
        <v>2003</v>
      </c>
      <c r="I961" s="1">
        <v>2004</v>
      </c>
      <c r="J961" s="1">
        <v>2005</v>
      </c>
      <c r="K961" s="1">
        <v>2006</v>
      </c>
      <c r="L961" s="1">
        <v>2007</v>
      </c>
      <c r="M961" s="1">
        <v>2008</v>
      </c>
      <c r="N961" s="1">
        <v>2009</v>
      </c>
      <c r="O961" s="1">
        <v>2010</v>
      </c>
      <c r="P961" s="1">
        <v>2011</v>
      </c>
      <c r="Q961" s="1">
        <v>2012</v>
      </c>
      <c r="R961" s="1">
        <v>2013</v>
      </c>
      <c r="S961" s="1">
        <v>2014</v>
      </c>
      <c r="T961" s="1">
        <v>2015</v>
      </c>
      <c r="U961" s="1">
        <v>2016</v>
      </c>
      <c r="V961" s="1">
        <v>2017</v>
      </c>
      <c r="W961" s="1">
        <v>2018</v>
      </c>
      <c r="X961" s="1">
        <v>2019</v>
      </c>
      <c r="Y961" s="1">
        <v>2020</v>
      </c>
      <c r="Z961" s="1">
        <v>2021</v>
      </c>
      <c r="AA961" s="1">
        <v>2022</v>
      </c>
      <c r="AB961" s="1">
        <v>2023</v>
      </c>
      <c r="AC961" s="1">
        <v>2024</v>
      </c>
      <c r="AD961" s="1">
        <v>2025</v>
      </c>
      <c r="AE961" s="1">
        <v>2026</v>
      </c>
      <c r="AF961" s="1">
        <v>2027</v>
      </c>
      <c r="AG961" s="1">
        <v>2028</v>
      </c>
      <c r="AH961" s="1">
        <v>2029</v>
      </c>
      <c r="AI961" s="1">
        <v>2030</v>
      </c>
      <c r="AJ961" s="1">
        <v>2031</v>
      </c>
      <c r="AK961" s="1">
        <v>2032</v>
      </c>
      <c r="AL961" s="1">
        <v>2033</v>
      </c>
      <c r="AM961" s="1">
        <v>2034</v>
      </c>
      <c r="AN961" s="1">
        <v>2035</v>
      </c>
      <c r="AO961" s="1">
        <v>2036</v>
      </c>
      <c r="AP961" s="1">
        <v>2037</v>
      </c>
      <c r="AQ961" s="1">
        <v>2038</v>
      </c>
      <c r="AR961" s="1">
        <v>2039</v>
      </c>
      <c r="AS961" s="1">
        <v>2040</v>
      </c>
      <c r="AT961" s="1">
        <v>2041</v>
      </c>
      <c r="AU961" s="1">
        <v>2042</v>
      </c>
      <c r="AV961" s="1">
        <v>2043</v>
      </c>
      <c r="AW961" s="1">
        <v>2044</v>
      </c>
      <c r="AX961" s="1">
        <v>2045</v>
      </c>
      <c r="AY961" s="1">
        <v>2046</v>
      </c>
      <c r="AZ961" s="1">
        <v>2047</v>
      </c>
      <c r="BA961" s="1">
        <v>2048</v>
      </c>
      <c r="BB961" s="1">
        <v>2049</v>
      </c>
      <c r="BC961" s="1">
        <v>2050</v>
      </c>
    </row>
    <row r="962" spans="1:55" x14ac:dyDescent="0.25">
      <c r="A962" s="1" t="str">
        <f>'Population Definitions'!$A$2</f>
        <v>PWID_males</v>
      </c>
      <c r="C962" t="s">
        <v>34</v>
      </c>
      <c r="D962" s="3"/>
      <c r="E962" s="3">
        <v>0</v>
      </c>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row>
    <row r="963" spans="1:55" x14ac:dyDescent="0.25">
      <c r="A963" s="1" t="str">
        <f>'Population Definitions'!$A$3</f>
        <v>PWID_females</v>
      </c>
      <c r="C963" t="s">
        <v>34</v>
      </c>
      <c r="D963" s="3"/>
      <c r="E963" s="3">
        <v>0</v>
      </c>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row>
    <row r="964" spans="1:55" x14ac:dyDescent="0.25">
      <c r="A964" s="1" t="str">
        <f>'Population Definitions'!$A$4</f>
        <v>0-9_males</v>
      </c>
      <c r="C964" t="s">
        <v>34</v>
      </c>
      <c r="D964" s="3"/>
      <c r="E964" s="3">
        <v>0</v>
      </c>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row>
    <row r="965" spans="1:55" x14ac:dyDescent="0.25">
      <c r="A965" s="1" t="str">
        <f>'Population Definitions'!$A$5</f>
        <v>0-9_females</v>
      </c>
      <c r="C965" t="s">
        <v>34</v>
      </c>
      <c r="D965" s="3"/>
      <c r="E965" s="3">
        <v>0</v>
      </c>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row>
    <row r="966" spans="1:55" x14ac:dyDescent="0.25">
      <c r="A966" s="1" t="str">
        <f>'Population Definitions'!$A$6</f>
        <v>10-17_males</v>
      </c>
      <c r="C966" t="s">
        <v>34</v>
      </c>
      <c r="D966" s="3"/>
      <c r="E966" s="3">
        <v>0</v>
      </c>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row>
    <row r="967" spans="1:55" x14ac:dyDescent="0.25">
      <c r="A967" s="1" t="str">
        <f>'Population Definitions'!$A$7</f>
        <v>10-17_females</v>
      </c>
      <c r="C967" t="s">
        <v>34</v>
      </c>
      <c r="D967" s="3"/>
      <c r="E967" s="3">
        <v>0</v>
      </c>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row>
    <row r="968" spans="1:55" x14ac:dyDescent="0.25">
      <c r="A968" s="1" t="str">
        <f>'Population Definitions'!$A$8</f>
        <v>18-64_males</v>
      </c>
      <c r="C968" t="s">
        <v>34</v>
      </c>
      <c r="D968" s="3"/>
      <c r="E968" s="3">
        <v>0</v>
      </c>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row>
    <row r="969" spans="1:55" x14ac:dyDescent="0.25">
      <c r="A969" s="1" t="str">
        <f>'Population Definitions'!$A$9</f>
        <v>18-64_females</v>
      </c>
      <c r="C969" t="s">
        <v>34</v>
      </c>
      <c r="D969" s="3"/>
      <c r="E969" s="3">
        <v>0</v>
      </c>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row>
    <row r="970" spans="1:55" x14ac:dyDescent="0.25">
      <c r="A970" s="1" t="str">
        <f>'Population Definitions'!$A$10</f>
        <v>65+_males</v>
      </c>
      <c r="C970" t="s">
        <v>34</v>
      </c>
      <c r="D970" s="3"/>
      <c r="E970" s="3">
        <v>0</v>
      </c>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row>
    <row r="971" spans="1:55" x14ac:dyDescent="0.25">
      <c r="A971" s="1" t="str">
        <f>'Population Definitions'!$A$11</f>
        <v>65+_females</v>
      </c>
      <c r="C971" t="s">
        <v>34</v>
      </c>
      <c r="D971" s="3"/>
      <c r="E971" s="3">
        <v>0</v>
      </c>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row>
    <row r="972" spans="1:55" x14ac:dyDescent="0.25">
      <c r="A972" s="1" t="str">
        <f>'Population Definitions'!$A$12</f>
        <v>Prisoners_males</v>
      </c>
      <c r="C972" t="s">
        <v>34</v>
      </c>
      <c r="D972" s="3"/>
      <c r="E972" s="3">
        <v>0</v>
      </c>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row>
    <row r="973" spans="1:55" x14ac:dyDescent="0.25">
      <c r="A973" s="1" t="str">
        <f>'Population Definitions'!$A$13</f>
        <v>Prisoners_females</v>
      </c>
      <c r="C973" t="s">
        <v>34</v>
      </c>
      <c r="D973" s="3"/>
      <c r="E973" s="3">
        <v>0</v>
      </c>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row>
    <row r="974" spans="1:55" x14ac:dyDescent="0.25">
      <c r="A974" s="1" t="str">
        <f>'Population Definitions'!$A$14</f>
        <v>Prisoners_PWID_males</v>
      </c>
      <c r="C974" t="s">
        <v>34</v>
      </c>
      <c r="D974" s="3"/>
      <c r="E974" s="3">
        <v>0</v>
      </c>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row>
    <row r="975" spans="1:55" x14ac:dyDescent="0.25">
      <c r="A975" s="1" t="str">
        <f>'Population Definitions'!$A$15</f>
        <v>Prisoners_PWID_females</v>
      </c>
      <c r="C975" t="s">
        <v>34</v>
      </c>
      <c r="D975" s="3"/>
      <c r="E975" s="3">
        <v>0</v>
      </c>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row>
    <row r="977" spans="1:55" x14ac:dyDescent="0.25">
      <c r="A977" s="1" t="s">
        <v>188</v>
      </c>
      <c r="B977" s="1" t="s">
        <v>31</v>
      </c>
      <c r="C977" s="1" t="s">
        <v>32</v>
      </c>
      <c r="D977" s="1" t="s">
        <v>33</v>
      </c>
      <c r="E977" s="1">
        <v>2000</v>
      </c>
      <c r="F977" s="1">
        <v>2001</v>
      </c>
      <c r="G977" s="1">
        <v>2002</v>
      </c>
      <c r="H977" s="1">
        <v>2003</v>
      </c>
      <c r="I977" s="1">
        <v>2004</v>
      </c>
      <c r="J977" s="1">
        <v>2005</v>
      </c>
      <c r="K977" s="1">
        <v>2006</v>
      </c>
      <c r="L977" s="1">
        <v>2007</v>
      </c>
      <c r="M977" s="1">
        <v>2008</v>
      </c>
      <c r="N977" s="1">
        <v>2009</v>
      </c>
      <c r="O977" s="1">
        <v>2010</v>
      </c>
      <c r="P977" s="1">
        <v>2011</v>
      </c>
      <c r="Q977" s="1">
        <v>2012</v>
      </c>
      <c r="R977" s="1">
        <v>2013</v>
      </c>
      <c r="S977" s="1">
        <v>2014</v>
      </c>
      <c r="T977" s="1">
        <v>2015</v>
      </c>
      <c r="U977" s="1">
        <v>2016</v>
      </c>
      <c r="V977" s="1">
        <v>2017</v>
      </c>
      <c r="W977" s="1">
        <v>2018</v>
      </c>
      <c r="X977" s="1">
        <v>2019</v>
      </c>
      <c r="Y977" s="1">
        <v>2020</v>
      </c>
      <c r="Z977" s="1">
        <v>2021</v>
      </c>
      <c r="AA977" s="1">
        <v>2022</v>
      </c>
      <c r="AB977" s="1">
        <v>2023</v>
      </c>
      <c r="AC977" s="1">
        <v>2024</v>
      </c>
      <c r="AD977" s="1">
        <v>2025</v>
      </c>
      <c r="AE977" s="1">
        <v>2026</v>
      </c>
      <c r="AF977" s="1">
        <v>2027</v>
      </c>
      <c r="AG977" s="1">
        <v>2028</v>
      </c>
      <c r="AH977" s="1">
        <v>2029</v>
      </c>
      <c r="AI977" s="1">
        <v>2030</v>
      </c>
      <c r="AJ977" s="1">
        <v>2031</v>
      </c>
      <c r="AK977" s="1">
        <v>2032</v>
      </c>
      <c r="AL977" s="1">
        <v>2033</v>
      </c>
      <c r="AM977" s="1">
        <v>2034</v>
      </c>
      <c r="AN977" s="1">
        <v>2035</v>
      </c>
      <c r="AO977" s="1">
        <v>2036</v>
      </c>
      <c r="AP977" s="1">
        <v>2037</v>
      </c>
      <c r="AQ977" s="1">
        <v>2038</v>
      </c>
      <c r="AR977" s="1">
        <v>2039</v>
      </c>
      <c r="AS977" s="1">
        <v>2040</v>
      </c>
      <c r="AT977" s="1">
        <v>2041</v>
      </c>
      <c r="AU977" s="1">
        <v>2042</v>
      </c>
      <c r="AV977" s="1">
        <v>2043</v>
      </c>
      <c r="AW977" s="1">
        <v>2044</v>
      </c>
      <c r="AX977" s="1">
        <v>2045</v>
      </c>
      <c r="AY977" s="1">
        <v>2046</v>
      </c>
      <c r="AZ977" s="1">
        <v>2047</v>
      </c>
      <c r="BA977" s="1">
        <v>2048</v>
      </c>
      <c r="BB977" s="1">
        <v>2049</v>
      </c>
      <c r="BC977" s="1">
        <v>2050</v>
      </c>
    </row>
    <row r="978" spans="1:55" x14ac:dyDescent="0.25">
      <c r="A978" s="1" t="str">
        <f>'Population Definitions'!$A$2</f>
        <v>PWID_males</v>
      </c>
      <c r="C978" t="s">
        <v>34</v>
      </c>
      <c r="D978" s="3"/>
      <c r="E978" s="3">
        <v>0</v>
      </c>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row>
    <row r="979" spans="1:55" x14ac:dyDescent="0.25">
      <c r="A979" s="1" t="str">
        <f>'Population Definitions'!$A$3</f>
        <v>PWID_females</v>
      </c>
      <c r="C979" t="s">
        <v>34</v>
      </c>
      <c r="D979" s="3"/>
      <c r="E979" s="3">
        <v>0</v>
      </c>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row>
    <row r="980" spans="1:55" x14ac:dyDescent="0.25">
      <c r="A980" s="1" t="str">
        <f>'Population Definitions'!$A$4</f>
        <v>0-9_males</v>
      </c>
      <c r="C980" t="s">
        <v>34</v>
      </c>
      <c r="D980" s="3"/>
      <c r="E980" s="3">
        <v>0</v>
      </c>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row>
    <row r="981" spans="1:55" x14ac:dyDescent="0.25">
      <c r="A981" s="1" t="str">
        <f>'Population Definitions'!$A$5</f>
        <v>0-9_females</v>
      </c>
      <c r="C981" t="s">
        <v>34</v>
      </c>
      <c r="D981" s="3"/>
      <c r="E981" s="3">
        <v>0</v>
      </c>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row>
    <row r="982" spans="1:55" x14ac:dyDescent="0.25">
      <c r="A982" s="1" t="str">
        <f>'Population Definitions'!$A$6</f>
        <v>10-17_males</v>
      </c>
      <c r="C982" t="s">
        <v>34</v>
      </c>
      <c r="D982" s="3"/>
      <c r="E982" s="3">
        <v>0</v>
      </c>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row>
    <row r="983" spans="1:55" x14ac:dyDescent="0.25">
      <c r="A983" s="1" t="str">
        <f>'Population Definitions'!$A$7</f>
        <v>10-17_females</v>
      </c>
      <c r="C983" t="s">
        <v>34</v>
      </c>
      <c r="D983" s="3"/>
      <c r="E983" s="3">
        <v>0</v>
      </c>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row>
    <row r="984" spans="1:55" x14ac:dyDescent="0.25">
      <c r="A984" s="1" t="str">
        <f>'Population Definitions'!$A$8</f>
        <v>18-64_males</v>
      </c>
      <c r="C984" t="s">
        <v>34</v>
      </c>
      <c r="D984" s="3"/>
      <c r="E984" s="3">
        <v>0</v>
      </c>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row>
    <row r="985" spans="1:55" x14ac:dyDescent="0.25">
      <c r="A985" s="1" t="str">
        <f>'Population Definitions'!$A$9</f>
        <v>18-64_females</v>
      </c>
      <c r="C985" t="s">
        <v>34</v>
      </c>
      <c r="D985" s="3"/>
      <c r="E985" s="3">
        <v>0</v>
      </c>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row>
    <row r="986" spans="1:55" x14ac:dyDescent="0.25">
      <c r="A986" s="1" t="str">
        <f>'Population Definitions'!$A$10</f>
        <v>65+_males</v>
      </c>
      <c r="C986" t="s">
        <v>34</v>
      </c>
      <c r="D986" s="3"/>
      <c r="E986" s="3">
        <v>0</v>
      </c>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row>
    <row r="987" spans="1:55" x14ac:dyDescent="0.25">
      <c r="A987" s="1" t="str">
        <f>'Population Definitions'!$A$11</f>
        <v>65+_females</v>
      </c>
      <c r="C987" t="s">
        <v>34</v>
      </c>
      <c r="D987" s="3"/>
      <c r="E987" s="3">
        <v>0</v>
      </c>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row>
    <row r="988" spans="1:55" x14ac:dyDescent="0.25">
      <c r="A988" s="1" t="str">
        <f>'Population Definitions'!$A$12</f>
        <v>Prisoners_males</v>
      </c>
      <c r="C988" t="s">
        <v>34</v>
      </c>
      <c r="D988" s="3"/>
      <c r="E988" s="3">
        <v>0</v>
      </c>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row>
    <row r="989" spans="1:55" x14ac:dyDescent="0.25">
      <c r="A989" s="1" t="str">
        <f>'Population Definitions'!$A$13</f>
        <v>Prisoners_females</v>
      </c>
      <c r="C989" t="s">
        <v>34</v>
      </c>
      <c r="D989" s="3"/>
      <c r="E989" s="3">
        <v>0</v>
      </c>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row>
    <row r="990" spans="1:55" x14ac:dyDescent="0.25">
      <c r="A990" s="1" t="str">
        <f>'Population Definitions'!$A$14</f>
        <v>Prisoners_PWID_males</v>
      </c>
      <c r="C990" t="s">
        <v>34</v>
      </c>
      <c r="D990" s="3"/>
      <c r="E990" s="3">
        <v>0</v>
      </c>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row>
    <row r="991" spans="1:55" x14ac:dyDescent="0.25">
      <c r="A991" s="1" t="str">
        <f>'Population Definitions'!$A$15</f>
        <v>Prisoners_PWID_females</v>
      </c>
      <c r="C991" t="s">
        <v>34</v>
      </c>
      <c r="D991" s="3"/>
      <c r="E991" s="3">
        <v>0</v>
      </c>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row>
    <row r="993" spans="1:55" x14ac:dyDescent="0.25">
      <c r="A993" s="1" t="s">
        <v>189</v>
      </c>
      <c r="B993" s="1" t="s">
        <v>31</v>
      </c>
      <c r="C993" s="1" t="s">
        <v>32</v>
      </c>
      <c r="D993" s="1" t="s">
        <v>33</v>
      </c>
      <c r="E993" s="1">
        <v>2000</v>
      </c>
      <c r="F993" s="1">
        <v>2001</v>
      </c>
      <c r="G993" s="1">
        <v>2002</v>
      </c>
      <c r="H993" s="1">
        <v>2003</v>
      </c>
      <c r="I993" s="1">
        <v>2004</v>
      </c>
      <c r="J993" s="1">
        <v>2005</v>
      </c>
      <c r="K993" s="1">
        <v>2006</v>
      </c>
      <c r="L993" s="1">
        <v>2007</v>
      </c>
      <c r="M993" s="1">
        <v>2008</v>
      </c>
      <c r="N993" s="1">
        <v>2009</v>
      </c>
      <c r="O993" s="1">
        <v>2010</v>
      </c>
      <c r="P993" s="1">
        <v>2011</v>
      </c>
      <c r="Q993" s="1">
        <v>2012</v>
      </c>
      <c r="R993" s="1">
        <v>2013</v>
      </c>
      <c r="S993" s="1">
        <v>2014</v>
      </c>
      <c r="T993" s="1">
        <v>2015</v>
      </c>
      <c r="U993" s="1">
        <v>2016</v>
      </c>
      <c r="V993" s="1">
        <v>2017</v>
      </c>
      <c r="W993" s="1">
        <v>2018</v>
      </c>
      <c r="X993" s="1">
        <v>2019</v>
      </c>
      <c r="Y993" s="1">
        <v>2020</v>
      </c>
      <c r="Z993" s="1">
        <v>2021</v>
      </c>
      <c r="AA993" s="1">
        <v>2022</v>
      </c>
      <c r="AB993" s="1">
        <v>2023</v>
      </c>
      <c r="AC993" s="1">
        <v>2024</v>
      </c>
      <c r="AD993" s="1">
        <v>2025</v>
      </c>
      <c r="AE993" s="1">
        <v>2026</v>
      </c>
      <c r="AF993" s="1">
        <v>2027</v>
      </c>
      <c r="AG993" s="1">
        <v>2028</v>
      </c>
      <c r="AH993" s="1">
        <v>2029</v>
      </c>
      <c r="AI993" s="1">
        <v>2030</v>
      </c>
      <c r="AJ993" s="1">
        <v>2031</v>
      </c>
      <c r="AK993" s="1">
        <v>2032</v>
      </c>
      <c r="AL993" s="1">
        <v>2033</v>
      </c>
      <c r="AM993" s="1">
        <v>2034</v>
      </c>
      <c r="AN993" s="1">
        <v>2035</v>
      </c>
      <c r="AO993" s="1">
        <v>2036</v>
      </c>
      <c r="AP993" s="1">
        <v>2037</v>
      </c>
      <c r="AQ993" s="1">
        <v>2038</v>
      </c>
      <c r="AR993" s="1">
        <v>2039</v>
      </c>
      <c r="AS993" s="1">
        <v>2040</v>
      </c>
      <c r="AT993" s="1">
        <v>2041</v>
      </c>
      <c r="AU993" s="1">
        <v>2042</v>
      </c>
      <c r="AV993" s="1">
        <v>2043</v>
      </c>
      <c r="AW993" s="1">
        <v>2044</v>
      </c>
      <c r="AX993" s="1">
        <v>2045</v>
      </c>
      <c r="AY993" s="1">
        <v>2046</v>
      </c>
      <c r="AZ993" s="1">
        <v>2047</v>
      </c>
      <c r="BA993" s="1">
        <v>2048</v>
      </c>
      <c r="BB993" s="1">
        <v>2049</v>
      </c>
      <c r="BC993" s="1">
        <v>2050</v>
      </c>
    </row>
    <row r="994" spans="1:55" x14ac:dyDescent="0.25">
      <c r="A994" s="1" t="str">
        <f>'Population Definitions'!$A$2</f>
        <v>PWID_males</v>
      </c>
      <c r="C994" t="s">
        <v>34</v>
      </c>
      <c r="D994" s="3"/>
      <c r="E994" s="3">
        <v>0</v>
      </c>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row>
    <row r="995" spans="1:55" x14ac:dyDescent="0.25">
      <c r="A995" s="1" t="str">
        <f>'Population Definitions'!$A$3</f>
        <v>PWID_females</v>
      </c>
      <c r="C995" t="s">
        <v>34</v>
      </c>
      <c r="D995" s="3"/>
      <c r="E995" s="3">
        <v>0</v>
      </c>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row>
    <row r="996" spans="1:55" x14ac:dyDescent="0.25">
      <c r="A996" s="1" t="str">
        <f>'Population Definitions'!$A$4</f>
        <v>0-9_males</v>
      </c>
      <c r="C996" t="s">
        <v>34</v>
      </c>
      <c r="D996" s="3"/>
      <c r="E996" s="3">
        <v>0</v>
      </c>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row>
    <row r="997" spans="1:55" x14ac:dyDescent="0.25">
      <c r="A997" s="1" t="str">
        <f>'Population Definitions'!$A$5</f>
        <v>0-9_females</v>
      </c>
      <c r="C997" t="s">
        <v>34</v>
      </c>
      <c r="D997" s="3"/>
      <c r="E997" s="3">
        <v>0</v>
      </c>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row>
    <row r="998" spans="1:55" x14ac:dyDescent="0.25">
      <c r="A998" s="1" t="str">
        <f>'Population Definitions'!$A$6</f>
        <v>10-17_males</v>
      </c>
      <c r="C998" t="s">
        <v>34</v>
      </c>
      <c r="D998" s="3"/>
      <c r="E998" s="3">
        <v>0</v>
      </c>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row>
    <row r="999" spans="1:55" x14ac:dyDescent="0.25">
      <c r="A999" s="1" t="str">
        <f>'Population Definitions'!$A$7</f>
        <v>10-17_females</v>
      </c>
      <c r="C999" t="s">
        <v>34</v>
      </c>
      <c r="D999" s="3"/>
      <c r="E999" s="3">
        <v>0</v>
      </c>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row>
    <row r="1000" spans="1:55" x14ac:dyDescent="0.25">
      <c r="A1000" s="1" t="str">
        <f>'Population Definitions'!$A$8</f>
        <v>18-64_males</v>
      </c>
      <c r="C1000" t="s">
        <v>34</v>
      </c>
      <c r="D1000" s="3"/>
      <c r="E1000" s="3">
        <v>0</v>
      </c>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row>
    <row r="1001" spans="1:55" x14ac:dyDescent="0.25">
      <c r="A1001" s="1" t="str">
        <f>'Population Definitions'!$A$9</f>
        <v>18-64_females</v>
      </c>
      <c r="C1001" t="s">
        <v>34</v>
      </c>
      <c r="D1001" s="3"/>
      <c r="E1001" s="3">
        <v>0</v>
      </c>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row>
    <row r="1002" spans="1:55" x14ac:dyDescent="0.25">
      <c r="A1002" s="1" t="str">
        <f>'Population Definitions'!$A$10</f>
        <v>65+_males</v>
      </c>
      <c r="C1002" t="s">
        <v>34</v>
      </c>
      <c r="D1002" s="3"/>
      <c r="E1002" s="3">
        <v>0</v>
      </c>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row>
    <row r="1003" spans="1:55" x14ac:dyDescent="0.25">
      <c r="A1003" s="1" t="str">
        <f>'Population Definitions'!$A$11</f>
        <v>65+_females</v>
      </c>
      <c r="C1003" t="s">
        <v>34</v>
      </c>
      <c r="D1003" s="3"/>
      <c r="E1003" s="3">
        <v>0</v>
      </c>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row>
    <row r="1004" spans="1:55" x14ac:dyDescent="0.25">
      <c r="A1004" s="1" t="str">
        <f>'Population Definitions'!$A$12</f>
        <v>Prisoners_males</v>
      </c>
      <c r="C1004" t="s">
        <v>34</v>
      </c>
      <c r="D1004" s="3"/>
      <c r="E1004" s="3">
        <v>0</v>
      </c>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row>
    <row r="1005" spans="1:55" x14ac:dyDescent="0.25">
      <c r="A1005" s="1" t="str">
        <f>'Population Definitions'!$A$13</f>
        <v>Prisoners_females</v>
      </c>
      <c r="C1005" t="s">
        <v>34</v>
      </c>
      <c r="D1005" s="3"/>
      <c r="E1005" s="3">
        <v>0</v>
      </c>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row>
    <row r="1006" spans="1:55" x14ac:dyDescent="0.25">
      <c r="A1006" s="1" t="str">
        <f>'Population Definitions'!$A$14</f>
        <v>Prisoners_PWID_males</v>
      </c>
      <c r="C1006" t="s">
        <v>34</v>
      </c>
      <c r="D1006" s="3"/>
      <c r="E1006" s="3">
        <v>0</v>
      </c>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row>
    <row r="1007" spans="1:55" x14ac:dyDescent="0.25">
      <c r="A1007" s="1" t="str">
        <f>'Population Definitions'!$A$15</f>
        <v>Prisoners_PWID_females</v>
      </c>
      <c r="C1007" t="s">
        <v>34</v>
      </c>
      <c r="D1007" s="3"/>
      <c r="E1007" s="3">
        <v>0</v>
      </c>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row>
    <row r="1009" spans="1:55" x14ac:dyDescent="0.25">
      <c r="A1009" s="1" t="s">
        <v>190</v>
      </c>
      <c r="B1009" s="1" t="s">
        <v>31</v>
      </c>
      <c r="C1009" s="1" t="s">
        <v>32</v>
      </c>
      <c r="D1009" s="1" t="s">
        <v>33</v>
      </c>
      <c r="E1009" s="1">
        <v>2000</v>
      </c>
      <c r="F1009" s="1">
        <v>2001</v>
      </c>
      <c r="G1009" s="1">
        <v>2002</v>
      </c>
      <c r="H1009" s="1">
        <v>2003</v>
      </c>
      <c r="I1009" s="1">
        <v>2004</v>
      </c>
      <c r="J1009" s="1">
        <v>2005</v>
      </c>
      <c r="K1009" s="1">
        <v>2006</v>
      </c>
      <c r="L1009" s="1">
        <v>2007</v>
      </c>
      <c r="M1009" s="1">
        <v>2008</v>
      </c>
      <c r="N1009" s="1">
        <v>2009</v>
      </c>
      <c r="O1009" s="1">
        <v>2010</v>
      </c>
      <c r="P1009" s="1">
        <v>2011</v>
      </c>
      <c r="Q1009" s="1">
        <v>2012</v>
      </c>
      <c r="R1009" s="1">
        <v>2013</v>
      </c>
      <c r="S1009" s="1">
        <v>2014</v>
      </c>
      <c r="T1009" s="1">
        <v>2015</v>
      </c>
      <c r="U1009" s="1">
        <v>2016</v>
      </c>
      <c r="V1009" s="1">
        <v>2017</v>
      </c>
      <c r="W1009" s="1">
        <v>2018</v>
      </c>
      <c r="X1009" s="1">
        <v>2019</v>
      </c>
      <c r="Y1009" s="1">
        <v>2020</v>
      </c>
      <c r="Z1009" s="1">
        <v>2021</v>
      </c>
      <c r="AA1009" s="1">
        <v>2022</v>
      </c>
      <c r="AB1009" s="1">
        <v>2023</v>
      </c>
      <c r="AC1009" s="1">
        <v>2024</v>
      </c>
      <c r="AD1009" s="1">
        <v>2025</v>
      </c>
      <c r="AE1009" s="1">
        <v>2026</v>
      </c>
      <c r="AF1009" s="1">
        <v>2027</v>
      </c>
      <c r="AG1009" s="1">
        <v>2028</v>
      </c>
      <c r="AH1009" s="1">
        <v>2029</v>
      </c>
      <c r="AI1009" s="1">
        <v>2030</v>
      </c>
      <c r="AJ1009" s="1">
        <v>2031</v>
      </c>
      <c r="AK1009" s="1">
        <v>2032</v>
      </c>
      <c r="AL1009" s="1">
        <v>2033</v>
      </c>
      <c r="AM1009" s="1">
        <v>2034</v>
      </c>
      <c r="AN1009" s="1">
        <v>2035</v>
      </c>
      <c r="AO1009" s="1">
        <v>2036</v>
      </c>
      <c r="AP1009" s="1">
        <v>2037</v>
      </c>
      <c r="AQ1009" s="1">
        <v>2038</v>
      </c>
      <c r="AR1009" s="1">
        <v>2039</v>
      </c>
      <c r="AS1009" s="1">
        <v>2040</v>
      </c>
      <c r="AT1009" s="1">
        <v>2041</v>
      </c>
      <c r="AU1009" s="1">
        <v>2042</v>
      </c>
      <c r="AV1009" s="1">
        <v>2043</v>
      </c>
      <c r="AW1009" s="1">
        <v>2044</v>
      </c>
      <c r="AX1009" s="1">
        <v>2045</v>
      </c>
      <c r="AY1009" s="1">
        <v>2046</v>
      </c>
      <c r="AZ1009" s="1">
        <v>2047</v>
      </c>
      <c r="BA1009" s="1">
        <v>2048</v>
      </c>
      <c r="BB1009" s="1">
        <v>2049</v>
      </c>
      <c r="BC1009" s="1">
        <v>2050</v>
      </c>
    </row>
    <row r="1010" spans="1:55" x14ac:dyDescent="0.25">
      <c r="A1010" s="1" t="str">
        <f>'Population Definitions'!$A$2</f>
        <v>PWID_males</v>
      </c>
      <c r="C1010" t="s">
        <v>34</v>
      </c>
      <c r="D1010" s="3"/>
      <c r="E1010" s="3">
        <v>0</v>
      </c>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row>
    <row r="1011" spans="1:55" x14ac:dyDescent="0.25">
      <c r="A1011" s="1" t="str">
        <f>'Population Definitions'!$A$3</f>
        <v>PWID_females</v>
      </c>
      <c r="C1011" t="s">
        <v>34</v>
      </c>
      <c r="D1011" s="3"/>
      <c r="E1011" s="3">
        <v>0</v>
      </c>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row>
    <row r="1012" spans="1:55" x14ac:dyDescent="0.25">
      <c r="A1012" s="1" t="str">
        <f>'Population Definitions'!$A$4</f>
        <v>0-9_males</v>
      </c>
      <c r="C1012" t="s">
        <v>34</v>
      </c>
      <c r="D1012" s="3"/>
      <c r="E1012" s="3">
        <v>0</v>
      </c>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row>
    <row r="1013" spans="1:55" x14ac:dyDescent="0.25">
      <c r="A1013" s="1" t="str">
        <f>'Population Definitions'!$A$5</f>
        <v>0-9_females</v>
      </c>
      <c r="C1013" t="s">
        <v>34</v>
      </c>
      <c r="D1013" s="3"/>
      <c r="E1013" s="3">
        <v>0</v>
      </c>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row>
    <row r="1014" spans="1:55" x14ac:dyDescent="0.25">
      <c r="A1014" s="1" t="str">
        <f>'Population Definitions'!$A$6</f>
        <v>10-17_males</v>
      </c>
      <c r="C1014" t="s">
        <v>34</v>
      </c>
      <c r="D1014" s="3"/>
      <c r="E1014" s="3">
        <v>0</v>
      </c>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row>
    <row r="1015" spans="1:55" x14ac:dyDescent="0.25">
      <c r="A1015" s="1" t="str">
        <f>'Population Definitions'!$A$7</f>
        <v>10-17_females</v>
      </c>
      <c r="C1015" t="s">
        <v>34</v>
      </c>
      <c r="D1015" s="3"/>
      <c r="E1015" s="3">
        <v>0</v>
      </c>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row>
    <row r="1016" spans="1:55" x14ac:dyDescent="0.25">
      <c r="A1016" s="1" t="str">
        <f>'Population Definitions'!$A$8</f>
        <v>18-64_males</v>
      </c>
      <c r="C1016" t="s">
        <v>34</v>
      </c>
      <c r="D1016" s="3"/>
      <c r="E1016" s="3">
        <v>0</v>
      </c>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row>
    <row r="1017" spans="1:55" x14ac:dyDescent="0.25">
      <c r="A1017" s="1" t="str">
        <f>'Population Definitions'!$A$9</f>
        <v>18-64_females</v>
      </c>
      <c r="C1017" t="s">
        <v>34</v>
      </c>
      <c r="D1017" s="3"/>
      <c r="E1017" s="3">
        <v>0</v>
      </c>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row>
    <row r="1018" spans="1:55" x14ac:dyDescent="0.25">
      <c r="A1018" s="1" t="str">
        <f>'Population Definitions'!$A$10</f>
        <v>65+_males</v>
      </c>
      <c r="C1018" t="s">
        <v>34</v>
      </c>
      <c r="D1018" s="3"/>
      <c r="E1018" s="3">
        <v>0</v>
      </c>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row>
    <row r="1019" spans="1:55" x14ac:dyDescent="0.25">
      <c r="A1019" s="1" t="str">
        <f>'Population Definitions'!$A$11</f>
        <v>65+_females</v>
      </c>
      <c r="C1019" t="s">
        <v>34</v>
      </c>
      <c r="D1019" s="3"/>
      <c r="E1019" s="3">
        <v>0</v>
      </c>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row>
    <row r="1020" spans="1:55" x14ac:dyDescent="0.25">
      <c r="A1020" s="1" t="str">
        <f>'Population Definitions'!$A$12</f>
        <v>Prisoners_males</v>
      </c>
      <c r="C1020" t="s">
        <v>34</v>
      </c>
      <c r="D1020" s="3"/>
      <c r="E1020" s="3">
        <v>0</v>
      </c>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row>
    <row r="1021" spans="1:55" x14ac:dyDescent="0.25">
      <c r="A1021" s="1" t="str">
        <f>'Population Definitions'!$A$13</f>
        <v>Prisoners_females</v>
      </c>
      <c r="C1021" t="s">
        <v>34</v>
      </c>
      <c r="D1021" s="3"/>
      <c r="E1021" s="3">
        <v>0</v>
      </c>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row>
    <row r="1022" spans="1:55" x14ac:dyDescent="0.25">
      <c r="A1022" s="1" t="str">
        <f>'Population Definitions'!$A$14</f>
        <v>Prisoners_PWID_males</v>
      </c>
      <c r="C1022" t="s">
        <v>34</v>
      </c>
      <c r="D1022" s="3"/>
      <c r="E1022" s="3">
        <v>0</v>
      </c>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row>
    <row r="1023" spans="1:55" x14ac:dyDescent="0.25">
      <c r="A1023" s="1" t="str">
        <f>'Population Definitions'!$A$15</f>
        <v>Prisoners_PWID_females</v>
      </c>
      <c r="C1023" t="s">
        <v>34</v>
      </c>
      <c r="D1023" s="3"/>
      <c r="E1023" s="3">
        <v>0</v>
      </c>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row>
    <row r="1025" spans="1:55" x14ac:dyDescent="0.25">
      <c r="A1025" s="1" t="s">
        <v>191</v>
      </c>
      <c r="B1025" s="1" t="s">
        <v>31</v>
      </c>
      <c r="C1025" s="1" t="s">
        <v>32</v>
      </c>
      <c r="D1025" s="1" t="s">
        <v>33</v>
      </c>
      <c r="E1025" s="1">
        <v>2000</v>
      </c>
      <c r="F1025" s="1">
        <v>2001</v>
      </c>
      <c r="G1025" s="1">
        <v>2002</v>
      </c>
      <c r="H1025" s="1">
        <v>2003</v>
      </c>
      <c r="I1025" s="1">
        <v>2004</v>
      </c>
      <c r="J1025" s="1">
        <v>2005</v>
      </c>
      <c r="K1025" s="1">
        <v>2006</v>
      </c>
      <c r="L1025" s="1">
        <v>2007</v>
      </c>
      <c r="M1025" s="1">
        <v>2008</v>
      </c>
      <c r="N1025" s="1">
        <v>2009</v>
      </c>
      <c r="O1025" s="1">
        <v>2010</v>
      </c>
      <c r="P1025" s="1">
        <v>2011</v>
      </c>
      <c r="Q1025" s="1">
        <v>2012</v>
      </c>
      <c r="R1025" s="1">
        <v>2013</v>
      </c>
      <c r="S1025" s="1">
        <v>2014</v>
      </c>
      <c r="T1025" s="1">
        <v>2015</v>
      </c>
      <c r="U1025" s="1">
        <v>2016</v>
      </c>
      <c r="V1025" s="1">
        <v>2017</v>
      </c>
      <c r="W1025" s="1">
        <v>2018</v>
      </c>
      <c r="X1025" s="1">
        <v>2019</v>
      </c>
      <c r="Y1025" s="1">
        <v>2020</v>
      </c>
      <c r="Z1025" s="1">
        <v>2021</v>
      </c>
      <c r="AA1025" s="1">
        <v>2022</v>
      </c>
      <c r="AB1025" s="1">
        <v>2023</v>
      </c>
      <c r="AC1025" s="1">
        <v>2024</v>
      </c>
      <c r="AD1025" s="1">
        <v>2025</v>
      </c>
      <c r="AE1025" s="1">
        <v>2026</v>
      </c>
      <c r="AF1025" s="1">
        <v>2027</v>
      </c>
      <c r="AG1025" s="1">
        <v>2028</v>
      </c>
      <c r="AH1025" s="1">
        <v>2029</v>
      </c>
      <c r="AI1025" s="1">
        <v>2030</v>
      </c>
      <c r="AJ1025" s="1">
        <v>2031</v>
      </c>
      <c r="AK1025" s="1">
        <v>2032</v>
      </c>
      <c r="AL1025" s="1">
        <v>2033</v>
      </c>
      <c r="AM1025" s="1">
        <v>2034</v>
      </c>
      <c r="AN1025" s="1">
        <v>2035</v>
      </c>
      <c r="AO1025" s="1">
        <v>2036</v>
      </c>
      <c r="AP1025" s="1">
        <v>2037</v>
      </c>
      <c r="AQ1025" s="1">
        <v>2038</v>
      </c>
      <c r="AR1025" s="1">
        <v>2039</v>
      </c>
      <c r="AS1025" s="1">
        <v>2040</v>
      </c>
      <c r="AT1025" s="1">
        <v>2041</v>
      </c>
      <c r="AU1025" s="1">
        <v>2042</v>
      </c>
      <c r="AV1025" s="1">
        <v>2043</v>
      </c>
      <c r="AW1025" s="1">
        <v>2044</v>
      </c>
      <c r="AX1025" s="1">
        <v>2045</v>
      </c>
      <c r="AY1025" s="1">
        <v>2046</v>
      </c>
      <c r="AZ1025" s="1">
        <v>2047</v>
      </c>
      <c r="BA1025" s="1">
        <v>2048</v>
      </c>
      <c r="BB1025" s="1">
        <v>2049</v>
      </c>
      <c r="BC1025" s="1">
        <v>2050</v>
      </c>
    </row>
    <row r="1026" spans="1:55" x14ac:dyDescent="0.25">
      <c r="A1026" s="1" t="str">
        <f>'Population Definitions'!$A$2</f>
        <v>PWID_males</v>
      </c>
      <c r="C1026" t="s">
        <v>34</v>
      </c>
      <c r="D1026" s="3"/>
      <c r="E1026" s="3">
        <v>0</v>
      </c>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row>
    <row r="1027" spans="1:55" x14ac:dyDescent="0.25">
      <c r="A1027" s="1" t="str">
        <f>'Population Definitions'!$A$3</f>
        <v>PWID_females</v>
      </c>
      <c r="C1027" t="s">
        <v>34</v>
      </c>
      <c r="D1027" s="3"/>
      <c r="E1027" s="3">
        <v>0</v>
      </c>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row>
    <row r="1028" spans="1:55" x14ac:dyDescent="0.25">
      <c r="A1028" s="1" t="str">
        <f>'Population Definitions'!$A$4</f>
        <v>0-9_males</v>
      </c>
      <c r="C1028" t="s">
        <v>34</v>
      </c>
      <c r="D1028" s="3"/>
      <c r="E1028" s="3">
        <v>0</v>
      </c>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row>
    <row r="1029" spans="1:55" x14ac:dyDescent="0.25">
      <c r="A1029" s="1" t="str">
        <f>'Population Definitions'!$A$5</f>
        <v>0-9_females</v>
      </c>
      <c r="C1029" t="s">
        <v>34</v>
      </c>
      <c r="D1029" s="3"/>
      <c r="E1029" s="3">
        <v>0</v>
      </c>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row>
    <row r="1030" spans="1:55" x14ac:dyDescent="0.25">
      <c r="A1030" s="1" t="str">
        <f>'Population Definitions'!$A$6</f>
        <v>10-17_males</v>
      </c>
      <c r="C1030" t="s">
        <v>34</v>
      </c>
      <c r="D1030" s="3"/>
      <c r="E1030" s="3">
        <v>0</v>
      </c>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row>
    <row r="1031" spans="1:55" x14ac:dyDescent="0.25">
      <c r="A1031" s="1" t="str">
        <f>'Population Definitions'!$A$7</f>
        <v>10-17_females</v>
      </c>
      <c r="C1031" t="s">
        <v>34</v>
      </c>
      <c r="D1031" s="3"/>
      <c r="E1031" s="3">
        <v>0</v>
      </c>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row>
    <row r="1032" spans="1:55" x14ac:dyDescent="0.25">
      <c r="A1032" s="1" t="str">
        <f>'Population Definitions'!$A$8</f>
        <v>18-64_males</v>
      </c>
      <c r="C1032" t="s">
        <v>34</v>
      </c>
      <c r="D1032" s="3"/>
      <c r="E1032" s="3">
        <v>0</v>
      </c>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row>
    <row r="1033" spans="1:55" x14ac:dyDescent="0.25">
      <c r="A1033" s="1" t="str">
        <f>'Population Definitions'!$A$9</f>
        <v>18-64_females</v>
      </c>
      <c r="C1033" t="s">
        <v>34</v>
      </c>
      <c r="D1033" s="3"/>
      <c r="E1033" s="3">
        <v>0</v>
      </c>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row>
    <row r="1034" spans="1:55" x14ac:dyDescent="0.25">
      <c r="A1034" s="1" t="str">
        <f>'Population Definitions'!$A$10</f>
        <v>65+_males</v>
      </c>
      <c r="C1034" t="s">
        <v>34</v>
      </c>
      <c r="D1034" s="3"/>
      <c r="E1034" s="3">
        <v>0</v>
      </c>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row>
    <row r="1035" spans="1:55" x14ac:dyDescent="0.25">
      <c r="A1035" s="1" t="str">
        <f>'Population Definitions'!$A$11</f>
        <v>65+_females</v>
      </c>
      <c r="C1035" t="s">
        <v>34</v>
      </c>
      <c r="D1035" s="3"/>
      <c r="E1035" s="3">
        <v>0</v>
      </c>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row>
    <row r="1036" spans="1:55" x14ac:dyDescent="0.25">
      <c r="A1036" s="1" t="str">
        <f>'Population Definitions'!$A$12</f>
        <v>Prisoners_males</v>
      </c>
      <c r="C1036" t="s">
        <v>34</v>
      </c>
      <c r="D1036" s="3"/>
      <c r="E1036" s="3">
        <v>0</v>
      </c>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row>
    <row r="1037" spans="1:55" x14ac:dyDescent="0.25">
      <c r="A1037" s="1" t="str">
        <f>'Population Definitions'!$A$13</f>
        <v>Prisoners_females</v>
      </c>
      <c r="C1037" t="s">
        <v>34</v>
      </c>
      <c r="D1037" s="3"/>
      <c r="E1037" s="3">
        <v>0</v>
      </c>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row>
    <row r="1038" spans="1:55" x14ac:dyDescent="0.25">
      <c r="A1038" s="1" t="str">
        <f>'Population Definitions'!$A$14</f>
        <v>Prisoners_PWID_males</v>
      </c>
      <c r="C1038" t="s">
        <v>34</v>
      </c>
      <c r="D1038" s="3"/>
      <c r="E1038" s="3">
        <v>0</v>
      </c>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row>
    <row r="1039" spans="1:55" x14ac:dyDescent="0.25">
      <c r="A1039" s="1" t="str">
        <f>'Population Definitions'!$A$15</f>
        <v>Prisoners_PWID_females</v>
      </c>
      <c r="C1039" t="s">
        <v>34</v>
      </c>
      <c r="D1039" s="3"/>
      <c r="E1039" s="3">
        <v>0</v>
      </c>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row>
    <row r="1041" spans="1:55" x14ac:dyDescent="0.25">
      <c r="A1041" s="1" t="s">
        <v>192</v>
      </c>
      <c r="B1041" s="1" t="s">
        <v>31</v>
      </c>
      <c r="C1041" s="1" t="s">
        <v>32</v>
      </c>
      <c r="D1041" s="1" t="s">
        <v>33</v>
      </c>
      <c r="E1041" s="1">
        <v>2000</v>
      </c>
      <c r="F1041" s="1">
        <v>2001</v>
      </c>
      <c r="G1041" s="1">
        <v>2002</v>
      </c>
      <c r="H1041" s="1">
        <v>2003</v>
      </c>
      <c r="I1041" s="1">
        <v>2004</v>
      </c>
      <c r="J1041" s="1">
        <v>2005</v>
      </c>
      <c r="K1041" s="1">
        <v>2006</v>
      </c>
      <c r="L1041" s="1">
        <v>2007</v>
      </c>
      <c r="M1041" s="1">
        <v>2008</v>
      </c>
      <c r="N1041" s="1">
        <v>2009</v>
      </c>
      <c r="O1041" s="1">
        <v>2010</v>
      </c>
      <c r="P1041" s="1">
        <v>2011</v>
      </c>
      <c r="Q1041" s="1">
        <v>2012</v>
      </c>
      <c r="R1041" s="1">
        <v>2013</v>
      </c>
      <c r="S1041" s="1">
        <v>2014</v>
      </c>
      <c r="T1041" s="1">
        <v>2015</v>
      </c>
      <c r="U1041" s="1">
        <v>2016</v>
      </c>
      <c r="V1041" s="1">
        <v>2017</v>
      </c>
      <c r="W1041" s="1">
        <v>2018</v>
      </c>
      <c r="X1041" s="1">
        <v>2019</v>
      </c>
      <c r="Y1041" s="1">
        <v>2020</v>
      </c>
      <c r="Z1041" s="1">
        <v>2021</v>
      </c>
      <c r="AA1041" s="1">
        <v>2022</v>
      </c>
      <c r="AB1041" s="1">
        <v>2023</v>
      </c>
      <c r="AC1041" s="1">
        <v>2024</v>
      </c>
      <c r="AD1041" s="1">
        <v>2025</v>
      </c>
      <c r="AE1041" s="1">
        <v>2026</v>
      </c>
      <c r="AF1041" s="1">
        <v>2027</v>
      </c>
      <c r="AG1041" s="1">
        <v>2028</v>
      </c>
      <c r="AH1041" s="1">
        <v>2029</v>
      </c>
      <c r="AI1041" s="1">
        <v>2030</v>
      </c>
      <c r="AJ1041" s="1">
        <v>2031</v>
      </c>
      <c r="AK1041" s="1">
        <v>2032</v>
      </c>
      <c r="AL1041" s="1">
        <v>2033</v>
      </c>
      <c r="AM1041" s="1">
        <v>2034</v>
      </c>
      <c r="AN1041" s="1">
        <v>2035</v>
      </c>
      <c r="AO1041" s="1">
        <v>2036</v>
      </c>
      <c r="AP1041" s="1">
        <v>2037</v>
      </c>
      <c r="AQ1041" s="1">
        <v>2038</v>
      </c>
      <c r="AR1041" s="1">
        <v>2039</v>
      </c>
      <c r="AS1041" s="1">
        <v>2040</v>
      </c>
      <c r="AT1041" s="1">
        <v>2041</v>
      </c>
      <c r="AU1041" s="1">
        <v>2042</v>
      </c>
      <c r="AV1041" s="1">
        <v>2043</v>
      </c>
      <c r="AW1041" s="1">
        <v>2044</v>
      </c>
      <c r="AX1041" s="1">
        <v>2045</v>
      </c>
      <c r="AY1041" s="1">
        <v>2046</v>
      </c>
      <c r="AZ1041" s="1">
        <v>2047</v>
      </c>
      <c r="BA1041" s="1">
        <v>2048</v>
      </c>
      <c r="BB1041" s="1">
        <v>2049</v>
      </c>
      <c r="BC1041" s="1">
        <v>2050</v>
      </c>
    </row>
    <row r="1042" spans="1:55" x14ac:dyDescent="0.25">
      <c r="A1042" s="1" t="str">
        <f>'Population Definitions'!$A$2</f>
        <v>PWID_males</v>
      </c>
      <c r="C1042" t="s">
        <v>34</v>
      </c>
      <c r="D1042" s="3"/>
      <c r="E1042" s="3">
        <v>0</v>
      </c>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row>
    <row r="1043" spans="1:55" x14ac:dyDescent="0.25">
      <c r="A1043" s="1" t="str">
        <f>'Population Definitions'!$A$3</f>
        <v>PWID_females</v>
      </c>
      <c r="C1043" t="s">
        <v>34</v>
      </c>
      <c r="D1043" s="3"/>
      <c r="E1043" s="3">
        <v>0</v>
      </c>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row>
    <row r="1044" spans="1:55" x14ac:dyDescent="0.25">
      <c r="A1044" s="1" t="str">
        <f>'Population Definitions'!$A$4</f>
        <v>0-9_males</v>
      </c>
      <c r="C1044" t="s">
        <v>34</v>
      </c>
      <c r="D1044" s="3"/>
      <c r="E1044" s="3">
        <v>0</v>
      </c>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row>
    <row r="1045" spans="1:55" x14ac:dyDescent="0.25">
      <c r="A1045" s="1" t="str">
        <f>'Population Definitions'!$A$5</f>
        <v>0-9_females</v>
      </c>
      <c r="C1045" t="s">
        <v>34</v>
      </c>
      <c r="D1045" s="3"/>
      <c r="E1045" s="3">
        <v>0</v>
      </c>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row>
    <row r="1046" spans="1:55" x14ac:dyDescent="0.25">
      <c r="A1046" s="1" t="str">
        <f>'Population Definitions'!$A$6</f>
        <v>10-17_males</v>
      </c>
      <c r="C1046" t="s">
        <v>34</v>
      </c>
      <c r="D1046" s="3"/>
      <c r="E1046" s="3">
        <v>0</v>
      </c>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row>
    <row r="1047" spans="1:55" x14ac:dyDescent="0.25">
      <c r="A1047" s="1" t="str">
        <f>'Population Definitions'!$A$7</f>
        <v>10-17_females</v>
      </c>
      <c r="C1047" t="s">
        <v>34</v>
      </c>
      <c r="D1047" s="3"/>
      <c r="E1047" s="3">
        <v>0</v>
      </c>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row>
    <row r="1048" spans="1:55" x14ac:dyDescent="0.25">
      <c r="A1048" s="1" t="str">
        <f>'Population Definitions'!$A$8</f>
        <v>18-64_males</v>
      </c>
      <c r="C1048" t="s">
        <v>34</v>
      </c>
      <c r="D1048" s="3"/>
      <c r="E1048" s="3">
        <v>0</v>
      </c>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row>
    <row r="1049" spans="1:55" x14ac:dyDescent="0.25">
      <c r="A1049" s="1" t="str">
        <f>'Population Definitions'!$A$9</f>
        <v>18-64_females</v>
      </c>
      <c r="C1049" t="s">
        <v>34</v>
      </c>
      <c r="D1049" s="3"/>
      <c r="E1049" s="3">
        <v>0</v>
      </c>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row>
    <row r="1050" spans="1:55" x14ac:dyDescent="0.25">
      <c r="A1050" s="1" t="str">
        <f>'Population Definitions'!$A$10</f>
        <v>65+_males</v>
      </c>
      <c r="C1050" t="s">
        <v>34</v>
      </c>
      <c r="D1050" s="3"/>
      <c r="E1050" s="3">
        <v>0</v>
      </c>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row>
    <row r="1051" spans="1:55" x14ac:dyDescent="0.25">
      <c r="A1051" s="1" t="str">
        <f>'Population Definitions'!$A$11</f>
        <v>65+_females</v>
      </c>
      <c r="C1051" t="s">
        <v>34</v>
      </c>
      <c r="D1051" s="3"/>
      <c r="E1051" s="3">
        <v>0</v>
      </c>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row>
    <row r="1052" spans="1:55" x14ac:dyDescent="0.25">
      <c r="A1052" s="1" t="str">
        <f>'Population Definitions'!$A$12</f>
        <v>Prisoners_males</v>
      </c>
      <c r="C1052" t="s">
        <v>34</v>
      </c>
      <c r="D1052" s="3"/>
      <c r="E1052" s="3">
        <v>0</v>
      </c>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row>
    <row r="1053" spans="1:55" x14ac:dyDescent="0.25">
      <c r="A1053" s="1" t="str">
        <f>'Population Definitions'!$A$13</f>
        <v>Prisoners_females</v>
      </c>
      <c r="C1053" t="s">
        <v>34</v>
      </c>
      <c r="D1053" s="3"/>
      <c r="E1053" s="3">
        <v>0</v>
      </c>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row>
    <row r="1054" spans="1:55" x14ac:dyDescent="0.25">
      <c r="A1054" s="1" t="str">
        <f>'Population Definitions'!$A$14</f>
        <v>Prisoners_PWID_males</v>
      </c>
      <c r="C1054" t="s">
        <v>34</v>
      </c>
      <c r="D1054" s="3"/>
      <c r="E1054" s="3">
        <v>0</v>
      </c>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row>
    <row r="1055" spans="1:55" x14ac:dyDescent="0.25">
      <c r="A1055" s="1" t="str">
        <f>'Population Definitions'!$A$15</f>
        <v>Prisoners_PWID_females</v>
      </c>
      <c r="C1055" t="s">
        <v>34</v>
      </c>
      <c r="D1055" s="3"/>
      <c r="E1055" s="3">
        <v>0</v>
      </c>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row>
    <row r="1057" spans="1:55" x14ac:dyDescent="0.25">
      <c r="A1057" s="1" t="s">
        <v>193</v>
      </c>
      <c r="B1057" s="1" t="s">
        <v>31</v>
      </c>
      <c r="C1057" s="1" t="s">
        <v>32</v>
      </c>
      <c r="D1057" s="1" t="s">
        <v>33</v>
      </c>
      <c r="E1057" s="1">
        <v>2000</v>
      </c>
      <c r="F1057" s="1">
        <v>2001</v>
      </c>
      <c r="G1057" s="1">
        <v>2002</v>
      </c>
      <c r="H1057" s="1">
        <v>2003</v>
      </c>
      <c r="I1057" s="1">
        <v>2004</v>
      </c>
      <c r="J1057" s="1">
        <v>2005</v>
      </c>
      <c r="K1057" s="1">
        <v>2006</v>
      </c>
      <c r="L1057" s="1">
        <v>2007</v>
      </c>
      <c r="M1057" s="1">
        <v>2008</v>
      </c>
      <c r="N1057" s="1">
        <v>2009</v>
      </c>
      <c r="O1057" s="1">
        <v>2010</v>
      </c>
      <c r="P1057" s="1">
        <v>2011</v>
      </c>
      <c r="Q1057" s="1">
        <v>2012</v>
      </c>
      <c r="R1057" s="1">
        <v>2013</v>
      </c>
      <c r="S1057" s="1">
        <v>2014</v>
      </c>
      <c r="T1057" s="1">
        <v>2015</v>
      </c>
      <c r="U1057" s="1">
        <v>2016</v>
      </c>
      <c r="V1057" s="1">
        <v>2017</v>
      </c>
      <c r="W1057" s="1">
        <v>2018</v>
      </c>
      <c r="X1057" s="1">
        <v>2019</v>
      </c>
      <c r="Y1057" s="1">
        <v>2020</v>
      </c>
      <c r="Z1057" s="1">
        <v>2021</v>
      </c>
      <c r="AA1057" s="1">
        <v>2022</v>
      </c>
      <c r="AB1057" s="1">
        <v>2023</v>
      </c>
      <c r="AC1057" s="1">
        <v>2024</v>
      </c>
      <c r="AD1057" s="1">
        <v>2025</v>
      </c>
      <c r="AE1057" s="1">
        <v>2026</v>
      </c>
      <c r="AF1057" s="1">
        <v>2027</v>
      </c>
      <c r="AG1057" s="1">
        <v>2028</v>
      </c>
      <c r="AH1057" s="1">
        <v>2029</v>
      </c>
      <c r="AI1057" s="1">
        <v>2030</v>
      </c>
      <c r="AJ1057" s="1">
        <v>2031</v>
      </c>
      <c r="AK1057" s="1">
        <v>2032</v>
      </c>
      <c r="AL1057" s="1">
        <v>2033</v>
      </c>
      <c r="AM1057" s="1">
        <v>2034</v>
      </c>
      <c r="AN1057" s="1">
        <v>2035</v>
      </c>
      <c r="AO1057" s="1">
        <v>2036</v>
      </c>
      <c r="AP1057" s="1">
        <v>2037</v>
      </c>
      <c r="AQ1057" s="1">
        <v>2038</v>
      </c>
      <c r="AR1057" s="1">
        <v>2039</v>
      </c>
      <c r="AS1057" s="1">
        <v>2040</v>
      </c>
      <c r="AT1057" s="1">
        <v>2041</v>
      </c>
      <c r="AU1057" s="1">
        <v>2042</v>
      </c>
      <c r="AV1057" s="1">
        <v>2043</v>
      </c>
      <c r="AW1057" s="1">
        <v>2044</v>
      </c>
      <c r="AX1057" s="1">
        <v>2045</v>
      </c>
      <c r="AY1057" s="1">
        <v>2046</v>
      </c>
      <c r="AZ1057" s="1">
        <v>2047</v>
      </c>
      <c r="BA1057" s="1">
        <v>2048</v>
      </c>
      <c r="BB1057" s="1">
        <v>2049</v>
      </c>
      <c r="BC1057" s="1">
        <v>2050</v>
      </c>
    </row>
    <row r="1058" spans="1:55" x14ac:dyDescent="0.25">
      <c r="A1058" s="1" t="str">
        <f>'Population Definitions'!$A$2</f>
        <v>PWID_males</v>
      </c>
      <c r="C1058" t="s">
        <v>34</v>
      </c>
      <c r="D1058" s="3"/>
      <c r="E1058" s="3">
        <v>0</v>
      </c>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row>
    <row r="1059" spans="1:55" x14ac:dyDescent="0.25">
      <c r="A1059" s="1" t="str">
        <f>'Population Definitions'!$A$3</f>
        <v>PWID_females</v>
      </c>
      <c r="C1059" t="s">
        <v>34</v>
      </c>
      <c r="D1059" s="3"/>
      <c r="E1059" s="3">
        <v>0</v>
      </c>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row>
    <row r="1060" spans="1:55" x14ac:dyDescent="0.25">
      <c r="A1060" s="1" t="str">
        <f>'Population Definitions'!$A$4</f>
        <v>0-9_males</v>
      </c>
      <c r="C1060" t="s">
        <v>34</v>
      </c>
      <c r="D1060" s="3"/>
      <c r="E1060" s="3">
        <v>0</v>
      </c>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row>
    <row r="1061" spans="1:55" x14ac:dyDescent="0.25">
      <c r="A1061" s="1" t="str">
        <f>'Population Definitions'!$A$5</f>
        <v>0-9_females</v>
      </c>
      <c r="C1061" t="s">
        <v>34</v>
      </c>
      <c r="D1061" s="3"/>
      <c r="E1061" s="3">
        <v>0</v>
      </c>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row>
    <row r="1062" spans="1:55" x14ac:dyDescent="0.25">
      <c r="A1062" s="1" t="str">
        <f>'Population Definitions'!$A$6</f>
        <v>10-17_males</v>
      </c>
      <c r="C1062" t="s">
        <v>34</v>
      </c>
      <c r="D1062" s="3"/>
      <c r="E1062" s="3">
        <v>0</v>
      </c>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row>
    <row r="1063" spans="1:55" x14ac:dyDescent="0.25">
      <c r="A1063" s="1" t="str">
        <f>'Population Definitions'!$A$7</f>
        <v>10-17_females</v>
      </c>
      <c r="C1063" t="s">
        <v>34</v>
      </c>
      <c r="D1063" s="3"/>
      <c r="E1063" s="3">
        <v>0</v>
      </c>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row>
    <row r="1064" spans="1:55" x14ac:dyDescent="0.25">
      <c r="A1064" s="1" t="str">
        <f>'Population Definitions'!$A$8</f>
        <v>18-64_males</v>
      </c>
      <c r="C1064" t="s">
        <v>34</v>
      </c>
      <c r="D1064" s="3"/>
      <c r="E1064" s="3">
        <v>0</v>
      </c>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row>
    <row r="1065" spans="1:55" x14ac:dyDescent="0.25">
      <c r="A1065" s="1" t="str">
        <f>'Population Definitions'!$A$9</f>
        <v>18-64_females</v>
      </c>
      <c r="C1065" t="s">
        <v>34</v>
      </c>
      <c r="D1065" s="3"/>
      <c r="E1065" s="3">
        <v>0</v>
      </c>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row>
    <row r="1066" spans="1:55" x14ac:dyDescent="0.25">
      <c r="A1066" s="1" t="str">
        <f>'Population Definitions'!$A$10</f>
        <v>65+_males</v>
      </c>
      <c r="C1066" t="s">
        <v>34</v>
      </c>
      <c r="D1066" s="3"/>
      <c r="E1066" s="3">
        <v>0</v>
      </c>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row>
    <row r="1067" spans="1:55" x14ac:dyDescent="0.25">
      <c r="A1067" s="1" t="str">
        <f>'Population Definitions'!$A$11</f>
        <v>65+_females</v>
      </c>
      <c r="C1067" t="s">
        <v>34</v>
      </c>
      <c r="D1067" s="3"/>
      <c r="E1067" s="3">
        <v>0</v>
      </c>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row>
    <row r="1068" spans="1:55" x14ac:dyDescent="0.25">
      <c r="A1068" s="1" t="str">
        <f>'Population Definitions'!$A$12</f>
        <v>Prisoners_males</v>
      </c>
      <c r="C1068" t="s">
        <v>34</v>
      </c>
      <c r="D1068" s="3"/>
      <c r="E1068" s="3">
        <v>0</v>
      </c>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row>
    <row r="1069" spans="1:55" x14ac:dyDescent="0.25">
      <c r="A1069" s="1" t="str">
        <f>'Population Definitions'!$A$13</f>
        <v>Prisoners_females</v>
      </c>
      <c r="C1069" t="s">
        <v>34</v>
      </c>
      <c r="D1069" s="3"/>
      <c r="E1069" s="3">
        <v>0</v>
      </c>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row>
    <row r="1070" spans="1:55" x14ac:dyDescent="0.25">
      <c r="A1070" s="1" t="str">
        <f>'Population Definitions'!$A$14</f>
        <v>Prisoners_PWID_males</v>
      </c>
      <c r="C1070" t="s">
        <v>34</v>
      </c>
      <c r="D1070" s="3"/>
      <c r="E1070" s="3">
        <v>0</v>
      </c>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row>
    <row r="1071" spans="1:55" x14ac:dyDescent="0.25">
      <c r="A1071" s="1" t="str">
        <f>'Population Definitions'!$A$15</f>
        <v>Prisoners_PWID_females</v>
      </c>
      <c r="C1071" t="s">
        <v>34</v>
      </c>
      <c r="D1071" s="3"/>
      <c r="E1071" s="3">
        <v>0</v>
      </c>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row>
    <row r="1073" spans="1:55" x14ac:dyDescent="0.25">
      <c r="A1073" s="1" t="s">
        <v>194</v>
      </c>
      <c r="B1073" s="1" t="s">
        <v>31</v>
      </c>
      <c r="C1073" s="1" t="s">
        <v>32</v>
      </c>
      <c r="D1073" s="1" t="s">
        <v>33</v>
      </c>
      <c r="E1073" s="1">
        <v>2000</v>
      </c>
      <c r="F1073" s="1">
        <v>2001</v>
      </c>
      <c r="G1073" s="1">
        <v>2002</v>
      </c>
      <c r="H1073" s="1">
        <v>2003</v>
      </c>
      <c r="I1073" s="1">
        <v>2004</v>
      </c>
      <c r="J1073" s="1">
        <v>2005</v>
      </c>
      <c r="K1073" s="1">
        <v>2006</v>
      </c>
      <c r="L1073" s="1">
        <v>2007</v>
      </c>
      <c r="M1073" s="1">
        <v>2008</v>
      </c>
      <c r="N1073" s="1">
        <v>2009</v>
      </c>
      <c r="O1073" s="1">
        <v>2010</v>
      </c>
      <c r="P1073" s="1">
        <v>2011</v>
      </c>
      <c r="Q1073" s="1">
        <v>2012</v>
      </c>
      <c r="R1073" s="1">
        <v>2013</v>
      </c>
      <c r="S1073" s="1">
        <v>2014</v>
      </c>
      <c r="T1073" s="1">
        <v>2015</v>
      </c>
      <c r="U1073" s="1">
        <v>2016</v>
      </c>
      <c r="V1073" s="1">
        <v>2017</v>
      </c>
      <c r="W1073" s="1">
        <v>2018</v>
      </c>
      <c r="X1073" s="1">
        <v>2019</v>
      </c>
      <c r="Y1073" s="1">
        <v>2020</v>
      </c>
      <c r="Z1073" s="1">
        <v>2021</v>
      </c>
      <c r="AA1073" s="1">
        <v>2022</v>
      </c>
      <c r="AB1073" s="1">
        <v>2023</v>
      </c>
      <c r="AC1073" s="1">
        <v>2024</v>
      </c>
      <c r="AD1073" s="1">
        <v>2025</v>
      </c>
      <c r="AE1073" s="1">
        <v>2026</v>
      </c>
      <c r="AF1073" s="1">
        <v>2027</v>
      </c>
      <c r="AG1073" s="1">
        <v>2028</v>
      </c>
      <c r="AH1073" s="1">
        <v>2029</v>
      </c>
      <c r="AI1073" s="1">
        <v>2030</v>
      </c>
      <c r="AJ1073" s="1">
        <v>2031</v>
      </c>
      <c r="AK1073" s="1">
        <v>2032</v>
      </c>
      <c r="AL1073" s="1">
        <v>2033</v>
      </c>
      <c r="AM1073" s="1">
        <v>2034</v>
      </c>
      <c r="AN1073" s="1">
        <v>2035</v>
      </c>
      <c r="AO1073" s="1">
        <v>2036</v>
      </c>
      <c r="AP1073" s="1">
        <v>2037</v>
      </c>
      <c r="AQ1073" s="1">
        <v>2038</v>
      </c>
      <c r="AR1073" s="1">
        <v>2039</v>
      </c>
      <c r="AS1073" s="1">
        <v>2040</v>
      </c>
      <c r="AT1073" s="1">
        <v>2041</v>
      </c>
      <c r="AU1073" s="1">
        <v>2042</v>
      </c>
      <c r="AV1073" s="1">
        <v>2043</v>
      </c>
      <c r="AW1073" s="1">
        <v>2044</v>
      </c>
      <c r="AX1073" s="1">
        <v>2045</v>
      </c>
      <c r="AY1073" s="1">
        <v>2046</v>
      </c>
      <c r="AZ1073" s="1">
        <v>2047</v>
      </c>
      <c r="BA1073" s="1">
        <v>2048</v>
      </c>
      <c r="BB1073" s="1">
        <v>2049</v>
      </c>
      <c r="BC1073" s="1">
        <v>2050</v>
      </c>
    </row>
    <row r="1074" spans="1:55" x14ac:dyDescent="0.25">
      <c r="A1074" s="1" t="str">
        <f>'Population Definitions'!$A$2</f>
        <v>PWID_males</v>
      </c>
      <c r="C1074" t="s">
        <v>34</v>
      </c>
      <c r="D1074" s="3"/>
      <c r="E1074" s="3">
        <v>0</v>
      </c>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row>
    <row r="1075" spans="1:55" x14ac:dyDescent="0.25">
      <c r="A1075" s="1" t="str">
        <f>'Population Definitions'!$A$3</f>
        <v>PWID_females</v>
      </c>
      <c r="C1075" t="s">
        <v>34</v>
      </c>
      <c r="D1075" s="3"/>
      <c r="E1075" s="3">
        <v>0</v>
      </c>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row>
    <row r="1076" spans="1:55" x14ac:dyDescent="0.25">
      <c r="A1076" s="1" t="str">
        <f>'Population Definitions'!$A$4</f>
        <v>0-9_males</v>
      </c>
      <c r="C1076" t="s">
        <v>34</v>
      </c>
      <c r="D1076" s="3"/>
      <c r="E1076" s="3">
        <v>0</v>
      </c>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row>
    <row r="1077" spans="1:55" x14ac:dyDescent="0.25">
      <c r="A1077" s="1" t="str">
        <f>'Population Definitions'!$A$5</f>
        <v>0-9_females</v>
      </c>
      <c r="C1077" t="s">
        <v>34</v>
      </c>
      <c r="D1077" s="3"/>
      <c r="E1077" s="3">
        <v>0</v>
      </c>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row>
    <row r="1078" spans="1:55" x14ac:dyDescent="0.25">
      <c r="A1078" s="1" t="str">
        <f>'Population Definitions'!$A$6</f>
        <v>10-17_males</v>
      </c>
      <c r="C1078" t="s">
        <v>34</v>
      </c>
      <c r="D1078" s="3"/>
      <c r="E1078" s="3">
        <v>0</v>
      </c>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row>
    <row r="1079" spans="1:55" x14ac:dyDescent="0.25">
      <c r="A1079" s="1" t="str">
        <f>'Population Definitions'!$A$7</f>
        <v>10-17_females</v>
      </c>
      <c r="C1079" t="s">
        <v>34</v>
      </c>
      <c r="D1079" s="3"/>
      <c r="E1079" s="3">
        <v>0</v>
      </c>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row>
    <row r="1080" spans="1:55" x14ac:dyDescent="0.25">
      <c r="A1080" s="1" t="str">
        <f>'Population Definitions'!$A$8</f>
        <v>18-64_males</v>
      </c>
      <c r="C1080" t="s">
        <v>34</v>
      </c>
      <c r="D1080" s="3"/>
      <c r="E1080" s="3">
        <v>0</v>
      </c>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row>
    <row r="1081" spans="1:55" x14ac:dyDescent="0.25">
      <c r="A1081" s="1" t="str">
        <f>'Population Definitions'!$A$9</f>
        <v>18-64_females</v>
      </c>
      <c r="C1081" t="s">
        <v>34</v>
      </c>
      <c r="D1081" s="3"/>
      <c r="E1081" s="3">
        <v>0</v>
      </c>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row>
    <row r="1082" spans="1:55" x14ac:dyDescent="0.25">
      <c r="A1082" s="1" t="str">
        <f>'Population Definitions'!$A$10</f>
        <v>65+_males</v>
      </c>
      <c r="C1082" t="s">
        <v>34</v>
      </c>
      <c r="D1082" s="3"/>
      <c r="E1082" s="3">
        <v>0</v>
      </c>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row>
    <row r="1083" spans="1:55" x14ac:dyDescent="0.25">
      <c r="A1083" s="1" t="str">
        <f>'Population Definitions'!$A$11</f>
        <v>65+_females</v>
      </c>
      <c r="C1083" t="s">
        <v>34</v>
      </c>
      <c r="D1083" s="3"/>
      <c r="E1083" s="3">
        <v>0</v>
      </c>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row>
    <row r="1084" spans="1:55" x14ac:dyDescent="0.25">
      <c r="A1084" s="1" t="str">
        <f>'Population Definitions'!$A$12</f>
        <v>Prisoners_males</v>
      </c>
      <c r="C1084" t="s">
        <v>34</v>
      </c>
      <c r="D1084" s="3"/>
      <c r="E1084" s="3">
        <v>0</v>
      </c>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row>
    <row r="1085" spans="1:55" x14ac:dyDescent="0.25">
      <c r="A1085" s="1" t="str">
        <f>'Population Definitions'!$A$13</f>
        <v>Prisoners_females</v>
      </c>
      <c r="C1085" t="s">
        <v>34</v>
      </c>
      <c r="D1085" s="3"/>
      <c r="E1085" s="3">
        <v>0</v>
      </c>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row>
    <row r="1086" spans="1:55" x14ac:dyDescent="0.25">
      <c r="A1086" s="1" t="str">
        <f>'Population Definitions'!$A$14</f>
        <v>Prisoners_PWID_males</v>
      </c>
      <c r="C1086" t="s">
        <v>34</v>
      </c>
      <c r="D1086" s="3"/>
      <c r="E1086" s="3">
        <v>0</v>
      </c>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row>
    <row r="1087" spans="1:55" x14ac:dyDescent="0.25">
      <c r="A1087" s="1" t="str">
        <f>'Population Definitions'!$A$15</f>
        <v>Prisoners_PWID_females</v>
      </c>
      <c r="C1087" t="s">
        <v>34</v>
      </c>
      <c r="D1087" s="3"/>
      <c r="E1087" s="3">
        <v>0</v>
      </c>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row>
    <row r="1089" spans="1:55" x14ac:dyDescent="0.25">
      <c r="A1089" s="1" t="s">
        <v>195</v>
      </c>
      <c r="B1089" s="1" t="s">
        <v>31</v>
      </c>
      <c r="C1089" s="1" t="s">
        <v>32</v>
      </c>
      <c r="D1089" s="1" t="s">
        <v>33</v>
      </c>
      <c r="E1089" s="1">
        <v>2000</v>
      </c>
      <c r="F1089" s="1">
        <v>2001</v>
      </c>
      <c r="G1089" s="1">
        <v>2002</v>
      </c>
      <c r="H1089" s="1">
        <v>2003</v>
      </c>
      <c r="I1089" s="1">
        <v>2004</v>
      </c>
      <c r="J1089" s="1">
        <v>2005</v>
      </c>
      <c r="K1089" s="1">
        <v>2006</v>
      </c>
      <c r="L1089" s="1">
        <v>2007</v>
      </c>
      <c r="M1089" s="1">
        <v>2008</v>
      </c>
      <c r="N1089" s="1">
        <v>2009</v>
      </c>
      <c r="O1089" s="1">
        <v>2010</v>
      </c>
      <c r="P1089" s="1">
        <v>2011</v>
      </c>
      <c r="Q1089" s="1">
        <v>2012</v>
      </c>
      <c r="R1089" s="1">
        <v>2013</v>
      </c>
      <c r="S1089" s="1">
        <v>2014</v>
      </c>
      <c r="T1089" s="1">
        <v>2015</v>
      </c>
      <c r="U1089" s="1">
        <v>2016</v>
      </c>
      <c r="V1089" s="1">
        <v>2017</v>
      </c>
      <c r="W1089" s="1">
        <v>2018</v>
      </c>
      <c r="X1089" s="1">
        <v>2019</v>
      </c>
      <c r="Y1089" s="1">
        <v>2020</v>
      </c>
      <c r="Z1089" s="1">
        <v>2021</v>
      </c>
      <c r="AA1089" s="1">
        <v>2022</v>
      </c>
      <c r="AB1089" s="1">
        <v>2023</v>
      </c>
      <c r="AC1089" s="1">
        <v>2024</v>
      </c>
      <c r="AD1089" s="1">
        <v>2025</v>
      </c>
      <c r="AE1089" s="1">
        <v>2026</v>
      </c>
      <c r="AF1089" s="1">
        <v>2027</v>
      </c>
      <c r="AG1089" s="1">
        <v>2028</v>
      </c>
      <c r="AH1089" s="1">
        <v>2029</v>
      </c>
      <c r="AI1089" s="1">
        <v>2030</v>
      </c>
      <c r="AJ1089" s="1">
        <v>2031</v>
      </c>
      <c r="AK1089" s="1">
        <v>2032</v>
      </c>
      <c r="AL1089" s="1">
        <v>2033</v>
      </c>
      <c r="AM1089" s="1">
        <v>2034</v>
      </c>
      <c r="AN1089" s="1">
        <v>2035</v>
      </c>
      <c r="AO1089" s="1">
        <v>2036</v>
      </c>
      <c r="AP1089" s="1">
        <v>2037</v>
      </c>
      <c r="AQ1089" s="1">
        <v>2038</v>
      </c>
      <c r="AR1089" s="1">
        <v>2039</v>
      </c>
      <c r="AS1089" s="1">
        <v>2040</v>
      </c>
      <c r="AT1089" s="1">
        <v>2041</v>
      </c>
      <c r="AU1089" s="1">
        <v>2042</v>
      </c>
      <c r="AV1089" s="1">
        <v>2043</v>
      </c>
      <c r="AW1089" s="1">
        <v>2044</v>
      </c>
      <c r="AX1089" s="1">
        <v>2045</v>
      </c>
      <c r="AY1089" s="1">
        <v>2046</v>
      </c>
      <c r="AZ1089" s="1">
        <v>2047</v>
      </c>
      <c r="BA1089" s="1">
        <v>2048</v>
      </c>
      <c r="BB1089" s="1">
        <v>2049</v>
      </c>
      <c r="BC1089" s="1">
        <v>2050</v>
      </c>
    </row>
    <row r="1090" spans="1:55" x14ac:dyDescent="0.25">
      <c r="A1090" s="1" t="str">
        <f>'Population Definitions'!$A$2</f>
        <v>PWID_males</v>
      </c>
      <c r="C1090" t="s">
        <v>34</v>
      </c>
      <c r="D1090" s="3"/>
      <c r="E1090" s="3">
        <v>0</v>
      </c>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row>
    <row r="1091" spans="1:55" x14ac:dyDescent="0.25">
      <c r="A1091" s="1" t="str">
        <f>'Population Definitions'!$A$3</f>
        <v>PWID_females</v>
      </c>
      <c r="C1091" t="s">
        <v>34</v>
      </c>
      <c r="D1091" s="3"/>
      <c r="E1091" s="3">
        <v>0</v>
      </c>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row>
    <row r="1092" spans="1:55" x14ac:dyDescent="0.25">
      <c r="A1092" s="1" t="str">
        <f>'Population Definitions'!$A$4</f>
        <v>0-9_males</v>
      </c>
      <c r="C1092" t="s">
        <v>34</v>
      </c>
      <c r="D1092" s="3"/>
      <c r="E1092" s="3">
        <v>0</v>
      </c>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row>
    <row r="1093" spans="1:55" x14ac:dyDescent="0.25">
      <c r="A1093" s="1" t="str">
        <f>'Population Definitions'!$A$5</f>
        <v>0-9_females</v>
      </c>
      <c r="C1093" t="s">
        <v>34</v>
      </c>
      <c r="D1093" s="3"/>
      <c r="E1093" s="3">
        <v>0</v>
      </c>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row>
    <row r="1094" spans="1:55" x14ac:dyDescent="0.25">
      <c r="A1094" s="1" t="str">
        <f>'Population Definitions'!$A$6</f>
        <v>10-17_males</v>
      </c>
      <c r="C1094" t="s">
        <v>34</v>
      </c>
      <c r="D1094" s="3"/>
      <c r="E1094" s="3">
        <v>0</v>
      </c>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row>
    <row r="1095" spans="1:55" x14ac:dyDescent="0.25">
      <c r="A1095" s="1" t="str">
        <f>'Population Definitions'!$A$7</f>
        <v>10-17_females</v>
      </c>
      <c r="C1095" t="s">
        <v>34</v>
      </c>
      <c r="D1095" s="3"/>
      <c r="E1095" s="3">
        <v>0</v>
      </c>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row>
    <row r="1096" spans="1:55" x14ac:dyDescent="0.25">
      <c r="A1096" s="1" t="str">
        <f>'Population Definitions'!$A$8</f>
        <v>18-64_males</v>
      </c>
      <c r="C1096" t="s">
        <v>34</v>
      </c>
      <c r="D1096" s="3"/>
      <c r="E1096" s="3">
        <v>0</v>
      </c>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row>
    <row r="1097" spans="1:55" x14ac:dyDescent="0.25">
      <c r="A1097" s="1" t="str">
        <f>'Population Definitions'!$A$9</f>
        <v>18-64_females</v>
      </c>
      <c r="C1097" t="s">
        <v>34</v>
      </c>
      <c r="D1097" s="3"/>
      <c r="E1097" s="3">
        <v>0</v>
      </c>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row>
    <row r="1098" spans="1:55" x14ac:dyDescent="0.25">
      <c r="A1098" s="1" t="str">
        <f>'Population Definitions'!$A$10</f>
        <v>65+_males</v>
      </c>
      <c r="C1098" t="s">
        <v>34</v>
      </c>
      <c r="D1098" s="3"/>
      <c r="E1098" s="3">
        <v>0</v>
      </c>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row>
    <row r="1099" spans="1:55" x14ac:dyDescent="0.25">
      <c r="A1099" s="1" t="str">
        <f>'Population Definitions'!$A$11</f>
        <v>65+_females</v>
      </c>
      <c r="C1099" t="s">
        <v>34</v>
      </c>
      <c r="D1099" s="3"/>
      <c r="E1099" s="3">
        <v>0</v>
      </c>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row>
    <row r="1100" spans="1:55" x14ac:dyDescent="0.25">
      <c r="A1100" s="1" t="str">
        <f>'Population Definitions'!$A$12</f>
        <v>Prisoners_males</v>
      </c>
      <c r="C1100" t="s">
        <v>34</v>
      </c>
      <c r="D1100" s="3"/>
      <c r="E1100" s="3">
        <v>0</v>
      </c>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row>
    <row r="1101" spans="1:55" x14ac:dyDescent="0.25">
      <c r="A1101" s="1" t="str">
        <f>'Population Definitions'!$A$13</f>
        <v>Prisoners_females</v>
      </c>
      <c r="C1101" t="s">
        <v>34</v>
      </c>
      <c r="D1101" s="3"/>
      <c r="E1101" s="3">
        <v>0</v>
      </c>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row>
    <row r="1102" spans="1:55" x14ac:dyDescent="0.25">
      <c r="A1102" s="1" t="str">
        <f>'Population Definitions'!$A$14</f>
        <v>Prisoners_PWID_males</v>
      </c>
      <c r="C1102" t="s">
        <v>34</v>
      </c>
      <c r="D1102" s="3"/>
      <c r="E1102" s="3">
        <v>0</v>
      </c>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row>
    <row r="1103" spans="1:55" x14ac:dyDescent="0.25">
      <c r="A1103" s="1" t="str">
        <f>'Population Definitions'!$A$15</f>
        <v>Prisoners_PWID_females</v>
      </c>
      <c r="C1103" t="s">
        <v>34</v>
      </c>
      <c r="D1103" s="3"/>
      <c r="E1103" s="3">
        <v>0</v>
      </c>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row>
    <row r="1105" spans="1:55" x14ac:dyDescent="0.25">
      <c r="A1105" s="1" t="s">
        <v>196</v>
      </c>
      <c r="B1105" s="1" t="s">
        <v>31</v>
      </c>
      <c r="C1105" s="1" t="s">
        <v>32</v>
      </c>
      <c r="D1105" s="1" t="s">
        <v>33</v>
      </c>
      <c r="E1105" s="1">
        <v>2000</v>
      </c>
      <c r="F1105" s="1">
        <v>2001</v>
      </c>
      <c r="G1105" s="1">
        <v>2002</v>
      </c>
      <c r="H1105" s="1">
        <v>2003</v>
      </c>
      <c r="I1105" s="1">
        <v>2004</v>
      </c>
      <c r="J1105" s="1">
        <v>2005</v>
      </c>
      <c r="K1105" s="1">
        <v>2006</v>
      </c>
      <c r="L1105" s="1">
        <v>2007</v>
      </c>
      <c r="M1105" s="1">
        <v>2008</v>
      </c>
      <c r="N1105" s="1">
        <v>2009</v>
      </c>
      <c r="O1105" s="1">
        <v>2010</v>
      </c>
      <c r="P1105" s="1">
        <v>2011</v>
      </c>
      <c r="Q1105" s="1">
        <v>2012</v>
      </c>
      <c r="R1105" s="1">
        <v>2013</v>
      </c>
      <c r="S1105" s="1">
        <v>2014</v>
      </c>
      <c r="T1105" s="1">
        <v>2015</v>
      </c>
      <c r="U1105" s="1">
        <v>2016</v>
      </c>
      <c r="V1105" s="1">
        <v>2017</v>
      </c>
      <c r="W1105" s="1">
        <v>2018</v>
      </c>
      <c r="X1105" s="1">
        <v>2019</v>
      </c>
      <c r="Y1105" s="1">
        <v>2020</v>
      </c>
      <c r="Z1105" s="1">
        <v>2021</v>
      </c>
      <c r="AA1105" s="1">
        <v>2022</v>
      </c>
      <c r="AB1105" s="1">
        <v>2023</v>
      </c>
      <c r="AC1105" s="1">
        <v>2024</v>
      </c>
      <c r="AD1105" s="1">
        <v>2025</v>
      </c>
      <c r="AE1105" s="1">
        <v>2026</v>
      </c>
      <c r="AF1105" s="1">
        <v>2027</v>
      </c>
      <c r="AG1105" s="1">
        <v>2028</v>
      </c>
      <c r="AH1105" s="1">
        <v>2029</v>
      </c>
      <c r="AI1105" s="1">
        <v>2030</v>
      </c>
      <c r="AJ1105" s="1">
        <v>2031</v>
      </c>
      <c r="AK1105" s="1">
        <v>2032</v>
      </c>
      <c r="AL1105" s="1">
        <v>2033</v>
      </c>
      <c r="AM1105" s="1">
        <v>2034</v>
      </c>
      <c r="AN1105" s="1">
        <v>2035</v>
      </c>
      <c r="AO1105" s="1">
        <v>2036</v>
      </c>
      <c r="AP1105" s="1">
        <v>2037</v>
      </c>
      <c r="AQ1105" s="1">
        <v>2038</v>
      </c>
      <c r="AR1105" s="1">
        <v>2039</v>
      </c>
      <c r="AS1105" s="1">
        <v>2040</v>
      </c>
      <c r="AT1105" s="1">
        <v>2041</v>
      </c>
      <c r="AU1105" s="1">
        <v>2042</v>
      </c>
      <c r="AV1105" s="1">
        <v>2043</v>
      </c>
      <c r="AW1105" s="1">
        <v>2044</v>
      </c>
      <c r="AX1105" s="1">
        <v>2045</v>
      </c>
      <c r="AY1105" s="1">
        <v>2046</v>
      </c>
      <c r="AZ1105" s="1">
        <v>2047</v>
      </c>
      <c r="BA1105" s="1">
        <v>2048</v>
      </c>
      <c r="BB1105" s="1">
        <v>2049</v>
      </c>
      <c r="BC1105" s="1">
        <v>2050</v>
      </c>
    </row>
    <row r="1106" spans="1:55" x14ac:dyDescent="0.25">
      <c r="A1106" s="1" t="str">
        <f>'Population Definitions'!$A$2</f>
        <v>PWID_males</v>
      </c>
      <c r="C1106" t="s">
        <v>34</v>
      </c>
      <c r="D1106" s="3"/>
      <c r="E1106" s="3">
        <v>0</v>
      </c>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row>
    <row r="1107" spans="1:55" x14ac:dyDescent="0.25">
      <c r="A1107" s="1" t="str">
        <f>'Population Definitions'!$A$3</f>
        <v>PWID_females</v>
      </c>
      <c r="C1107" t="s">
        <v>34</v>
      </c>
      <c r="D1107" s="3"/>
      <c r="E1107" s="3">
        <v>0</v>
      </c>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row>
    <row r="1108" spans="1:55" x14ac:dyDescent="0.25">
      <c r="A1108" s="1" t="str">
        <f>'Population Definitions'!$A$4</f>
        <v>0-9_males</v>
      </c>
      <c r="C1108" t="s">
        <v>34</v>
      </c>
      <c r="D1108" s="3"/>
      <c r="E1108" s="3">
        <v>0</v>
      </c>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row>
    <row r="1109" spans="1:55" x14ac:dyDescent="0.25">
      <c r="A1109" s="1" t="str">
        <f>'Population Definitions'!$A$5</f>
        <v>0-9_females</v>
      </c>
      <c r="C1109" t="s">
        <v>34</v>
      </c>
      <c r="D1109" s="3"/>
      <c r="E1109" s="3">
        <v>0</v>
      </c>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row>
    <row r="1110" spans="1:55" x14ac:dyDescent="0.25">
      <c r="A1110" s="1" t="str">
        <f>'Population Definitions'!$A$6</f>
        <v>10-17_males</v>
      </c>
      <c r="C1110" t="s">
        <v>34</v>
      </c>
      <c r="D1110" s="3"/>
      <c r="E1110" s="3">
        <v>0</v>
      </c>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row>
    <row r="1111" spans="1:55" x14ac:dyDescent="0.25">
      <c r="A1111" s="1" t="str">
        <f>'Population Definitions'!$A$7</f>
        <v>10-17_females</v>
      </c>
      <c r="C1111" t="s">
        <v>34</v>
      </c>
      <c r="D1111" s="3"/>
      <c r="E1111" s="3">
        <v>0</v>
      </c>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row>
    <row r="1112" spans="1:55" x14ac:dyDescent="0.25">
      <c r="A1112" s="1" t="str">
        <f>'Population Definitions'!$A$8</f>
        <v>18-64_males</v>
      </c>
      <c r="C1112" t="s">
        <v>34</v>
      </c>
      <c r="D1112" s="3"/>
      <c r="E1112" s="3">
        <v>0</v>
      </c>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row>
    <row r="1113" spans="1:55" x14ac:dyDescent="0.25">
      <c r="A1113" s="1" t="str">
        <f>'Population Definitions'!$A$9</f>
        <v>18-64_females</v>
      </c>
      <c r="C1113" t="s">
        <v>34</v>
      </c>
      <c r="D1113" s="3"/>
      <c r="E1113" s="3">
        <v>0</v>
      </c>
      <c r="F1113" s="3"/>
      <c r="G1113" s="3"/>
      <c r="H1113" s="3"/>
      <c r="I1113" s="3"/>
      <c r="J1113" s="3"/>
      <c r="K1113" s="3"/>
      <c r="L1113" s="3"/>
      <c r="M1113" s="3"/>
      <c r="N1113" s="3"/>
      <c r="O1113" s="3"/>
      <c r="P1113" s="3"/>
      <c r="Q1113" s="3"/>
      <c r="R1113" s="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row>
    <row r="1114" spans="1:55" x14ac:dyDescent="0.25">
      <c r="A1114" s="1" t="str">
        <f>'Population Definitions'!$A$10</f>
        <v>65+_males</v>
      </c>
      <c r="C1114" t="s">
        <v>34</v>
      </c>
      <c r="D1114" s="3"/>
      <c r="E1114" s="3">
        <v>0</v>
      </c>
      <c r="F1114" s="3"/>
      <c r="G1114" s="3"/>
      <c r="H1114" s="3"/>
      <c r="I1114" s="3"/>
      <c r="J1114" s="3"/>
      <c r="K1114" s="3"/>
      <c r="L1114" s="3"/>
      <c r="M1114" s="3"/>
      <c r="N1114" s="3"/>
      <c r="O1114" s="3"/>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row>
    <row r="1115" spans="1:55" x14ac:dyDescent="0.25">
      <c r="A1115" s="1" t="str">
        <f>'Population Definitions'!$A$11</f>
        <v>65+_females</v>
      </c>
      <c r="C1115" t="s">
        <v>34</v>
      </c>
      <c r="D1115" s="3"/>
      <c r="E1115" s="3">
        <v>0</v>
      </c>
      <c r="F1115" s="3"/>
      <c r="G1115" s="3"/>
      <c r="H1115" s="3"/>
      <c r="I1115" s="3"/>
      <c r="J1115" s="3"/>
      <c r="K1115" s="3"/>
      <c r="L1115" s="3"/>
      <c r="M1115" s="3"/>
      <c r="N1115" s="3"/>
      <c r="O1115" s="3"/>
      <c r="P1115" s="3"/>
      <c r="Q1115" s="3"/>
      <c r="R1115" s="3"/>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row>
    <row r="1116" spans="1:55" x14ac:dyDescent="0.25">
      <c r="A1116" s="1" t="str">
        <f>'Population Definitions'!$A$12</f>
        <v>Prisoners_males</v>
      </c>
      <c r="C1116" t="s">
        <v>34</v>
      </c>
      <c r="D1116" s="3"/>
      <c r="E1116" s="3">
        <v>0</v>
      </c>
      <c r="F1116" s="3"/>
      <c r="G1116" s="3"/>
      <c r="H1116" s="3"/>
      <c r="I1116" s="3"/>
      <c r="J1116" s="3"/>
      <c r="K1116" s="3"/>
      <c r="L1116" s="3"/>
      <c r="M1116" s="3"/>
      <c r="N1116" s="3"/>
      <c r="O1116" s="3"/>
      <c r="P1116" s="3"/>
      <c r="Q1116" s="3"/>
      <c r="R1116" s="3"/>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row>
    <row r="1117" spans="1:55" x14ac:dyDescent="0.25">
      <c r="A1117" s="1" t="str">
        <f>'Population Definitions'!$A$13</f>
        <v>Prisoners_females</v>
      </c>
      <c r="C1117" t="s">
        <v>34</v>
      </c>
      <c r="D1117" s="3"/>
      <c r="E1117" s="3">
        <v>0</v>
      </c>
      <c r="F1117" s="3"/>
      <c r="G1117" s="3"/>
      <c r="H1117" s="3"/>
      <c r="I1117" s="3"/>
      <c r="J1117" s="3"/>
      <c r="K1117" s="3"/>
      <c r="L1117" s="3"/>
      <c r="M1117" s="3"/>
      <c r="N1117" s="3"/>
      <c r="O1117" s="3"/>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row>
    <row r="1118" spans="1:55" x14ac:dyDescent="0.25">
      <c r="A1118" s="1" t="str">
        <f>'Population Definitions'!$A$14</f>
        <v>Prisoners_PWID_males</v>
      </c>
      <c r="C1118" t="s">
        <v>34</v>
      </c>
      <c r="D1118" s="3"/>
      <c r="E1118" s="3">
        <v>0</v>
      </c>
      <c r="F1118" s="3"/>
      <c r="G1118" s="3"/>
      <c r="H1118" s="3"/>
      <c r="I1118" s="3"/>
      <c r="J1118" s="3"/>
      <c r="K1118" s="3"/>
      <c r="L1118" s="3"/>
      <c r="M1118" s="3"/>
      <c r="N1118" s="3"/>
      <c r="O1118" s="3"/>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row>
    <row r="1119" spans="1:55" x14ac:dyDescent="0.25">
      <c r="A1119" s="1" t="str">
        <f>'Population Definitions'!$A$15</f>
        <v>Prisoners_PWID_females</v>
      </c>
      <c r="C1119" t="s">
        <v>34</v>
      </c>
      <c r="D1119" s="3"/>
      <c r="E1119" s="3">
        <v>0</v>
      </c>
      <c r="F1119" s="3"/>
      <c r="G1119" s="3"/>
      <c r="H1119" s="3"/>
      <c r="I1119" s="3"/>
      <c r="J1119" s="3"/>
      <c r="K1119" s="3"/>
      <c r="L1119" s="3"/>
      <c r="M1119" s="3"/>
      <c r="N1119" s="3"/>
      <c r="O1119" s="3"/>
      <c r="P1119" s="3"/>
      <c r="Q1119" s="3"/>
      <c r="R1119" s="3"/>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row>
    <row r="1121" spans="1:55" x14ac:dyDescent="0.25">
      <c r="A1121" s="1" t="s">
        <v>197</v>
      </c>
      <c r="B1121" s="1" t="s">
        <v>31</v>
      </c>
      <c r="C1121" s="1" t="s">
        <v>32</v>
      </c>
      <c r="D1121" s="1" t="s">
        <v>33</v>
      </c>
      <c r="E1121" s="1">
        <v>2000</v>
      </c>
      <c r="F1121" s="1">
        <v>2001</v>
      </c>
      <c r="G1121" s="1">
        <v>2002</v>
      </c>
      <c r="H1121" s="1">
        <v>2003</v>
      </c>
      <c r="I1121" s="1">
        <v>2004</v>
      </c>
      <c r="J1121" s="1">
        <v>2005</v>
      </c>
      <c r="K1121" s="1">
        <v>2006</v>
      </c>
      <c r="L1121" s="1">
        <v>2007</v>
      </c>
      <c r="M1121" s="1">
        <v>2008</v>
      </c>
      <c r="N1121" s="1">
        <v>2009</v>
      </c>
      <c r="O1121" s="1">
        <v>2010</v>
      </c>
      <c r="P1121" s="1">
        <v>2011</v>
      </c>
      <c r="Q1121" s="1">
        <v>2012</v>
      </c>
      <c r="R1121" s="1">
        <v>2013</v>
      </c>
      <c r="S1121" s="1">
        <v>2014</v>
      </c>
      <c r="T1121" s="1">
        <v>2015</v>
      </c>
      <c r="U1121" s="1">
        <v>2016</v>
      </c>
      <c r="V1121" s="1">
        <v>2017</v>
      </c>
      <c r="W1121" s="1">
        <v>2018</v>
      </c>
      <c r="X1121" s="1">
        <v>2019</v>
      </c>
      <c r="Y1121" s="1">
        <v>2020</v>
      </c>
      <c r="Z1121" s="1">
        <v>2021</v>
      </c>
      <c r="AA1121" s="1">
        <v>2022</v>
      </c>
      <c r="AB1121" s="1">
        <v>2023</v>
      </c>
      <c r="AC1121" s="1">
        <v>2024</v>
      </c>
      <c r="AD1121" s="1">
        <v>2025</v>
      </c>
      <c r="AE1121" s="1">
        <v>2026</v>
      </c>
      <c r="AF1121" s="1">
        <v>2027</v>
      </c>
      <c r="AG1121" s="1">
        <v>2028</v>
      </c>
      <c r="AH1121" s="1">
        <v>2029</v>
      </c>
      <c r="AI1121" s="1">
        <v>2030</v>
      </c>
      <c r="AJ1121" s="1">
        <v>2031</v>
      </c>
      <c r="AK1121" s="1">
        <v>2032</v>
      </c>
      <c r="AL1121" s="1">
        <v>2033</v>
      </c>
      <c r="AM1121" s="1">
        <v>2034</v>
      </c>
      <c r="AN1121" s="1">
        <v>2035</v>
      </c>
      <c r="AO1121" s="1">
        <v>2036</v>
      </c>
      <c r="AP1121" s="1">
        <v>2037</v>
      </c>
      <c r="AQ1121" s="1">
        <v>2038</v>
      </c>
      <c r="AR1121" s="1">
        <v>2039</v>
      </c>
      <c r="AS1121" s="1">
        <v>2040</v>
      </c>
      <c r="AT1121" s="1">
        <v>2041</v>
      </c>
      <c r="AU1121" s="1">
        <v>2042</v>
      </c>
      <c r="AV1121" s="1">
        <v>2043</v>
      </c>
      <c r="AW1121" s="1">
        <v>2044</v>
      </c>
      <c r="AX1121" s="1">
        <v>2045</v>
      </c>
      <c r="AY1121" s="1">
        <v>2046</v>
      </c>
      <c r="AZ1121" s="1">
        <v>2047</v>
      </c>
      <c r="BA1121" s="1">
        <v>2048</v>
      </c>
      <c r="BB1121" s="1">
        <v>2049</v>
      </c>
      <c r="BC1121" s="1">
        <v>2050</v>
      </c>
    </row>
    <row r="1122" spans="1:55" x14ac:dyDescent="0.25">
      <c r="A1122" s="1" t="str">
        <f>'Population Definitions'!$A$2</f>
        <v>PWID_males</v>
      </c>
      <c r="C1122" t="s">
        <v>34</v>
      </c>
      <c r="D1122" s="3"/>
      <c r="E1122" s="3">
        <v>0</v>
      </c>
      <c r="F1122" s="3"/>
      <c r="G1122" s="3"/>
      <c r="H1122" s="3"/>
      <c r="I1122" s="3"/>
      <c r="J1122" s="3"/>
      <c r="K1122" s="3"/>
      <c r="L1122" s="3"/>
      <c r="M1122" s="3"/>
      <c r="N1122" s="3"/>
      <c r="O1122" s="3"/>
      <c r="P1122" s="3"/>
      <c r="Q1122" s="3"/>
      <c r="R1122" s="3"/>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row>
    <row r="1123" spans="1:55" x14ac:dyDescent="0.25">
      <c r="A1123" s="1" t="str">
        <f>'Population Definitions'!$A$3</f>
        <v>PWID_females</v>
      </c>
      <c r="C1123" t="s">
        <v>34</v>
      </c>
      <c r="D1123" s="3"/>
      <c r="E1123" s="3">
        <v>0</v>
      </c>
      <c r="F1123" s="3"/>
      <c r="G1123" s="3"/>
      <c r="H1123" s="3"/>
      <c r="I1123" s="3"/>
      <c r="J1123" s="3"/>
      <c r="K1123" s="3"/>
      <c r="L1123" s="3"/>
      <c r="M1123" s="3"/>
      <c r="N1123" s="3"/>
      <c r="O1123" s="3"/>
      <c r="P1123" s="3"/>
      <c r="Q1123" s="3"/>
      <c r="R1123" s="3"/>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row>
    <row r="1124" spans="1:55" x14ac:dyDescent="0.25">
      <c r="A1124" s="1" t="str">
        <f>'Population Definitions'!$A$4</f>
        <v>0-9_males</v>
      </c>
      <c r="C1124" t="s">
        <v>34</v>
      </c>
      <c r="D1124" s="3"/>
      <c r="E1124" s="3">
        <v>0</v>
      </c>
      <c r="F1124" s="3"/>
      <c r="G1124" s="3"/>
      <c r="H1124" s="3"/>
      <c r="I1124" s="3"/>
      <c r="J1124" s="3"/>
      <c r="K1124" s="3"/>
      <c r="L1124" s="3"/>
      <c r="M1124" s="3"/>
      <c r="N1124" s="3"/>
      <c r="O1124" s="3"/>
      <c r="P1124" s="3"/>
      <c r="Q1124" s="3"/>
      <c r="R1124" s="3"/>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row>
    <row r="1125" spans="1:55" x14ac:dyDescent="0.25">
      <c r="A1125" s="1" t="str">
        <f>'Population Definitions'!$A$5</f>
        <v>0-9_females</v>
      </c>
      <c r="C1125" t="s">
        <v>34</v>
      </c>
      <c r="D1125" s="3"/>
      <c r="E1125" s="3">
        <v>0</v>
      </c>
      <c r="F1125" s="3"/>
      <c r="G1125" s="3"/>
      <c r="H1125" s="3"/>
      <c r="I1125" s="3"/>
      <c r="J1125" s="3"/>
      <c r="K1125" s="3"/>
      <c r="L1125" s="3"/>
      <c r="M1125" s="3"/>
      <c r="N1125" s="3"/>
      <c r="O1125" s="3"/>
      <c r="P1125" s="3"/>
      <c r="Q1125" s="3"/>
      <c r="R1125" s="3"/>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row>
    <row r="1126" spans="1:55" x14ac:dyDescent="0.25">
      <c r="A1126" s="1" t="str">
        <f>'Population Definitions'!$A$6</f>
        <v>10-17_males</v>
      </c>
      <c r="C1126" t="s">
        <v>34</v>
      </c>
      <c r="D1126" s="3"/>
      <c r="E1126" s="3">
        <v>0</v>
      </c>
      <c r="F1126" s="3"/>
      <c r="G1126" s="3"/>
      <c r="H1126" s="3"/>
      <c r="I1126" s="3"/>
      <c r="J1126" s="3"/>
      <c r="K1126" s="3"/>
      <c r="L1126" s="3"/>
      <c r="M1126" s="3"/>
      <c r="N1126" s="3"/>
      <c r="O1126" s="3"/>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row>
    <row r="1127" spans="1:55" x14ac:dyDescent="0.25">
      <c r="A1127" s="1" t="str">
        <f>'Population Definitions'!$A$7</f>
        <v>10-17_females</v>
      </c>
      <c r="C1127" t="s">
        <v>34</v>
      </c>
      <c r="D1127" s="3"/>
      <c r="E1127" s="3">
        <v>0</v>
      </c>
      <c r="F1127" s="3"/>
      <c r="G1127" s="3"/>
      <c r="H1127" s="3"/>
      <c r="I1127" s="3"/>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row>
    <row r="1128" spans="1:55" x14ac:dyDescent="0.25">
      <c r="A1128" s="1" t="str">
        <f>'Population Definitions'!$A$8</f>
        <v>18-64_males</v>
      </c>
      <c r="C1128" t="s">
        <v>34</v>
      </c>
      <c r="D1128" s="3"/>
      <c r="E1128" s="3">
        <v>0</v>
      </c>
      <c r="F1128" s="3"/>
      <c r="G1128" s="3"/>
      <c r="H1128" s="3"/>
      <c r="I1128" s="3"/>
      <c r="J1128" s="3"/>
      <c r="K1128" s="3"/>
      <c r="L1128" s="3"/>
      <c r="M1128" s="3"/>
      <c r="N1128" s="3"/>
      <c r="O1128" s="3"/>
      <c r="P1128" s="3"/>
      <c r="Q1128" s="3"/>
      <c r="R1128" s="3"/>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row>
    <row r="1129" spans="1:55" x14ac:dyDescent="0.25">
      <c r="A1129" s="1" t="str">
        <f>'Population Definitions'!$A$9</f>
        <v>18-64_females</v>
      </c>
      <c r="C1129" t="s">
        <v>34</v>
      </c>
      <c r="D1129" s="3"/>
      <c r="E1129" s="3">
        <v>0</v>
      </c>
      <c r="F1129" s="3"/>
      <c r="G1129" s="3"/>
      <c r="H1129" s="3"/>
      <c r="I1129" s="3"/>
      <c r="J1129" s="3"/>
      <c r="K1129" s="3"/>
      <c r="L1129" s="3"/>
      <c r="M1129" s="3"/>
      <c r="N1129" s="3"/>
      <c r="O1129" s="3"/>
      <c r="P1129" s="3"/>
      <c r="Q1129" s="3"/>
      <c r="R1129" s="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row>
    <row r="1130" spans="1:55" x14ac:dyDescent="0.25">
      <c r="A1130" s="1" t="str">
        <f>'Population Definitions'!$A$10</f>
        <v>65+_males</v>
      </c>
      <c r="C1130" t="s">
        <v>34</v>
      </c>
      <c r="D1130" s="3"/>
      <c r="E1130" s="3">
        <v>0</v>
      </c>
      <c r="F1130" s="3"/>
      <c r="G1130" s="3"/>
      <c r="H1130" s="3"/>
      <c r="I1130" s="3"/>
      <c r="J1130" s="3"/>
      <c r="K1130" s="3"/>
      <c r="L1130" s="3"/>
      <c r="M1130" s="3"/>
      <c r="N1130" s="3"/>
      <c r="O1130" s="3"/>
      <c r="P1130" s="3"/>
      <c r="Q1130" s="3"/>
      <c r="R1130" s="3"/>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row>
    <row r="1131" spans="1:55" x14ac:dyDescent="0.25">
      <c r="A1131" s="1" t="str">
        <f>'Population Definitions'!$A$11</f>
        <v>65+_females</v>
      </c>
      <c r="C1131" t="s">
        <v>34</v>
      </c>
      <c r="D1131" s="3"/>
      <c r="E1131" s="3">
        <v>0</v>
      </c>
      <c r="F1131" s="3"/>
      <c r="G1131" s="3"/>
      <c r="H1131" s="3"/>
      <c r="I1131" s="3"/>
      <c r="J1131" s="3"/>
      <c r="K1131" s="3"/>
      <c r="L1131" s="3"/>
      <c r="M1131" s="3"/>
      <c r="N1131" s="3"/>
      <c r="O1131" s="3"/>
      <c r="P1131" s="3"/>
      <c r="Q1131" s="3"/>
      <c r="R1131" s="3"/>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row>
    <row r="1132" spans="1:55" x14ac:dyDescent="0.25">
      <c r="A1132" s="1" t="str">
        <f>'Population Definitions'!$A$12</f>
        <v>Prisoners_males</v>
      </c>
      <c r="C1132" t="s">
        <v>34</v>
      </c>
      <c r="D1132" s="3"/>
      <c r="E1132" s="3">
        <v>0</v>
      </c>
      <c r="F1132" s="3"/>
      <c r="G1132" s="3"/>
      <c r="H1132" s="3"/>
      <c r="I1132" s="3"/>
      <c r="J1132" s="3"/>
      <c r="K1132" s="3"/>
      <c r="L1132" s="3"/>
      <c r="M1132" s="3"/>
      <c r="N1132" s="3"/>
      <c r="O1132" s="3"/>
      <c r="P1132" s="3"/>
      <c r="Q1132" s="3"/>
      <c r="R1132" s="3"/>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row>
    <row r="1133" spans="1:55" x14ac:dyDescent="0.25">
      <c r="A1133" s="1" t="str">
        <f>'Population Definitions'!$A$13</f>
        <v>Prisoners_females</v>
      </c>
      <c r="C1133" t="s">
        <v>34</v>
      </c>
      <c r="D1133" s="3"/>
      <c r="E1133" s="3">
        <v>0</v>
      </c>
      <c r="F1133" s="3"/>
      <c r="G1133" s="3"/>
      <c r="H1133" s="3"/>
      <c r="I1133" s="3"/>
      <c r="J1133" s="3"/>
      <c r="K1133" s="3"/>
      <c r="L1133" s="3"/>
      <c r="M1133" s="3"/>
      <c r="N1133" s="3"/>
      <c r="O1133" s="3"/>
      <c r="P1133" s="3"/>
      <c r="Q1133" s="3"/>
      <c r="R1133" s="3"/>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row>
    <row r="1134" spans="1:55" x14ac:dyDescent="0.25">
      <c r="A1134" s="1" t="str">
        <f>'Population Definitions'!$A$14</f>
        <v>Prisoners_PWID_males</v>
      </c>
      <c r="C1134" t="s">
        <v>34</v>
      </c>
      <c r="D1134" s="3"/>
      <c r="E1134" s="3">
        <v>0</v>
      </c>
      <c r="F1134" s="3"/>
      <c r="G1134" s="3"/>
      <c r="H1134" s="3"/>
      <c r="I1134" s="3"/>
      <c r="J1134" s="3"/>
      <c r="K1134" s="3"/>
      <c r="L1134" s="3"/>
      <c r="M1134" s="3"/>
      <c r="N1134" s="3"/>
      <c r="O1134" s="3"/>
      <c r="P1134" s="3"/>
      <c r="Q1134" s="3"/>
      <c r="R1134" s="3"/>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row>
    <row r="1135" spans="1:55" x14ac:dyDescent="0.25">
      <c r="A1135" s="1" t="str">
        <f>'Population Definitions'!$A$15</f>
        <v>Prisoners_PWID_females</v>
      </c>
      <c r="C1135" t="s">
        <v>34</v>
      </c>
      <c r="D1135" s="3"/>
      <c r="E1135" s="3">
        <v>0</v>
      </c>
      <c r="F1135" s="3"/>
      <c r="G1135" s="3"/>
      <c r="H1135" s="3"/>
      <c r="I1135" s="3"/>
      <c r="J1135" s="3"/>
      <c r="K1135" s="3"/>
      <c r="L1135" s="3"/>
      <c r="M1135" s="3"/>
      <c r="N1135" s="3"/>
      <c r="O1135" s="3"/>
      <c r="P1135" s="3"/>
      <c r="Q1135" s="3"/>
      <c r="R1135" s="3"/>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row>
    <row r="1137" spans="1:55" x14ac:dyDescent="0.25">
      <c r="A1137" s="1" t="s">
        <v>198</v>
      </c>
      <c r="B1137" s="1" t="s">
        <v>31</v>
      </c>
      <c r="C1137" s="1" t="s">
        <v>32</v>
      </c>
      <c r="D1137" s="1" t="s">
        <v>33</v>
      </c>
      <c r="E1137" s="1">
        <v>2000</v>
      </c>
      <c r="F1137" s="1">
        <v>2001</v>
      </c>
      <c r="G1137" s="1">
        <v>2002</v>
      </c>
      <c r="H1137" s="1">
        <v>2003</v>
      </c>
      <c r="I1137" s="1">
        <v>2004</v>
      </c>
      <c r="J1137" s="1">
        <v>2005</v>
      </c>
      <c r="K1137" s="1">
        <v>2006</v>
      </c>
      <c r="L1137" s="1">
        <v>2007</v>
      </c>
      <c r="M1137" s="1">
        <v>2008</v>
      </c>
      <c r="N1137" s="1">
        <v>2009</v>
      </c>
      <c r="O1137" s="1">
        <v>2010</v>
      </c>
      <c r="P1137" s="1">
        <v>2011</v>
      </c>
      <c r="Q1137" s="1">
        <v>2012</v>
      </c>
      <c r="R1137" s="1">
        <v>2013</v>
      </c>
      <c r="S1137" s="1">
        <v>2014</v>
      </c>
      <c r="T1137" s="1">
        <v>2015</v>
      </c>
      <c r="U1137" s="1">
        <v>2016</v>
      </c>
      <c r="V1137" s="1">
        <v>2017</v>
      </c>
      <c r="W1137" s="1">
        <v>2018</v>
      </c>
      <c r="X1137" s="1">
        <v>2019</v>
      </c>
      <c r="Y1137" s="1">
        <v>2020</v>
      </c>
      <c r="Z1137" s="1">
        <v>2021</v>
      </c>
      <c r="AA1137" s="1">
        <v>2022</v>
      </c>
      <c r="AB1137" s="1">
        <v>2023</v>
      </c>
      <c r="AC1137" s="1">
        <v>2024</v>
      </c>
      <c r="AD1137" s="1">
        <v>2025</v>
      </c>
      <c r="AE1137" s="1">
        <v>2026</v>
      </c>
      <c r="AF1137" s="1">
        <v>2027</v>
      </c>
      <c r="AG1137" s="1">
        <v>2028</v>
      </c>
      <c r="AH1137" s="1">
        <v>2029</v>
      </c>
      <c r="AI1137" s="1">
        <v>2030</v>
      </c>
      <c r="AJ1137" s="1">
        <v>2031</v>
      </c>
      <c r="AK1137" s="1">
        <v>2032</v>
      </c>
      <c r="AL1137" s="1">
        <v>2033</v>
      </c>
      <c r="AM1137" s="1">
        <v>2034</v>
      </c>
      <c r="AN1137" s="1">
        <v>2035</v>
      </c>
      <c r="AO1137" s="1">
        <v>2036</v>
      </c>
      <c r="AP1137" s="1">
        <v>2037</v>
      </c>
      <c r="AQ1137" s="1">
        <v>2038</v>
      </c>
      <c r="AR1137" s="1">
        <v>2039</v>
      </c>
      <c r="AS1137" s="1">
        <v>2040</v>
      </c>
      <c r="AT1137" s="1">
        <v>2041</v>
      </c>
      <c r="AU1137" s="1">
        <v>2042</v>
      </c>
      <c r="AV1137" s="1">
        <v>2043</v>
      </c>
      <c r="AW1137" s="1">
        <v>2044</v>
      </c>
      <c r="AX1137" s="1">
        <v>2045</v>
      </c>
      <c r="AY1137" s="1">
        <v>2046</v>
      </c>
      <c r="AZ1137" s="1">
        <v>2047</v>
      </c>
      <c r="BA1137" s="1">
        <v>2048</v>
      </c>
      <c r="BB1137" s="1">
        <v>2049</v>
      </c>
      <c r="BC1137" s="1">
        <v>2050</v>
      </c>
    </row>
    <row r="1138" spans="1:55" x14ac:dyDescent="0.25">
      <c r="A1138" s="1" t="str">
        <f>'Population Definitions'!$A$2</f>
        <v>PWID_males</v>
      </c>
      <c r="C1138" t="s">
        <v>34</v>
      </c>
      <c r="D1138" s="3"/>
      <c r="E1138" s="3">
        <v>0</v>
      </c>
      <c r="F1138" s="3"/>
      <c r="G1138" s="3"/>
      <c r="H1138" s="3"/>
      <c r="I1138" s="3"/>
      <c r="J1138" s="3"/>
      <c r="K1138" s="3"/>
      <c r="L1138" s="3"/>
      <c r="M1138" s="3"/>
      <c r="N1138" s="3"/>
      <c r="O1138" s="3"/>
      <c r="P1138" s="3"/>
      <c r="Q1138" s="3"/>
      <c r="R1138" s="3"/>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row>
    <row r="1139" spans="1:55" x14ac:dyDescent="0.25">
      <c r="A1139" s="1" t="str">
        <f>'Population Definitions'!$A$3</f>
        <v>PWID_females</v>
      </c>
      <c r="C1139" t="s">
        <v>34</v>
      </c>
      <c r="D1139" s="3"/>
      <c r="E1139" s="3">
        <v>0</v>
      </c>
      <c r="F1139" s="3"/>
      <c r="G1139" s="3"/>
      <c r="H1139" s="3"/>
      <c r="I1139" s="3"/>
      <c r="J1139" s="3"/>
      <c r="K1139" s="3"/>
      <c r="L1139" s="3"/>
      <c r="M1139" s="3"/>
      <c r="N1139" s="3"/>
      <c r="O1139" s="3"/>
      <c r="P1139" s="3"/>
      <c r="Q1139" s="3"/>
      <c r="R1139" s="3"/>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row>
    <row r="1140" spans="1:55" x14ac:dyDescent="0.25">
      <c r="A1140" s="1" t="str">
        <f>'Population Definitions'!$A$4</f>
        <v>0-9_males</v>
      </c>
      <c r="C1140" t="s">
        <v>34</v>
      </c>
      <c r="D1140" s="3"/>
      <c r="E1140" s="3">
        <v>0</v>
      </c>
      <c r="F1140" s="3"/>
      <c r="G1140" s="3"/>
      <c r="H1140" s="3"/>
      <c r="I1140" s="3"/>
      <c r="J1140" s="3"/>
      <c r="K1140" s="3"/>
      <c r="L1140" s="3"/>
      <c r="M1140" s="3"/>
      <c r="N1140" s="3"/>
      <c r="O1140" s="3"/>
      <c r="P1140" s="3"/>
      <c r="Q1140" s="3"/>
      <c r="R1140" s="3"/>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row>
    <row r="1141" spans="1:55" x14ac:dyDescent="0.25">
      <c r="A1141" s="1" t="str">
        <f>'Population Definitions'!$A$5</f>
        <v>0-9_females</v>
      </c>
      <c r="C1141" t="s">
        <v>34</v>
      </c>
      <c r="D1141" s="3"/>
      <c r="E1141" s="3">
        <v>0</v>
      </c>
      <c r="F1141" s="3"/>
      <c r="G1141" s="3"/>
      <c r="H1141" s="3"/>
      <c r="I1141" s="3"/>
      <c r="J1141" s="3"/>
      <c r="K1141" s="3"/>
      <c r="L1141" s="3"/>
      <c r="M1141" s="3"/>
      <c r="N1141" s="3"/>
      <c r="O1141" s="3"/>
      <c r="P1141" s="3"/>
      <c r="Q1141" s="3"/>
      <c r="R1141" s="3"/>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row>
    <row r="1142" spans="1:55" x14ac:dyDescent="0.25">
      <c r="A1142" s="1" t="str">
        <f>'Population Definitions'!$A$6</f>
        <v>10-17_males</v>
      </c>
      <c r="C1142" t="s">
        <v>34</v>
      </c>
      <c r="D1142" s="3"/>
      <c r="E1142" s="3">
        <v>0</v>
      </c>
      <c r="F1142" s="3"/>
      <c r="G1142" s="3"/>
      <c r="H1142" s="3"/>
      <c r="I1142" s="3"/>
      <c r="J1142" s="3"/>
      <c r="K1142" s="3"/>
      <c r="L1142" s="3"/>
      <c r="M1142" s="3"/>
      <c r="N1142" s="3"/>
      <c r="O1142" s="3"/>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row>
    <row r="1143" spans="1:55" x14ac:dyDescent="0.25">
      <c r="A1143" s="1" t="str">
        <f>'Population Definitions'!$A$7</f>
        <v>10-17_females</v>
      </c>
      <c r="C1143" t="s">
        <v>34</v>
      </c>
      <c r="D1143" s="3"/>
      <c r="E1143" s="3">
        <v>0</v>
      </c>
      <c r="F1143" s="3"/>
      <c r="G1143" s="3"/>
      <c r="H1143" s="3"/>
      <c r="I1143" s="3"/>
      <c r="J1143" s="3"/>
      <c r="K1143" s="3"/>
      <c r="L1143" s="3"/>
      <c r="M1143" s="3"/>
      <c r="N1143" s="3"/>
      <c r="O1143" s="3"/>
      <c r="P1143" s="3"/>
      <c r="Q1143" s="3"/>
      <c r="R1143" s="3"/>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row>
    <row r="1144" spans="1:55" x14ac:dyDescent="0.25">
      <c r="A1144" s="1" t="str">
        <f>'Population Definitions'!$A$8</f>
        <v>18-64_males</v>
      </c>
      <c r="C1144" t="s">
        <v>34</v>
      </c>
      <c r="D1144" s="3"/>
      <c r="E1144" s="3">
        <v>0</v>
      </c>
      <c r="F1144" s="3"/>
      <c r="G1144" s="3"/>
      <c r="H1144" s="3"/>
      <c r="I1144" s="3"/>
      <c r="J1144" s="3"/>
      <c r="K1144" s="3"/>
      <c r="L1144" s="3"/>
      <c r="M1144" s="3"/>
      <c r="N1144" s="3"/>
      <c r="O1144" s="3"/>
      <c r="P1144" s="3"/>
      <c r="Q1144" s="3"/>
      <c r="R1144" s="3"/>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row>
    <row r="1145" spans="1:55" x14ac:dyDescent="0.25">
      <c r="A1145" s="1" t="str">
        <f>'Population Definitions'!$A$9</f>
        <v>18-64_females</v>
      </c>
      <c r="C1145" t="s">
        <v>34</v>
      </c>
      <c r="D1145" s="3"/>
      <c r="E1145" s="3">
        <v>0</v>
      </c>
      <c r="F1145" s="3"/>
      <c r="G1145" s="3"/>
      <c r="H1145" s="3"/>
      <c r="I1145" s="3"/>
      <c r="J1145" s="3"/>
      <c r="K1145" s="3"/>
      <c r="L1145" s="3"/>
      <c r="M1145" s="3"/>
      <c r="N1145" s="3"/>
      <c r="O1145" s="3"/>
      <c r="P1145" s="3"/>
      <c r="Q1145" s="3"/>
      <c r="R1145" s="3"/>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row>
    <row r="1146" spans="1:55" x14ac:dyDescent="0.25">
      <c r="A1146" s="1" t="str">
        <f>'Population Definitions'!$A$10</f>
        <v>65+_males</v>
      </c>
      <c r="C1146" t="s">
        <v>34</v>
      </c>
      <c r="D1146" s="3"/>
      <c r="E1146" s="3">
        <v>0</v>
      </c>
      <c r="F1146" s="3"/>
      <c r="G1146" s="3"/>
      <c r="H1146" s="3"/>
      <c r="I1146" s="3"/>
      <c r="J1146" s="3"/>
      <c r="K1146" s="3"/>
      <c r="L1146" s="3"/>
      <c r="M1146" s="3"/>
      <c r="N1146" s="3"/>
      <c r="O1146" s="3"/>
      <c r="P1146" s="3"/>
      <c r="Q1146" s="3"/>
      <c r="R1146" s="3"/>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row>
    <row r="1147" spans="1:55" x14ac:dyDescent="0.25">
      <c r="A1147" s="1" t="str">
        <f>'Population Definitions'!$A$11</f>
        <v>65+_females</v>
      </c>
      <c r="C1147" t="s">
        <v>34</v>
      </c>
      <c r="D1147" s="3"/>
      <c r="E1147" s="3">
        <v>0</v>
      </c>
      <c r="F1147" s="3"/>
      <c r="G1147" s="3"/>
      <c r="H1147" s="3"/>
      <c r="I1147" s="3"/>
      <c r="J1147" s="3"/>
      <c r="K1147" s="3"/>
      <c r="L1147" s="3"/>
      <c r="M1147" s="3"/>
      <c r="N1147" s="3"/>
      <c r="O1147" s="3"/>
      <c r="P1147" s="3"/>
      <c r="Q1147" s="3"/>
      <c r="R1147" s="3"/>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row>
    <row r="1148" spans="1:55" x14ac:dyDescent="0.25">
      <c r="A1148" s="1" t="str">
        <f>'Population Definitions'!$A$12</f>
        <v>Prisoners_males</v>
      </c>
      <c r="C1148" t="s">
        <v>34</v>
      </c>
      <c r="D1148" s="3"/>
      <c r="E1148" s="3">
        <v>0</v>
      </c>
      <c r="F1148" s="3"/>
      <c r="G1148" s="3"/>
      <c r="H1148" s="3"/>
      <c r="I1148" s="3"/>
      <c r="J1148" s="3"/>
      <c r="K1148" s="3"/>
      <c r="L1148" s="3"/>
      <c r="M1148" s="3"/>
      <c r="N1148" s="3"/>
      <c r="O1148" s="3"/>
      <c r="P1148" s="3"/>
      <c r="Q1148" s="3"/>
      <c r="R1148" s="3"/>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row>
    <row r="1149" spans="1:55" x14ac:dyDescent="0.25">
      <c r="A1149" s="1" t="str">
        <f>'Population Definitions'!$A$13</f>
        <v>Prisoners_females</v>
      </c>
      <c r="C1149" t="s">
        <v>34</v>
      </c>
      <c r="D1149" s="3"/>
      <c r="E1149" s="3">
        <v>0</v>
      </c>
      <c r="F1149" s="3"/>
      <c r="G1149" s="3"/>
      <c r="H1149" s="3"/>
      <c r="I1149" s="3"/>
      <c r="J1149" s="3"/>
      <c r="K1149" s="3"/>
      <c r="L1149" s="3"/>
      <c r="M1149" s="3"/>
      <c r="N1149" s="3"/>
      <c r="O1149" s="3"/>
      <c r="P1149" s="3"/>
      <c r="Q1149" s="3"/>
      <c r="R1149" s="3"/>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row>
    <row r="1150" spans="1:55" x14ac:dyDescent="0.25">
      <c r="A1150" s="1" t="str">
        <f>'Population Definitions'!$A$14</f>
        <v>Prisoners_PWID_males</v>
      </c>
      <c r="C1150" t="s">
        <v>34</v>
      </c>
      <c r="D1150" s="3"/>
      <c r="E1150" s="3">
        <v>0</v>
      </c>
      <c r="F1150" s="3"/>
      <c r="G1150" s="3"/>
      <c r="H1150" s="3"/>
      <c r="I1150" s="3"/>
      <c r="J1150" s="3"/>
      <c r="K1150" s="3"/>
      <c r="L1150" s="3"/>
      <c r="M1150" s="3"/>
      <c r="N1150" s="3"/>
      <c r="O1150" s="3"/>
      <c r="P1150" s="3"/>
      <c r="Q1150" s="3"/>
      <c r="R1150" s="3"/>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row>
    <row r="1151" spans="1:55" x14ac:dyDescent="0.25">
      <c r="A1151" s="1" t="str">
        <f>'Population Definitions'!$A$15</f>
        <v>Prisoners_PWID_females</v>
      </c>
      <c r="C1151" t="s">
        <v>34</v>
      </c>
      <c r="D1151" s="3"/>
      <c r="E1151" s="3">
        <v>0</v>
      </c>
      <c r="F1151" s="3"/>
      <c r="G1151" s="3"/>
      <c r="H1151" s="3"/>
      <c r="I1151" s="3"/>
      <c r="J1151" s="3"/>
      <c r="K1151" s="3"/>
      <c r="L1151" s="3"/>
      <c r="M1151" s="3"/>
      <c r="N1151" s="3"/>
      <c r="O1151" s="3"/>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row>
    <row r="1153" spans="1:55" x14ac:dyDescent="0.25">
      <c r="A1153" s="1" t="s">
        <v>199</v>
      </c>
      <c r="B1153" s="1" t="s">
        <v>31</v>
      </c>
      <c r="C1153" s="1" t="s">
        <v>32</v>
      </c>
      <c r="D1153" s="1" t="s">
        <v>33</v>
      </c>
      <c r="E1153" s="1">
        <v>2000</v>
      </c>
      <c r="F1153" s="1">
        <v>2001</v>
      </c>
      <c r="G1153" s="1">
        <v>2002</v>
      </c>
      <c r="H1153" s="1">
        <v>2003</v>
      </c>
      <c r="I1153" s="1">
        <v>2004</v>
      </c>
      <c r="J1153" s="1">
        <v>2005</v>
      </c>
      <c r="K1153" s="1">
        <v>2006</v>
      </c>
      <c r="L1153" s="1">
        <v>2007</v>
      </c>
      <c r="M1153" s="1">
        <v>2008</v>
      </c>
      <c r="N1153" s="1">
        <v>2009</v>
      </c>
      <c r="O1153" s="1">
        <v>2010</v>
      </c>
      <c r="P1153" s="1">
        <v>2011</v>
      </c>
      <c r="Q1153" s="1">
        <v>2012</v>
      </c>
      <c r="R1153" s="1">
        <v>2013</v>
      </c>
      <c r="S1153" s="1">
        <v>2014</v>
      </c>
      <c r="T1153" s="1">
        <v>2015</v>
      </c>
      <c r="U1153" s="1">
        <v>2016</v>
      </c>
      <c r="V1153" s="1">
        <v>2017</v>
      </c>
      <c r="W1153" s="1">
        <v>2018</v>
      </c>
      <c r="X1153" s="1">
        <v>2019</v>
      </c>
      <c r="Y1153" s="1">
        <v>2020</v>
      </c>
      <c r="Z1153" s="1">
        <v>2021</v>
      </c>
      <c r="AA1153" s="1">
        <v>2022</v>
      </c>
      <c r="AB1153" s="1">
        <v>2023</v>
      </c>
      <c r="AC1153" s="1">
        <v>2024</v>
      </c>
      <c r="AD1153" s="1">
        <v>2025</v>
      </c>
      <c r="AE1153" s="1">
        <v>2026</v>
      </c>
      <c r="AF1153" s="1">
        <v>2027</v>
      </c>
      <c r="AG1153" s="1">
        <v>2028</v>
      </c>
      <c r="AH1153" s="1">
        <v>2029</v>
      </c>
      <c r="AI1153" s="1">
        <v>2030</v>
      </c>
      <c r="AJ1153" s="1">
        <v>2031</v>
      </c>
      <c r="AK1153" s="1">
        <v>2032</v>
      </c>
      <c r="AL1153" s="1">
        <v>2033</v>
      </c>
      <c r="AM1153" s="1">
        <v>2034</v>
      </c>
      <c r="AN1153" s="1">
        <v>2035</v>
      </c>
      <c r="AO1153" s="1">
        <v>2036</v>
      </c>
      <c r="AP1153" s="1">
        <v>2037</v>
      </c>
      <c r="AQ1153" s="1">
        <v>2038</v>
      </c>
      <c r="AR1153" s="1">
        <v>2039</v>
      </c>
      <c r="AS1153" s="1">
        <v>2040</v>
      </c>
      <c r="AT1153" s="1">
        <v>2041</v>
      </c>
      <c r="AU1153" s="1">
        <v>2042</v>
      </c>
      <c r="AV1153" s="1">
        <v>2043</v>
      </c>
      <c r="AW1153" s="1">
        <v>2044</v>
      </c>
      <c r="AX1153" s="1">
        <v>2045</v>
      </c>
      <c r="AY1153" s="1">
        <v>2046</v>
      </c>
      <c r="AZ1153" s="1">
        <v>2047</v>
      </c>
      <c r="BA1153" s="1">
        <v>2048</v>
      </c>
      <c r="BB1153" s="1">
        <v>2049</v>
      </c>
      <c r="BC1153" s="1">
        <v>2050</v>
      </c>
    </row>
    <row r="1154" spans="1:55" x14ac:dyDescent="0.25">
      <c r="A1154" s="1" t="str">
        <f>'Population Definitions'!$A$2</f>
        <v>PWID_males</v>
      </c>
      <c r="C1154" t="s">
        <v>34</v>
      </c>
      <c r="D1154" s="3"/>
      <c r="E1154" s="3">
        <v>0</v>
      </c>
      <c r="F1154" s="3"/>
      <c r="G1154" s="3"/>
      <c r="H1154" s="3"/>
      <c r="I1154" s="3"/>
      <c r="J1154" s="3"/>
      <c r="K1154" s="3"/>
      <c r="L1154" s="3"/>
      <c r="M1154" s="3"/>
      <c r="N1154" s="3"/>
      <c r="O1154" s="3"/>
      <c r="P1154" s="3"/>
      <c r="Q1154" s="3"/>
      <c r="R1154" s="3"/>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row>
    <row r="1155" spans="1:55" x14ac:dyDescent="0.25">
      <c r="A1155" s="1" t="str">
        <f>'Population Definitions'!$A$3</f>
        <v>PWID_females</v>
      </c>
      <c r="C1155" t="s">
        <v>34</v>
      </c>
      <c r="D1155" s="3"/>
      <c r="E1155" s="3">
        <v>0</v>
      </c>
      <c r="F1155" s="3"/>
      <c r="G1155" s="3"/>
      <c r="H1155" s="3"/>
      <c r="I1155" s="3"/>
      <c r="J1155" s="3"/>
      <c r="K1155" s="3"/>
      <c r="L1155" s="3"/>
      <c r="M1155" s="3"/>
      <c r="N1155" s="3"/>
      <c r="O1155" s="3"/>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row>
    <row r="1156" spans="1:55" x14ac:dyDescent="0.25">
      <c r="A1156" s="1" t="str">
        <f>'Population Definitions'!$A$4</f>
        <v>0-9_males</v>
      </c>
      <c r="C1156" t="s">
        <v>34</v>
      </c>
      <c r="D1156" s="3"/>
      <c r="E1156" s="3">
        <v>0</v>
      </c>
      <c r="F1156" s="3"/>
      <c r="G1156" s="3"/>
      <c r="H1156" s="3"/>
      <c r="I1156" s="3"/>
      <c r="J1156" s="3"/>
      <c r="K1156" s="3"/>
      <c r="L1156" s="3"/>
      <c r="M1156" s="3"/>
      <c r="N1156" s="3"/>
      <c r="O1156" s="3"/>
      <c r="P1156" s="3"/>
      <c r="Q1156" s="3"/>
      <c r="R1156" s="3"/>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row>
    <row r="1157" spans="1:55" x14ac:dyDescent="0.25">
      <c r="A1157" s="1" t="str">
        <f>'Population Definitions'!$A$5</f>
        <v>0-9_females</v>
      </c>
      <c r="C1157" t="s">
        <v>34</v>
      </c>
      <c r="D1157" s="3"/>
      <c r="E1157" s="3">
        <v>0</v>
      </c>
      <c r="F1157" s="3"/>
      <c r="G1157" s="3"/>
      <c r="H1157" s="3"/>
      <c r="I1157" s="3"/>
      <c r="J1157" s="3"/>
      <c r="K1157" s="3"/>
      <c r="L1157" s="3"/>
      <c r="M1157" s="3"/>
      <c r="N1157" s="3"/>
      <c r="O1157" s="3"/>
      <c r="P1157" s="3"/>
      <c r="Q1157" s="3"/>
      <c r="R1157" s="3"/>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row>
    <row r="1158" spans="1:55" x14ac:dyDescent="0.25">
      <c r="A1158" s="1" t="str">
        <f>'Population Definitions'!$A$6</f>
        <v>10-17_males</v>
      </c>
      <c r="C1158" t="s">
        <v>34</v>
      </c>
      <c r="D1158" s="3"/>
      <c r="E1158" s="3">
        <v>0</v>
      </c>
      <c r="F1158" s="3"/>
      <c r="G1158" s="3"/>
      <c r="H1158" s="3"/>
      <c r="I1158" s="3"/>
      <c r="J1158" s="3"/>
      <c r="K1158" s="3"/>
      <c r="L1158" s="3"/>
      <c r="M1158" s="3"/>
      <c r="N1158" s="3"/>
      <c r="O1158" s="3"/>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row>
    <row r="1159" spans="1:55" x14ac:dyDescent="0.25">
      <c r="A1159" s="1" t="str">
        <f>'Population Definitions'!$A$7</f>
        <v>10-17_females</v>
      </c>
      <c r="C1159" t="s">
        <v>34</v>
      </c>
      <c r="D1159" s="3"/>
      <c r="E1159" s="3">
        <v>0</v>
      </c>
      <c r="F1159" s="3"/>
      <c r="G1159" s="3"/>
      <c r="H1159" s="3"/>
      <c r="I1159" s="3"/>
      <c r="J1159" s="3"/>
      <c r="K1159" s="3"/>
      <c r="L1159" s="3"/>
      <c r="M1159" s="3"/>
      <c r="N1159" s="3"/>
      <c r="O1159" s="3"/>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row>
    <row r="1160" spans="1:55" x14ac:dyDescent="0.25">
      <c r="A1160" s="1" t="str">
        <f>'Population Definitions'!$A$8</f>
        <v>18-64_males</v>
      </c>
      <c r="C1160" t="s">
        <v>34</v>
      </c>
      <c r="D1160" s="3"/>
      <c r="E1160" s="3">
        <v>0</v>
      </c>
      <c r="F1160" s="3"/>
      <c r="G1160" s="3"/>
      <c r="H1160" s="3"/>
      <c r="I1160" s="3"/>
      <c r="J1160" s="3"/>
      <c r="K1160" s="3"/>
      <c r="L1160" s="3"/>
      <c r="M1160" s="3"/>
      <c r="N1160" s="3"/>
      <c r="O1160" s="3"/>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row>
    <row r="1161" spans="1:55" x14ac:dyDescent="0.25">
      <c r="A1161" s="1" t="str">
        <f>'Population Definitions'!$A$9</f>
        <v>18-64_females</v>
      </c>
      <c r="C1161" t="s">
        <v>34</v>
      </c>
      <c r="D1161" s="3"/>
      <c r="E1161" s="3">
        <v>0</v>
      </c>
      <c r="F1161" s="3"/>
      <c r="G1161" s="3"/>
      <c r="H1161" s="3"/>
      <c r="I1161" s="3"/>
      <c r="J1161" s="3"/>
      <c r="K1161" s="3"/>
      <c r="L1161" s="3"/>
      <c r="M1161" s="3"/>
      <c r="N1161" s="3"/>
      <c r="O1161" s="3"/>
      <c r="P1161" s="3"/>
      <c r="Q1161" s="3"/>
      <c r="R1161" s="3"/>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row>
    <row r="1162" spans="1:55" x14ac:dyDescent="0.25">
      <c r="A1162" s="1" t="str">
        <f>'Population Definitions'!$A$10</f>
        <v>65+_males</v>
      </c>
      <c r="C1162" t="s">
        <v>34</v>
      </c>
      <c r="D1162" s="3"/>
      <c r="E1162" s="3">
        <v>0</v>
      </c>
      <c r="F1162" s="3"/>
      <c r="G1162" s="3"/>
      <c r="H1162" s="3"/>
      <c r="I1162" s="3"/>
      <c r="J1162" s="3"/>
      <c r="K1162" s="3"/>
      <c r="L1162" s="3"/>
      <c r="M1162" s="3"/>
      <c r="N1162" s="3"/>
      <c r="O1162" s="3"/>
      <c r="P1162" s="3"/>
      <c r="Q1162" s="3"/>
      <c r="R1162" s="3"/>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row>
    <row r="1163" spans="1:55" x14ac:dyDescent="0.25">
      <c r="A1163" s="1" t="str">
        <f>'Population Definitions'!$A$11</f>
        <v>65+_females</v>
      </c>
      <c r="C1163" t="s">
        <v>34</v>
      </c>
      <c r="D1163" s="3"/>
      <c r="E1163" s="3">
        <v>0</v>
      </c>
      <c r="F1163" s="3"/>
      <c r="G1163" s="3"/>
      <c r="H1163" s="3"/>
      <c r="I1163" s="3"/>
      <c r="J1163" s="3"/>
      <c r="K1163" s="3"/>
      <c r="L1163" s="3"/>
      <c r="M1163" s="3"/>
      <c r="N1163" s="3"/>
      <c r="O1163" s="3"/>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row>
    <row r="1164" spans="1:55" x14ac:dyDescent="0.25">
      <c r="A1164" s="1" t="str">
        <f>'Population Definitions'!$A$12</f>
        <v>Prisoners_males</v>
      </c>
      <c r="C1164" t="s">
        <v>34</v>
      </c>
      <c r="D1164" s="3"/>
      <c r="E1164" s="3">
        <v>0</v>
      </c>
      <c r="F1164" s="3"/>
      <c r="G1164" s="3"/>
      <c r="H1164" s="3"/>
      <c r="I1164" s="3"/>
      <c r="J1164" s="3"/>
      <c r="K1164" s="3"/>
      <c r="L1164" s="3"/>
      <c r="M1164" s="3"/>
      <c r="N1164" s="3"/>
      <c r="O1164" s="3"/>
      <c r="P1164" s="3"/>
      <c r="Q1164" s="3"/>
      <c r="R1164" s="3"/>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row>
    <row r="1165" spans="1:55" x14ac:dyDescent="0.25">
      <c r="A1165" s="1" t="str">
        <f>'Population Definitions'!$A$13</f>
        <v>Prisoners_females</v>
      </c>
      <c r="C1165" t="s">
        <v>34</v>
      </c>
      <c r="D1165" s="3"/>
      <c r="E1165" s="3">
        <v>0</v>
      </c>
      <c r="F1165" s="3"/>
      <c r="G1165" s="3"/>
      <c r="H1165" s="3"/>
      <c r="I1165" s="3"/>
      <c r="J1165" s="3"/>
      <c r="K1165" s="3"/>
      <c r="L1165" s="3"/>
      <c r="M1165" s="3"/>
      <c r="N1165" s="3"/>
      <c r="O1165" s="3"/>
      <c r="P1165" s="3"/>
      <c r="Q1165" s="3"/>
      <c r="R1165" s="3"/>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row>
    <row r="1166" spans="1:55" x14ac:dyDescent="0.25">
      <c r="A1166" s="1" t="str">
        <f>'Population Definitions'!$A$14</f>
        <v>Prisoners_PWID_males</v>
      </c>
      <c r="C1166" t="s">
        <v>34</v>
      </c>
      <c r="D1166" s="3"/>
      <c r="E1166" s="3">
        <v>0</v>
      </c>
      <c r="F1166" s="3"/>
      <c r="G1166" s="3"/>
      <c r="H1166" s="3"/>
      <c r="I1166" s="3"/>
      <c r="J1166" s="3"/>
      <c r="K1166" s="3"/>
      <c r="L1166" s="3"/>
      <c r="M1166" s="3"/>
      <c r="N1166" s="3"/>
      <c r="O1166" s="3"/>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row>
    <row r="1167" spans="1:55" x14ac:dyDescent="0.25">
      <c r="A1167" s="1" t="str">
        <f>'Population Definitions'!$A$15</f>
        <v>Prisoners_PWID_females</v>
      </c>
      <c r="C1167" t="s">
        <v>34</v>
      </c>
      <c r="D1167" s="3"/>
      <c r="E1167" s="3">
        <v>0</v>
      </c>
      <c r="F1167" s="3"/>
      <c r="G1167" s="3"/>
      <c r="H1167" s="3"/>
      <c r="I1167" s="3"/>
      <c r="J1167" s="3"/>
      <c r="K1167" s="3"/>
      <c r="L1167" s="3"/>
      <c r="M1167" s="3"/>
      <c r="N1167" s="3"/>
      <c r="O1167" s="3"/>
      <c r="P1167" s="3"/>
      <c r="Q1167" s="3"/>
      <c r="R1167" s="3"/>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row>
    <row r="1169" spans="1:55" x14ac:dyDescent="0.25">
      <c r="A1169" s="1" t="s">
        <v>200</v>
      </c>
      <c r="B1169" s="1" t="s">
        <v>31</v>
      </c>
      <c r="C1169" s="1" t="s">
        <v>32</v>
      </c>
      <c r="D1169" s="1" t="s">
        <v>33</v>
      </c>
      <c r="E1169" s="1">
        <v>2000</v>
      </c>
      <c r="F1169" s="1">
        <v>2001</v>
      </c>
      <c r="G1169" s="1">
        <v>2002</v>
      </c>
      <c r="H1169" s="1">
        <v>2003</v>
      </c>
      <c r="I1169" s="1">
        <v>2004</v>
      </c>
      <c r="J1169" s="1">
        <v>2005</v>
      </c>
      <c r="K1169" s="1">
        <v>2006</v>
      </c>
      <c r="L1169" s="1">
        <v>2007</v>
      </c>
      <c r="M1169" s="1">
        <v>2008</v>
      </c>
      <c r="N1169" s="1">
        <v>2009</v>
      </c>
      <c r="O1169" s="1">
        <v>2010</v>
      </c>
      <c r="P1169" s="1">
        <v>2011</v>
      </c>
      <c r="Q1169" s="1">
        <v>2012</v>
      </c>
      <c r="R1169" s="1">
        <v>2013</v>
      </c>
      <c r="S1169" s="1">
        <v>2014</v>
      </c>
      <c r="T1169" s="1">
        <v>2015</v>
      </c>
      <c r="U1169" s="1">
        <v>2016</v>
      </c>
      <c r="V1169" s="1">
        <v>2017</v>
      </c>
      <c r="W1169" s="1">
        <v>2018</v>
      </c>
      <c r="X1169" s="1">
        <v>2019</v>
      </c>
      <c r="Y1169" s="1">
        <v>2020</v>
      </c>
      <c r="Z1169" s="1">
        <v>2021</v>
      </c>
      <c r="AA1169" s="1">
        <v>2022</v>
      </c>
      <c r="AB1169" s="1">
        <v>2023</v>
      </c>
      <c r="AC1169" s="1">
        <v>2024</v>
      </c>
      <c r="AD1169" s="1">
        <v>2025</v>
      </c>
      <c r="AE1169" s="1">
        <v>2026</v>
      </c>
      <c r="AF1169" s="1">
        <v>2027</v>
      </c>
      <c r="AG1169" s="1">
        <v>2028</v>
      </c>
      <c r="AH1169" s="1">
        <v>2029</v>
      </c>
      <c r="AI1169" s="1">
        <v>2030</v>
      </c>
      <c r="AJ1169" s="1">
        <v>2031</v>
      </c>
      <c r="AK1169" s="1">
        <v>2032</v>
      </c>
      <c r="AL1169" s="1">
        <v>2033</v>
      </c>
      <c r="AM1169" s="1">
        <v>2034</v>
      </c>
      <c r="AN1169" s="1">
        <v>2035</v>
      </c>
      <c r="AO1169" s="1">
        <v>2036</v>
      </c>
      <c r="AP1169" s="1">
        <v>2037</v>
      </c>
      <c r="AQ1169" s="1">
        <v>2038</v>
      </c>
      <c r="AR1169" s="1">
        <v>2039</v>
      </c>
      <c r="AS1169" s="1">
        <v>2040</v>
      </c>
      <c r="AT1169" s="1">
        <v>2041</v>
      </c>
      <c r="AU1169" s="1">
        <v>2042</v>
      </c>
      <c r="AV1169" s="1">
        <v>2043</v>
      </c>
      <c r="AW1169" s="1">
        <v>2044</v>
      </c>
      <c r="AX1169" s="1">
        <v>2045</v>
      </c>
      <c r="AY1169" s="1">
        <v>2046</v>
      </c>
      <c r="AZ1169" s="1">
        <v>2047</v>
      </c>
      <c r="BA1169" s="1">
        <v>2048</v>
      </c>
      <c r="BB1169" s="1">
        <v>2049</v>
      </c>
      <c r="BC1169" s="1">
        <v>2050</v>
      </c>
    </row>
    <row r="1170" spans="1:55" x14ac:dyDescent="0.25">
      <c r="A1170" s="1" t="str">
        <f>'Population Definitions'!$A$2</f>
        <v>PWID_males</v>
      </c>
      <c r="C1170" t="s">
        <v>34</v>
      </c>
      <c r="D1170" s="3"/>
      <c r="E1170" s="3">
        <v>0</v>
      </c>
      <c r="F1170" s="3"/>
      <c r="G1170" s="3"/>
      <c r="H1170" s="3"/>
      <c r="I1170" s="3"/>
      <c r="J1170" s="3"/>
      <c r="K1170" s="3"/>
      <c r="L1170" s="3"/>
      <c r="M1170" s="3"/>
      <c r="N1170" s="3"/>
      <c r="O1170" s="3"/>
      <c r="P1170" s="3"/>
      <c r="Q1170" s="3"/>
      <c r="R1170" s="3"/>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row>
    <row r="1171" spans="1:55" x14ac:dyDescent="0.25">
      <c r="A1171" s="1" t="str">
        <f>'Population Definitions'!$A$3</f>
        <v>PWID_females</v>
      </c>
      <c r="C1171" t="s">
        <v>34</v>
      </c>
      <c r="D1171" s="3"/>
      <c r="E1171" s="3">
        <v>0</v>
      </c>
      <c r="F1171" s="3"/>
      <c r="G1171" s="3"/>
      <c r="H1171" s="3"/>
      <c r="I1171" s="3"/>
      <c r="J1171" s="3"/>
      <c r="K1171" s="3"/>
      <c r="L1171" s="3"/>
      <c r="M1171" s="3"/>
      <c r="N1171" s="3"/>
      <c r="O1171" s="3"/>
      <c r="P1171" s="3"/>
      <c r="Q1171" s="3"/>
      <c r="R1171" s="3"/>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row>
    <row r="1172" spans="1:55" x14ac:dyDescent="0.25">
      <c r="A1172" s="1" t="str">
        <f>'Population Definitions'!$A$4</f>
        <v>0-9_males</v>
      </c>
      <c r="C1172" t="s">
        <v>34</v>
      </c>
      <c r="D1172" s="3"/>
      <c r="E1172" s="3">
        <v>0</v>
      </c>
      <c r="F1172" s="3"/>
      <c r="G1172" s="3"/>
      <c r="H1172" s="3"/>
      <c r="I1172" s="3"/>
      <c r="J1172" s="3"/>
      <c r="K1172" s="3"/>
      <c r="L1172" s="3"/>
      <c r="M1172" s="3"/>
      <c r="N1172" s="3"/>
      <c r="O1172" s="3"/>
      <c r="P1172" s="3"/>
      <c r="Q1172" s="3"/>
      <c r="R1172" s="3"/>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row>
    <row r="1173" spans="1:55" x14ac:dyDescent="0.25">
      <c r="A1173" s="1" t="str">
        <f>'Population Definitions'!$A$5</f>
        <v>0-9_females</v>
      </c>
      <c r="C1173" t="s">
        <v>34</v>
      </c>
      <c r="D1173" s="3"/>
      <c r="E1173" s="3">
        <v>0</v>
      </c>
      <c r="F1173" s="3"/>
      <c r="G1173" s="3"/>
      <c r="H1173" s="3"/>
      <c r="I1173" s="3"/>
      <c r="J1173" s="3"/>
      <c r="K1173" s="3"/>
      <c r="L1173" s="3"/>
      <c r="M1173" s="3"/>
      <c r="N1173" s="3"/>
      <c r="O1173" s="3"/>
      <c r="P1173" s="3"/>
      <c r="Q1173" s="3"/>
      <c r="R1173" s="3"/>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row>
    <row r="1174" spans="1:55" x14ac:dyDescent="0.25">
      <c r="A1174" s="1" t="str">
        <f>'Population Definitions'!$A$6</f>
        <v>10-17_males</v>
      </c>
      <c r="C1174" t="s">
        <v>34</v>
      </c>
      <c r="D1174" s="3"/>
      <c r="E1174" s="3">
        <v>0</v>
      </c>
      <c r="F1174" s="3"/>
      <c r="G1174" s="3"/>
      <c r="H1174" s="3"/>
      <c r="I1174" s="3"/>
      <c r="J1174" s="3"/>
      <c r="K1174" s="3"/>
      <c r="L1174" s="3"/>
      <c r="M1174" s="3"/>
      <c r="N1174" s="3"/>
      <c r="O1174" s="3"/>
      <c r="P1174" s="3"/>
      <c r="Q1174" s="3"/>
      <c r="R1174" s="3"/>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row>
    <row r="1175" spans="1:55" x14ac:dyDescent="0.25">
      <c r="A1175" s="1" t="str">
        <f>'Population Definitions'!$A$7</f>
        <v>10-17_females</v>
      </c>
      <c r="C1175" t="s">
        <v>34</v>
      </c>
      <c r="D1175" s="3"/>
      <c r="E1175" s="3">
        <v>0</v>
      </c>
      <c r="F1175" s="3"/>
      <c r="G1175" s="3"/>
      <c r="H1175" s="3"/>
      <c r="I1175" s="3"/>
      <c r="J1175" s="3"/>
      <c r="K1175" s="3"/>
      <c r="L1175" s="3"/>
      <c r="M1175" s="3"/>
      <c r="N1175" s="3"/>
      <c r="O1175" s="3"/>
      <c r="P1175" s="3"/>
      <c r="Q1175" s="3"/>
      <c r="R1175" s="3"/>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row>
    <row r="1176" spans="1:55" x14ac:dyDescent="0.25">
      <c r="A1176" s="1" t="str">
        <f>'Population Definitions'!$A$8</f>
        <v>18-64_males</v>
      </c>
      <c r="C1176" t="s">
        <v>34</v>
      </c>
      <c r="D1176" s="3"/>
      <c r="E1176" s="3">
        <v>0</v>
      </c>
      <c r="F1176" s="3"/>
      <c r="G1176" s="3"/>
      <c r="H1176" s="3"/>
      <c r="I1176" s="3"/>
      <c r="J1176" s="3"/>
      <c r="K1176" s="3"/>
      <c r="L1176" s="3"/>
      <c r="M1176" s="3"/>
      <c r="N1176" s="3"/>
      <c r="O1176" s="3"/>
      <c r="P1176" s="3"/>
      <c r="Q1176" s="3"/>
      <c r="R1176" s="3"/>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row>
    <row r="1177" spans="1:55" x14ac:dyDescent="0.25">
      <c r="A1177" s="1" t="str">
        <f>'Population Definitions'!$A$9</f>
        <v>18-64_females</v>
      </c>
      <c r="C1177" t="s">
        <v>34</v>
      </c>
      <c r="D1177" s="3"/>
      <c r="E1177" s="3">
        <v>0</v>
      </c>
      <c r="F1177" s="3"/>
      <c r="G1177" s="3"/>
      <c r="H1177" s="3"/>
      <c r="I1177" s="3"/>
      <c r="J1177" s="3"/>
      <c r="K1177" s="3"/>
      <c r="L1177" s="3"/>
      <c r="M1177" s="3"/>
      <c r="N1177" s="3"/>
      <c r="O1177" s="3"/>
      <c r="P1177" s="3"/>
      <c r="Q1177" s="3"/>
      <c r="R1177" s="3"/>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row>
    <row r="1178" spans="1:55" x14ac:dyDescent="0.25">
      <c r="A1178" s="1" t="str">
        <f>'Population Definitions'!$A$10</f>
        <v>65+_males</v>
      </c>
      <c r="C1178" t="s">
        <v>34</v>
      </c>
      <c r="D1178" s="3"/>
      <c r="E1178" s="3">
        <v>0</v>
      </c>
      <c r="F1178" s="3"/>
      <c r="G1178" s="3"/>
      <c r="H1178" s="3"/>
      <c r="I1178" s="3"/>
      <c r="J1178" s="3"/>
      <c r="K1178" s="3"/>
      <c r="L1178" s="3"/>
      <c r="M1178" s="3"/>
      <c r="N1178" s="3"/>
      <c r="O1178" s="3"/>
      <c r="P1178" s="3"/>
      <c r="Q1178" s="3"/>
      <c r="R1178" s="3"/>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row>
    <row r="1179" spans="1:55" x14ac:dyDescent="0.25">
      <c r="A1179" s="1" t="str">
        <f>'Population Definitions'!$A$11</f>
        <v>65+_females</v>
      </c>
      <c r="C1179" t="s">
        <v>34</v>
      </c>
      <c r="D1179" s="3"/>
      <c r="E1179" s="3">
        <v>0</v>
      </c>
      <c r="F1179" s="3"/>
      <c r="G1179" s="3"/>
      <c r="H1179" s="3"/>
      <c r="I1179" s="3"/>
      <c r="J1179" s="3"/>
      <c r="K1179" s="3"/>
      <c r="L1179" s="3"/>
      <c r="M1179" s="3"/>
      <c r="N1179" s="3"/>
      <c r="O1179" s="3"/>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row>
    <row r="1180" spans="1:55" x14ac:dyDescent="0.25">
      <c r="A1180" s="1" t="str">
        <f>'Population Definitions'!$A$12</f>
        <v>Prisoners_males</v>
      </c>
      <c r="C1180" t="s">
        <v>34</v>
      </c>
      <c r="D1180" s="3"/>
      <c r="E1180" s="3">
        <v>0</v>
      </c>
      <c r="F1180" s="3"/>
      <c r="G1180" s="3"/>
      <c r="H1180" s="3"/>
      <c r="I1180" s="3"/>
      <c r="J1180" s="3"/>
      <c r="K1180" s="3"/>
      <c r="L1180" s="3"/>
      <c r="M1180" s="3"/>
      <c r="N1180" s="3"/>
      <c r="O1180" s="3"/>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row>
    <row r="1181" spans="1:55" x14ac:dyDescent="0.25">
      <c r="A1181" s="1" t="str">
        <f>'Population Definitions'!$A$13</f>
        <v>Prisoners_females</v>
      </c>
      <c r="C1181" t="s">
        <v>34</v>
      </c>
      <c r="D1181" s="3"/>
      <c r="E1181" s="3">
        <v>0</v>
      </c>
      <c r="F1181" s="3"/>
      <c r="G1181" s="3"/>
      <c r="H1181" s="3"/>
      <c r="I1181" s="3"/>
      <c r="J1181" s="3"/>
      <c r="K1181" s="3"/>
      <c r="L1181" s="3"/>
      <c r="M1181" s="3"/>
      <c r="N1181" s="3"/>
      <c r="O1181" s="3"/>
      <c r="P1181" s="3"/>
      <c r="Q1181" s="3"/>
      <c r="R1181" s="3"/>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row>
    <row r="1182" spans="1:55" x14ac:dyDescent="0.25">
      <c r="A1182" s="1" t="str">
        <f>'Population Definitions'!$A$14</f>
        <v>Prisoners_PWID_males</v>
      </c>
      <c r="C1182" t="s">
        <v>34</v>
      </c>
      <c r="D1182" s="3"/>
      <c r="E1182" s="3">
        <v>0</v>
      </c>
      <c r="F1182" s="3"/>
      <c r="G1182" s="3"/>
      <c r="H1182" s="3"/>
      <c r="I1182" s="3"/>
      <c r="J1182" s="3"/>
      <c r="K1182" s="3"/>
      <c r="L1182" s="3"/>
      <c r="M1182" s="3"/>
      <c r="N1182" s="3"/>
      <c r="O1182" s="3"/>
      <c r="P1182" s="3"/>
      <c r="Q1182" s="3"/>
      <c r="R1182" s="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row>
    <row r="1183" spans="1:55" x14ac:dyDescent="0.25">
      <c r="A1183" s="1" t="str">
        <f>'Population Definitions'!$A$15</f>
        <v>Prisoners_PWID_females</v>
      </c>
      <c r="C1183" t="s">
        <v>34</v>
      </c>
      <c r="D1183" s="3"/>
      <c r="E1183" s="3">
        <v>0</v>
      </c>
      <c r="F1183" s="3"/>
      <c r="G1183" s="3"/>
      <c r="H1183" s="3"/>
      <c r="I1183" s="3"/>
      <c r="J1183" s="3"/>
      <c r="K1183" s="3"/>
      <c r="L1183" s="3"/>
      <c r="M1183" s="3"/>
      <c r="N1183" s="3"/>
      <c r="O1183" s="3"/>
      <c r="P1183" s="3"/>
      <c r="Q1183" s="3"/>
      <c r="R1183" s="3"/>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row>
    <row r="1185" spans="1:55" x14ac:dyDescent="0.25">
      <c r="A1185" s="1" t="s">
        <v>201</v>
      </c>
      <c r="B1185" s="1" t="s">
        <v>31</v>
      </c>
      <c r="C1185" s="1" t="s">
        <v>32</v>
      </c>
      <c r="D1185" s="1" t="s">
        <v>33</v>
      </c>
      <c r="E1185" s="1">
        <v>2000</v>
      </c>
      <c r="F1185" s="1">
        <v>2001</v>
      </c>
      <c r="G1185" s="1">
        <v>2002</v>
      </c>
      <c r="H1185" s="1">
        <v>2003</v>
      </c>
      <c r="I1185" s="1">
        <v>2004</v>
      </c>
      <c r="J1185" s="1">
        <v>2005</v>
      </c>
      <c r="K1185" s="1">
        <v>2006</v>
      </c>
      <c r="L1185" s="1">
        <v>2007</v>
      </c>
      <c r="M1185" s="1">
        <v>2008</v>
      </c>
      <c r="N1185" s="1">
        <v>2009</v>
      </c>
      <c r="O1185" s="1">
        <v>2010</v>
      </c>
      <c r="P1185" s="1">
        <v>2011</v>
      </c>
      <c r="Q1185" s="1">
        <v>2012</v>
      </c>
      <c r="R1185" s="1">
        <v>2013</v>
      </c>
      <c r="S1185" s="1">
        <v>2014</v>
      </c>
      <c r="T1185" s="1">
        <v>2015</v>
      </c>
      <c r="U1185" s="1">
        <v>2016</v>
      </c>
      <c r="V1185" s="1">
        <v>2017</v>
      </c>
      <c r="W1185" s="1">
        <v>2018</v>
      </c>
      <c r="X1185" s="1">
        <v>2019</v>
      </c>
      <c r="Y1185" s="1">
        <v>2020</v>
      </c>
      <c r="Z1185" s="1">
        <v>2021</v>
      </c>
      <c r="AA1185" s="1">
        <v>2022</v>
      </c>
      <c r="AB1185" s="1">
        <v>2023</v>
      </c>
      <c r="AC1185" s="1">
        <v>2024</v>
      </c>
      <c r="AD1185" s="1">
        <v>2025</v>
      </c>
      <c r="AE1185" s="1">
        <v>2026</v>
      </c>
      <c r="AF1185" s="1">
        <v>2027</v>
      </c>
      <c r="AG1185" s="1">
        <v>2028</v>
      </c>
      <c r="AH1185" s="1">
        <v>2029</v>
      </c>
      <c r="AI1185" s="1">
        <v>2030</v>
      </c>
      <c r="AJ1185" s="1">
        <v>2031</v>
      </c>
      <c r="AK1185" s="1">
        <v>2032</v>
      </c>
      <c r="AL1185" s="1">
        <v>2033</v>
      </c>
      <c r="AM1185" s="1">
        <v>2034</v>
      </c>
      <c r="AN1185" s="1">
        <v>2035</v>
      </c>
      <c r="AO1185" s="1">
        <v>2036</v>
      </c>
      <c r="AP1185" s="1">
        <v>2037</v>
      </c>
      <c r="AQ1185" s="1">
        <v>2038</v>
      </c>
      <c r="AR1185" s="1">
        <v>2039</v>
      </c>
      <c r="AS1185" s="1">
        <v>2040</v>
      </c>
      <c r="AT1185" s="1">
        <v>2041</v>
      </c>
      <c r="AU1185" s="1">
        <v>2042</v>
      </c>
      <c r="AV1185" s="1">
        <v>2043</v>
      </c>
      <c r="AW1185" s="1">
        <v>2044</v>
      </c>
      <c r="AX1185" s="1">
        <v>2045</v>
      </c>
      <c r="AY1185" s="1">
        <v>2046</v>
      </c>
      <c r="AZ1185" s="1">
        <v>2047</v>
      </c>
      <c r="BA1185" s="1">
        <v>2048</v>
      </c>
      <c r="BB1185" s="1">
        <v>2049</v>
      </c>
      <c r="BC1185" s="1">
        <v>2050</v>
      </c>
    </row>
    <row r="1186" spans="1:55" x14ac:dyDescent="0.25">
      <c r="A1186" s="1" t="str">
        <f>'Population Definitions'!$A$2</f>
        <v>PWID_males</v>
      </c>
      <c r="C1186" t="s">
        <v>34</v>
      </c>
      <c r="D1186" s="3"/>
      <c r="E1186" s="3">
        <v>0</v>
      </c>
      <c r="F1186" s="3"/>
      <c r="G1186" s="3"/>
      <c r="H1186" s="3"/>
      <c r="I1186" s="3"/>
      <c r="J1186" s="3"/>
      <c r="K1186" s="3"/>
      <c r="L1186" s="3"/>
      <c r="M1186" s="3"/>
      <c r="N1186" s="3"/>
      <c r="O1186" s="3"/>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row>
    <row r="1187" spans="1:55" x14ac:dyDescent="0.25">
      <c r="A1187" s="1" t="str">
        <f>'Population Definitions'!$A$3</f>
        <v>PWID_females</v>
      </c>
      <c r="C1187" t="s">
        <v>34</v>
      </c>
      <c r="D1187" s="3"/>
      <c r="E1187" s="3">
        <v>0</v>
      </c>
      <c r="F1187" s="3"/>
      <c r="G1187" s="3"/>
      <c r="H1187" s="3"/>
      <c r="I1187" s="3"/>
      <c r="J1187" s="3"/>
      <c r="K1187" s="3"/>
      <c r="L1187" s="3"/>
      <c r="M1187" s="3"/>
      <c r="N1187" s="3"/>
      <c r="O1187" s="3"/>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row>
    <row r="1188" spans="1:55" x14ac:dyDescent="0.25">
      <c r="A1188" s="1" t="str">
        <f>'Population Definitions'!$A$4</f>
        <v>0-9_males</v>
      </c>
      <c r="C1188" t="s">
        <v>34</v>
      </c>
      <c r="D1188" s="3"/>
      <c r="E1188" s="3">
        <v>0</v>
      </c>
      <c r="F1188" s="3"/>
      <c r="G1188" s="3"/>
      <c r="H1188" s="3"/>
      <c r="I1188" s="3"/>
      <c r="J1188" s="3"/>
      <c r="K1188" s="3"/>
      <c r="L1188" s="3"/>
      <c r="M1188" s="3"/>
      <c r="N1188" s="3"/>
      <c r="O1188" s="3"/>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row>
    <row r="1189" spans="1:55" x14ac:dyDescent="0.25">
      <c r="A1189" s="1" t="str">
        <f>'Population Definitions'!$A$5</f>
        <v>0-9_females</v>
      </c>
      <c r="C1189" t="s">
        <v>34</v>
      </c>
      <c r="D1189" s="3"/>
      <c r="E1189" s="3">
        <v>0</v>
      </c>
      <c r="F1189" s="3"/>
      <c r="G1189" s="3"/>
      <c r="H1189" s="3"/>
      <c r="I1189" s="3"/>
      <c r="J1189" s="3"/>
      <c r="K1189" s="3"/>
      <c r="L1189" s="3"/>
      <c r="M1189" s="3"/>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row>
    <row r="1190" spans="1:55" x14ac:dyDescent="0.25">
      <c r="A1190" s="1" t="str">
        <f>'Population Definitions'!$A$6</f>
        <v>10-17_males</v>
      </c>
      <c r="C1190" t="s">
        <v>34</v>
      </c>
      <c r="D1190" s="3"/>
      <c r="E1190" s="3">
        <v>0</v>
      </c>
      <c r="F1190" s="3"/>
      <c r="G1190" s="3"/>
      <c r="H1190" s="3"/>
      <c r="I1190" s="3"/>
      <c r="J1190" s="3"/>
      <c r="K1190" s="3"/>
      <c r="L1190" s="3"/>
      <c r="M1190" s="3"/>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row>
    <row r="1191" spans="1:55" x14ac:dyDescent="0.25">
      <c r="A1191" s="1" t="str">
        <f>'Population Definitions'!$A$7</f>
        <v>10-17_females</v>
      </c>
      <c r="C1191" t="s">
        <v>34</v>
      </c>
      <c r="D1191" s="3"/>
      <c r="E1191" s="3">
        <v>0</v>
      </c>
      <c r="F1191" s="3"/>
      <c r="G1191" s="3"/>
      <c r="H1191" s="3"/>
      <c r="I1191" s="3"/>
      <c r="J1191" s="3"/>
      <c r="K1191" s="3"/>
      <c r="L1191" s="3"/>
      <c r="M1191" s="3"/>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row>
    <row r="1192" spans="1:55" x14ac:dyDescent="0.25">
      <c r="A1192" s="1" t="str">
        <f>'Population Definitions'!$A$8</f>
        <v>18-64_males</v>
      </c>
      <c r="C1192" t="s">
        <v>34</v>
      </c>
      <c r="D1192" s="3"/>
      <c r="E1192" s="3">
        <v>0</v>
      </c>
      <c r="F1192" s="3"/>
      <c r="G1192" s="3"/>
      <c r="H1192" s="3"/>
      <c r="I1192" s="3"/>
      <c r="J1192" s="3"/>
      <c r="K1192" s="3"/>
      <c r="L1192" s="3"/>
      <c r="M1192" s="3"/>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row>
    <row r="1193" spans="1:55" x14ac:dyDescent="0.25">
      <c r="A1193" s="1" t="str">
        <f>'Population Definitions'!$A$9</f>
        <v>18-64_females</v>
      </c>
      <c r="C1193" t="s">
        <v>34</v>
      </c>
      <c r="D1193" s="3"/>
      <c r="E1193" s="3">
        <v>0</v>
      </c>
      <c r="F1193" s="3"/>
      <c r="G1193" s="3"/>
      <c r="H1193" s="3"/>
      <c r="I1193" s="3"/>
      <c r="J1193" s="3"/>
      <c r="K1193" s="3"/>
      <c r="L1193" s="3"/>
      <c r="M1193" s="3"/>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row>
    <row r="1194" spans="1:55" x14ac:dyDescent="0.25">
      <c r="A1194" s="1" t="str">
        <f>'Population Definitions'!$A$10</f>
        <v>65+_males</v>
      </c>
      <c r="C1194" t="s">
        <v>34</v>
      </c>
      <c r="D1194" s="3"/>
      <c r="E1194" s="3">
        <v>0</v>
      </c>
      <c r="F1194" s="3"/>
      <c r="G1194" s="3"/>
      <c r="H1194" s="3"/>
      <c r="I1194" s="3"/>
      <c r="J1194" s="3"/>
      <c r="K1194" s="3"/>
      <c r="L1194" s="3"/>
      <c r="M1194" s="3"/>
      <c r="N1194" s="3"/>
      <c r="O1194" s="3"/>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row>
    <row r="1195" spans="1:55" x14ac:dyDescent="0.25">
      <c r="A1195" s="1" t="str">
        <f>'Population Definitions'!$A$11</f>
        <v>65+_females</v>
      </c>
      <c r="C1195" t="s">
        <v>34</v>
      </c>
      <c r="D1195" s="3"/>
      <c r="E1195" s="3">
        <v>0</v>
      </c>
      <c r="F1195" s="3"/>
      <c r="G1195" s="3"/>
      <c r="H1195" s="3"/>
      <c r="I1195" s="3"/>
      <c r="J1195" s="3"/>
      <c r="K1195" s="3"/>
      <c r="L1195" s="3"/>
      <c r="M1195" s="3"/>
      <c r="N1195" s="3"/>
      <c r="O1195" s="3"/>
      <c r="P1195" s="3"/>
      <c r="Q1195" s="3"/>
      <c r="R1195" s="3"/>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row>
    <row r="1196" spans="1:55" x14ac:dyDescent="0.25">
      <c r="A1196" s="1" t="str">
        <f>'Population Definitions'!$A$12</f>
        <v>Prisoners_males</v>
      </c>
      <c r="C1196" t="s">
        <v>34</v>
      </c>
      <c r="D1196" s="3"/>
      <c r="E1196" s="3">
        <v>0</v>
      </c>
      <c r="F1196" s="3"/>
      <c r="G1196" s="3"/>
      <c r="H1196" s="3"/>
      <c r="I1196" s="3"/>
      <c r="J1196" s="3"/>
      <c r="K1196" s="3"/>
      <c r="L1196" s="3"/>
      <c r="M1196" s="3"/>
      <c r="N1196" s="3"/>
      <c r="O1196" s="3"/>
      <c r="P1196" s="3"/>
      <c r="Q1196" s="3"/>
      <c r="R1196" s="3"/>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row>
    <row r="1197" spans="1:55" x14ac:dyDescent="0.25">
      <c r="A1197" s="1" t="str">
        <f>'Population Definitions'!$A$13</f>
        <v>Prisoners_females</v>
      </c>
      <c r="C1197" t="s">
        <v>34</v>
      </c>
      <c r="D1197" s="3"/>
      <c r="E1197" s="3">
        <v>0</v>
      </c>
      <c r="F1197" s="3"/>
      <c r="G1197" s="3"/>
      <c r="H1197" s="3"/>
      <c r="I1197" s="3"/>
      <c r="J1197" s="3"/>
      <c r="K1197" s="3"/>
      <c r="L1197" s="3"/>
      <c r="M1197" s="3"/>
      <c r="N1197" s="3"/>
      <c r="O1197" s="3"/>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row>
    <row r="1198" spans="1:55" x14ac:dyDescent="0.25">
      <c r="A1198" s="1" t="str">
        <f>'Population Definitions'!$A$14</f>
        <v>Prisoners_PWID_males</v>
      </c>
      <c r="C1198" t="s">
        <v>34</v>
      </c>
      <c r="D1198" s="3"/>
      <c r="E1198" s="3">
        <v>0</v>
      </c>
      <c r="F1198" s="3"/>
      <c r="G1198" s="3"/>
      <c r="H1198" s="3"/>
      <c r="I1198" s="3"/>
      <c r="J1198" s="3"/>
      <c r="K1198" s="3"/>
      <c r="L1198" s="3"/>
      <c r="M1198" s="3"/>
      <c r="N1198" s="3"/>
      <c r="O1198" s="3"/>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row>
    <row r="1199" spans="1:55" x14ac:dyDescent="0.25">
      <c r="A1199" s="1" t="str">
        <f>'Population Definitions'!$A$15</f>
        <v>Prisoners_PWID_females</v>
      </c>
      <c r="C1199" t="s">
        <v>34</v>
      </c>
      <c r="D1199" s="3"/>
      <c r="E1199" s="3">
        <v>0</v>
      </c>
      <c r="F1199" s="3"/>
      <c r="G1199" s="3"/>
      <c r="H1199" s="3"/>
      <c r="I1199" s="3"/>
      <c r="J1199" s="3"/>
      <c r="K1199" s="3"/>
      <c r="L1199" s="3"/>
      <c r="M1199" s="3"/>
      <c r="N1199" s="3"/>
      <c r="O1199" s="3"/>
      <c r="P1199" s="3"/>
      <c r="Q1199" s="3"/>
      <c r="R1199" s="3"/>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row>
    <row r="1201" spans="1:55" x14ac:dyDescent="0.25">
      <c r="A1201" s="1" t="s">
        <v>202</v>
      </c>
      <c r="B1201" s="1" t="s">
        <v>31</v>
      </c>
      <c r="C1201" s="1" t="s">
        <v>32</v>
      </c>
      <c r="D1201" s="1" t="s">
        <v>33</v>
      </c>
      <c r="E1201" s="1">
        <v>2000</v>
      </c>
      <c r="F1201" s="1">
        <v>2001</v>
      </c>
      <c r="G1201" s="1">
        <v>2002</v>
      </c>
      <c r="H1201" s="1">
        <v>2003</v>
      </c>
      <c r="I1201" s="1">
        <v>2004</v>
      </c>
      <c r="J1201" s="1">
        <v>2005</v>
      </c>
      <c r="K1201" s="1">
        <v>2006</v>
      </c>
      <c r="L1201" s="1">
        <v>2007</v>
      </c>
      <c r="M1201" s="1">
        <v>2008</v>
      </c>
      <c r="N1201" s="1">
        <v>2009</v>
      </c>
      <c r="O1201" s="1">
        <v>2010</v>
      </c>
      <c r="P1201" s="1">
        <v>2011</v>
      </c>
      <c r="Q1201" s="1">
        <v>2012</v>
      </c>
      <c r="R1201" s="1">
        <v>2013</v>
      </c>
      <c r="S1201" s="1">
        <v>2014</v>
      </c>
      <c r="T1201" s="1">
        <v>2015</v>
      </c>
      <c r="U1201" s="1">
        <v>2016</v>
      </c>
      <c r="V1201" s="1">
        <v>2017</v>
      </c>
      <c r="W1201" s="1">
        <v>2018</v>
      </c>
      <c r="X1201" s="1">
        <v>2019</v>
      </c>
      <c r="Y1201" s="1">
        <v>2020</v>
      </c>
      <c r="Z1201" s="1">
        <v>2021</v>
      </c>
      <c r="AA1201" s="1">
        <v>2022</v>
      </c>
      <c r="AB1201" s="1">
        <v>2023</v>
      </c>
      <c r="AC1201" s="1">
        <v>2024</v>
      </c>
      <c r="AD1201" s="1">
        <v>2025</v>
      </c>
      <c r="AE1201" s="1">
        <v>2026</v>
      </c>
      <c r="AF1201" s="1">
        <v>2027</v>
      </c>
      <c r="AG1201" s="1">
        <v>2028</v>
      </c>
      <c r="AH1201" s="1">
        <v>2029</v>
      </c>
      <c r="AI1201" s="1">
        <v>2030</v>
      </c>
      <c r="AJ1201" s="1">
        <v>2031</v>
      </c>
      <c r="AK1201" s="1">
        <v>2032</v>
      </c>
      <c r="AL1201" s="1">
        <v>2033</v>
      </c>
      <c r="AM1201" s="1">
        <v>2034</v>
      </c>
      <c r="AN1201" s="1">
        <v>2035</v>
      </c>
      <c r="AO1201" s="1">
        <v>2036</v>
      </c>
      <c r="AP1201" s="1">
        <v>2037</v>
      </c>
      <c r="AQ1201" s="1">
        <v>2038</v>
      </c>
      <c r="AR1201" s="1">
        <v>2039</v>
      </c>
      <c r="AS1201" s="1">
        <v>2040</v>
      </c>
      <c r="AT1201" s="1">
        <v>2041</v>
      </c>
      <c r="AU1201" s="1">
        <v>2042</v>
      </c>
      <c r="AV1201" s="1">
        <v>2043</v>
      </c>
      <c r="AW1201" s="1">
        <v>2044</v>
      </c>
      <c r="AX1201" s="1">
        <v>2045</v>
      </c>
      <c r="AY1201" s="1">
        <v>2046</v>
      </c>
      <c r="AZ1201" s="1">
        <v>2047</v>
      </c>
      <c r="BA1201" s="1">
        <v>2048</v>
      </c>
      <c r="BB1201" s="1">
        <v>2049</v>
      </c>
      <c r="BC1201" s="1">
        <v>2050</v>
      </c>
    </row>
    <row r="1202" spans="1:55" x14ac:dyDescent="0.25">
      <c r="A1202" s="1" t="str">
        <f>'Population Definitions'!$A$2</f>
        <v>PWID_males</v>
      </c>
      <c r="C1202" t="s">
        <v>34</v>
      </c>
      <c r="D1202" s="3"/>
      <c r="E1202" s="3">
        <v>0</v>
      </c>
      <c r="F1202" s="3"/>
      <c r="G1202" s="3"/>
      <c r="H1202" s="3"/>
      <c r="I1202" s="3"/>
      <c r="J1202" s="3"/>
      <c r="K1202" s="3"/>
      <c r="L1202" s="3"/>
      <c r="M1202" s="3"/>
      <c r="N1202" s="3"/>
      <c r="O1202" s="3"/>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row>
    <row r="1203" spans="1:55" x14ac:dyDescent="0.25">
      <c r="A1203" s="1" t="str">
        <f>'Population Definitions'!$A$3</f>
        <v>PWID_females</v>
      </c>
      <c r="C1203" t="s">
        <v>34</v>
      </c>
      <c r="D1203" s="3"/>
      <c r="E1203" s="3">
        <v>0</v>
      </c>
      <c r="F1203" s="3"/>
      <c r="G1203" s="3"/>
      <c r="H1203" s="3"/>
      <c r="I1203" s="3"/>
      <c r="J1203" s="3"/>
      <c r="K1203" s="3"/>
      <c r="L1203" s="3"/>
      <c r="M1203" s="3"/>
      <c r="N1203" s="3"/>
      <c r="O1203" s="3"/>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row>
    <row r="1204" spans="1:55" x14ac:dyDescent="0.25">
      <c r="A1204" s="1" t="str">
        <f>'Population Definitions'!$A$4</f>
        <v>0-9_males</v>
      </c>
      <c r="C1204" t="s">
        <v>34</v>
      </c>
      <c r="D1204" s="3"/>
      <c r="E1204" s="3">
        <v>0</v>
      </c>
      <c r="F1204" s="3"/>
      <c r="G1204" s="3"/>
      <c r="H1204" s="3"/>
      <c r="I1204" s="3"/>
      <c r="J1204" s="3"/>
      <c r="K1204" s="3"/>
      <c r="L1204" s="3"/>
      <c r="M1204" s="3"/>
      <c r="N1204" s="3"/>
      <c r="O1204" s="3"/>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row>
    <row r="1205" spans="1:55" x14ac:dyDescent="0.25">
      <c r="A1205" s="1" t="str">
        <f>'Population Definitions'!$A$5</f>
        <v>0-9_females</v>
      </c>
      <c r="C1205" t="s">
        <v>34</v>
      </c>
      <c r="D1205" s="3"/>
      <c r="E1205" s="3">
        <v>0</v>
      </c>
      <c r="F1205" s="3"/>
      <c r="G1205" s="3"/>
      <c r="H1205" s="3"/>
      <c r="I1205" s="3"/>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row>
    <row r="1206" spans="1:55" x14ac:dyDescent="0.25">
      <c r="A1206" s="1" t="str">
        <f>'Population Definitions'!$A$6</f>
        <v>10-17_males</v>
      </c>
      <c r="C1206" t="s">
        <v>34</v>
      </c>
      <c r="D1206" s="3"/>
      <c r="E1206" s="3">
        <v>0</v>
      </c>
      <c r="F1206" s="3"/>
      <c r="G1206" s="3"/>
      <c r="H1206" s="3"/>
      <c r="I1206" s="3"/>
      <c r="J1206" s="3"/>
      <c r="K1206" s="3"/>
      <c r="L1206" s="3"/>
      <c r="M1206" s="3"/>
      <c r="N1206" s="3"/>
      <c r="O1206" s="3"/>
      <c r="P1206" s="3"/>
      <c r="Q1206" s="3"/>
      <c r="R1206" s="3"/>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row>
    <row r="1207" spans="1:55" x14ac:dyDescent="0.25">
      <c r="A1207" s="1" t="str">
        <f>'Population Definitions'!$A$7</f>
        <v>10-17_females</v>
      </c>
      <c r="C1207" t="s">
        <v>34</v>
      </c>
      <c r="D1207" s="3"/>
      <c r="E1207" s="3">
        <v>0</v>
      </c>
      <c r="F1207" s="3"/>
      <c r="G1207" s="3"/>
      <c r="H1207" s="3"/>
      <c r="I1207" s="3"/>
      <c r="J1207" s="3"/>
      <c r="K1207" s="3"/>
      <c r="L1207" s="3"/>
      <c r="M1207" s="3"/>
      <c r="N1207" s="3"/>
      <c r="O1207" s="3"/>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row>
    <row r="1208" spans="1:55" x14ac:dyDescent="0.25">
      <c r="A1208" s="1" t="str">
        <f>'Population Definitions'!$A$8</f>
        <v>18-64_males</v>
      </c>
      <c r="C1208" t="s">
        <v>34</v>
      </c>
      <c r="D1208" s="3"/>
      <c r="E1208" s="3">
        <v>0</v>
      </c>
      <c r="F1208" s="3"/>
      <c r="G1208" s="3"/>
      <c r="H1208" s="3"/>
      <c r="I1208" s="3"/>
      <c r="J1208" s="3"/>
      <c r="K1208" s="3"/>
      <c r="L1208" s="3"/>
      <c r="M1208" s="3"/>
      <c r="N1208" s="3"/>
      <c r="O1208" s="3"/>
      <c r="P1208" s="3"/>
      <c r="Q1208" s="3"/>
      <c r="R1208" s="3"/>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row>
    <row r="1209" spans="1:55" x14ac:dyDescent="0.25">
      <c r="A1209" s="1" t="str">
        <f>'Population Definitions'!$A$9</f>
        <v>18-64_females</v>
      </c>
      <c r="C1209" t="s">
        <v>34</v>
      </c>
      <c r="D1209" s="3"/>
      <c r="E1209" s="3">
        <v>0</v>
      </c>
      <c r="F1209" s="3"/>
      <c r="G1209" s="3"/>
      <c r="H1209" s="3"/>
      <c r="I1209" s="3"/>
      <c r="J1209" s="3"/>
      <c r="K1209" s="3"/>
      <c r="L1209" s="3"/>
      <c r="M1209" s="3"/>
      <c r="N1209" s="3"/>
      <c r="O1209" s="3"/>
      <c r="P1209" s="3"/>
      <c r="Q1209" s="3"/>
      <c r="R1209" s="3"/>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row>
    <row r="1210" spans="1:55" x14ac:dyDescent="0.25">
      <c r="A1210" s="1" t="str">
        <f>'Population Definitions'!$A$10</f>
        <v>65+_males</v>
      </c>
      <c r="C1210" t="s">
        <v>34</v>
      </c>
      <c r="D1210" s="3"/>
      <c r="E1210" s="3">
        <v>0</v>
      </c>
      <c r="F1210" s="3"/>
      <c r="G1210" s="3"/>
      <c r="H1210" s="3"/>
      <c r="I1210" s="3"/>
      <c r="J1210" s="3"/>
      <c r="K1210" s="3"/>
      <c r="L1210" s="3"/>
      <c r="M1210" s="3"/>
      <c r="N1210" s="3"/>
      <c r="O1210" s="3"/>
      <c r="P1210" s="3"/>
      <c r="Q1210" s="3"/>
      <c r="R1210" s="3"/>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row>
    <row r="1211" spans="1:55" x14ac:dyDescent="0.25">
      <c r="A1211" s="1" t="str">
        <f>'Population Definitions'!$A$11</f>
        <v>65+_females</v>
      </c>
      <c r="C1211" t="s">
        <v>34</v>
      </c>
      <c r="D1211" s="3"/>
      <c r="E1211" s="3">
        <v>0</v>
      </c>
      <c r="F1211" s="3"/>
      <c r="G1211" s="3"/>
      <c r="H1211" s="3"/>
      <c r="I1211" s="3"/>
      <c r="J1211" s="3"/>
      <c r="K1211" s="3"/>
      <c r="L1211" s="3"/>
      <c r="M1211" s="3"/>
      <c r="N1211" s="3"/>
      <c r="O1211" s="3"/>
      <c r="P1211" s="3"/>
      <c r="Q1211" s="3"/>
      <c r="R1211" s="3"/>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row>
    <row r="1212" spans="1:55" x14ac:dyDescent="0.25">
      <c r="A1212" s="1" t="str">
        <f>'Population Definitions'!$A$12</f>
        <v>Prisoners_males</v>
      </c>
      <c r="C1212" t="s">
        <v>34</v>
      </c>
      <c r="D1212" s="3"/>
      <c r="E1212" s="3">
        <v>0</v>
      </c>
      <c r="F1212" s="3"/>
      <c r="G1212" s="3"/>
      <c r="H1212" s="3"/>
      <c r="I1212" s="3"/>
      <c r="J1212" s="3"/>
      <c r="K1212" s="3"/>
      <c r="L1212" s="3"/>
      <c r="M1212" s="3"/>
      <c r="N1212" s="3"/>
      <c r="O1212" s="3"/>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row>
    <row r="1213" spans="1:55" x14ac:dyDescent="0.25">
      <c r="A1213" s="1" t="str">
        <f>'Population Definitions'!$A$13</f>
        <v>Prisoners_females</v>
      </c>
      <c r="C1213" t="s">
        <v>34</v>
      </c>
      <c r="D1213" s="3"/>
      <c r="E1213" s="3">
        <v>0</v>
      </c>
      <c r="F1213" s="3"/>
      <c r="G1213" s="3"/>
      <c r="H1213" s="3"/>
      <c r="I1213" s="3"/>
      <c r="J1213" s="3"/>
      <c r="K1213" s="3"/>
      <c r="L1213" s="3"/>
      <c r="M1213" s="3"/>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row>
    <row r="1214" spans="1:55" x14ac:dyDescent="0.25">
      <c r="A1214" s="1" t="str">
        <f>'Population Definitions'!$A$14</f>
        <v>Prisoners_PWID_males</v>
      </c>
      <c r="C1214" t="s">
        <v>34</v>
      </c>
      <c r="D1214" s="3"/>
      <c r="E1214" s="3">
        <v>0</v>
      </c>
      <c r="F1214" s="3"/>
      <c r="G1214" s="3"/>
      <c r="H1214" s="3"/>
      <c r="I1214" s="3"/>
      <c r="J1214" s="3"/>
      <c r="K1214" s="3"/>
      <c r="L1214" s="3"/>
      <c r="M1214" s="3"/>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row>
    <row r="1215" spans="1:55" x14ac:dyDescent="0.25">
      <c r="A1215" s="1" t="str">
        <f>'Population Definitions'!$A$15</f>
        <v>Prisoners_PWID_females</v>
      </c>
      <c r="C1215" t="s">
        <v>34</v>
      </c>
      <c r="D1215" s="3"/>
      <c r="E1215" s="3">
        <v>0</v>
      </c>
      <c r="F1215" s="3"/>
      <c r="G1215" s="3"/>
      <c r="H1215" s="3"/>
      <c r="I1215" s="3"/>
      <c r="J1215" s="3"/>
      <c r="K1215" s="3"/>
      <c r="L1215" s="3"/>
      <c r="M1215" s="3"/>
      <c r="N1215" s="3"/>
      <c r="O1215" s="3"/>
      <c r="P1215" s="3"/>
      <c r="Q1215" s="3"/>
      <c r="R1215" s="3"/>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row>
    <row r="1217" spans="1:55" x14ac:dyDescent="0.25">
      <c r="A1217" s="1" t="s">
        <v>203</v>
      </c>
      <c r="B1217" s="1" t="s">
        <v>31</v>
      </c>
      <c r="C1217" s="1" t="s">
        <v>32</v>
      </c>
      <c r="D1217" s="1" t="s">
        <v>33</v>
      </c>
      <c r="E1217" s="1">
        <v>2000</v>
      </c>
      <c r="F1217" s="1">
        <v>2001</v>
      </c>
      <c r="G1217" s="1">
        <v>2002</v>
      </c>
      <c r="H1217" s="1">
        <v>2003</v>
      </c>
      <c r="I1217" s="1">
        <v>2004</v>
      </c>
      <c r="J1217" s="1">
        <v>2005</v>
      </c>
      <c r="K1217" s="1">
        <v>2006</v>
      </c>
      <c r="L1217" s="1">
        <v>2007</v>
      </c>
      <c r="M1217" s="1">
        <v>2008</v>
      </c>
      <c r="N1217" s="1">
        <v>2009</v>
      </c>
      <c r="O1217" s="1">
        <v>2010</v>
      </c>
      <c r="P1217" s="1">
        <v>2011</v>
      </c>
      <c r="Q1217" s="1">
        <v>2012</v>
      </c>
      <c r="R1217" s="1">
        <v>2013</v>
      </c>
      <c r="S1217" s="1">
        <v>2014</v>
      </c>
      <c r="T1217" s="1">
        <v>2015</v>
      </c>
      <c r="U1217" s="1">
        <v>2016</v>
      </c>
      <c r="V1217" s="1">
        <v>2017</v>
      </c>
      <c r="W1217" s="1">
        <v>2018</v>
      </c>
      <c r="X1217" s="1">
        <v>2019</v>
      </c>
      <c r="Y1217" s="1">
        <v>2020</v>
      </c>
      <c r="Z1217" s="1">
        <v>2021</v>
      </c>
      <c r="AA1217" s="1">
        <v>2022</v>
      </c>
      <c r="AB1217" s="1">
        <v>2023</v>
      </c>
      <c r="AC1217" s="1">
        <v>2024</v>
      </c>
      <c r="AD1217" s="1">
        <v>2025</v>
      </c>
      <c r="AE1217" s="1">
        <v>2026</v>
      </c>
      <c r="AF1217" s="1">
        <v>2027</v>
      </c>
      <c r="AG1217" s="1">
        <v>2028</v>
      </c>
      <c r="AH1217" s="1">
        <v>2029</v>
      </c>
      <c r="AI1217" s="1">
        <v>2030</v>
      </c>
      <c r="AJ1217" s="1">
        <v>2031</v>
      </c>
      <c r="AK1217" s="1">
        <v>2032</v>
      </c>
      <c r="AL1217" s="1">
        <v>2033</v>
      </c>
      <c r="AM1217" s="1">
        <v>2034</v>
      </c>
      <c r="AN1217" s="1">
        <v>2035</v>
      </c>
      <c r="AO1217" s="1">
        <v>2036</v>
      </c>
      <c r="AP1217" s="1">
        <v>2037</v>
      </c>
      <c r="AQ1217" s="1">
        <v>2038</v>
      </c>
      <c r="AR1217" s="1">
        <v>2039</v>
      </c>
      <c r="AS1217" s="1">
        <v>2040</v>
      </c>
      <c r="AT1217" s="1">
        <v>2041</v>
      </c>
      <c r="AU1217" s="1">
        <v>2042</v>
      </c>
      <c r="AV1217" s="1">
        <v>2043</v>
      </c>
      <c r="AW1217" s="1">
        <v>2044</v>
      </c>
      <c r="AX1217" s="1">
        <v>2045</v>
      </c>
      <c r="AY1217" s="1">
        <v>2046</v>
      </c>
      <c r="AZ1217" s="1">
        <v>2047</v>
      </c>
      <c r="BA1217" s="1">
        <v>2048</v>
      </c>
      <c r="BB1217" s="1">
        <v>2049</v>
      </c>
      <c r="BC1217" s="1">
        <v>2050</v>
      </c>
    </row>
    <row r="1218" spans="1:55" x14ac:dyDescent="0.25">
      <c r="A1218" s="1" t="str">
        <f>'Population Definitions'!$A$2</f>
        <v>PWID_males</v>
      </c>
      <c r="C1218" t="s">
        <v>34</v>
      </c>
      <c r="D1218" s="3"/>
      <c r="E1218" s="3">
        <v>0</v>
      </c>
      <c r="F1218" s="3"/>
      <c r="G1218" s="3"/>
      <c r="H1218" s="3"/>
      <c r="I1218" s="3"/>
      <c r="J1218" s="3"/>
      <c r="K1218" s="3"/>
      <c r="L1218" s="3"/>
      <c r="M1218" s="3"/>
      <c r="N1218" s="3"/>
      <c r="O1218" s="3"/>
      <c r="P1218" s="3"/>
      <c r="Q1218" s="3"/>
      <c r="R1218" s="3"/>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row>
    <row r="1219" spans="1:55" x14ac:dyDescent="0.25">
      <c r="A1219" s="1" t="str">
        <f>'Population Definitions'!$A$3</f>
        <v>PWID_females</v>
      </c>
      <c r="C1219" t="s">
        <v>34</v>
      </c>
      <c r="D1219" s="3"/>
      <c r="E1219" s="3">
        <v>0</v>
      </c>
      <c r="F1219" s="3"/>
      <c r="G1219" s="3"/>
      <c r="H1219" s="3"/>
      <c r="I1219" s="3"/>
      <c r="J1219" s="3"/>
      <c r="K1219" s="3"/>
      <c r="L1219" s="3"/>
      <c r="M1219" s="3"/>
      <c r="N1219" s="3"/>
      <c r="O1219" s="3"/>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row>
    <row r="1220" spans="1:55" x14ac:dyDescent="0.25">
      <c r="A1220" s="1" t="str">
        <f>'Population Definitions'!$A$4</f>
        <v>0-9_males</v>
      </c>
      <c r="C1220" t="s">
        <v>34</v>
      </c>
      <c r="D1220" s="3"/>
      <c r="E1220" s="3">
        <v>0</v>
      </c>
      <c r="F1220" s="3"/>
      <c r="G1220" s="3"/>
      <c r="H1220" s="3"/>
      <c r="I1220" s="3"/>
      <c r="J1220" s="3"/>
      <c r="K1220" s="3"/>
      <c r="L1220" s="3"/>
      <c r="M1220" s="3"/>
      <c r="N1220" s="3"/>
      <c r="O1220" s="3"/>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row>
    <row r="1221" spans="1:55" x14ac:dyDescent="0.25">
      <c r="A1221" s="1" t="str">
        <f>'Population Definitions'!$A$5</f>
        <v>0-9_females</v>
      </c>
      <c r="C1221" t="s">
        <v>34</v>
      </c>
      <c r="D1221" s="3"/>
      <c r="E1221" s="3">
        <v>0</v>
      </c>
      <c r="F1221" s="3"/>
      <c r="G1221" s="3"/>
      <c r="H1221" s="3"/>
      <c r="I1221" s="3"/>
      <c r="J1221" s="3"/>
      <c r="K1221" s="3"/>
      <c r="L1221" s="3"/>
      <c r="M1221" s="3"/>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row>
    <row r="1222" spans="1:55" x14ac:dyDescent="0.25">
      <c r="A1222" s="1" t="str">
        <f>'Population Definitions'!$A$6</f>
        <v>10-17_males</v>
      </c>
      <c r="C1222" t="s">
        <v>34</v>
      </c>
      <c r="D1222" s="3"/>
      <c r="E1222" s="3">
        <v>0</v>
      </c>
      <c r="F1222" s="3"/>
      <c r="G1222" s="3"/>
      <c r="H1222" s="3"/>
      <c r="I1222" s="3"/>
      <c r="J1222" s="3"/>
      <c r="K1222" s="3"/>
      <c r="L1222" s="3"/>
      <c r="M1222" s="3"/>
      <c r="N1222" s="3"/>
      <c r="O1222" s="3"/>
      <c r="P1222" s="3"/>
      <c r="Q1222" s="3"/>
      <c r="R1222" s="3"/>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row>
    <row r="1223" spans="1:55" x14ac:dyDescent="0.25">
      <c r="A1223" s="1" t="str">
        <f>'Population Definitions'!$A$7</f>
        <v>10-17_females</v>
      </c>
      <c r="C1223" t="s">
        <v>34</v>
      </c>
      <c r="D1223" s="3"/>
      <c r="E1223" s="3">
        <v>0</v>
      </c>
      <c r="F1223" s="3"/>
      <c r="G1223" s="3"/>
      <c r="H1223" s="3"/>
      <c r="I1223" s="3"/>
      <c r="J1223" s="3"/>
      <c r="K1223" s="3"/>
      <c r="L1223" s="3"/>
      <c r="M1223" s="3"/>
      <c r="N1223" s="3"/>
      <c r="O1223" s="3"/>
      <c r="P1223" s="3"/>
      <c r="Q1223" s="3"/>
      <c r="R1223" s="3"/>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row>
    <row r="1224" spans="1:55" x14ac:dyDescent="0.25">
      <c r="A1224" s="1" t="str">
        <f>'Population Definitions'!$A$8</f>
        <v>18-64_males</v>
      </c>
      <c r="C1224" t="s">
        <v>34</v>
      </c>
      <c r="D1224" s="3"/>
      <c r="E1224" s="3">
        <v>0</v>
      </c>
      <c r="F1224" s="3"/>
      <c r="G1224" s="3"/>
      <c r="H1224" s="3"/>
      <c r="I1224" s="3"/>
      <c r="J1224" s="3"/>
      <c r="K1224" s="3"/>
      <c r="L1224" s="3"/>
      <c r="M1224" s="3"/>
      <c r="N1224" s="3"/>
      <c r="O1224" s="3"/>
      <c r="P1224" s="3"/>
      <c r="Q1224" s="3"/>
      <c r="R1224" s="3"/>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row>
    <row r="1225" spans="1:55" x14ac:dyDescent="0.25">
      <c r="A1225" s="1" t="str">
        <f>'Population Definitions'!$A$9</f>
        <v>18-64_females</v>
      </c>
      <c r="C1225" t="s">
        <v>34</v>
      </c>
      <c r="D1225" s="3"/>
      <c r="E1225" s="3">
        <v>0</v>
      </c>
      <c r="F1225" s="3"/>
      <c r="G1225" s="3"/>
      <c r="H1225" s="3"/>
      <c r="I1225" s="3"/>
      <c r="J1225" s="3"/>
      <c r="K1225" s="3"/>
      <c r="L1225" s="3"/>
      <c r="M1225" s="3"/>
      <c r="N1225" s="3"/>
      <c r="O1225" s="3"/>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row>
    <row r="1226" spans="1:55" x14ac:dyDescent="0.25">
      <c r="A1226" s="1" t="str">
        <f>'Population Definitions'!$A$10</f>
        <v>65+_males</v>
      </c>
      <c r="C1226" t="s">
        <v>34</v>
      </c>
      <c r="D1226" s="3"/>
      <c r="E1226" s="3">
        <v>0</v>
      </c>
      <c r="F1226" s="3"/>
      <c r="G1226" s="3"/>
      <c r="H1226" s="3"/>
      <c r="I1226" s="3"/>
      <c r="J1226" s="3"/>
      <c r="K1226" s="3"/>
      <c r="L1226" s="3"/>
      <c r="M1226" s="3"/>
      <c r="N1226" s="3"/>
      <c r="O1226" s="3"/>
      <c r="P1226" s="3"/>
      <c r="Q1226" s="3"/>
      <c r="R1226" s="3"/>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row>
    <row r="1227" spans="1:55" x14ac:dyDescent="0.25">
      <c r="A1227" s="1" t="str">
        <f>'Population Definitions'!$A$11</f>
        <v>65+_females</v>
      </c>
      <c r="C1227" t="s">
        <v>34</v>
      </c>
      <c r="D1227" s="3"/>
      <c r="E1227" s="3">
        <v>0</v>
      </c>
      <c r="F1227" s="3"/>
      <c r="G1227" s="3"/>
      <c r="H1227" s="3"/>
      <c r="I1227" s="3"/>
      <c r="J1227" s="3"/>
      <c r="K1227" s="3"/>
      <c r="L1227" s="3"/>
      <c r="M1227" s="3"/>
      <c r="N1227" s="3"/>
      <c r="O1227" s="3"/>
      <c r="P1227" s="3"/>
      <c r="Q1227" s="3"/>
      <c r="R1227" s="3"/>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row>
    <row r="1228" spans="1:55" x14ac:dyDescent="0.25">
      <c r="A1228" s="1" t="str">
        <f>'Population Definitions'!$A$12</f>
        <v>Prisoners_males</v>
      </c>
      <c r="C1228" t="s">
        <v>34</v>
      </c>
      <c r="D1228" s="3"/>
      <c r="E1228" s="3">
        <v>0</v>
      </c>
      <c r="F1228" s="3"/>
      <c r="G1228" s="3"/>
      <c r="H1228" s="3"/>
      <c r="I1228" s="3"/>
      <c r="J1228" s="3"/>
      <c r="K1228" s="3"/>
      <c r="L1228" s="3"/>
      <c r="M1228" s="3"/>
      <c r="N1228" s="3"/>
      <c r="O1228" s="3"/>
      <c r="P1228" s="3"/>
      <c r="Q1228" s="3"/>
      <c r="R1228" s="3"/>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row>
    <row r="1229" spans="1:55" x14ac:dyDescent="0.25">
      <c r="A1229" s="1" t="str">
        <f>'Population Definitions'!$A$13</f>
        <v>Prisoners_females</v>
      </c>
      <c r="C1229" t="s">
        <v>34</v>
      </c>
      <c r="D1229" s="3"/>
      <c r="E1229" s="3">
        <v>0</v>
      </c>
      <c r="F1229" s="3"/>
      <c r="G1229" s="3"/>
      <c r="H1229" s="3"/>
      <c r="I1229" s="3"/>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row>
    <row r="1230" spans="1:55" x14ac:dyDescent="0.25">
      <c r="A1230" s="1" t="str">
        <f>'Population Definitions'!$A$14</f>
        <v>Prisoners_PWID_males</v>
      </c>
      <c r="C1230" t="s">
        <v>34</v>
      </c>
      <c r="D1230" s="3"/>
      <c r="E1230" s="3">
        <v>0</v>
      </c>
      <c r="F1230" s="3"/>
      <c r="G1230" s="3"/>
      <c r="H1230" s="3"/>
      <c r="I1230" s="3"/>
      <c r="J1230" s="3"/>
      <c r="K1230" s="3"/>
      <c r="L1230" s="3"/>
      <c r="M1230" s="3"/>
      <c r="N1230" s="3"/>
      <c r="O1230" s="3"/>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row>
    <row r="1231" spans="1:55" x14ac:dyDescent="0.25">
      <c r="A1231" s="1" t="str">
        <f>'Population Definitions'!$A$15</f>
        <v>Prisoners_PWID_females</v>
      </c>
      <c r="C1231" t="s">
        <v>34</v>
      </c>
      <c r="D1231" s="3"/>
      <c r="E1231" s="3">
        <v>0</v>
      </c>
      <c r="F1231" s="3"/>
      <c r="G1231" s="3"/>
      <c r="H1231" s="3"/>
      <c r="I1231" s="3"/>
      <c r="J1231" s="3"/>
      <c r="K1231" s="3"/>
      <c r="L1231" s="3"/>
      <c r="M1231" s="3"/>
      <c r="N1231" s="3"/>
      <c r="O1231" s="3"/>
      <c r="P1231" s="3"/>
      <c r="Q1231" s="3"/>
      <c r="R1231" s="3"/>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row>
    <row r="1233" spans="1:55" x14ac:dyDescent="0.25">
      <c r="A1233" s="1" t="s">
        <v>204</v>
      </c>
      <c r="B1233" s="1" t="s">
        <v>31</v>
      </c>
      <c r="C1233" s="1" t="s">
        <v>32</v>
      </c>
      <c r="D1233" s="1" t="s">
        <v>33</v>
      </c>
      <c r="E1233" s="1">
        <v>2000</v>
      </c>
      <c r="F1233" s="1">
        <v>2001</v>
      </c>
      <c r="G1233" s="1">
        <v>2002</v>
      </c>
      <c r="H1233" s="1">
        <v>2003</v>
      </c>
      <c r="I1233" s="1">
        <v>2004</v>
      </c>
      <c r="J1233" s="1">
        <v>2005</v>
      </c>
      <c r="K1233" s="1">
        <v>2006</v>
      </c>
      <c r="L1233" s="1">
        <v>2007</v>
      </c>
      <c r="M1233" s="1">
        <v>2008</v>
      </c>
      <c r="N1233" s="1">
        <v>2009</v>
      </c>
      <c r="O1233" s="1">
        <v>2010</v>
      </c>
      <c r="P1233" s="1">
        <v>2011</v>
      </c>
      <c r="Q1233" s="1">
        <v>2012</v>
      </c>
      <c r="R1233" s="1">
        <v>2013</v>
      </c>
      <c r="S1233" s="1">
        <v>2014</v>
      </c>
      <c r="T1233" s="1">
        <v>2015</v>
      </c>
      <c r="U1233" s="1">
        <v>2016</v>
      </c>
      <c r="V1233" s="1">
        <v>2017</v>
      </c>
      <c r="W1233" s="1">
        <v>2018</v>
      </c>
      <c r="X1233" s="1">
        <v>2019</v>
      </c>
      <c r="Y1233" s="1">
        <v>2020</v>
      </c>
      <c r="Z1233" s="1">
        <v>2021</v>
      </c>
      <c r="AA1233" s="1">
        <v>2022</v>
      </c>
      <c r="AB1233" s="1">
        <v>2023</v>
      </c>
      <c r="AC1233" s="1">
        <v>2024</v>
      </c>
      <c r="AD1233" s="1">
        <v>2025</v>
      </c>
      <c r="AE1233" s="1">
        <v>2026</v>
      </c>
      <c r="AF1233" s="1">
        <v>2027</v>
      </c>
      <c r="AG1233" s="1">
        <v>2028</v>
      </c>
      <c r="AH1233" s="1">
        <v>2029</v>
      </c>
      <c r="AI1233" s="1">
        <v>2030</v>
      </c>
      <c r="AJ1233" s="1">
        <v>2031</v>
      </c>
      <c r="AK1233" s="1">
        <v>2032</v>
      </c>
      <c r="AL1233" s="1">
        <v>2033</v>
      </c>
      <c r="AM1233" s="1">
        <v>2034</v>
      </c>
      <c r="AN1233" s="1">
        <v>2035</v>
      </c>
      <c r="AO1233" s="1">
        <v>2036</v>
      </c>
      <c r="AP1233" s="1">
        <v>2037</v>
      </c>
      <c r="AQ1233" s="1">
        <v>2038</v>
      </c>
      <c r="AR1233" s="1">
        <v>2039</v>
      </c>
      <c r="AS1233" s="1">
        <v>2040</v>
      </c>
      <c r="AT1233" s="1">
        <v>2041</v>
      </c>
      <c r="AU1233" s="1">
        <v>2042</v>
      </c>
      <c r="AV1233" s="1">
        <v>2043</v>
      </c>
      <c r="AW1233" s="1">
        <v>2044</v>
      </c>
      <c r="AX1233" s="1">
        <v>2045</v>
      </c>
      <c r="AY1233" s="1">
        <v>2046</v>
      </c>
      <c r="AZ1233" s="1">
        <v>2047</v>
      </c>
      <c r="BA1233" s="1">
        <v>2048</v>
      </c>
      <c r="BB1233" s="1">
        <v>2049</v>
      </c>
      <c r="BC1233" s="1">
        <v>2050</v>
      </c>
    </row>
    <row r="1234" spans="1:55" x14ac:dyDescent="0.25">
      <c r="A1234" s="1" t="str">
        <f>'Population Definitions'!$A$2</f>
        <v>PWID_males</v>
      </c>
      <c r="C1234" t="s">
        <v>34</v>
      </c>
      <c r="D1234" s="3"/>
      <c r="E1234" s="3">
        <v>0</v>
      </c>
      <c r="F1234" s="3"/>
      <c r="G1234" s="3"/>
      <c r="H1234" s="3"/>
      <c r="I1234" s="3"/>
      <c r="J1234" s="3"/>
      <c r="K1234" s="3"/>
      <c r="L1234" s="3"/>
      <c r="M1234" s="3"/>
      <c r="N1234" s="3"/>
      <c r="O1234" s="3"/>
      <c r="P1234" s="3"/>
      <c r="Q1234" s="3"/>
      <c r="R1234" s="3"/>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row>
    <row r="1235" spans="1:55" x14ac:dyDescent="0.25">
      <c r="A1235" s="1" t="str">
        <f>'Population Definitions'!$A$3</f>
        <v>PWID_females</v>
      </c>
      <c r="C1235" t="s">
        <v>34</v>
      </c>
      <c r="D1235" s="3"/>
      <c r="E1235" s="3">
        <v>0</v>
      </c>
      <c r="F1235" s="3"/>
      <c r="G1235" s="3"/>
      <c r="H1235" s="3"/>
      <c r="I1235" s="3"/>
      <c r="J1235" s="3"/>
      <c r="K1235" s="3"/>
      <c r="L1235" s="3"/>
      <c r="M1235" s="3"/>
      <c r="N1235" s="3"/>
      <c r="O1235" s="3"/>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row>
    <row r="1236" spans="1:55" x14ac:dyDescent="0.25">
      <c r="A1236" s="1" t="str">
        <f>'Population Definitions'!$A$4</f>
        <v>0-9_males</v>
      </c>
      <c r="C1236" t="s">
        <v>34</v>
      </c>
      <c r="D1236" s="3"/>
      <c r="E1236" s="3">
        <v>0</v>
      </c>
      <c r="F1236" s="3"/>
      <c r="G1236" s="3"/>
      <c r="H1236" s="3"/>
      <c r="I1236" s="3"/>
      <c r="J1236" s="3"/>
      <c r="K1236" s="3"/>
      <c r="L1236" s="3"/>
      <c r="M1236" s="3"/>
      <c r="N1236" s="3"/>
      <c r="O1236" s="3"/>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row>
    <row r="1237" spans="1:55" x14ac:dyDescent="0.25">
      <c r="A1237" s="1" t="str">
        <f>'Population Definitions'!$A$5</f>
        <v>0-9_females</v>
      </c>
      <c r="C1237" t="s">
        <v>34</v>
      </c>
      <c r="D1237" s="3"/>
      <c r="E1237" s="3">
        <v>0</v>
      </c>
      <c r="F1237" s="3"/>
      <c r="G1237" s="3"/>
      <c r="H1237" s="3"/>
      <c r="I1237" s="3"/>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row>
    <row r="1238" spans="1:55" x14ac:dyDescent="0.25">
      <c r="A1238" s="1" t="str">
        <f>'Population Definitions'!$A$6</f>
        <v>10-17_males</v>
      </c>
      <c r="C1238" t="s">
        <v>34</v>
      </c>
      <c r="D1238" s="3"/>
      <c r="E1238" s="3">
        <v>0</v>
      </c>
      <c r="F1238" s="3"/>
      <c r="G1238" s="3"/>
      <c r="H1238" s="3"/>
      <c r="I1238" s="3"/>
      <c r="J1238" s="3"/>
      <c r="K1238" s="3"/>
      <c r="L1238" s="3"/>
      <c r="M1238" s="3"/>
      <c r="N1238" s="3"/>
      <c r="O1238" s="3"/>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row>
    <row r="1239" spans="1:55" x14ac:dyDescent="0.25">
      <c r="A1239" s="1" t="str">
        <f>'Population Definitions'!$A$7</f>
        <v>10-17_females</v>
      </c>
      <c r="C1239" t="s">
        <v>34</v>
      </c>
      <c r="D1239" s="3"/>
      <c r="E1239" s="3">
        <v>0</v>
      </c>
      <c r="F1239" s="3"/>
      <c r="G1239" s="3"/>
      <c r="H1239" s="3"/>
      <c r="I1239" s="3"/>
      <c r="J1239" s="3"/>
      <c r="K1239" s="3"/>
      <c r="L1239" s="3"/>
      <c r="M1239" s="3"/>
      <c r="N1239" s="3"/>
      <c r="O1239" s="3"/>
      <c r="P1239" s="3"/>
      <c r="Q1239" s="3"/>
      <c r="R1239" s="3"/>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row>
    <row r="1240" spans="1:55" x14ac:dyDescent="0.25">
      <c r="A1240" s="1" t="str">
        <f>'Population Definitions'!$A$8</f>
        <v>18-64_males</v>
      </c>
      <c r="C1240" t="s">
        <v>34</v>
      </c>
      <c r="D1240" s="3"/>
      <c r="E1240" s="3">
        <v>0</v>
      </c>
      <c r="F1240" s="3"/>
      <c r="G1240" s="3"/>
      <c r="H1240" s="3"/>
      <c r="I1240" s="3"/>
      <c r="J1240" s="3"/>
      <c r="K1240" s="3"/>
      <c r="L1240" s="3"/>
      <c r="M1240" s="3"/>
      <c r="N1240" s="3"/>
      <c r="O1240" s="3"/>
      <c r="P1240" s="3"/>
      <c r="Q1240" s="3"/>
      <c r="R1240" s="3"/>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row>
    <row r="1241" spans="1:55" x14ac:dyDescent="0.25">
      <c r="A1241" s="1" t="str">
        <f>'Population Definitions'!$A$9</f>
        <v>18-64_females</v>
      </c>
      <c r="C1241" t="s">
        <v>34</v>
      </c>
      <c r="D1241" s="3"/>
      <c r="E1241" s="3">
        <v>0</v>
      </c>
      <c r="F1241" s="3"/>
      <c r="G1241" s="3"/>
      <c r="H1241" s="3"/>
      <c r="I1241" s="3"/>
      <c r="J1241" s="3"/>
      <c r="K1241" s="3"/>
      <c r="L1241" s="3"/>
      <c r="M1241" s="3"/>
      <c r="N1241" s="3"/>
      <c r="O1241" s="3"/>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row>
    <row r="1242" spans="1:55" x14ac:dyDescent="0.25">
      <c r="A1242" s="1" t="str">
        <f>'Population Definitions'!$A$10</f>
        <v>65+_males</v>
      </c>
      <c r="C1242" t="s">
        <v>34</v>
      </c>
      <c r="D1242" s="3"/>
      <c r="E1242" s="3">
        <v>0</v>
      </c>
      <c r="F1242" s="3"/>
      <c r="G1242" s="3"/>
      <c r="H1242" s="3"/>
      <c r="I1242" s="3"/>
      <c r="J1242" s="3"/>
      <c r="K1242" s="3"/>
      <c r="L1242" s="3"/>
      <c r="M1242" s="3"/>
      <c r="N1242" s="3"/>
      <c r="O1242" s="3"/>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row>
    <row r="1243" spans="1:55" x14ac:dyDescent="0.25">
      <c r="A1243" s="1" t="str">
        <f>'Population Definitions'!$A$11</f>
        <v>65+_females</v>
      </c>
      <c r="C1243" t="s">
        <v>34</v>
      </c>
      <c r="D1243" s="3"/>
      <c r="E1243" s="3">
        <v>0</v>
      </c>
      <c r="F1243" s="3"/>
      <c r="G1243" s="3"/>
      <c r="H1243" s="3"/>
      <c r="I1243" s="3"/>
      <c r="J1243" s="3"/>
      <c r="K1243" s="3"/>
      <c r="L1243" s="3"/>
      <c r="M1243" s="3"/>
      <c r="N1243" s="3"/>
      <c r="O1243" s="3"/>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row>
    <row r="1244" spans="1:55" x14ac:dyDescent="0.25">
      <c r="A1244" s="1" t="str">
        <f>'Population Definitions'!$A$12</f>
        <v>Prisoners_males</v>
      </c>
      <c r="C1244" t="s">
        <v>34</v>
      </c>
      <c r="D1244" s="3"/>
      <c r="E1244" s="3">
        <v>0</v>
      </c>
      <c r="F1244" s="3"/>
      <c r="G1244" s="3"/>
      <c r="H1244" s="3"/>
      <c r="I1244" s="3"/>
      <c r="J1244" s="3"/>
      <c r="K1244" s="3"/>
      <c r="L1244" s="3"/>
      <c r="M1244" s="3"/>
      <c r="N1244" s="3"/>
      <c r="O1244" s="3"/>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row>
    <row r="1245" spans="1:55" x14ac:dyDescent="0.25">
      <c r="A1245" s="1" t="str">
        <f>'Population Definitions'!$A$13</f>
        <v>Prisoners_females</v>
      </c>
      <c r="C1245" t="s">
        <v>34</v>
      </c>
      <c r="D1245" s="3"/>
      <c r="E1245" s="3">
        <v>0</v>
      </c>
      <c r="F1245" s="3"/>
      <c r="G1245" s="3"/>
      <c r="H1245" s="3"/>
      <c r="I1245" s="3"/>
      <c r="J1245" s="3"/>
      <c r="K1245" s="3"/>
      <c r="L1245" s="3"/>
      <c r="M1245" s="3"/>
      <c r="N1245" s="3"/>
      <c r="O1245" s="3"/>
      <c r="P1245" s="3"/>
      <c r="Q1245" s="3"/>
      <c r="R1245" s="3"/>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row>
    <row r="1246" spans="1:55" x14ac:dyDescent="0.25">
      <c r="A1246" s="1" t="str">
        <f>'Population Definitions'!$A$14</f>
        <v>Prisoners_PWID_males</v>
      </c>
      <c r="C1246" t="s">
        <v>34</v>
      </c>
      <c r="D1246" s="3"/>
      <c r="E1246" s="3">
        <v>0</v>
      </c>
      <c r="F1246" s="3"/>
      <c r="G1246" s="3"/>
      <c r="H1246" s="3"/>
      <c r="I1246" s="3"/>
      <c r="J1246" s="3"/>
      <c r="K1246" s="3"/>
      <c r="L1246" s="3"/>
      <c r="M1246" s="3"/>
      <c r="N1246" s="3"/>
      <c r="O1246" s="3"/>
      <c r="P1246" s="3"/>
      <c r="Q1246" s="3"/>
      <c r="R1246" s="3"/>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row>
    <row r="1247" spans="1:55" x14ac:dyDescent="0.25">
      <c r="A1247" s="1" t="str">
        <f>'Population Definitions'!$A$15</f>
        <v>Prisoners_PWID_females</v>
      </c>
      <c r="C1247" t="s">
        <v>34</v>
      </c>
      <c r="D1247" s="3"/>
      <c r="E1247" s="3">
        <v>0</v>
      </c>
      <c r="F1247" s="3"/>
      <c r="G1247" s="3"/>
      <c r="H1247" s="3"/>
      <c r="I1247" s="3"/>
      <c r="J1247" s="3"/>
      <c r="K1247" s="3"/>
      <c r="L1247" s="3"/>
      <c r="M1247" s="3"/>
      <c r="N1247" s="3"/>
      <c r="O1247" s="3"/>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row>
    <row r="1249" spans="1:55" x14ac:dyDescent="0.25">
      <c r="A1249" s="1" t="s">
        <v>205</v>
      </c>
      <c r="B1249" s="1" t="s">
        <v>31</v>
      </c>
      <c r="C1249" s="1" t="s">
        <v>32</v>
      </c>
      <c r="D1249" s="1" t="s">
        <v>33</v>
      </c>
      <c r="E1249" s="1">
        <v>2000</v>
      </c>
      <c r="F1249" s="1">
        <v>2001</v>
      </c>
      <c r="G1249" s="1">
        <v>2002</v>
      </c>
      <c r="H1249" s="1">
        <v>2003</v>
      </c>
      <c r="I1249" s="1">
        <v>2004</v>
      </c>
      <c r="J1249" s="1">
        <v>2005</v>
      </c>
      <c r="K1249" s="1">
        <v>2006</v>
      </c>
      <c r="L1249" s="1">
        <v>2007</v>
      </c>
      <c r="M1249" s="1">
        <v>2008</v>
      </c>
      <c r="N1249" s="1">
        <v>2009</v>
      </c>
      <c r="O1249" s="1">
        <v>2010</v>
      </c>
      <c r="P1249" s="1">
        <v>2011</v>
      </c>
      <c r="Q1249" s="1">
        <v>2012</v>
      </c>
      <c r="R1249" s="1">
        <v>2013</v>
      </c>
      <c r="S1249" s="1">
        <v>2014</v>
      </c>
      <c r="T1249" s="1">
        <v>2015</v>
      </c>
      <c r="U1249" s="1">
        <v>2016</v>
      </c>
      <c r="V1249" s="1">
        <v>2017</v>
      </c>
      <c r="W1249" s="1">
        <v>2018</v>
      </c>
      <c r="X1249" s="1">
        <v>2019</v>
      </c>
      <c r="Y1249" s="1">
        <v>2020</v>
      </c>
      <c r="Z1249" s="1">
        <v>2021</v>
      </c>
      <c r="AA1249" s="1">
        <v>2022</v>
      </c>
      <c r="AB1249" s="1">
        <v>2023</v>
      </c>
      <c r="AC1249" s="1">
        <v>2024</v>
      </c>
      <c r="AD1249" s="1">
        <v>2025</v>
      </c>
      <c r="AE1249" s="1">
        <v>2026</v>
      </c>
      <c r="AF1249" s="1">
        <v>2027</v>
      </c>
      <c r="AG1249" s="1">
        <v>2028</v>
      </c>
      <c r="AH1249" s="1">
        <v>2029</v>
      </c>
      <c r="AI1249" s="1">
        <v>2030</v>
      </c>
      <c r="AJ1249" s="1">
        <v>2031</v>
      </c>
      <c r="AK1249" s="1">
        <v>2032</v>
      </c>
      <c r="AL1249" s="1">
        <v>2033</v>
      </c>
      <c r="AM1249" s="1">
        <v>2034</v>
      </c>
      <c r="AN1249" s="1">
        <v>2035</v>
      </c>
      <c r="AO1249" s="1">
        <v>2036</v>
      </c>
      <c r="AP1249" s="1">
        <v>2037</v>
      </c>
      <c r="AQ1249" s="1">
        <v>2038</v>
      </c>
      <c r="AR1249" s="1">
        <v>2039</v>
      </c>
      <c r="AS1249" s="1">
        <v>2040</v>
      </c>
      <c r="AT1249" s="1">
        <v>2041</v>
      </c>
      <c r="AU1249" s="1">
        <v>2042</v>
      </c>
      <c r="AV1249" s="1">
        <v>2043</v>
      </c>
      <c r="AW1249" s="1">
        <v>2044</v>
      </c>
      <c r="AX1249" s="1">
        <v>2045</v>
      </c>
      <c r="AY1249" s="1">
        <v>2046</v>
      </c>
      <c r="AZ1249" s="1">
        <v>2047</v>
      </c>
      <c r="BA1249" s="1">
        <v>2048</v>
      </c>
      <c r="BB1249" s="1">
        <v>2049</v>
      </c>
      <c r="BC1249" s="1">
        <v>2050</v>
      </c>
    </row>
    <row r="1250" spans="1:55" x14ac:dyDescent="0.25">
      <c r="A1250" s="1" t="str">
        <f>'Population Definitions'!$A$2</f>
        <v>PWID_males</v>
      </c>
      <c r="C1250" t="s">
        <v>34</v>
      </c>
      <c r="D1250" s="3"/>
      <c r="E1250" s="3">
        <v>0</v>
      </c>
      <c r="F1250" s="3"/>
      <c r="G1250" s="3"/>
      <c r="H1250" s="3"/>
      <c r="I1250" s="3"/>
      <c r="J1250" s="3"/>
      <c r="K1250" s="3"/>
      <c r="L1250" s="3"/>
      <c r="M1250" s="3"/>
      <c r="N1250" s="3"/>
      <c r="O1250" s="3"/>
      <c r="P1250" s="3"/>
      <c r="Q1250" s="3"/>
      <c r="R1250" s="3"/>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row>
    <row r="1251" spans="1:55" x14ac:dyDescent="0.25">
      <c r="A1251" s="1" t="str">
        <f>'Population Definitions'!$A$3</f>
        <v>PWID_females</v>
      </c>
      <c r="C1251" t="s">
        <v>34</v>
      </c>
      <c r="D1251" s="3"/>
      <c r="E1251" s="3">
        <v>0</v>
      </c>
      <c r="F1251" s="3"/>
      <c r="G1251" s="3"/>
      <c r="H1251" s="3"/>
      <c r="I1251" s="3"/>
      <c r="J1251" s="3"/>
      <c r="K1251" s="3"/>
      <c r="L1251" s="3"/>
      <c r="M1251" s="3"/>
      <c r="N1251" s="3"/>
      <c r="O1251" s="3"/>
      <c r="P1251" s="3"/>
      <c r="Q1251" s="3"/>
      <c r="R1251" s="3"/>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row>
    <row r="1252" spans="1:55" x14ac:dyDescent="0.25">
      <c r="A1252" s="1" t="str">
        <f>'Population Definitions'!$A$4</f>
        <v>0-9_males</v>
      </c>
      <c r="C1252" t="s">
        <v>34</v>
      </c>
      <c r="D1252" s="3"/>
      <c r="E1252" s="3">
        <v>0</v>
      </c>
      <c r="F1252" s="3"/>
      <c r="G1252" s="3"/>
      <c r="H1252" s="3"/>
      <c r="I1252" s="3"/>
      <c r="J1252" s="3"/>
      <c r="K1252" s="3"/>
      <c r="L1252" s="3"/>
      <c r="M1252" s="3"/>
      <c r="N1252" s="3"/>
      <c r="O1252" s="3"/>
      <c r="P1252" s="3"/>
      <c r="Q1252" s="3"/>
      <c r="R1252" s="3"/>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row>
    <row r="1253" spans="1:55" x14ac:dyDescent="0.25">
      <c r="A1253" s="1" t="str">
        <f>'Population Definitions'!$A$5</f>
        <v>0-9_females</v>
      </c>
      <c r="C1253" t="s">
        <v>34</v>
      </c>
      <c r="D1253" s="3"/>
      <c r="E1253" s="3">
        <v>0</v>
      </c>
      <c r="F1253" s="3"/>
      <c r="G1253" s="3"/>
      <c r="H1253" s="3"/>
      <c r="I1253" s="3"/>
      <c r="J1253" s="3"/>
      <c r="K1253" s="3"/>
      <c r="L1253" s="3"/>
      <c r="M1253" s="3"/>
      <c r="N1253" s="3"/>
      <c r="O1253" s="3"/>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row>
    <row r="1254" spans="1:55" x14ac:dyDescent="0.25">
      <c r="A1254" s="1" t="str">
        <f>'Population Definitions'!$A$6</f>
        <v>10-17_males</v>
      </c>
      <c r="C1254" t="s">
        <v>34</v>
      </c>
      <c r="D1254" s="3"/>
      <c r="E1254" s="3">
        <v>0</v>
      </c>
      <c r="F1254" s="3"/>
      <c r="G1254" s="3"/>
      <c r="H1254" s="3"/>
      <c r="I1254" s="3"/>
      <c r="J1254" s="3"/>
      <c r="K1254" s="3"/>
      <c r="L1254" s="3"/>
      <c r="M1254" s="3"/>
      <c r="N1254" s="3"/>
      <c r="O1254" s="3"/>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row>
    <row r="1255" spans="1:55" x14ac:dyDescent="0.25">
      <c r="A1255" s="1" t="str">
        <f>'Population Definitions'!$A$7</f>
        <v>10-17_females</v>
      </c>
      <c r="C1255" t="s">
        <v>34</v>
      </c>
      <c r="D1255" s="3"/>
      <c r="E1255" s="3">
        <v>0</v>
      </c>
      <c r="F1255" s="3"/>
      <c r="G1255" s="3"/>
      <c r="H1255" s="3"/>
      <c r="I1255" s="3"/>
      <c r="J1255" s="3"/>
      <c r="K1255" s="3"/>
      <c r="L1255" s="3"/>
      <c r="M1255" s="3"/>
      <c r="N1255" s="3"/>
      <c r="O1255" s="3"/>
      <c r="P1255" s="3"/>
      <c r="Q1255" s="3"/>
      <c r="R1255" s="3"/>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row>
    <row r="1256" spans="1:55" x14ac:dyDescent="0.25">
      <c r="A1256" s="1" t="str">
        <f>'Population Definitions'!$A$8</f>
        <v>18-64_males</v>
      </c>
      <c r="C1256" t="s">
        <v>34</v>
      </c>
      <c r="D1256" s="3"/>
      <c r="E1256" s="3">
        <v>0</v>
      </c>
      <c r="F1256" s="3"/>
      <c r="G1256" s="3"/>
      <c r="H1256" s="3"/>
      <c r="I1256" s="3"/>
      <c r="J1256" s="3"/>
      <c r="K1256" s="3"/>
      <c r="L1256" s="3"/>
      <c r="M1256" s="3"/>
      <c r="N1256" s="3"/>
      <c r="O1256" s="3"/>
      <c r="P1256" s="3"/>
      <c r="Q1256" s="3"/>
      <c r="R1256" s="3"/>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row>
    <row r="1257" spans="1:55" x14ac:dyDescent="0.25">
      <c r="A1257" s="1" t="str">
        <f>'Population Definitions'!$A$9</f>
        <v>18-64_females</v>
      </c>
      <c r="C1257" t="s">
        <v>34</v>
      </c>
      <c r="D1257" s="3"/>
      <c r="E1257" s="3">
        <v>0</v>
      </c>
      <c r="F1257" s="3"/>
      <c r="G1257" s="3"/>
      <c r="H1257" s="3"/>
      <c r="I1257" s="3"/>
      <c r="J1257" s="3"/>
      <c r="K1257" s="3"/>
      <c r="L1257" s="3"/>
      <c r="M1257" s="3"/>
      <c r="N1257" s="3"/>
      <c r="O1257" s="3"/>
      <c r="P1257" s="3"/>
      <c r="Q1257" s="3"/>
      <c r="R1257" s="3"/>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row>
    <row r="1258" spans="1:55" x14ac:dyDescent="0.25">
      <c r="A1258" s="1" t="str">
        <f>'Population Definitions'!$A$10</f>
        <v>65+_males</v>
      </c>
      <c r="C1258" t="s">
        <v>34</v>
      </c>
      <c r="D1258" s="3"/>
      <c r="E1258" s="3">
        <v>0</v>
      </c>
      <c r="F1258" s="3"/>
      <c r="G1258" s="3"/>
      <c r="H1258" s="3"/>
      <c r="I1258" s="3"/>
      <c r="J1258" s="3"/>
      <c r="K1258" s="3"/>
      <c r="L1258" s="3"/>
      <c r="M1258" s="3"/>
      <c r="N1258" s="3"/>
      <c r="O1258" s="3"/>
      <c r="P1258" s="3"/>
      <c r="Q1258" s="3"/>
      <c r="R1258" s="3"/>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row>
    <row r="1259" spans="1:55" x14ac:dyDescent="0.25">
      <c r="A1259" s="1" t="str">
        <f>'Population Definitions'!$A$11</f>
        <v>65+_females</v>
      </c>
      <c r="C1259" t="s">
        <v>34</v>
      </c>
      <c r="D1259" s="3"/>
      <c r="E1259" s="3">
        <v>0</v>
      </c>
      <c r="F1259" s="3"/>
      <c r="G1259" s="3"/>
      <c r="H1259" s="3"/>
      <c r="I1259" s="3"/>
      <c r="J1259" s="3"/>
      <c r="K1259" s="3"/>
      <c r="L1259" s="3"/>
      <c r="M1259" s="3"/>
      <c r="N1259" s="3"/>
      <c r="O1259" s="3"/>
      <c r="P1259" s="3"/>
      <c r="Q1259" s="3"/>
      <c r="R1259" s="3"/>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row>
    <row r="1260" spans="1:55" x14ac:dyDescent="0.25">
      <c r="A1260" s="1" t="str">
        <f>'Population Definitions'!$A$12</f>
        <v>Prisoners_males</v>
      </c>
      <c r="C1260" t="s">
        <v>34</v>
      </c>
      <c r="D1260" s="3"/>
      <c r="E1260" s="3">
        <v>0</v>
      </c>
      <c r="F1260" s="3"/>
      <c r="G1260" s="3"/>
      <c r="H1260" s="3"/>
      <c r="I1260" s="3"/>
      <c r="J1260" s="3"/>
      <c r="K1260" s="3"/>
      <c r="L1260" s="3"/>
      <c r="M1260" s="3"/>
      <c r="N1260" s="3"/>
      <c r="O1260" s="3"/>
      <c r="P1260" s="3"/>
      <c r="Q1260" s="3"/>
      <c r="R1260" s="3"/>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row>
    <row r="1261" spans="1:55" x14ac:dyDescent="0.25">
      <c r="A1261" s="1" t="str">
        <f>'Population Definitions'!$A$13</f>
        <v>Prisoners_females</v>
      </c>
      <c r="C1261" t="s">
        <v>34</v>
      </c>
      <c r="D1261" s="3"/>
      <c r="E1261" s="3">
        <v>0</v>
      </c>
      <c r="F1261" s="3"/>
      <c r="G1261" s="3"/>
      <c r="H1261" s="3"/>
      <c r="I1261" s="3"/>
      <c r="J1261" s="3"/>
      <c r="K1261" s="3"/>
      <c r="L1261" s="3"/>
      <c r="M1261" s="3"/>
      <c r="N1261" s="3"/>
      <c r="O1261" s="3"/>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row>
    <row r="1262" spans="1:55" x14ac:dyDescent="0.25">
      <c r="A1262" s="1" t="str">
        <f>'Population Definitions'!$A$14</f>
        <v>Prisoners_PWID_males</v>
      </c>
      <c r="C1262" t="s">
        <v>34</v>
      </c>
      <c r="D1262" s="3"/>
      <c r="E1262" s="3">
        <v>0</v>
      </c>
      <c r="F1262" s="3"/>
      <c r="G1262" s="3"/>
      <c r="H1262" s="3"/>
      <c r="I1262" s="3"/>
      <c r="J1262" s="3"/>
      <c r="K1262" s="3"/>
      <c r="L1262" s="3"/>
      <c r="M1262" s="3"/>
      <c r="N1262" s="3"/>
      <c r="O1262" s="3"/>
      <c r="P1262" s="3"/>
      <c r="Q1262" s="3"/>
      <c r="R1262" s="3"/>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row>
    <row r="1263" spans="1:55" x14ac:dyDescent="0.25">
      <c r="A1263" s="1" t="str">
        <f>'Population Definitions'!$A$15</f>
        <v>Prisoners_PWID_females</v>
      </c>
      <c r="C1263" t="s">
        <v>34</v>
      </c>
      <c r="D1263" s="3"/>
      <c r="E1263" s="3">
        <v>0</v>
      </c>
      <c r="F1263" s="3"/>
      <c r="G1263" s="3"/>
      <c r="H1263" s="3"/>
      <c r="I1263" s="3"/>
      <c r="J1263" s="3"/>
      <c r="K1263" s="3"/>
      <c r="L1263" s="3"/>
      <c r="M1263" s="3"/>
      <c r="N1263" s="3"/>
      <c r="O1263" s="3"/>
      <c r="P1263" s="3"/>
      <c r="Q1263" s="3"/>
      <c r="R1263" s="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row>
    <row r="1265" spans="1:55" x14ac:dyDescent="0.25">
      <c r="A1265" s="1" t="s">
        <v>206</v>
      </c>
      <c r="B1265" s="1" t="s">
        <v>31</v>
      </c>
      <c r="C1265" s="1" t="s">
        <v>32</v>
      </c>
      <c r="D1265" s="1" t="s">
        <v>33</v>
      </c>
      <c r="E1265" s="1">
        <v>2000</v>
      </c>
      <c r="F1265" s="1">
        <v>2001</v>
      </c>
      <c r="G1265" s="1">
        <v>2002</v>
      </c>
      <c r="H1265" s="1">
        <v>2003</v>
      </c>
      <c r="I1265" s="1">
        <v>2004</v>
      </c>
      <c r="J1265" s="1">
        <v>2005</v>
      </c>
      <c r="K1265" s="1">
        <v>2006</v>
      </c>
      <c r="L1265" s="1">
        <v>2007</v>
      </c>
      <c r="M1265" s="1">
        <v>2008</v>
      </c>
      <c r="N1265" s="1">
        <v>2009</v>
      </c>
      <c r="O1265" s="1">
        <v>2010</v>
      </c>
      <c r="P1265" s="1">
        <v>2011</v>
      </c>
      <c r="Q1265" s="1">
        <v>2012</v>
      </c>
      <c r="R1265" s="1">
        <v>2013</v>
      </c>
      <c r="S1265" s="1">
        <v>2014</v>
      </c>
      <c r="T1265" s="1">
        <v>2015</v>
      </c>
      <c r="U1265" s="1">
        <v>2016</v>
      </c>
      <c r="V1265" s="1">
        <v>2017</v>
      </c>
      <c r="W1265" s="1">
        <v>2018</v>
      </c>
      <c r="X1265" s="1">
        <v>2019</v>
      </c>
      <c r="Y1265" s="1">
        <v>2020</v>
      </c>
      <c r="Z1265" s="1">
        <v>2021</v>
      </c>
      <c r="AA1265" s="1">
        <v>2022</v>
      </c>
      <c r="AB1265" s="1">
        <v>2023</v>
      </c>
      <c r="AC1265" s="1">
        <v>2024</v>
      </c>
      <c r="AD1265" s="1">
        <v>2025</v>
      </c>
      <c r="AE1265" s="1">
        <v>2026</v>
      </c>
      <c r="AF1265" s="1">
        <v>2027</v>
      </c>
      <c r="AG1265" s="1">
        <v>2028</v>
      </c>
      <c r="AH1265" s="1">
        <v>2029</v>
      </c>
      <c r="AI1265" s="1">
        <v>2030</v>
      </c>
      <c r="AJ1265" s="1">
        <v>2031</v>
      </c>
      <c r="AK1265" s="1">
        <v>2032</v>
      </c>
      <c r="AL1265" s="1">
        <v>2033</v>
      </c>
      <c r="AM1265" s="1">
        <v>2034</v>
      </c>
      <c r="AN1265" s="1">
        <v>2035</v>
      </c>
      <c r="AO1265" s="1">
        <v>2036</v>
      </c>
      <c r="AP1265" s="1">
        <v>2037</v>
      </c>
      <c r="AQ1265" s="1">
        <v>2038</v>
      </c>
      <c r="AR1265" s="1">
        <v>2039</v>
      </c>
      <c r="AS1265" s="1">
        <v>2040</v>
      </c>
      <c r="AT1265" s="1">
        <v>2041</v>
      </c>
      <c r="AU1265" s="1">
        <v>2042</v>
      </c>
      <c r="AV1265" s="1">
        <v>2043</v>
      </c>
      <c r="AW1265" s="1">
        <v>2044</v>
      </c>
      <c r="AX1265" s="1">
        <v>2045</v>
      </c>
      <c r="AY1265" s="1">
        <v>2046</v>
      </c>
      <c r="AZ1265" s="1">
        <v>2047</v>
      </c>
      <c r="BA1265" s="1">
        <v>2048</v>
      </c>
      <c r="BB1265" s="1">
        <v>2049</v>
      </c>
      <c r="BC1265" s="1">
        <v>2050</v>
      </c>
    </row>
    <row r="1266" spans="1:55" x14ac:dyDescent="0.25">
      <c r="A1266" s="1" t="str">
        <f>'Population Definitions'!$A$2</f>
        <v>PWID_males</v>
      </c>
      <c r="C1266" t="s">
        <v>34</v>
      </c>
      <c r="D1266" s="3"/>
      <c r="E1266" s="3">
        <v>0</v>
      </c>
      <c r="F1266" s="3"/>
      <c r="G1266" s="3"/>
      <c r="H1266" s="3"/>
      <c r="I1266" s="3"/>
      <c r="J1266" s="3"/>
      <c r="K1266" s="3"/>
      <c r="L1266" s="3"/>
      <c r="M1266" s="3"/>
      <c r="N1266" s="3"/>
      <c r="O1266" s="3"/>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row>
    <row r="1267" spans="1:55" x14ac:dyDescent="0.25">
      <c r="A1267" s="1" t="str">
        <f>'Population Definitions'!$A$3</f>
        <v>PWID_females</v>
      </c>
      <c r="C1267" t="s">
        <v>34</v>
      </c>
      <c r="D1267" s="3"/>
      <c r="E1267" s="3">
        <v>0</v>
      </c>
      <c r="F1267" s="3"/>
      <c r="G1267" s="3"/>
      <c r="H1267" s="3"/>
      <c r="I1267" s="3"/>
      <c r="J1267" s="3"/>
      <c r="K1267" s="3"/>
      <c r="L1267" s="3"/>
      <c r="M1267" s="3"/>
      <c r="N1267" s="3"/>
      <c r="O1267" s="3"/>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row>
    <row r="1268" spans="1:55" x14ac:dyDescent="0.25">
      <c r="A1268" s="1" t="str">
        <f>'Population Definitions'!$A$4</f>
        <v>0-9_males</v>
      </c>
      <c r="C1268" t="s">
        <v>34</v>
      </c>
      <c r="D1268" s="3"/>
      <c r="E1268" s="3">
        <v>0</v>
      </c>
      <c r="F1268" s="3"/>
      <c r="G1268" s="3"/>
      <c r="H1268" s="3"/>
      <c r="I1268" s="3"/>
      <c r="J1268" s="3"/>
      <c r="K1268" s="3"/>
      <c r="L1268" s="3"/>
      <c r="M1268" s="3"/>
      <c r="N1268" s="3"/>
      <c r="O1268" s="3"/>
      <c r="P1268" s="3"/>
      <c r="Q1268" s="3"/>
      <c r="R1268" s="3"/>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row>
    <row r="1269" spans="1:55" x14ac:dyDescent="0.25">
      <c r="A1269" s="1" t="str">
        <f>'Population Definitions'!$A$5</f>
        <v>0-9_females</v>
      </c>
      <c r="C1269" t="s">
        <v>34</v>
      </c>
      <c r="D1269" s="3"/>
      <c r="E1269" s="3">
        <v>0</v>
      </c>
      <c r="F1269" s="3"/>
      <c r="G1269" s="3"/>
      <c r="H1269" s="3"/>
      <c r="I1269" s="3"/>
      <c r="J1269" s="3"/>
      <c r="K1269" s="3"/>
      <c r="L1269" s="3"/>
      <c r="M1269" s="3"/>
      <c r="N1269" s="3"/>
      <c r="O1269" s="3"/>
      <c r="P1269" s="3"/>
      <c r="Q1269" s="3"/>
      <c r="R1269" s="3"/>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row>
    <row r="1270" spans="1:55" x14ac:dyDescent="0.25">
      <c r="A1270" s="1" t="str">
        <f>'Population Definitions'!$A$6</f>
        <v>10-17_males</v>
      </c>
      <c r="C1270" t="s">
        <v>34</v>
      </c>
      <c r="D1270" s="3"/>
      <c r="E1270" s="3">
        <v>0</v>
      </c>
      <c r="F1270" s="3"/>
      <c r="G1270" s="3"/>
      <c r="H1270" s="3"/>
      <c r="I1270" s="3"/>
      <c r="J1270" s="3"/>
      <c r="K1270" s="3"/>
      <c r="L1270" s="3"/>
      <c r="M1270" s="3"/>
      <c r="N1270" s="3"/>
      <c r="O1270" s="3"/>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row>
    <row r="1271" spans="1:55" x14ac:dyDescent="0.25">
      <c r="A1271" s="1" t="str">
        <f>'Population Definitions'!$A$7</f>
        <v>10-17_females</v>
      </c>
      <c r="C1271" t="s">
        <v>34</v>
      </c>
      <c r="D1271" s="3"/>
      <c r="E1271" s="3">
        <v>0</v>
      </c>
      <c r="F1271" s="3"/>
      <c r="G1271" s="3"/>
      <c r="H1271" s="3"/>
      <c r="I1271" s="3"/>
      <c r="J1271" s="3"/>
      <c r="K1271" s="3"/>
      <c r="L1271" s="3"/>
      <c r="M1271" s="3"/>
      <c r="N1271" s="3"/>
      <c r="O1271" s="3"/>
      <c r="P1271" s="3"/>
      <c r="Q1271" s="3"/>
      <c r="R1271" s="3"/>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row>
    <row r="1272" spans="1:55" x14ac:dyDescent="0.25">
      <c r="A1272" s="1" t="str">
        <f>'Population Definitions'!$A$8</f>
        <v>18-64_males</v>
      </c>
      <c r="C1272" t="s">
        <v>34</v>
      </c>
      <c r="D1272" s="3"/>
      <c r="E1272" s="3">
        <v>0</v>
      </c>
      <c r="F1272" s="3"/>
      <c r="G1272" s="3"/>
      <c r="H1272" s="3"/>
      <c r="I1272" s="3"/>
      <c r="J1272" s="3"/>
      <c r="K1272" s="3"/>
      <c r="L1272" s="3"/>
      <c r="M1272" s="3"/>
      <c r="N1272" s="3"/>
      <c r="O1272" s="3"/>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row>
    <row r="1273" spans="1:55" x14ac:dyDescent="0.25">
      <c r="A1273" s="1" t="str">
        <f>'Population Definitions'!$A$9</f>
        <v>18-64_females</v>
      </c>
      <c r="C1273" t="s">
        <v>34</v>
      </c>
      <c r="D1273" s="3"/>
      <c r="E1273" s="3">
        <v>0</v>
      </c>
      <c r="F1273" s="3"/>
      <c r="G1273" s="3"/>
      <c r="H1273" s="3"/>
      <c r="I1273" s="3"/>
      <c r="J1273" s="3"/>
      <c r="K1273" s="3"/>
      <c r="L1273" s="3"/>
      <c r="M1273" s="3"/>
      <c r="N1273" s="3"/>
      <c r="O1273" s="3"/>
      <c r="P1273" s="3"/>
      <c r="Q1273" s="3"/>
      <c r="R1273" s="3"/>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row>
    <row r="1274" spans="1:55" x14ac:dyDescent="0.25">
      <c r="A1274" s="1" t="str">
        <f>'Population Definitions'!$A$10</f>
        <v>65+_males</v>
      </c>
      <c r="C1274" t="s">
        <v>34</v>
      </c>
      <c r="D1274" s="3"/>
      <c r="E1274" s="3">
        <v>0</v>
      </c>
      <c r="F1274" s="3"/>
      <c r="G1274" s="3"/>
      <c r="H1274" s="3"/>
      <c r="I1274" s="3"/>
      <c r="J1274" s="3"/>
      <c r="K1274" s="3"/>
      <c r="L1274" s="3"/>
      <c r="M1274" s="3"/>
      <c r="N1274" s="3"/>
      <c r="O1274" s="3"/>
      <c r="P1274" s="3"/>
      <c r="Q1274" s="3"/>
      <c r="R1274" s="3"/>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row>
    <row r="1275" spans="1:55" x14ac:dyDescent="0.25">
      <c r="A1275" s="1" t="str">
        <f>'Population Definitions'!$A$11</f>
        <v>65+_females</v>
      </c>
      <c r="C1275" t="s">
        <v>34</v>
      </c>
      <c r="D1275" s="3"/>
      <c r="E1275" s="3">
        <v>0</v>
      </c>
      <c r="F1275" s="3"/>
      <c r="G1275" s="3"/>
      <c r="H1275" s="3"/>
      <c r="I1275" s="3"/>
      <c r="J1275" s="3"/>
      <c r="K1275" s="3"/>
      <c r="L1275" s="3"/>
      <c r="M1275" s="3"/>
      <c r="N1275" s="3"/>
      <c r="O1275" s="3"/>
      <c r="P1275" s="3"/>
      <c r="Q1275" s="3"/>
      <c r="R1275" s="3"/>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row>
    <row r="1276" spans="1:55" x14ac:dyDescent="0.25">
      <c r="A1276" s="1" t="str">
        <f>'Population Definitions'!$A$12</f>
        <v>Prisoners_males</v>
      </c>
      <c r="C1276" t="s">
        <v>34</v>
      </c>
      <c r="D1276" s="3"/>
      <c r="E1276" s="3">
        <v>0</v>
      </c>
      <c r="F1276" s="3"/>
      <c r="G1276" s="3"/>
      <c r="H1276" s="3"/>
      <c r="I1276" s="3"/>
      <c r="J1276" s="3"/>
      <c r="K1276" s="3"/>
      <c r="L1276" s="3"/>
      <c r="M1276" s="3"/>
      <c r="N1276" s="3"/>
      <c r="O1276" s="3"/>
      <c r="P1276" s="3"/>
      <c r="Q1276" s="3"/>
      <c r="R1276" s="3"/>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row>
    <row r="1277" spans="1:55" x14ac:dyDescent="0.25">
      <c r="A1277" s="1" t="str">
        <f>'Population Definitions'!$A$13</f>
        <v>Prisoners_females</v>
      </c>
      <c r="C1277" t="s">
        <v>34</v>
      </c>
      <c r="D1277" s="3"/>
      <c r="E1277" s="3">
        <v>0</v>
      </c>
      <c r="F1277" s="3"/>
      <c r="G1277" s="3"/>
      <c r="H1277" s="3"/>
      <c r="I1277" s="3"/>
      <c r="J1277" s="3"/>
      <c r="K1277" s="3"/>
      <c r="L1277" s="3"/>
      <c r="M1277" s="3"/>
      <c r="N1277" s="3"/>
      <c r="O1277" s="3"/>
      <c r="P1277" s="3"/>
      <c r="Q1277" s="3"/>
      <c r="R1277" s="3"/>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row>
    <row r="1278" spans="1:55" x14ac:dyDescent="0.25">
      <c r="A1278" s="1" t="str">
        <f>'Population Definitions'!$A$14</f>
        <v>Prisoners_PWID_males</v>
      </c>
      <c r="C1278" t="s">
        <v>34</v>
      </c>
      <c r="D1278" s="3"/>
      <c r="E1278" s="3">
        <v>0</v>
      </c>
      <c r="F1278" s="3"/>
      <c r="G1278" s="3"/>
      <c r="H1278" s="3"/>
      <c r="I1278" s="3"/>
      <c r="J1278" s="3"/>
      <c r="K1278" s="3"/>
      <c r="L1278" s="3"/>
      <c r="M1278" s="3"/>
      <c r="N1278" s="3"/>
      <c r="O1278" s="3"/>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row>
    <row r="1279" spans="1:55" x14ac:dyDescent="0.25">
      <c r="A1279" s="1" t="str">
        <f>'Population Definitions'!$A$15</f>
        <v>Prisoners_PWID_females</v>
      </c>
      <c r="C1279" t="s">
        <v>34</v>
      </c>
      <c r="D1279" s="3"/>
      <c r="E1279" s="3">
        <v>0</v>
      </c>
      <c r="F1279" s="3"/>
      <c r="G1279" s="3"/>
      <c r="H1279" s="3"/>
      <c r="I1279" s="3"/>
      <c r="J1279" s="3"/>
      <c r="K1279" s="3"/>
      <c r="L1279" s="3"/>
      <c r="M1279" s="3"/>
      <c r="N1279" s="3"/>
      <c r="O1279" s="3"/>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row>
    <row r="1281" spans="1:55" x14ac:dyDescent="0.25">
      <c r="A1281" s="1" t="s">
        <v>207</v>
      </c>
      <c r="B1281" s="1" t="s">
        <v>31</v>
      </c>
      <c r="C1281" s="1" t="s">
        <v>32</v>
      </c>
      <c r="D1281" s="1" t="s">
        <v>33</v>
      </c>
      <c r="E1281" s="1">
        <v>2000</v>
      </c>
      <c r="F1281" s="1">
        <v>2001</v>
      </c>
      <c r="G1281" s="1">
        <v>2002</v>
      </c>
      <c r="H1281" s="1">
        <v>2003</v>
      </c>
      <c r="I1281" s="1">
        <v>2004</v>
      </c>
      <c r="J1281" s="1">
        <v>2005</v>
      </c>
      <c r="K1281" s="1">
        <v>2006</v>
      </c>
      <c r="L1281" s="1">
        <v>2007</v>
      </c>
      <c r="M1281" s="1">
        <v>2008</v>
      </c>
      <c r="N1281" s="1">
        <v>2009</v>
      </c>
      <c r="O1281" s="1">
        <v>2010</v>
      </c>
      <c r="P1281" s="1">
        <v>2011</v>
      </c>
      <c r="Q1281" s="1">
        <v>2012</v>
      </c>
      <c r="R1281" s="1">
        <v>2013</v>
      </c>
      <c r="S1281" s="1">
        <v>2014</v>
      </c>
      <c r="T1281" s="1">
        <v>2015</v>
      </c>
      <c r="U1281" s="1">
        <v>2016</v>
      </c>
      <c r="V1281" s="1">
        <v>2017</v>
      </c>
      <c r="W1281" s="1">
        <v>2018</v>
      </c>
      <c r="X1281" s="1">
        <v>2019</v>
      </c>
      <c r="Y1281" s="1">
        <v>2020</v>
      </c>
      <c r="Z1281" s="1">
        <v>2021</v>
      </c>
      <c r="AA1281" s="1">
        <v>2022</v>
      </c>
      <c r="AB1281" s="1">
        <v>2023</v>
      </c>
      <c r="AC1281" s="1">
        <v>2024</v>
      </c>
      <c r="AD1281" s="1">
        <v>2025</v>
      </c>
      <c r="AE1281" s="1">
        <v>2026</v>
      </c>
      <c r="AF1281" s="1">
        <v>2027</v>
      </c>
      <c r="AG1281" s="1">
        <v>2028</v>
      </c>
      <c r="AH1281" s="1">
        <v>2029</v>
      </c>
      <c r="AI1281" s="1">
        <v>2030</v>
      </c>
      <c r="AJ1281" s="1">
        <v>2031</v>
      </c>
      <c r="AK1281" s="1">
        <v>2032</v>
      </c>
      <c r="AL1281" s="1">
        <v>2033</v>
      </c>
      <c r="AM1281" s="1">
        <v>2034</v>
      </c>
      <c r="AN1281" s="1">
        <v>2035</v>
      </c>
      <c r="AO1281" s="1">
        <v>2036</v>
      </c>
      <c r="AP1281" s="1">
        <v>2037</v>
      </c>
      <c r="AQ1281" s="1">
        <v>2038</v>
      </c>
      <c r="AR1281" s="1">
        <v>2039</v>
      </c>
      <c r="AS1281" s="1">
        <v>2040</v>
      </c>
      <c r="AT1281" s="1">
        <v>2041</v>
      </c>
      <c r="AU1281" s="1">
        <v>2042</v>
      </c>
      <c r="AV1281" s="1">
        <v>2043</v>
      </c>
      <c r="AW1281" s="1">
        <v>2044</v>
      </c>
      <c r="AX1281" s="1">
        <v>2045</v>
      </c>
      <c r="AY1281" s="1">
        <v>2046</v>
      </c>
      <c r="AZ1281" s="1">
        <v>2047</v>
      </c>
      <c r="BA1281" s="1">
        <v>2048</v>
      </c>
      <c r="BB1281" s="1">
        <v>2049</v>
      </c>
      <c r="BC1281" s="1">
        <v>2050</v>
      </c>
    </row>
    <row r="1282" spans="1:55" x14ac:dyDescent="0.25">
      <c r="A1282" s="1" t="str">
        <f>'Population Definitions'!$A$2</f>
        <v>PWID_males</v>
      </c>
      <c r="C1282" t="s">
        <v>34</v>
      </c>
      <c r="D1282" s="3"/>
      <c r="E1282" s="3">
        <v>0</v>
      </c>
      <c r="F1282" s="3"/>
      <c r="G1282" s="3"/>
      <c r="H1282" s="3"/>
      <c r="I1282" s="3"/>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row>
    <row r="1283" spans="1:55" x14ac:dyDescent="0.25">
      <c r="A1283" s="1" t="str">
        <f>'Population Definitions'!$A$3</f>
        <v>PWID_females</v>
      </c>
      <c r="C1283" t="s">
        <v>34</v>
      </c>
      <c r="D1283" s="3"/>
      <c r="E1283" s="3">
        <v>0</v>
      </c>
      <c r="F1283" s="3"/>
      <c r="G1283" s="3"/>
      <c r="H1283" s="3"/>
      <c r="I1283" s="3"/>
      <c r="J1283" s="3"/>
      <c r="K1283" s="3"/>
      <c r="L1283" s="3"/>
      <c r="M1283" s="3"/>
      <c r="N1283" s="3"/>
      <c r="O1283" s="3"/>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row>
    <row r="1284" spans="1:55" x14ac:dyDescent="0.25">
      <c r="A1284" s="1" t="str">
        <f>'Population Definitions'!$A$4</f>
        <v>0-9_males</v>
      </c>
      <c r="C1284" t="s">
        <v>34</v>
      </c>
      <c r="D1284" s="3"/>
      <c r="E1284" s="3">
        <v>0</v>
      </c>
      <c r="F1284" s="3"/>
      <c r="G1284" s="3"/>
      <c r="H1284" s="3"/>
      <c r="I1284" s="3"/>
      <c r="J1284" s="3"/>
      <c r="K1284" s="3"/>
      <c r="L1284" s="3"/>
      <c r="M1284" s="3"/>
      <c r="N1284" s="3"/>
      <c r="O1284" s="3"/>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row>
    <row r="1285" spans="1:55" x14ac:dyDescent="0.25">
      <c r="A1285" s="1" t="str">
        <f>'Population Definitions'!$A$5</f>
        <v>0-9_females</v>
      </c>
      <c r="C1285" t="s">
        <v>34</v>
      </c>
      <c r="D1285" s="3"/>
      <c r="E1285" s="3">
        <v>0</v>
      </c>
      <c r="F1285" s="3"/>
      <c r="G1285" s="3"/>
      <c r="H1285" s="3"/>
      <c r="I1285" s="3"/>
      <c r="J1285" s="3"/>
      <c r="K1285" s="3"/>
      <c r="L1285" s="3"/>
      <c r="M1285" s="3"/>
      <c r="N1285" s="3"/>
      <c r="O1285" s="3"/>
      <c r="P1285" s="3"/>
      <c r="Q1285" s="3"/>
      <c r="R1285" s="3"/>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row>
    <row r="1286" spans="1:55" x14ac:dyDescent="0.25">
      <c r="A1286" s="1" t="str">
        <f>'Population Definitions'!$A$6</f>
        <v>10-17_males</v>
      </c>
      <c r="C1286" t="s">
        <v>34</v>
      </c>
      <c r="D1286" s="3"/>
      <c r="E1286" s="3">
        <v>0</v>
      </c>
      <c r="F1286" s="3"/>
      <c r="G1286" s="3"/>
      <c r="H1286" s="3"/>
      <c r="I1286" s="3"/>
      <c r="J1286" s="3"/>
      <c r="K1286" s="3"/>
      <c r="L1286" s="3"/>
      <c r="M1286" s="3"/>
      <c r="N1286" s="3"/>
      <c r="O1286" s="3"/>
      <c r="P1286" s="3"/>
      <c r="Q1286" s="3"/>
      <c r="R1286" s="3"/>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row>
    <row r="1287" spans="1:55" x14ac:dyDescent="0.25">
      <c r="A1287" s="1" t="str">
        <f>'Population Definitions'!$A$7</f>
        <v>10-17_females</v>
      </c>
      <c r="C1287" t="s">
        <v>34</v>
      </c>
      <c r="D1287" s="3"/>
      <c r="E1287" s="3">
        <v>0</v>
      </c>
      <c r="F1287" s="3"/>
      <c r="G1287" s="3"/>
      <c r="H1287" s="3"/>
      <c r="I1287" s="3"/>
      <c r="J1287" s="3"/>
      <c r="K1287" s="3"/>
      <c r="L1287" s="3"/>
      <c r="M1287" s="3"/>
      <c r="N1287" s="3"/>
      <c r="O1287" s="3"/>
      <c r="P1287" s="3"/>
      <c r="Q1287" s="3"/>
      <c r="R1287" s="3"/>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row>
    <row r="1288" spans="1:55" x14ac:dyDescent="0.25">
      <c r="A1288" s="1" t="str">
        <f>'Population Definitions'!$A$8</f>
        <v>18-64_males</v>
      </c>
      <c r="C1288" t="s">
        <v>34</v>
      </c>
      <c r="D1288" s="3"/>
      <c r="E1288" s="3">
        <v>0</v>
      </c>
      <c r="F1288" s="3"/>
      <c r="G1288" s="3"/>
      <c r="H1288" s="3"/>
      <c r="I1288" s="3"/>
      <c r="J1288" s="3"/>
      <c r="K1288" s="3"/>
      <c r="L1288" s="3"/>
      <c r="M1288" s="3"/>
      <c r="N1288" s="3"/>
      <c r="O1288" s="3"/>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row>
    <row r="1289" spans="1:55" x14ac:dyDescent="0.25">
      <c r="A1289" s="1" t="str">
        <f>'Population Definitions'!$A$9</f>
        <v>18-64_females</v>
      </c>
      <c r="C1289" t="s">
        <v>34</v>
      </c>
      <c r="D1289" s="3"/>
      <c r="E1289" s="3">
        <v>0</v>
      </c>
      <c r="F1289" s="3"/>
      <c r="G1289" s="3"/>
      <c r="H1289" s="3"/>
      <c r="I1289" s="3"/>
      <c r="J1289" s="3"/>
      <c r="K1289" s="3"/>
      <c r="L1289" s="3"/>
      <c r="M1289" s="3"/>
      <c r="N1289" s="3"/>
      <c r="O1289" s="3"/>
      <c r="P1289" s="3"/>
      <c r="Q1289" s="3"/>
      <c r="R1289" s="3"/>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row>
    <row r="1290" spans="1:55" x14ac:dyDescent="0.25">
      <c r="A1290" s="1" t="str">
        <f>'Population Definitions'!$A$10</f>
        <v>65+_males</v>
      </c>
      <c r="C1290" t="s">
        <v>34</v>
      </c>
      <c r="D1290" s="3"/>
      <c r="E1290" s="3">
        <v>0</v>
      </c>
      <c r="F1290" s="3"/>
      <c r="G1290" s="3"/>
      <c r="H1290" s="3"/>
      <c r="I1290" s="3"/>
      <c r="J1290" s="3"/>
      <c r="K1290" s="3"/>
      <c r="L1290" s="3"/>
      <c r="M1290" s="3"/>
      <c r="N1290" s="3"/>
      <c r="O1290" s="3"/>
      <c r="P1290" s="3"/>
      <c r="Q1290" s="3"/>
      <c r="R1290" s="3"/>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row>
    <row r="1291" spans="1:55" x14ac:dyDescent="0.25">
      <c r="A1291" s="1" t="str">
        <f>'Population Definitions'!$A$11</f>
        <v>65+_females</v>
      </c>
      <c r="C1291" t="s">
        <v>34</v>
      </c>
      <c r="D1291" s="3"/>
      <c r="E1291" s="3">
        <v>0</v>
      </c>
      <c r="F1291" s="3"/>
      <c r="G1291" s="3"/>
      <c r="H1291" s="3"/>
      <c r="I1291" s="3"/>
      <c r="J1291" s="3"/>
      <c r="K1291" s="3"/>
      <c r="L1291" s="3"/>
      <c r="M1291" s="3"/>
      <c r="N1291" s="3"/>
      <c r="O1291" s="3"/>
      <c r="P1291" s="3"/>
      <c r="Q1291" s="3"/>
      <c r="R1291" s="3"/>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row>
    <row r="1292" spans="1:55" x14ac:dyDescent="0.25">
      <c r="A1292" s="1" t="str">
        <f>'Population Definitions'!$A$12</f>
        <v>Prisoners_males</v>
      </c>
      <c r="C1292" t="s">
        <v>34</v>
      </c>
      <c r="D1292" s="3"/>
      <c r="E1292" s="3">
        <v>0</v>
      </c>
      <c r="F1292" s="3"/>
      <c r="G1292" s="3"/>
      <c r="H1292" s="3"/>
      <c r="I1292" s="3"/>
      <c r="J1292" s="3"/>
      <c r="K1292" s="3"/>
      <c r="L1292" s="3"/>
      <c r="M1292" s="3"/>
      <c r="N1292" s="3"/>
      <c r="O1292" s="3"/>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row>
    <row r="1293" spans="1:55" x14ac:dyDescent="0.25">
      <c r="A1293" s="1" t="str">
        <f>'Population Definitions'!$A$13</f>
        <v>Prisoners_females</v>
      </c>
      <c r="C1293" t="s">
        <v>34</v>
      </c>
      <c r="D1293" s="3"/>
      <c r="E1293" s="3">
        <v>0</v>
      </c>
      <c r="F1293" s="3"/>
      <c r="G1293" s="3"/>
      <c r="H1293" s="3"/>
      <c r="I1293" s="3"/>
      <c r="J1293" s="3"/>
      <c r="K1293" s="3"/>
      <c r="L1293" s="3"/>
      <c r="M1293" s="3"/>
      <c r="N1293" s="3"/>
      <c r="O1293" s="3"/>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row>
    <row r="1294" spans="1:55" x14ac:dyDescent="0.25">
      <c r="A1294" s="1" t="str">
        <f>'Population Definitions'!$A$14</f>
        <v>Prisoners_PWID_males</v>
      </c>
      <c r="C1294" t="s">
        <v>34</v>
      </c>
      <c r="D1294" s="3"/>
      <c r="E1294" s="3">
        <v>0</v>
      </c>
      <c r="F1294" s="3"/>
      <c r="G1294" s="3"/>
      <c r="H1294" s="3"/>
      <c r="I1294" s="3"/>
      <c r="J1294" s="3"/>
      <c r="K1294" s="3"/>
      <c r="L1294" s="3"/>
      <c r="M1294" s="3"/>
      <c r="N1294" s="3"/>
      <c r="O1294" s="3"/>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row>
    <row r="1295" spans="1:55" x14ac:dyDescent="0.25">
      <c r="A1295" s="1" t="str">
        <f>'Population Definitions'!$A$15</f>
        <v>Prisoners_PWID_females</v>
      </c>
      <c r="C1295" t="s">
        <v>34</v>
      </c>
      <c r="D1295" s="3"/>
      <c r="E1295" s="3">
        <v>0</v>
      </c>
      <c r="F1295" s="3"/>
      <c r="G1295" s="3"/>
      <c r="H1295" s="3"/>
      <c r="I1295" s="3"/>
      <c r="J1295" s="3"/>
      <c r="K1295" s="3"/>
      <c r="L1295" s="3"/>
      <c r="M1295" s="3"/>
      <c r="N1295" s="3"/>
      <c r="O1295" s="3"/>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row>
    <row r="1297" spans="1:55" x14ac:dyDescent="0.25">
      <c r="A1297" s="1" t="s">
        <v>208</v>
      </c>
      <c r="B1297" s="1" t="s">
        <v>31</v>
      </c>
      <c r="C1297" s="1" t="s">
        <v>32</v>
      </c>
      <c r="D1297" s="1" t="s">
        <v>33</v>
      </c>
      <c r="E1297" s="1">
        <v>2000</v>
      </c>
      <c r="F1297" s="1">
        <v>2001</v>
      </c>
      <c r="G1297" s="1">
        <v>2002</v>
      </c>
      <c r="H1297" s="1">
        <v>2003</v>
      </c>
      <c r="I1297" s="1">
        <v>2004</v>
      </c>
      <c r="J1297" s="1">
        <v>2005</v>
      </c>
      <c r="K1297" s="1">
        <v>2006</v>
      </c>
      <c r="L1297" s="1">
        <v>2007</v>
      </c>
      <c r="M1297" s="1">
        <v>2008</v>
      </c>
      <c r="N1297" s="1">
        <v>2009</v>
      </c>
      <c r="O1297" s="1">
        <v>2010</v>
      </c>
      <c r="P1297" s="1">
        <v>2011</v>
      </c>
      <c r="Q1297" s="1">
        <v>2012</v>
      </c>
      <c r="R1297" s="1">
        <v>2013</v>
      </c>
      <c r="S1297" s="1">
        <v>2014</v>
      </c>
      <c r="T1297" s="1">
        <v>2015</v>
      </c>
      <c r="U1297" s="1">
        <v>2016</v>
      </c>
      <c r="V1297" s="1">
        <v>2017</v>
      </c>
      <c r="W1297" s="1">
        <v>2018</v>
      </c>
      <c r="X1297" s="1">
        <v>2019</v>
      </c>
      <c r="Y1297" s="1">
        <v>2020</v>
      </c>
      <c r="Z1297" s="1">
        <v>2021</v>
      </c>
      <c r="AA1297" s="1">
        <v>2022</v>
      </c>
      <c r="AB1297" s="1">
        <v>2023</v>
      </c>
      <c r="AC1297" s="1">
        <v>2024</v>
      </c>
      <c r="AD1297" s="1">
        <v>2025</v>
      </c>
      <c r="AE1297" s="1">
        <v>2026</v>
      </c>
      <c r="AF1297" s="1">
        <v>2027</v>
      </c>
      <c r="AG1297" s="1">
        <v>2028</v>
      </c>
      <c r="AH1297" s="1">
        <v>2029</v>
      </c>
      <c r="AI1297" s="1">
        <v>2030</v>
      </c>
      <c r="AJ1297" s="1">
        <v>2031</v>
      </c>
      <c r="AK1297" s="1">
        <v>2032</v>
      </c>
      <c r="AL1297" s="1">
        <v>2033</v>
      </c>
      <c r="AM1297" s="1">
        <v>2034</v>
      </c>
      <c r="AN1297" s="1">
        <v>2035</v>
      </c>
      <c r="AO1297" s="1">
        <v>2036</v>
      </c>
      <c r="AP1297" s="1">
        <v>2037</v>
      </c>
      <c r="AQ1297" s="1">
        <v>2038</v>
      </c>
      <c r="AR1297" s="1">
        <v>2039</v>
      </c>
      <c r="AS1297" s="1">
        <v>2040</v>
      </c>
      <c r="AT1297" s="1">
        <v>2041</v>
      </c>
      <c r="AU1297" s="1">
        <v>2042</v>
      </c>
      <c r="AV1297" s="1">
        <v>2043</v>
      </c>
      <c r="AW1297" s="1">
        <v>2044</v>
      </c>
      <c r="AX1297" s="1">
        <v>2045</v>
      </c>
      <c r="AY1297" s="1">
        <v>2046</v>
      </c>
      <c r="AZ1297" s="1">
        <v>2047</v>
      </c>
      <c r="BA1297" s="1">
        <v>2048</v>
      </c>
      <c r="BB1297" s="1">
        <v>2049</v>
      </c>
      <c r="BC1297" s="1">
        <v>2050</v>
      </c>
    </row>
    <row r="1298" spans="1:55" x14ac:dyDescent="0.25">
      <c r="A1298" s="1" t="str">
        <f>'Population Definitions'!$A$2</f>
        <v>PWID_males</v>
      </c>
      <c r="C1298" t="s">
        <v>34</v>
      </c>
      <c r="D1298" s="3"/>
      <c r="E1298" s="3">
        <v>0</v>
      </c>
      <c r="F1298" s="3"/>
      <c r="G1298" s="3"/>
      <c r="H1298" s="3"/>
      <c r="I1298" s="3"/>
      <c r="J1298" s="3"/>
      <c r="K1298" s="3"/>
      <c r="L1298" s="3"/>
      <c r="M1298" s="3"/>
      <c r="N1298" s="3"/>
      <c r="O1298" s="3"/>
      <c r="P1298" s="3"/>
      <c r="Q1298" s="3"/>
      <c r="R1298" s="3"/>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row>
    <row r="1299" spans="1:55" x14ac:dyDescent="0.25">
      <c r="A1299" s="1" t="str">
        <f>'Population Definitions'!$A$3</f>
        <v>PWID_females</v>
      </c>
      <c r="C1299" t="s">
        <v>34</v>
      </c>
      <c r="D1299" s="3"/>
      <c r="E1299" s="3">
        <v>0</v>
      </c>
      <c r="F1299" s="3"/>
      <c r="G1299" s="3"/>
      <c r="H1299" s="3"/>
      <c r="I1299" s="3"/>
      <c r="J1299" s="3"/>
      <c r="K1299" s="3"/>
      <c r="L1299" s="3"/>
      <c r="M1299" s="3"/>
      <c r="N1299" s="3"/>
      <c r="O1299" s="3"/>
      <c r="P1299" s="3"/>
      <c r="Q1299" s="3"/>
      <c r="R1299" s="3"/>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row>
    <row r="1300" spans="1:55" x14ac:dyDescent="0.25">
      <c r="A1300" s="1" t="str">
        <f>'Population Definitions'!$A$4</f>
        <v>0-9_males</v>
      </c>
      <c r="C1300" t="s">
        <v>34</v>
      </c>
      <c r="D1300" s="3"/>
      <c r="E1300" s="3">
        <v>0</v>
      </c>
      <c r="F1300" s="3"/>
      <c r="G1300" s="3"/>
      <c r="H1300" s="3"/>
      <c r="I1300" s="3"/>
      <c r="J1300" s="3"/>
      <c r="K1300" s="3"/>
      <c r="L1300" s="3"/>
      <c r="M1300" s="3"/>
      <c r="N1300" s="3"/>
      <c r="O1300" s="3"/>
      <c r="P1300" s="3"/>
      <c r="Q1300" s="3"/>
      <c r="R1300" s="3"/>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row>
    <row r="1301" spans="1:55" x14ac:dyDescent="0.25">
      <c r="A1301" s="1" t="str">
        <f>'Population Definitions'!$A$5</f>
        <v>0-9_females</v>
      </c>
      <c r="C1301" t="s">
        <v>34</v>
      </c>
      <c r="D1301" s="3"/>
      <c r="E1301" s="3">
        <v>0</v>
      </c>
      <c r="F1301" s="3"/>
      <c r="G1301" s="3"/>
      <c r="H1301" s="3"/>
      <c r="I1301" s="3"/>
      <c r="J1301" s="3"/>
      <c r="K1301" s="3"/>
      <c r="L1301" s="3"/>
      <c r="M1301" s="3"/>
      <c r="N1301" s="3"/>
      <c r="O1301" s="3"/>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row>
    <row r="1302" spans="1:55" x14ac:dyDescent="0.25">
      <c r="A1302" s="1" t="str">
        <f>'Population Definitions'!$A$6</f>
        <v>10-17_males</v>
      </c>
      <c r="C1302" t="s">
        <v>34</v>
      </c>
      <c r="D1302" s="3"/>
      <c r="E1302" s="3">
        <v>0</v>
      </c>
      <c r="F1302" s="3"/>
      <c r="G1302" s="3"/>
      <c r="H1302" s="3"/>
      <c r="I1302" s="3"/>
      <c r="J1302" s="3"/>
      <c r="K1302" s="3"/>
      <c r="L1302" s="3"/>
      <c r="M1302" s="3"/>
      <c r="N1302" s="3"/>
      <c r="O1302" s="3"/>
      <c r="P1302" s="3"/>
      <c r="Q1302" s="3"/>
      <c r="R1302" s="3"/>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row>
    <row r="1303" spans="1:55" x14ac:dyDescent="0.25">
      <c r="A1303" s="1" t="str">
        <f>'Population Definitions'!$A$7</f>
        <v>10-17_females</v>
      </c>
      <c r="C1303" t="s">
        <v>34</v>
      </c>
      <c r="D1303" s="3"/>
      <c r="E1303" s="3">
        <v>0</v>
      </c>
      <c r="F1303" s="3"/>
      <c r="G1303" s="3"/>
      <c r="H1303" s="3"/>
      <c r="I1303" s="3"/>
      <c r="J1303" s="3"/>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row>
    <row r="1304" spans="1:55" x14ac:dyDescent="0.25">
      <c r="A1304" s="1" t="str">
        <f>'Population Definitions'!$A$8</f>
        <v>18-64_males</v>
      </c>
      <c r="C1304" t="s">
        <v>34</v>
      </c>
      <c r="D1304" s="3"/>
      <c r="E1304" s="3">
        <v>0</v>
      </c>
      <c r="F1304" s="3"/>
      <c r="G1304" s="3"/>
      <c r="H1304" s="3"/>
      <c r="I1304" s="3"/>
      <c r="J1304" s="3"/>
      <c r="K1304" s="3"/>
      <c r="L1304" s="3"/>
      <c r="M1304" s="3"/>
      <c r="N1304" s="3"/>
      <c r="O1304" s="3"/>
      <c r="P1304" s="3"/>
      <c r="Q1304" s="3"/>
      <c r="R1304" s="3"/>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row>
    <row r="1305" spans="1:55" x14ac:dyDescent="0.25">
      <c r="A1305" s="1" t="str">
        <f>'Population Definitions'!$A$9</f>
        <v>18-64_females</v>
      </c>
      <c r="C1305" t="s">
        <v>34</v>
      </c>
      <c r="D1305" s="3"/>
      <c r="E1305" s="3">
        <v>0</v>
      </c>
      <c r="F1305" s="3"/>
      <c r="G1305" s="3"/>
      <c r="H1305" s="3"/>
      <c r="I1305" s="3"/>
      <c r="J1305" s="3"/>
      <c r="K1305" s="3"/>
      <c r="L1305" s="3"/>
      <c r="M1305" s="3"/>
      <c r="N1305" s="3"/>
      <c r="O1305" s="3"/>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row>
    <row r="1306" spans="1:55" x14ac:dyDescent="0.25">
      <c r="A1306" s="1" t="str">
        <f>'Population Definitions'!$A$10</f>
        <v>65+_males</v>
      </c>
      <c r="C1306" t="s">
        <v>34</v>
      </c>
      <c r="D1306" s="3"/>
      <c r="E1306" s="3">
        <v>0</v>
      </c>
      <c r="F1306" s="3"/>
      <c r="G1306" s="3"/>
      <c r="H1306" s="3"/>
      <c r="I1306" s="3"/>
      <c r="J1306" s="3"/>
      <c r="K1306" s="3"/>
      <c r="L1306" s="3"/>
      <c r="M1306" s="3"/>
      <c r="N1306" s="3"/>
      <c r="O1306" s="3"/>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row>
    <row r="1307" spans="1:55" x14ac:dyDescent="0.25">
      <c r="A1307" s="1" t="str">
        <f>'Population Definitions'!$A$11</f>
        <v>65+_females</v>
      </c>
      <c r="C1307" t="s">
        <v>34</v>
      </c>
      <c r="D1307" s="3"/>
      <c r="E1307" s="3">
        <v>0</v>
      </c>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row>
    <row r="1308" spans="1:55" x14ac:dyDescent="0.25">
      <c r="A1308" s="1" t="str">
        <f>'Population Definitions'!$A$12</f>
        <v>Prisoners_males</v>
      </c>
      <c r="C1308" t="s">
        <v>34</v>
      </c>
      <c r="D1308" s="3"/>
      <c r="E1308" s="3">
        <v>0</v>
      </c>
      <c r="F1308" s="3"/>
      <c r="G1308" s="3"/>
      <c r="H1308" s="3"/>
      <c r="I1308" s="3"/>
      <c r="J1308" s="3"/>
      <c r="K1308" s="3"/>
      <c r="L1308" s="3"/>
      <c r="M1308" s="3"/>
      <c r="N1308" s="3"/>
      <c r="O1308" s="3"/>
      <c r="P1308" s="3"/>
      <c r="Q1308" s="3"/>
      <c r="R1308" s="3"/>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row>
    <row r="1309" spans="1:55" x14ac:dyDescent="0.25">
      <c r="A1309" s="1" t="str">
        <f>'Population Definitions'!$A$13</f>
        <v>Prisoners_females</v>
      </c>
      <c r="C1309" t="s">
        <v>34</v>
      </c>
      <c r="D1309" s="3"/>
      <c r="E1309" s="3">
        <v>0</v>
      </c>
      <c r="F1309" s="3"/>
      <c r="G1309" s="3"/>
      <c r="H1309" s="3"/>
      <c r="I1309" s="3"/>
      <c r="J1309" s="3"/>
      <c r="K1309" s="3"/>
      <c r="L1309" s="3"/>
      <c r="M1309" s="3"/>
      <c r="N1309" s="3"/>
      <c r="O1309" s="3"/>
      <c r="P1309" s="3"/>
      <c r="Q1309" s="3"/>
      <c r="R1309" s="3"/>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row>
    <row r="1310" spans="1:55" x14ac:dyDescent="0.25">
      <c r="A1310" s="1" t="str">
        <f>'Population Definitions'!$A$14</f>
        <v>Prisoners_PWID_males</v>
      </c>
      <c r="C1310" t="s">
        <v>34</v>
      </c>
      <c r="D1310" s="3"/>
      <c r="E1310" s="3">
        <v>0</v>
      </c>
      <c r="F1310" s="3"/>
      <c r="G1310" s="3"/>
      <c r="H1310" s="3"/>
      <c r="I1310" s="3"/>
      <c r="J1310" s="3"/>
      <c r="K1310" s="3"/>
      <c r="L1310" s="3"/>
      <c r="M1310" s="3"/>
      <c r="N1310" s="3"/>
      <c r="O1310" s="3"/>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row>
    <row r="1311" spans="1:55" x14ac:dyDescent="0.25">
      <c r="A1311" s="1" t="str">
        <f>'Population Definitions'!$A$15</f>
        <v>Prisoners_PWID_females</v>
      </c>
      <c r="C1311" t="s">
        <v>34</v>
      </c>
      <c r="D1311" s="3"/>
      <c r="E1311" s="3">
        <v>0</v>
      </c>
      <c r="F1311" s="3"/>
      <c r="G1311" s="3"/>
      <c r="H1311" s="3"/>
      <c r="I1311" s="3"/>
      <c r="J1311" s="3"/>
      <c r="K1311" s="3"/>
      <c r="L1311" s="3"/>
      <c r="M1311" s="3"/>
      <c r="N1311" s="3"/>
      <c r="O1311" s="3"/>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row>
    <row r="1313" spans="1:55" x14ac:dyDescent="0.25">
      <c r="A1313" s="1" t="s">
        <v>209</v>
      </c>
      <c r="B1313" s="1" t="s">
        <v>31</v>
      </c>
      <c r="C1313" s="1" t="s">
        <v>32</v>
      </c>
      <c r="D1313" s="1" t="s">
        <v>33</v>
      </c>
      <c r="E1313" s="1">
        <v>2000</v>
      </c>
      <c r="F1313" s="1">
        <v>2001</v>
      </c>
      <c r="G1313" s="1">
        <v>2002</v>
      </c>
      <c r="H1313" s="1">
        <v>2003</v>
      </c>
      <c r="I1313" s="1">
        <v>2004</v>
      </c>
      <c r="J1313" s="1">
        <v>2005</v>
      </c>
      <c r="K1313" s="1">
        <v>2006</v>
      </c>
      <c r="L1313" s="1">
        <v>2007</v>
      </c>
      <c r="M1313" s="1">
        <v>2008</v>
      </c>
      <c r="N1313" s="1">
        <v>2009</v>
      </c>
      <c r="O1313" s="1">
        <v>2010</v>
      </c>
      <c r="P1313" s="1">
        <v>2011</v>
      </c>
      <c r="Q1313" s="1">
        <v>2012</v>
      </c>
      <c r="R1313" s="1">
        <v>2013</v>
      </c>
      <c r="S1313" s="1">
        <v>2014</v>
      </c>
      <c r="T1313" s="1">
        <v>2015</v>
      </c>
      <c r="U1313" s="1">
        <v>2016</v>
      </c>
      <c r="V1313" s="1">
        <v>2017</v>
      </c>
      <c r="W1313" s="1">
        <v>2018</v>
      </c>
      <c r="X1313" s="1">
        <v>2019</v>
      </c>
      <c r="Y1313" s="1">
        <v>2020</v>
      </c>
      <c r="Z1313" s="1">
        <v>2021</v>
      </c>
      <c r="AA1313" s="1">
        <v>2022</v>
      </c>
      <c r="AB1313" s="1">
        <v>2023</v>
      </c>
      <c r="AC1313" s="1">
        <v>2024</v>
      </c>
      <c r="AD1313" s="1">
        <v>2025</v>
      </c>
      <c r="AE1313" s="1">
        <v>2026</v>
      </c>
      <c r="AF1313" s="1">
        <v>2027</v>
      </c>
      <c r="AG1313" s="1">
        <v>2028</v>
      </c>
      <c r="AH1313" s="1">
        <v>2029</v>
      </c>
      <c r="AI1313" s="1">
        <v>2030</v>
      </c>
      <c r="AJ1313" s="1">
        <v>2031</v>
      </c>
      <c r="AK1313" s="1">
        <v>2032</v>
      </c>
      <c r="AL1313" s="1">
        <v>2033</v>
      </c>
      <c r="AM1313" s="1">
        <v>2034</v>
      </c>
      <c r="AN1313" s="1">
        <v>2035</v>
      </c>
      <c r="AO1313" s="1">
        <v>2036</v>
      </c>
      <c r="AP1313" s="1">
        <v>2037</v>
      </c>
      <c r="AQ1313" s="1">
        <v>2038</v>
      </c>
      <c r="AR1313" s="1">
        <v>2039</v>
      </c>
      <c r="AS1313" s="1">
        <v>2040</v>
      </c>
      <c r="AT1313" s="1">
        <v>2041</v>
      </c>
      <c r="AU1313" s="1">
        <v>2042</v>
      </c>
      <c r="AV1313" s="1">
        <v>2043</v>
      </c>
      <c r="AW1313" s="1">
        <v>2044</v>
      </c>
      <c r="AX1313" s="1">
        <v>2045</v>
      </c>
      <c r="AY1313" s="1">
        <v>2046</v>
      </c>
      <c r="AZ1313" s="1">
        <v>2047</v>
      </c>
      <c r="BA1313" s="1">
        <v>2048</v>
      </c>
      <c r="BB1313" s="1">
        <v>2049</v>
      </c>
      <c r="BC1313" s="1">
        <v>2050</v>
      </c>
    </row>
    <row r="1314" spans="1:55" x14ac:dyDescent="0.25">
      <c r="A1314" s="1" t="str">
        <f>'Population Definitions'!$A$2</f>
        <v>PWID_males</v>
      </c>
      <c r="C1314" t="s">
        <v>34</v>
      </c>
      <c r="D1314" s="3"/>
      <c r="E1314" s="3">
        <v>0</v>
      </c>
      <c r="F1314" s="3"/>
      <c r="G1314" s="3"/>
      <c r="H1314" s="3"/>
      <c r="I1314" s="3"/>
      <c r="J1314" s="3"/>
      <c r="K1314" s="3"/>
      <c r="L1314" s="3"/>
      <c r="M1314" s="3"/>
      <c r="N1314" s="3"/>
      <c r="O1314" s="3"/>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row>
    <row r="1315" spans="1:55" x14ac:dyDescent="0.25">
      <c r="A1315" s="1" t="str">
        <f>'Population Definitions'!$A$3</f>
        <v>PWID_females</v>
      </c>
      <c r="C1315" t="s">
        <v>34</v>
      </c>
      <c r="D1315" s="3"/>
      <c r="E1315" s="3">
        <v>0</v>
      </c>
      <c r="F1315" s="3"/>
      <c r="G1315" s="3"/>
      <c r="H1315" s="3"/>
      <c r="I1315" s="3"/>
      <c r="J1315" s="3"/>
      <c r="K1315" s="3"/>
      <c r="L1315" s="3"/>
      <c r="M1315" s="3"/>
      <c r="N1315" s="3"/>
      <c r="O1315" s="3"/>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row>
    <row r="1316" spans="1:55" x14ac:dyDescent="0.25">
      <c r="A1316" s="1" t="str">
        <f>'Population Definitions'!$A$4</f>
        <v>0-9_males</v>
      </c>
      <c r="C1316" t="s">
        <v>34</v>
      </c>
      <c r="D1316" s="3"/>
      <c r="E1316" s="3">
        <v>0</v>
      </c>
      <c r="F1316" s="3"/>
      <c r="G1316" s="3"/>
      <c r="H1316" s="3"/>
      <c r="I1316" s="3"/>
      <c r="J1316" s="3"/>
      <c r="K1316" s="3"/>
      <c r="L1316" s="3"/>
      <c r="M1316" s="3"/>
      <c r="N1316" s="3"/>
      <c r="O1316" s="3"/>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row>
    <row r="1317" spans="1:55" x14ac:dyDescent="0.25">
      <c r="A1317" s="1" t="str">
        <f>'Population Definitions'!$A$5</f>
        <v>0-9_females</v>
      </c>
      <c r="C1317" t="s">
        <v>34</v>
      </c>
      <c r="D1317" s="3"/>
      <c r="E1317" s="3">
        <v>0</v>
      </c>
      <c r="F1317" s="3"/>
      <c r="G1317" s="3"/>
      <c r="H1317" s="3"/>
      <c r="I1317" s="3"/>
      <c r="J1317" s="3"/>
      <c r="K1317" s="3"/>
      <c r="L1317" s="3"/>
      <c r="M1317" s="3"/>
      <c r="N1317" s="3"/>
      <c r="O1317" s="3"/>
      <c r="P1317" s="3"/>
      <c r="Q1317" s="3"/>
      <c r="R1317" s="3"/>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row>
    <row r="1318" spans="1:55" x14ac:dyDescent="0.25">
      <c r="A1318" s="1" t="str">
        <f>'Population Definitions'!$A$6</f>
        <v>10-17_males</v>
      </c>
      <c r="C1318" t="s">
        <v>34</v>
      </c>
      <c r="D1318" s="3"/>
      <c r="E1318" s="3">
        <v>0</v>
      </c>
      <c r="F1318" s="3"/>
      <c r="G1318" s="3"/>
      <c r="H1318" s="3"/>
      <c r="I1318" s="3"/>
      <c r="J1318" s="3"/>
      <c r="K1318" s="3"/>
      <c r="L1318" s="3"/>
      <c r="M1318" s="3"/>
      <c r="N1318" s="3"/>
      <c r="O1318" s="3"/>
      <c r="P1318" s="3"/>
      <c r="Q1318" s="3"/>
      <c r="R1318" s="3"/>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row>
    <row r="1319" spans="1:55" x14ac:dyDescent="0.25">
      <c r="A1319" s="1" t="str">
        <f>'Population Definitions'!$A$7</f>
        <v>10-17_females</v>
      </c>
      <c r="C1319" t="s">
        <v>34</v>
      </c>
      <c r="D1319" s="3"/>
      <c r="E1319" s="3">
        <v>0</v>
      </c>
      <c r="F1319" s="3"/>
      <c r="G1319" s="3"/>
      <c r="H1319" s="3"/>
      <c r="I1319" s="3"/>
      <c r="J1319" s="3"/>
      <c r="K1319" s="3"/>
      <c r="L1319" s="3"/>
      <c r="M1319" s="3"/>
      <c r="N1319" s="3"/>
      <c r="O1319" s="3"/>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row>
    <row r="1320" spans="1:55" x14ac:dyDescent="0.25">
      <c r="A1320" s="1" t="str">
        <f>'Population Definitions'!$A$8</f>
        <v>18-64_males</v>
      </c>
      <c r="C1320" t="s">
        <v>34</v>
      </c>
      <c r="D1320" s="3"/>
      <c r="E1320" s="3">
        <v>0</v>
      </c>
      <c r="F1320" s="3"/>
      <c r="G1320" s="3"/>
      <c r="H1320" s="3"/>
      <c r="I1320" s="3"/>
      <c r="J1320" s="3"/>
      <c r="K1320" s="3"/>
      <c r="L1320" s="3"/>
      <c r="M1320" s="3"/>
      <c r="N1320" s="3"/>
      <c r="O1320" s="3"/>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row>
    <row r="1321" spans="1:55" x14ac:dyDescent="0.25">
      <c r="A1321" s="1" t="str">
        <f>'Population Definitions'!$A$9</f>
        <v>18-64_females</v>
      </c>
      <c r="C1321" t="s">
        <v>34</v>
      </c>
      <c r="D1321" s="3"/>
      <c r="E1321" s="3">
        <v>0</v>
      </c>
      <c r="F1321" s="3"/>
      <c r="G1321" s="3"/>
      <c r="H1321" s="3"/>
      <c r="I1321" s="3"/>
      <c r="J1321" s="3"/>
      <c r="K1321" s="3"/>
      <c r="L1321" s="3"/>
      <c r="M1321" s="3"/>
      <c r="N1321" s="3"/>
      <c r="O1321" s="3"/>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row>
    <row r="1322" spans="1:55" x14ac:dyDescent="0.25">
      <c r="A1322" s="1" t="str">
        <f>'Population Definitions'!$A$10</f>
        <v>65+_males</v>
      </c>
      <c r="C1322" t="s">
        <v>34</v>
      </c>
      <c r="D1322" s="3"/>
      <c r="E1322" s="3">
        <v>0</v>
      </c>
      <c r="F1322" s="3"/>
      <c r="G1322" s="3"/>
      <c r="H1322" s="3"/>
      <c r="I1322" s="3"/>
      <c r="J1322" s="3"/>
      <c r="K1322" s="3"/>
      <c r="L1322" s="3"/>
      <c r="M1322" s="3"/>
      <c r="N1322" s="3"/>
      <c r="O1322" s="3"/>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row>
    <row r="1323" spans="1:55" x14ac:dyDescent="0.25">
      <c r="A1323" s="1" t="str">
        <f>'Population Definitions'!$A$11</f>
        <v>65+_females</v>
      </c>
      <c r="C1323" t="s">
        <v>34</v>
      </c>
      <c r="D1323" s="3"/>
      <c r="E1323" s="3">
        <v>0</v>
      </c>
      <c r="F1323" s="3"/>
      <c r="G1323" s="3"/>
      <c r="H1323" s="3"/>
      <c r="I1323" s="3"/>
      <c r="J1323" s="3"/>
      <c r="K1323" s="3"/>
      <c r="L1323" s="3"/>
      <c r="M1323" s="3"/>
      <c r="N1323" s="3"/>
      <c r="O1323" s="3"/>
      <c r="P1323" s="3"/>
      <c r="Q1323" s="3"/>
      <c r="R1323" s="3"/>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row>
    <row r="1324" spans="1:55" x14ac:dyDescent="0.25">
      <c r="A1324" s="1" t="str">
        <f>'Population Definitions'!$A$12</f>
        <v>Prisoners_males</v>
      </c>
      <c r="C1324" t="s">
        <v>34</v>
      </c>
      <c r="D1324" s="3"/>
      <c r="E1324" s="3">
        <v>0</v>
      </c>
      <c r="F1324" s="3"/>
      <c r="G1324" s="3"/>
      <c r="H1324" s="3"/>
      <c r="I1324" s="3"/>
      <c r="J1324" s="3"/>
      <c r="K1324" s="3"/>
      <c r="L1324" s="3"/>
      <c r="M1324" s="3"/>
      <c r="N1324" s="3"/>
      <c r="O1324" s="3"/>
      <c r="P1324" s="3"/>
      <c r="Q1324" s="3"/>
      <c r="R1324" s="3"/>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row>
    <row r="1325" spans="1:55" x14ac:dyDescent="0.25">
      <c r="A1325" s="1" t="str">
        <f>'Population Definitions'!$A$13</f>
        <v>Prisoners_females</v>
      </c>
      <c r="C1325" t="s">
        <v>34</v>
      </c>
      <c r="D1325" s="3"/>
      <c r="E1325" s="3">
        <v>0</v>
      </c>
      <c r="F1325" s="3"/>
      <c r="G1325" s="3"/>
      <c r="H1325" s="3"/>
      <c r="I1325" s="3"/>
      <c r="J1325" s="3"/>
      <c r="K1325" s="3"/>
      <c r="L1325" s="3"/>
      <c r="M1325" s="3"/>
      <c r="N1325" s="3"/>
      <c r="O1325" s="3"/>
      <c r="P1325" s="3"/>
      <c r="Q1325" s="3"/>
      <c r="R1325" s="3"/>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row>
    <row r="1326" spans="1:55" x14ac:dyDescent="0.25">
      <c r="A1326" s="1" t="str">
        <f>'Population Definitions'!$A$14</f>
        <v>Prisoners_PWID_males</v>
      </c>
      <c r="C1326" t="s">
        <v>34</v>
      </c>
      <c r="D1326" s="3"/>
      <c r="E1326" s="3">
        <v>0</v>
      </c>
      <c r="F1326" s="3"/>
      <c r="G1326" s="3"/>
      <c r="H1326" s="3"/>
      <c r="I1326" s="3"/>
      <c r="J1326" s="3"/>
      <c r="K1326" s="3"/>
      <c r="L1326" s="3"/>
      <c r="M1326" s="3"/>
      <c r="N1326" s="3"/>
      <c r="O1326" s="3"/>
      <c r="P1326" s="3"/>
      <c r="Q1326" s="3"/>
      <c r="R1326" s="3"/>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row>
    <row r="1327" spans="1:55" x14ac:dyDescent="0.25">
      <c r="A1327" s="1" t="str">
        <f>'Population Definitions'!$A$15</f>
        <v>Prisoners_PWID_females</v>
      </c>
      <c r="C1327" t="s">
        <v>34</v>
      </c>
      <c r="D1327" s="3"/>
      <c r="E1327" s="3">
        <v>0</v>
      </c>
      <c r="F1327" s="3"/>
      <c r="G1327" s="3"/>
      <c r="H1327" s="3"/>
      <c r="I1327" s="3"/>
      <c r="J1327" s="3"/>
      <c r="K1327" s="3"/>
      <c r="L1327" s="3"/>
      <c r="M1327" s="3"/>
      <c r="N1327" s="3"/>
      <c r="O1327" s="3"/>
      <c r="P1327" s="3"/>
      <c r="Q1327" s="3"/>
      <c r="R1327" s="3"/>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row>
  </sheetData>
  <conditionalFormatting sqref="E18:E31">
    <cfRule type="expression" dxfId="1211" priority="1">
      <formula>COUNTIF(G18:BE18,"&lt;&gt;" &amp; "")&gt;0</formula>
    </cfRule>
    <cfRule type="expression" dxfId="1210" priority="2">
      <formula>AND(COUNTIF(G18:BE18,"&lt;&gt;" &amp; "")&gt;0,NOT(ISBLANK(E18)))</formula>
    </cfRule>
  </conditionalFormatting>
  <conditionalFormatting sqref="E34:E47">
    <cfRule type="expression" dxfId="1209" priority="29">
      <formula>COUNTIF(G34:BE34,"&lt;&gt;" &amp; "")&gt;0</formula>
    </cfRule>
    <cfRule type="expression" dxfId="1208" priority="30">
      <formula>AND(COUNTIF(G34:BE34,"&lt;&gt;" &amp; "")&gt;0,NOT(ISBLANK(E34)))</formula>
    </cfRule>
  </conditionalFormatting>
  <conditionalFormatting sqref="E50:E63">
    <cfRule type="expression" dxfId="1207" priority="57">
      <formula>COUNTIF(G50:BE50,"&lt;&gt;" &amp; "")&gt;0</formula>
    </cfRule>
    <cfRule type="expression" dxfId="1206" priority="58">
      <formula>AND(COUNTIF(G50:BE50,"&lt;&gt;" &amp; "")&gt;0,NOT(ISBLANK(E50)))</formula>
    </cfRule>
  </conditionalFormatting>
  <conditionalFormatting sqref="E66:E79">
    <cfRule type="expression" dxfId="1205" priority="85">
      <formula>COUNTIF(G66:BE66,"&lt;&gt;" &amp; "")&gt;0</formula>
    </cfRule>
    <cfRule type="expression" dxfId="1204" priority="86">
      <formula>AND(COUNTIF(G66:BE66,"&lt;&gt;" &amp; "")&gt;0,NOT(ISBLANK(E66)))</formula>
    </cfRule>
  </conditionalFormatting>
  <conditionalFormatting sqref="E82:E95">
    <cfRule type="expression" dxfId="1203" priority="113">
      <formula>COUNTIF(G82:BE82,"&lt;&gt;" &amp; "")&gt;0</formula>
    </cfRule>
    <cfRule type="expression" dxfId="1202" priority="114">
      <formula>AND(COUNTIF(G82:BE82,"&lt;&gt;" &amp; "")&gt;0,NOT(ISBLANK(E82)))</formula>
    </cfRule>
  </conditionalFormatting>
  <conditionalFormatting sqref="E98:E111">
    <cfRule type="expression" dxfId="1201" priority="141">
      <formula>COUNTIF(G98:BE98,"&lt;&gt;" &amp; "")&gt;0</formula>
    </cfRule>
    <cfRule type="expression" dxfId="1200" priority="142">
      <formula>AND(COUNTIF(G98:BE98,"&lt;&gt;" &amp; "")&gt;0,NOT(ISBLANK(E98)))</formula>
    </cfRule>
  </conditionalFormatting>
  <conditionalFormatting sqref="E114:E127">
    <cfRule type="expression" dxfId="1199" priority="169">
      <formula>COUNTIF(G114:BE114,"&lt;&gt;" &amp; "")&gt;0</formula>
    </cfRule>
    <cfRule type="expression" dxfId="1198" priority="170">
      <formula>AND(COUNTIF(G114:BE114,"&lt;&gt;" &amp; "")&gt;0,NOT(ISBLANK(E114)))</formula>
    </cfRule>
  </conditionalFormatting>
  <conditionalFormatting sqref="E130:E143">
    <cfRule type="expression" dxfId="1197" priority="197">
      <formula>COUNTIF(G130:BE130,"&lt;&gt;" &amp; "")&gt;0</formula>
    </cfRule>
    <cfRule type="expression" dxfId="1196" priority="198">
      <formula>AND(COUNTIF(G130:BE130,"&lt;&gt;" &amp; "")&gt;0,NOT(ISBLANK(E130)))</formula>
    </cfRule>
  </conditionalFormatting>
  <conditionalFormatting sqref="E146:E159">
    <cfRule type="expression" dxfId="1195" priority="225">
      <formula>COUNTIF(G146:BE146,"&lt;&gt;" &amp; "")&gt;0</formula>
    </cfRule>
    <cfRule type="expression" dxfId="1194" priority="226">
      <formula>AND(COUNTIF(G146:BE146,"&lt;&gt;" &amp; "")&gt;0,NOT(ISBLANK(E146)))</formula>
    </cfRule>
  </conditionalFormatting>
  <conditionalFormatting sqref="E162:E175">
    <cfRule type="expression" dxfId="1193" priority="253">
      <formula>COUNTIF(G162:BE162,"&lt;&gt;" &amp; "")&gt;0</formula>
    </cfRule>
    <cfRule type="expression" dxfId="1192" priority="254">
      <formula>AND(COUNTIF(G162:BE162,"&lt;&gt;" &amp; "")&gt;0,NOT(ISBLANK(E162)))</formula>
    </cfRule>
  </conditionalFormatting>
  <conditionalFormatting sqref="E178:E191">
    <cfRule type="expression" dxfId="1191" priority="281">
      <formula>COUNTIF(G178:BE178,"&lt;&gt;" &amp; "")&gt;0</formula>
    </cfRule>
    <cfRule type="expression" dxfId="1190" priority="282">
      <formula>AND(COUNTIF(G178:BE178,"&lt;&gt;" &amp; "")&gt;0,NOT(ISBLANK(E178)))</formula>
    </cfRule>
  </conditionalFormatting>
  <conditionalFormatting sqref="E194:E207">
    <cfRule type="expression" dxfId="1189" priority="309">
      <formula>COUNTIF(G194:BE194,"&lt;&gt;" &amp; "")&gt;0</formula>
    </cfRule>
    <cfRule type="expression" dxfId="1188" priority="310">
      <formula>AND(COUNTIF(G194:BE194,"&lt;&gt;" &amp; "")&gt;0,NOT(ISBLANK(E194)))</formula>
    </cfRule>
  </conditionalFormatting>
  <conditionalFormatting sqref="E210:E223">
    <cfRule type="expression" dxfId="1187" priority="337">
      <formula>COUNTIF(G210:BE210,"&lt;&gt;" &amp; "")&gt;0</formula>
    </cfRule>
    <cfRule type="expression" dxfId="1186" priority="338">
      <formula>AND(COUNTIF(G210:BE210,"&lt;&gt;" &amp; "")&gt;0,NOT(ISBLANK(E210)))</formula>
    </cfRule>
  </conditionalFormatting>
  <conditionalFormatting sqref="E226:E239">
    <cfRule type="expression" dxfId="1185" priority="365">
      <formula>COUNTIF(G226:BE226,"&lt;&gt;" &amp; "")&gt;0</formula>
    </cfRule>
    <cfRule type="expression" dxfId="1184" priority="366">
      <formula>AND(COUNTIF(G226:BE226,"&lt;&gt;" &amp; "")&gt;0,NOT(ISBLANK(E226)))</formula>
    </cfRule>
  </conditionalFormatting>
  <conditionalFormatting sqref="E242:E255">
    <cfRule type="expression" dxfId="1183" priority="393">
      <formula>COUNTIF(G242:BE242,"&lt;&gt;" &amp; "")&gt;0</formula>
    </cfRule>
    <cfRule type="expression" dxfId="1182" priority="394">
      <formula>AND(COUNTIF(G242:BE242,"&lt;&gt;" &amp; "")&gt;0,NOT(ISBLANK(E242)))</formula>
    </cfRule>
  </conditionalFormatting>
  <conditionalFormatting sqref="E258:E271">
    <cfRule type="expression" dxfId="1181" priority="421">
      <formula>COUNTIF(G258:BE258,"&lt;&gt;" &amp; "")&gt;0</formula>
    </cfRule>
    <cfRule type="expression" dxfId="1180" priority="422">
      <formula>AND(COUNTIF(G258:BE258,"&lt;&gt;" &amp; "")&gt;0,NOT(ISBLANK(E258)))</formula>
    </cfRule>
  </conditionalFormatting>
  <conditionalFormatting sqref="E274:E287">
    <cfRule type="expression" dxfId="1179" priority="449">
      <formula>COUNTIF(G274:BE274,"&lt;&gt;" &amp; "")&gt;0</formula>
    </cfRule>
    <cfRule type="expression" dxfId="1178" priority="450">
      <formula>AND(COUNTIF(G274:BE274,"&lt;&gt;" &amp; "")&gt;0,NOT(ISBLANK(E274)))</formula>
    </cfRule>
  </conditionalFormatting>
  <conditionalFormatting sqref="E642:E655">
    <cfRule type="expression" dxfId="1177" priority="477">
      <formula>COUNTIF(G642:BE642,"&lt;&gt;" &amp; "")&gt;0</formula>
    </cfRule>
    <cfRule type="expression" dxfId="1176" priority="478">
      <formula>AND(COUNTIF(G642:BE642,"&lt;&gt;" &amp; "")&gt;0,NOT(ISBLANK(E642)))</formula>
    </cfRule>
  </conditionalFormatting>
  <dataValidations count="1">
    <dataValidation type="list" allowBlank="1" showInputMessage="1" showErrorMessage="1" sqref="C1314:C1327 C1298:C1311 C1282:C1295 C1266:C1279 C1250:C1263 C1234:C1247 C1218:C1231 C1202:C1215 C1186:C1199 C1170:C1183 C1154:C1167 C1138:C1151 C1122:C1135 C1106:C1119 C1090:C1103 C1074:C1087 C1058:C1071 C1042:C1055 C1026:C1039 C1010:C1023 C994:C1007 C978:C991 C962:C975 C946:C959 C930:C943 C914:C927 C898:C911 C882:C895 C866:C879 C850:C863 C834:C847 C818:C831 C802:C815 C786:C799 C770:C783 C754:C767 C738:C751 C722:C735 C706:C719 C690:C703 C674:C687 C658:C671 C642:C655 C626:C639 C610:C623 C594:C607 C578:C591 C562:C575 C546:C559 C530:C543 C514:C527 C498:C511 C482:C495 C466:C479 C450:C463 C434:C447 C418:C431 C402:C415 C386:C399 C370:C383 C354:C367 C338:C351 C322:C335 C306:C319 C290:C303 C274:C287 C258:C271 C242:C255 C226:C239 C210:C223 C194:C207 C178:C191 C162:C175 C146:C159 C130:C143 C114:C127 C98:C111 C82:C95 C66:C79 C50:C63 C34:C47 C18:C31 C2:C15" xr:uid="{00000000-0002-0000-0B00-000000000000}">
      <formula1>"Number"</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08080"/>
  </sheetPr>
  <dimension ref="A1:BE95"/>
  <sheetViews>
    <sheetView workbookViewId="0"/>
  </sheetViews>
  <sheetFormatPr defaultRowHeight="15" x14ac:dyDescent="0.25"/>
  <cols>
    <col min="1" max="1" width="85.28515625" customWidth="1"/>
    <col min="2" max="2" width="30.28515625" customWidth="1"/>
    <col min="3" max="3" width="20.42578125" customWidth="1"/>
    <col min="4" max="4" width="13.85546875" customWidth="1"/>
    <col min="5" max="5" width="10.5703125" customWidth="1"/>
    <col min="6" max="6" width="3.85546875" customWidth="1"/>
    <col min="7" max="57" width="9.42578125" customWidth="1"/>
  </cols>
  <sheetData>
    <row r="1" spans="1:57" x14ac:dyDescent="0.25">
      <c r="A1" s="1" t="s">
        <v>210</v>
      </c>
      <c r="B1" s="1" t="s">
        <v>31</v>
      </c>
      <c r="C1" s="1" t="s">
        <v>32</v>
      </c>
      <c r="D1" s="1" t="s">
        <v>33</v>
      </c>
      <c r="E1" s="1" t="s">
        <v>38</v>
      </c>
      <c r="F1" s="1"/>
      <c r="G1" s="1">
        <v>2000</v>
      </c>
      <c r="H1" s="1">
        <v>2001</v>
      </c>
      <c r="I1" s="1">
        <v>2002</v>
      </c>
      <c r="J1" s="1">
        <v>2003</v>
      </c>
      <c r="K1" s="1">
        <v>2004</v>
      </c>
      <c r="L1" s="1">
        <v>2005</v>
      </c>
      <c r="M1" s="1">
        <v>2006</v>
      </c>
      <c r="N1" s="1">
        <v>2007</v>
      </c>
      <c r="O1" s="1">
        <v>2008</v>
      </c>
      <c r="P1" s="1">
        <v>2009</v>
      </c>
      <c r="Q1" s="1">
        <v>2010</v>
      </c>
      <c r="R1" s="1">
        <v>2011</v>
      </c>
      <c r="S1" s="1">
        <v>2012</v>
      </c>
      <c r="T1" s="1">
        <v>2013</v>
      </c>
      <c r="U1" s="1">
        <v>2014</v>
      </c>
      <c r="V1" s="1">
        <v>2015</v>
      </c>
      <c r="W1" s="1">
        <v>2016</v>
      </c>
      <c r="X1" s="1">
        <v>2017</v>
      </c>
      <c r="Y1" s="1">
        <v>2018</v>
      </c>
      <c r="Z1" s="1">
        <v>2019</v>
      </c>
      <c r="AA1" s="1">
        <v>2020</v>
      </c>
      <c r="AB1" s="1">
        <v>2021</v>
      </c>
      <c r="AC1" s="1">
        <v>2022</v>
      </c>
      <c r="AD1" s="1">
        <v>2023</v>
      </c>
      <c r="AE1" s="1">
        <v>2024</v>
      </c>
      <c r="AF1" s="1">
        <v>2025</v>
      </c>
      <c r="AG1" s="1">
        <v>2026</v>
      </c>
      <c r="AH1" s="1">
        <v>2027</v>
      </c>
      <c r="AI1" s="1">
        <v>2028</v>
      </c>
      <c r="AJ1" s="1">
        <v>2029</v>
      </c>
      <c r="AK1" s="1">
        <v>2030</v>
      </c>
      <c r="AL1" s="1">
        <v>2031</v>
      </c>
      <c r="AM1" s="1">
        <v>2032</v>
      </c>
      <c r="AN1" s="1">
        <v>2033</v>
      </c>
      <c r="AO1" s="1">
        <v>2034</v>
      </c>
      <c r="AP1" s="1">
        <v>2035</v>
      </c>
      <c r="AQ1" s="1">
        <v>2036</v>
      </c>
      <c r="AR1" s="1">
        <v>2037</v>
      </c>
      <c r="AS1" s="1">
        <v>2038</v>
      </c>
      <c r="AT1" s="1">
        <v>2039</v>
      </c>
      <c r="AU1" s="1">
        <v>2040</v>
      </c>
      <c r="AV1" s="1">
        <v>2041</v>
      </c>
      <c r="AW1" s="1">
        <v>2042</v>
      </c>
      <c r="AX1" s="1">
        <v>2043</v>
      </c>
      <c r="AY1" s="1">
        <v>2044</v>
      </c>
      <c r="AZ1" s="1">
        <v>2045</v>
      </c>
      <c r="BA1" s="1">
        <v>2046</v>
      </c>
      <c r="BB1" s="1">
        <v>2047</v>
      </c>
      <c r="BC1" s="1">
        <v>2048</v>
      </c>
      <c r="BD1" s="1">
        <v>2049</v>
      </c>
      <c r="BE1" s="1">
        <v>2050</v>
      </c>
    </row>
    <row r="2" spans="1:57" x14ac:dyDescent="0.25">
      <c r="A2" s="1" t="str">
        <f>'Population Definitions'!$A$2</f>
        <v>PWID_males</v>
      </c>
      <c r="B2" t="s">
        <v>62</v>
      </c>
      <c r="C2" t="s">
        <v>58</v>
      </c>
      <c r="D2" s="3"/>
      <c r="E2" s="3">
        <v>1</v>
      </c>
      <c r="F2" s="4" t="s">
        <v>39</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spans="1:57" x14ac:dyDescent="0.25">
      <c r="A3" s="1" t="str">
        <f>'Population Definitions'!$A$3</f>
        <v>PWID_females</v>
      </c>
      <c r="B3" t="s">
        <v>62</v>
      </c>
      <c r="C3" t="s">
        <v>58</v>
      </c>
      <c r="D3" s="3"/>
      <c r="E3" s="3">
        <v>1</v>
      </c>
      <c r="F3" s="4" t="s">
        <v>39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row>
    <row r="4" spans="1:57" x14ac:dyDescent="0.25">
      <c r="A4" s="1" t="str">
        <f>'Population Definitions'!$A$4</f>
        <v>0-9_males</v>
      </c>
      <c r="B4" t="s">
        <v>62</v>
      </c>
      <c r="C4" t="s">
        <v>58</v>
      </c>
      <c r="D4" s="3"/>
      <c r="E4" s="3">
        <v>1</v>
      </c>
      <c r="F4" s="4" t="s">
        <v>39</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row>
    <row r="5" spans="1:57" x14ac:dyDescent="0.25">
      <c r="A5" s="1" t="str">
        <f>'Population Definitions'!$A$5</f>
        <v>0-9_females</v>
      </c>
      <c r="B5" t="s">
        <v>62</v>
      </c>
      <c r="C5" t="s">
        <v>58</v>
      </c>
      <c r="D5" s="3"/>
      <c r="E5" s="3">
        <v>1</v>
      </c>
      <c r="F5" s="4" t="s">
        <v>39</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row>
    <row r="6" spans="1:57" x14ac:dyDescent="0.25">
      <c r="A6" s="1" t="str">
        <f>'Population Definitions'!$A$6</f>
        <v>10-17_males</v>
      </c>
      <c r="B6" t="s">
        <v>62</v>
      </c>
      <c r="C6" t="s">
        <v>58</v>
      </c>
      <c r="D6" s="3"/>
      <c r="E6" s="3">
        <v>1</v>
      </c>
      <c r="F6" s="4" t="s">
        <v>39</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row>
    <row r="7" spans="1:57" x14ac:dyDescent="0.25">
      <c r="A7" s="1" t="str">
        <f>'Population Definitions'!$A$7</f>
        <v>10-17_females</v>
      </c>
      <c r="B7" t="s">
        <v>62</v>
      </c>
      <c r="C7" t="s">
        <v>58</v>
      </c>
      <c r="D7" s="3"/>
      <c r="E7" s="3">
        <v>1</v>
      </c>
      <c r="F7" s="4" t="s">
        <v>39</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row>
    <row r="8" spans="1:57" x14ac:dyDescent="0.25">
      <c r="A8" s="1" t="str">
        <f>'Population Definitions'!$A$8</f>
        <v>18-64_males</v>
      </c>
      <c r="B8" t="s">
        <v>62</v>
      </c>
      <c r="C8" t="s">
        <v>58</v>
      </c>
      <c r="D8" s="3"/>
      <c r="E8" s="3">
        <v>1</v>
      </c>
      <c r="F8" s="4" t="s">
        <v>39</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57" x14ac:dyDescent="0.25">
      <c r="A9" s="1" t="str">
        <f>'Population Definitions'!$A$9</f>
        <v>18-64_females</v>
      </c>
      <c r="B9" t="s">
        <v>62</v>
      </c>
      <c r="C9" t="s">
        <v>58</v>
      </c>
      <c r="D9" s="3"/>
      <c r="E9" s="3">
        <v>1</v>
      </c>
      <c r="F9" s="4" t="s">
        <v>39</v>
      </c>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57" x14ac:dyDescent="0.25">
      <c r="A10" s="1" t="str">
        <f>'Population Definitions'!$A$10</f>
        <v>65+_males</v>
      </c>
      <c r="B10" t="s">
        <v>62</v>
      </c>
      <c r="C10" t="s">
        <v>58</v>
      </c>
      <c r="D10" s="3"/>
      <c r="E10" s="3">
        <v>1</v>
      </c>
      <c r="F10" s="4" t="s">
        <v>39</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57" x14ac:dyDescent="0.25">
      <c r="A11" s="1" t="str">
        <f>'Population Definitions'!$A$11</f>
        <v>65+_females</v>
      </c>
      <c r="B11" t="s">
        <v>62</v>
      </c>
      <c r="C11" t="s">
        <v>58</v>
      </c>
      <c r="D11" s="3"/>
      <c r="E11" s="3">
        <v>1</v>
      </c>
      <c r="F11" s="4" t="s">
        <v>39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57" x14ac:dyDescent="0.25">
      <c r="A12" s="1" t="str">
        <f>'Population Definitions'!$A$12</f>
        <v>Prisoners_males</v>
      </c>
      <c r="B12" t="s">
        <v>62</v>
      </c>
      <c r="C12" t="s">
        <v>58</v>
      </c>
      <c r="D12" s="3"/>
      <c r="E12" s="3">
        <v>1</v>
      </c>
      <c r="F12" s="4" t="s">
        <v>39</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57" x14ac:dyDescent="0.25">
      <c r="A13" s="1" t="str">
        <f>'Population Definitions'!$A$13</f>
        <v>Prisoners_females</v>
      </c>
      <c r="B13" t="s">
        <v>62</v>
      </c>
      <c r="C13" t="s">
        <v>58</v>
      </c>
      <c r="D13" s="3"/>
      <c r="E13" s="3">
        <v>1</v>
      </c>
      <c r="F13" s="4" t="s">
        <v>39</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57" x14ac:dyDescent="0.25">
      <c r="A14" s="1" t="str">
        <f>'Population Definitions'!$A$14</f>
        <v>Prisoners_PWID_males</v>
      </c>
      <c r="B14" t="s">
        <v>62</v>
      </c>
      <c r="C14" t="s">
        <v>58</v>
      </c>
      <c r="D14" s="3"/>
      <c r="E14" s="3">
        <v>1</v>
      </c>
      <c r="F14" s="4" t="s">
        <v>39</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57" x14ac:dyDescent="0.25">
      <c r="A15" s="1" t="str">
        <f>'Population Definitions'!$A$15</f>
        <v>Prisoners_PWID_females</v>
      </c>
      <c r="B15" t="s">
        <v>62</v>
      </c>
      <c r="C15" t="s">
        <v>58</v>
      </c>
      <c r="D15" s="3"/>
      <c r="E15" s="3">
        <v>1</v>
      </c>
      <c r="F15" s="4" t="s">
        <v>39</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7" spans="1:57" x14ac:dyDescent="0.25">
      <c r="A17" s="1" t="s">
        <v>211</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B18" t="s">
        <v>62</v>
      </c>
      <c r="C18" t="s">
        <v>58</v>
      </c>
      <c r="D18" s="3"/>
      <c r="E18" s="3">
        <v>1</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B19" t="s">
        <v>62</v>
      </c>
      <c r="C19" t="s">
        <v>58</v>
      </c>
      <c r="D19" s="3"/>
      <c r="E19" s="3">
        <v>1</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B20" t="s">
        <v>62</v>
      </c>
      <c r="C20" t="s">
        <v>58</v>
      </c>
      <c r="D20" s="3"/>
      <c r="E20" s="3">
        <v>1</v>
      </c>
      <c r="F20" s="4" t="s">
        <v>39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B21" t="s">
        <v>62</v>
      </c>
      <c r="C21" t="s">
        <v>58</v>
      </c>
      <c r="D21" s="3"/>
      <c r="E21" s="3">
        <v>1</v>
      </c>
      <c r="F21" s="4" t="s">
        <v>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B22" t="s">
        <v>62</v>
      </c>
      <c r="C22" t="s">
        <v>58</v>
      </c>
      <c r="D22" s="3"/>
      <c r="E22" s="3">
        <v>1</v>
      </c>
      <c r="F22" s="4"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B23" t="s">
        <v>62</v>
      </c>
      <c r="C23" t="s">
        <v>58</v>
      </c>
      <c r="D23" s="3"/>
      <c r="E23" s="3">
        <v>1</v>
      </c>
      <c r="F23" s="4" t="s">
        <v>39</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B24" t="s">
        <v>62</v>
      </c>
      <c r="C24" t="s">
        <v>58</v>
      </c>
      <c r="D24" s="3"/>
      <c r="E24" s="3">
        <v>1</v>
      </c>
      <c r="F24" s="4" t="s">
        <v>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B25" t="s">
        <v>62</v>
      </c>
      <c r="C25" t="s">
        <v>58</v>
      </c>
      <c r="D25" s="3"/>
      <c r="E25" s="3">
        <v>1</v>
      </c>
      <c r="F25" s="4" t="s">
        <v>39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B26" t="s">
        <v>62</v>
      </c>
      <c r="C26" t="s">
        <v>58</v>
      </c>
      <c r="D26" s="3"/>
      <c r="E26" s="3">
        <v>1</v>
      </c>
      <c r="F26" s="4" t="s">
        <v>39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B27" t="s">
        <v>62</v>
      </c>
      <c r="C27" t="s">
        <v>58</v>
      </c>
      <c r="D27" s="3"/>
      <c r="E27" s="3">
        <v>1</v>
      </c>
      <c r="F27" s="4" t="s">
        <v>39</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B28" t="s">
        <v>62</v>
      </c>
      <c r="C28" t="s">
        <v>58</v>
      </c>
      <c r="D28" s="3"/>
      <c r="E28" s="3">
        <v>1</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B29" t="s">
        <v>62</v>
      </c>
      <c r="C29" t="s">
        <v>58</v>
      </c>
      <c r="D29" s="3"/>
      <c r="E29" s="3">
        <v>1</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B30" t="s">
        <v>62</v>
      </c>
      <c r="C30" t="s">
        <v>58</v>
      </c>
      <c r="D30" s="3"/>
      <c r="E30" s="3">
        <v>1</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B31" t="s">
        <v>62</v>
      </c>
      <c r="C31" t="s">
        <v>58</v>
      </c>
      <c r="D31" s="3"/>
      <c r="E31" s="3">
        <v>1</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212</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C34" t="s">
        <v>58</v>
      </c>
      <c r="D34" s="3"/>
      <c r="E34" s="3">
        <v>0</v>
      </c>
      <c r="F34" s="4" t="s">
        <v>39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C35" t="s">
        <v>58</v>
      </c>
      <c r="D35" s="3"/>
      <c r="E35" s="3">
        <v>0</v>
      </c>
      <c r="F35" s="4" t="s">
        <v>39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C36" t="s">
        <v>58</v>
      </c>
      <c r="D36" s="3"/>
      <c r="E36" s="3">
        <v>1</v>
      </c>
      <c r="F36" s="4" t="s">
        <v>39</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C37" t="s">
        <v>58</v>
      </c>
      <c r="D37" s="3"/>
      <c r="E37" s="3">
        <v>1</v>
      </c>
      <c r="F37" s="4" t="s">
        <v>39</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C38" t="s">
        <v>58</v>
      </c>
      <c r="D38" s="3"/>
      <c r="E38" s="3">
        <v>1</v>
      </c>
      <c r="F38" s="4" t="s">
        <v>39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C39" t="s">
        <v>58</v>
      </c>
      <c r="D39" s="3"/>
      <c r="E39" s="3">
        <v>1</v>
      </c>
      <c r="F39" s="4" t="s">
        <v>39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C40" t="s">
        <v>58</v>
      </c>
      <c r="D40" s="3"/>
      <c r="E40" s="3">
        <v>1</v>
      </c>
      <c r="F40" s="4" t="s">
        <v>39</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C41" t="s">
        <v>58</v>
      </c>
      <c r="D41" s="3"/>
      <c r="E41" s="3">
        <v>1</v>
      </c>
      <c r="F41" s="4" t="s">
        <v>39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C42" t="s">
        <v>58</v>
      </c>
      <c r="D42" s="3"/>
      <c r="E42" s="3">
        <v>1</v>
      </c>
      <c r="F42" s="4" t="s">
        <v>39</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C43" t="s">
        <v>58</v>
      </c>
      <c r="D43" s="3"/>
      <c r="E43" s="3">
        <v>1</v>
      </c>
      <c r="F43" s="4" t="s">
        <v>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C44" t="s">
        <v>58</v>
      </c>
      <c r="D44" s="3"/>
      <c r="E44" s="3">
        <v>0</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C45" t="s">
        <v>58</v>
      </c>
      <c r="D45" s="3"/>
      <c r="E45" s="3">
        <v>0</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C46" t="s">
        <v>58</v>
      </c>
      <c r="D46" s="3"/>
      <c r="E46" s="3">
        <v>0</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C47" t="s">
        <v>58</v>
      </c>
      <c r="D47" s="3"/>
      <c r="E47" s="3">
        <v>0</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213</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C50" t="s">
        <v>58</v>
      </c>
      <c r="D50" s="3"/>
      <c r="E50" s="3">
        <v>1</v>
      </c>
      <c r="F50" s="4" t="s">
        <v>39</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C51" t="s">
        <v>58</v>
      </c>
      <c r="D51" s="3"/>
      <c r="E51" s="3">
        <v>1</v>
      </c>
      <c r="F51" s="4" t="s">
        <v>39</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C52" t="s">
        <v>58</v>
      </c>
      <c r="D52" s="3"/>
      <c r="E52" s="3">
        <v>0</v>
      </c>
      <c r="F52" s="4" t="s">
        <v>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C53" t="s">
        <v>58</v>
      </c>
      <c r="D53" s="3"/>
      <c r="E53" s="3">
        <v>0</v>
      </c>
      <c r="F53" s="4" t="s">
        <v>39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C54" t="s">
        <v>58</v>
      </c>
      <c r="D54" s="3"/>
      <c r="E54" s="3">
        <v>0</v>
      </c>
      <c r="F54" s="4" t="s">
        <v>39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C55" t="s">
        <v>58</v>
      </c>
      <c r="D55" s="3"/>
      <c r="E55" s="3">
        <v>0</v>
      </c>
      <c r="F55" s="4" t="s">
        <v>39</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C56" t="s">
        <v>58</v>
      </c>
      <c r="D56" s="3"/>
      <c r="E56" s="3">
        <v>0</v>
      </c>
      <c r="F56" s="4" t="s">
        <v>39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C57" t="s">
        <v>58</v>
      </c>
      <c r="D57" s="3"/>
      <c r="E57" s="3">
        <v>0</v>
      </c>
      <c r="F57" s="4" t="s">
        <v>39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C58" t="s">
        <v>58</v>
      </c>
      <c r="D58" s="3"/>
      <c r="E58" s="3">
        <v>0</v>
      </c>
      <c r="F58" s="4" t="s">
        <v>39</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C59" t="s">
        <v>58</v>
      </c>
      <c r="D59" s="3"/>
      <c r="E59" s="3">
        <v>0</v>
      </c>
      <c r="F59" s="4" t="s">
        <v>39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C60" t="s">
        <v>58</v>
      </c>
      <c r="D60" s="3"/>
      <c r="E60" s="3">
        <v>1</v>
      </c>
      <c r="F60" s="4" t="s">
        <v>39</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C61" t="s">
        <v>58</v>
      </c>
      <c r="D61" s="3"/>
      <c r="E61" s="3">
        <v>1</v>
      </c>
      <c r="F61" s="4" t="s">
        <v>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C62" t="s">
        <v>58</v>
      </c>
      <c r="D62" s="3"/>
      <c r="E62" s="3">
        <v>1</v>
      </c>
      <c r="F62" s="4" t="s">
        <v>39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C63" t="s">
        <v>58</v>
      </c>
      <c r="D63" s="3"/>
      <c r="E63" s="3">
        <v>1</v>
      </c>
      <c r="F63" s="4" t="s">
        <v>39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row r="65" spans="1:57" x14ac:dyDescent="0.25">
      <c r="A65" s="1" t="s">
        <v>214</v>
      </c>
      <c r="B65" s="1" t="s">
        <v>31</v>
      </c>
      <c r="C65" s="1" t="s">
        <v>32</v>
      </c>
      <c r="D65" s="1" t="s">
        <v>33</v>
      </c>
      <c r="E65" s="1" t="s">
        <v>38</v>
      </c>
      <c r="F65" s="1"/>
      <c r="G65" s="1">
        <v>2000</v>
      </c>
      <c r="H65" s="1">
        <v>2001</v>
      </c>
      <c r="I65" s="1">
        <v>2002</v>
      </c>
      <c r="J65" s="1">
        <v>2003</v>
      </c>
      <c r="K65" s="1">
        <v>2004</v>
      </c>
      <c r="L65" s="1">
        <v>2005</v>
      </c>
      <c r="M65" s="1">
        <v>2006</v>
      </c>
      <c r="N65" s="1">
        <v>2007</v>
      </c>
      <c r="O65" s="1">
        <v>2008</v>
      </c>
      <c r="P65" s="1">
        <v>2009</v>
      </c>
      <c r="Q65" s="1">
        <v>2010</v>
      </c>
      <c r="R65" s="1">
        <v>2011</v>
      </c>
      <c r="S65" s="1">
        <v>2012</v>
      </c>
      <c r="T65" s="1">
        <v>2013</v>
      </c>
      <c r="U65" s="1">
        <v>2014</v>
      </c>
      <c r="V65" s="1">
        <v>2015</v>
      </c>
      <c r="W65" s="1">
        <v>2016</v>
      </c>
      <c r="X65" s="1">
        <v>2017</v>
      </c>
      <c r="Y65" s="1">
        <v>2018</v>
      </c>
      <c r="Z65" s="1">
        <v>2019</v>
      </c>
      <c r="AA65" s="1">
        <v>2020</v>
      </c>
      <c r="AB65" s="1">
        <v>2021</v>
      </c>
      <c r="AC65" s="1">
        <v>2022</v>
      </c>
      <c r="AD65" s="1">
        <v>2023</v>
      </c>
      <c r="AE65" s="1">
        <v>2024</v>
      </c>
      <c r="AF65" s="1">
        <v>2025</v>
      </c>
      <c r="AG65" s="1">
        <v>2026</v>
      </c>
      <c r="AH65" s="1">
        <v>2027</v>
      </c>
      <c r="AI65" s="1">
        <v>2028</v>
      </c>
      <c r="AJ65" s="1">
        <v>2029</v>
      </c>
      <c r="AK65" s="1">
        <v>2030</v>
      </c>
      <c r="AL65" s="1">
        <v>2031</v>
      </c>
      <c r="AM65" s="1">
        <v>2032</v>
      </c>
      <c r="AN65" s="1">
        <v>2033</v>
      </c>
      <c r="AO65" s="1">
        <v>2034</v>
      </c>
      <c r="AP65" s="1">
        <v>2035</v>
      </c>
      <c r="AQ65" s="1">
        <v>2036</v>
      </c>
      <c r="AR65" s="1">
        <v>2037</v>
      </c>
      <c r="AS65" s="1">
        <v>2038</v>
      </c>
      <c r="AT65" s="1">
        <v>2039</v>
      </c>
      <c r="AU65" s="1">
        <v>2040</v>
      </c>
      <c r="AV65" s="1">
        <v>2041</v>
      </c>
      <c r="AW65" s="1">
        <v>2042</v>
      </c>
      <c r="AX65" s="1">
        <v>2043</v>
      </c>
      <c r="AY65" s="1">
        <v>2044</v>
      </c>
      <c r="AZ65" s="1">
        <v>2045</v>
      </c>
      <c r="BA65" s="1">
        <v>2046</v>
      </c>
      <c r="BB65" s="1">
        <v>2047</v>
      </c>
      <c r="BC65" s="1">
        <v>2048</v>
      </c>
      <c r="BD65" s="1">
        <v>2049</v>
      </c>
      <c r="BE65" s="1">
        <v>2050</v>
      </c>
    </row>
    <row r="66" spans="1:57" x14ac:dyDescent="0.25">
      <c r="A66" s="1" t="str">
        <f>'Population Definitions'!$A$2</f>
        <v>PWID_males</v>
      </c>
      <c r="C66" t="s">
        <v>53</v>
      </c>
      <c r="D66" s="3">
        <v>378.12177245332362</v>
      </c>
      <c r="E66" s="3"/>
      <c r="F66" s="4" t="s">
        <v>39</v>
      </c>
      <c r="G66" s="3">
        <v>275698</v>
      </c>
      <c r="H66" s="3"/>
      <c r="I66" s="3"/>
      <c r="J66" s="3"/>
      <c r="K66" s="3"/>
      <c r="L66" s="3"/>
      <c r="M66" s="3"/>
      <c r="N66" s="3"/>
      <c r="O66" s="3"/>
      <c r="P66" s="3"/>
      <c r="Q66" s="3"/>
      <c r="R66" s="3"/>
      <c r="S66" s="3"/>
      <c r="T66" s="3"/>
      <c r="U66" s="3">
        <v>275698</v>
      </c>
      <c r="V66" s="3">
        <v>827094</v>
      </c>
      <c r="W66" s="3">
        <v>341733</v>
      </c>
      <c r="X66" s="3">
        <v>478530</v>
      </c>
      <c r="Y66" s="3">
        <v>226152</v>
      </c>
      <c r="Z66" s="3">
        <v>1600000</v>
      </c>
      <c r="AA66" s="3">
        <v>15000</v>
      </c>
      <c r="AB66" s="3">
        <v>5000</v>
      </c>
      <c r="AC66" s="3">
        <v>3000</v>
      </c>
      <c r="AD66" s="3">
        <v>306</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row>
    <row r="67" spans="1:57" x14ac:dyDescent="0.25">
      <c r="A67" s="1" t="str">
        <f>'Population Definitions'!$A$3</f>
        <v>PWID_females</v>
      </c>
      <c r="C67" t="s">
        <v>53</v>
      </c>
      <c r="D67" s="3">
        <v>17.73858587490048</v>
      </c>
      <c r="E67" s="3"/>
      <c r="F67" s="4" t="s">
        <v>39</v>
      </c>
      <c r="G67" s="3">
        <v>275698</v>
      </c>
      <c r="H67" s="3"/>
      <c r="I67" s="3"/>
      <c r="J67" s="3"/>
      <c r="K67" s="3"/>
      <c r="L67" s="3"/>
      <c r="M67" s="3"/>
      <c r="N67" s="3"/>
      <c r="O67" s="3"/>
      <c r="P67" s="3"/>
      <c r="Q67" s="3"/>
      <c r="R67" s="3"/>
      <c r="S67" s="3"/>
      <c r="T67" s="3"/>
      <c r="U67" s="3">
        <v>275698</v>
      </c>
      <c r="V67" s="3">
        <v>827094</v>
      </c>
      <c r="W67" s="3">
        <v>341733</v>
      </c>
      <c r="X67" s="3">
        <v>478530</v>
      </c>
      <c r="Y67" s="3">
        <v>226152</v>
      </c>
      <c r="Z67" s="3">
        <v>1600000</v>
      </c>
      <c r="AA67" s="3">
        <v>15000</v>
      </c>
      <c r="AB67" s="3">
        <v>5000</v>
      </c>
      <c r="AC67" s="3">
        <v>3000</v>
      </c>
      <c r="AD67" s="3">
        <v>306</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row>
    <row r="68" spans="1:57" x14ac:dyDescent="0.25">
      <c r="A68" s="1" t="str">
        <f>'Population Definitions'!$A$4</f>
        <v>0-9_males</v>
      </c>
      <c r="C68" t="s">
        <v>53</v>
      </c>
      <c r="D68" s="3">
        <v>0</v>
      </c>
      <c r="E68" s="3"/>
      <c r="F68" s="4" t="s">
        <v>39</v>
      </c>
      <c r="G68" s="3">
        <v>275698</v>
      </c>
      <c r="H68" s="3"/>
      <c r="I68" s="3"/>
      <c r="J68" s="3"/>
      <c r="K68" s="3"/>
      <c r="L68" s="3"/>
      <c r="M68" s="3"/>
      <c r="N68" s="3"/>
      <c r="O68" s="3"/>
      <c r="P68" s="3"/>
      <c r="Q68" s="3"/>
      <c r="R68" s="3"/>
      <c r="S68" s="3"/>
      <c r="T68" s="3"/>
      <c r="U68" s="3">
        <v>275698</v>
      </c>
      <c r="V68" s="3">
        <v>827094</v>
      </c>
      <c r="W68" s="3">
        <v>341733</v>
      </c>
      <c r="X68" s="3">
        <v>478530</v>
      </c>
      <c r="Y68" s="3">
        <v>226152</v>
      </c>
      <c r="Z68" s="3">
        <v>1600000</v>
      </c>
      <c r="AA68" s="3">
        <v>15000</v>
      </c>
      <c r="AB68" s="3">
        <v>5000</v>
      </c>
      <c r="AC68" s="3">
        <v>3000</v>
      </c>
      <c r="AD68" s="3">
        <v>306</v>
      </c>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row>
    <row r="69" spans="1:57" x14ac:dyDescent="0.25">
      <c r="A69" s="1" t="str">
        <f>'Population Definitions'!$A$5</f>
        <v>0-9_females</v>
      </c>
      <c r="C69" t="s">
        <v>53</v>
      </c>
      <c r="D69" s="3">
        <v>0</v>
      </c>
      <c r="E69" s="3"/>
      <c r="F69" s="4" t="s">
        <v>39</v>
      </c>
      <c r="G69" s="3">
        <v>275698</v>
      </c>
      <c r="H69" s="3"/>
      <c r="I69" s="3"/>
      <c r="J69" s="3"/>
      <c r="K69" s="3"/>
      <c r="L69" s="3"/>
      <c r="M69" s="3"/>
      <c r="N69" s="3"/>
      <c r="O69" s="3"/>
      <c r="P69" s="3"/>
      <c r="Q69" s="3"/>
      <c r="R69" s="3"/>
      <c r="S69" s="3"/>
      <c r="T69" s="3"/>
      <c r="U69" s="3">
        <v>275698</v>
      </c>
      <c r="V69" s="3">
        <v>827094</v>
      </c>
      <c r="W69" s="3">
        <v>341733</v>
      </c>
      <c r="X69" s="3">
        <v>478530</v>
      </c>
      <c r="Y69" s="3">
        <v>226152</v>
      </c>
      <c r="Z69" s="3">
        <v>1600000</v>
      </c>
      <c r="AA69" s="3">
        <v>15000</v>
      </c>
      <c r="AB69" s="3">
        <v>5000</v>
      </c>
      <c r="AC69" s="3">
        <v>3000</v>
      </c>
      <c r="AD69" s="3">
        <v>306</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row>
    <row r="70" spans="1:57" x14ac:dyDescent="0.25">
      <c r="A70" s="1" t="str">
        <f>'Population Definitions'!$A$6</f>
        <v>10-17_males</v>
      </c>
      <c r="C70" t="s">
        <v>53</v>
      </c>
      <c r="D70" s="3">
        <v>0</v>
      </c>
      <c r="E70" s="3"/>
      <c r="F70" s="4" t="s">
        <v>39</v>
      </c>
      <c r="G70" s="3">
        <v>275698</v>
      </c>
      <c r="H70" s="3"/>
      <c r="I70" s="3"/>
      <c r="J70" s="3"/>
      <c r="K70" s="3"/>
      <c r="L70" s="3"/>
      <c r="M70" s="3"/>
      <c r="N70" s="3"/>
      <c r="O70" s="3"/>
      <c r="P70" s="3"/>
      <c r="Q70" s="3"/>
      <c r="R70" s="3"/>
      <c r="S70" s="3"/>
      <c r="T70" s="3"/>
      <c r="U70" s="3">
        <v>275698</v>
      </c>
      <c r="V70" s="3">
        <v>827094</v>
      </c>
      <c r="W70" s="3">
        <v>341733</v>
      </c>
      <c r="X70" s="3">
        <v>478530</v>
      </c>
      <c r="Y70" s="3">
        <v>226152</v>
      </c>
      <c r="Z70" s="3">
        <v>1600000</v>
      </c>
      <c r="AA70" s="3">
        <v>15000</v>
      </c>
      <c r="AB70" s="3">
        <v>5000</v>
      </c>
      <c r="AC70" s="3">
        <v>3000</v>
      </c>
      <c r="AD70" s="3">
        <v>306</v>
      </c>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spans="1:57" x14ac:dyDescent="0.25">
      <c r="A71" s="1" t="str">
        <f>'Population Definitions'!$A$7</f>
        <v>10-17_females</v>
      </c>
      <c r="C71" t="s">
        <v>53</v>
      </c>
      <c r="D71" s="3">
        <v>0</v>
      </c>
      <c r="E71" s="3"/>
      <c r="F71" s="4" t="s">
        <v>39</v>
      </c>
      <c r="G71" s="3">
        <v>275698</v>
      </c>
      <c r="H71" s="3"/>
      <c r="I71" s="3"/>
      <c r="J71" s="3"/>
      <c r="K71" s="3"/>
      <c r="L71" s="3"/>
      <c r="M71" s="3"/>
      <c r="N71" s="3"/>
      <c r="O71" s="3"/>
      <c r="P71" s="3"/>
      <c r="Q71" s="3"/>
      <c r="R71" s="3"/>
      <c r="S71" s="3"/>
      <c r="T71" s="3"/>
      <c r="U71" s="3">
        <v>275698</v>
      </c>
      <c r="V71" s="3">
        <v>827094</v>
      </c>
      <c r="W71" s="3">
        <v>341733</v>
      </c>
      <c r="X71" s="3">
        <v>478530</v>
      </c>
      <c r="Y71" s="3">
        <v>226152</v>
      </c>
      <c r="Z71" s="3">
        <v>1600000</v>
      </c>
      <c r="AA71" s="3">
        <v>15000</v>
      </c>
      <c r="AB71" s="3">
        <v>5000</v>
      </c>
      <c r="AC71" s="3">
        <v>3000</v>
      </c>
      <c r="AD71" s="3">
        <v>306</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spans="1:57" x14ac:dyDescent="0.25">
      <c r="A72" s="1" t="str">
        <f>'Population Definitions'!$A$8</f>
        <v>18-64_males</v>
      </c>
      <c r="C72" t="s">
        <v>53</v>
      </c>
      <c r="D72" s="3">
        <v>25160.67756120647</v>
      </c>
      <c r="E72" s="3"/>
      <c r="F72" s="4" t="s">
        <v>39</v>
      </c>
      <c r="G72" s="3">
        <v>275698</v>
      </c>
      <c r="H72" s="3"/>
      <c r="I72" s="3"/>
      <c r="J72" s="3"/>
      <c r="K72" s="3"/>
      <c r="L72" s="3"/>
      <c r="M72" s="3"/>
      <c r="N72" s="3"/>
      <c r="O72" s="3"/>
      <c r="P72" s="3"/>
      <c r="Q72" s="3"/>
      <c r="R72" s="3"/>
      <c r="S72" s="3"/>
      <c r="T72" s="3"/>
      <c r="U72" s="3">
        <v>275698</v>
      </c>
      <c r="V72" s="3">
        <v>827094</v>
      </c>
      <c r="W72" s="3">
        <v>341733</v>
      </c>
      <c r="X72" s="3">
        <v>478530</v>
      </c>
      <c r="Y72" s="3">
        <v>226152</v>
      </c>
      <c r="Z72" s="3">
        <v>1600000</v>
      </c>
      <c r="AA72" s="3">
        <v>15000</v>
      </c>
      <c r="AB72" s="3">
        <v>5000</v>
      </c>
      <c r="AC72" s="3">
        <v>3000</v>
      </c>
      <c r="AD72" s="3">
        <v>306</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spans="1:57" x14ac:dyDescent="0.25">
      <c r="A73" s="1" t="str">
        <f>'Population Definitions'!$A$9</f>
        <v>18-64_females</v>
      </c>
      <c r="C73" t="s">
        <v>53</v>
      </c>
      <c r="D73" s="3">
        <v>24433.954993139829</v>
      </c>
      <c r="E73" s="3"/>
      <c r="F73" s="4" t="s">
        <v>39</v>
      </c>
      <c r="G73" s="3">
        <v>275698</v>
      </c>
      <c r="H73" s="3"/>
      <c r="I73" s="3"/>
      <c r="J73" s="3"/>
      <c r="K73" s="3"/>
      <c r="L73" s="3"/>
      <c r="M73" s="3"/>
      <c r="N73" s="3"/>
      <c r="O73" s="3"/>
      <c r="P73" s="3"/>
      <c r="Q73" s="3"/>
      <c r="R73" s="3"/>
      <c r="S73" s="3"/>
      <c r="T73" s="3"/>
      <c r="U73" s="3">
        <v>275698</v>
      </c>
      <c r="V73" s="3">
        <v>827094</v>
      </c>
      <c r="W73" s="3">
        <v>341733</v>
      </c>
      <c r="X73" s="3">
        <v>478530</v>
      </c>
      <c r="Y73" s="3">
        <v>226152</v>
      </c>
      <c r="Z73" s="3">
        <v>1600000</v>
      </c>
      <c r="AA73" s="3">
        <v>15000</v>
      </c>
      <c r="AB73" s="3">
        <v>5000</v>
      </c>
      <c r="AC73" s="3">
        <v>3000</v>
      </c>
      <c r="AD73" s="3">
        <v>306</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spans="1:57" x14ac:dyDescent="0.25">
      <c r="A74" s="1" t="str">
        <f>'Population Definitions'!$A$10</f>
        <v>65+_males</v>
      </c>
      <c r="C74" t="s">
        <v>53</v>
      </c>
      <c r="D74" s="3">
        <v>1608.0346803033581</v>
      </c>
      <c r="E74" s="3"/>
      <c r="F74" s="4" t="s">
        <v>39</v>
      </c>
      <c r="G74" s="3">
        <v>275698</v>
      </c>
      <c r="H74" s="3"/>
      <c r="I74" s="3"/>
      <c r="J74" s="3"/>
      <c r="K74" s="3"/>
      <c r="L74" s="3"/>
      <c r="M74" s="3"/>
      <c r="N74" s="3"/>
      <c r="O74" s="3"/>
      <c r="P74" s="3"/>
      <c r="Q74" s="3"/>
      <c r="R74" s="3"/>
      <c r="S74" s="3"/>
      <c r="T74" s="3"/>
      <c r="U74" s="3">
        <v>275698</v>
      </c>
      <c r="V74" s="3">
        <v>827094</v>
      </c>
      <c r="W74" s="3">
        <v>341733</v>
      </c>
      <c r="X74" s="3">
        <v>478530</v>
      </c>
      <c r="Y74" s="3">
        <v>226152</v>
      </c>
      <c r="Z74" s="3">
        <v>1600000</v>
      </c>
      <c r="AA74" s="3">
        <v>15000</v>
      </c>
      <c r="AB74" s="3">
        <v>5000</v>
      </c>
      <c r="AC74" s="3">
        <v>3000</v>
      </c>
      <c r="AD74" s="3">
        <v>306</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spans="1:57" x14ac:dyDescent="0.25">
      <c r="A75" s="1" t="str">
        <f>'Population Definitions'!$A$11</f>
        <v>65+_females</v>
      </c>
      <c r="C75" t="s">
        <v>53</v>
      </c>
      <c r="D75" s="3">
        <v>2218.8349818254669</v>
      </c>
      <c r="E75" s="3"/>
      <c r="F75" s="4" t="s">
        <v>39</v>
      </c>
      <c r="G75" s="3">
        <v>275698</v>
      </c>
      <c r="H75" s="3"/>
      <c r="I75" s="3"/>
      <c r="J75" s="3"/>
      <c r="K75" s="3"/>
      <c r="L75" s="3"/>
      <c r="M75" s="3"/>
      <c r="N75" s="3"/>
      <c r="O75" s="3"/>
      <c r="P75" s="3"/>
      <c r="Q75" s="3"/>
      <c r="R75" s="3"/>
      <c r="S75" s="3"/>
      <c r="T75" s="3"/>
      <c r="U75" s="3">
        <v>275698</v>
      </c>
      <c r="V75" s="3">
        <v>827094</v>
      </c>
      <c r="W75" s="3">
        <v>341733</v>
      </c>
      <c r="X75" s="3">
        <v>478530</v>
      </c>
      <c r="Y75" s="3">
        <v>226152</v>
      </c>
      <c r="Z75" s="3">
        <v>1600000</v>
      </c>
      <c r="AA75" s="3">
        <v>15000</v>
      </c>
      <c r="AB75" s="3">
        <v>5000</v>
      </c>
      <c r="AC75" s="3">
        <v>3000</v>
      </c>
      <c r="AD75" s="3">
        <v>306</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spans="1:57" x14ac:dyDescent="0.25">
      <c r="A76" s="1" t="str">
        <f>'Population Definitions'!$A$12</f>
        <v>Prisoners_males</v>
      </c>
      <c r="C76" t="s">
        <v>53</v>
      </c>
      <c r="D76" s="3">
        <v>0</v>
      </c>
      <c r="E76" s="3"/>
      <c r="F76" s="4" t="s">
        <v>39</v>
      </c>
      <c r="G76" s="3">
        <v>275698</v>
      </c>
      <c r="H76" s="3"/>
      <c r="I76" s="3"/>
      <c r="J76" s="3"/>
      <c r="K76" s="3"/>
      <c r="L76" s="3"/>
      <c r="M76" s="3"/>
      <c r="N76" s="3"/>
      <c r="O76" s="3"/>
      <c r="P76" s="3"/>
      <c r="Q76" s="3"/>
      <c r="R76" s="3"/>
      <c r="S76" s="3"/>
      <c r="T76" s="3"/>
      <c r="U76" s="3">
        <v>275698</v>
      </c>
      <c r="V76" s="3">
        <v>827094</v>
      </c>
      <c r="W76" s="3">
        <v>341733</v>
      </c>
      <c r="X76" s="3">
        <v>478530</v>
      </c>
      <c r="Y76" s="3">
        <v>226152</v>
      </c>
      <c r="Z76" s="3">
        <v>1600000</v>
      </c>
      <c r="AA76" s="3">
        <v>15000</v>
      </c>
      <c r="AB76" s="3">
        <v>5000</v>
      </c>
      <c r="AC76" s="3">
        <v>3000</v>
      </c>
      <c r="AD76" s="3">
        <v>306</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row>
    <row r="77" spans="1:57" x14ac:dyDescent="0.25">
      <c r="A77" s="1" t="str">
        <f>'Population Definitions'!$A$13</f>
        <v>Prisoners_females</v>
      </c>
      <c r="C77" t="s">
        <v>53</v>
      </c>
      <c r="D77" s="3">
        <v>0</v>
      </c>
      <c r="E77" s="3"/>
      <c r="F77" s="4" t="s">
        <v>39</v>
      </c>
      <c r="G77" s="3">
        <v>275698</v>
      </c>
      <c r="H77" s="3"/>
      <c r="I77" s="3"/>
      <c r="J77" s="3"/>
      <c r="K77" s="3"/>
      <c r="L77" s="3"/>
      <c r="M77" s="3"/>
      <c r="N77" s="3"/>
      <c r="O77" s="3"/>
      <c r="P77" s="3"/>
      <c r="Q77" s="3"/>
      <c r="R77" s="3"/>
      <c r="S77" s="3"/>
      <c r="T77" s="3"/>
      <c r="U77" s="3">
        <v>275698</v>
      </c>
      <c r="V77" s="3">
        <v>827094</v>
      </c>
      <c r="W77" s="3">
        <v>341733</v>
      </c>
      <c r="X77" s="3">
        <v>478530</v>
      </c>
      <c r="Y77" s="3">
        <v>226152</v>
      </c>
      <c r="Z77" s="3">
        <v>1600000</v>
      </c>
      <c r="AA77" s="3">
        <v>15000</v>
      </c>
      <c r="AB77" s="3">
        <v>5000</v>
      </c>
      <c r="AC77" s="3">
        <v>3000</v>
      </c>
      <c r="AD77" s="3">
        <v>306</v>
      </c>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row>
    <row r="78" spans="1:57" x14ac:dyDescent="0.25">
      <c r="A78" s="1" t="str">
        <f>'Population Definitions'!$A$14</f>
        <v>Prisoners_PWID_males</v>
      </c>
      <c r="C78" t="s">
        <v>53</v>
      </c>
      <c r="D78" s="3">
        <v>0</v>
      </c>
      <c r="E78" s="3"/>
      <c r="F78" s="4" t="s">
        <v>39</v>
      </c>
      <c r="G78" s="3">
        <v>275698</v>
      </c>
      <c r="H78" s="3"/>
      <c r="I78" s="3"/>
      <c r="J78" s="3"/>
      <c r="K78" s="3"/>
      <c r="L78" s="3"/>
      <c r="M78" s="3"/>
      <c r="N78" s="3"/>
      <c r="O78" s="3"/>
      <c r="P78" s="3"/>
      <c r="Q78" s="3"/>
      <c r="R78" s="3"/>
      <c r="S78" s="3"/>
      <c r="T78" s="3"/>
      <c r="U78" s="3">
        <v>275698</v>
      </c>
      <c r="V78" s="3">
        <v>827094</v>
      </c>
      <c r="W78" s="3">
        <v>341733</v>
      </c>
      <c r="X78" s="3">
        <v>478530</v>
      </c>
      <c r="Y78" s="3">
        <v>226152</v>
      </c>
      <c r="Z78" s="3">
        <v>1600000</v>
      </c>
      <c r="AA78" s="3">
        <v>15000</v>
      </c>
      <c r="AB78" s="3">
        <v>5000</v>
      </c>
      <c r="AC78" s="3">
        <v>3000</v>
      </c>
      <c r="AD78" s="3">
        <v>306</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row>
    <row r="79" spans="1:57" x14ac:dyDescent="0.25">
      <c r="A79" s="1" t="str">
        <f>'Population Definitions'!$A$15</f>
        <v>Prisoners_PWID_females</v>
      </c>
      <c r="C79" t="s">
        <v>53</v>
      </c>
      <c r="D79" s="3">
        <v>0</v>
      </c>
      <c r="E79" s="3"/>
      <c r="F79" s="4" t="s">
        <v>39</v>
      </c>
      <c r="G79" s="3">
        <v>275698</v>
      </c>
      <c r="H79" s="3"/>
      <c r="I79" s="3"/>
      <c r="J79" s="3"/>
      <c r="K79" s="3"/>
      <c r="L79" s="3"/>
      <c r="M79" s="3"/>
      <c r="N79" s="3"/>
      <c r="O79" s="3"/>
      <c r="P79" s="3"/>
      <c r="Q79" s="3"/>
      <c r="R79" s="3"/>
      <c r="S79" s="3"/>
      <c r="T79" s="3"/>
      <c r="U79" s="3">
        <v>275698</v>
      </c>
      <c r="V79" s="3">
        <v>827094</v>
      </c>
      <c r="W79" s="3">
        <v>341733</v>
      </c>
      <c r="X79" s="3">
        <v>478530</v>
      </c>
      <c r="Y79" s="3">
        <v>226152</v>
      </c>
      <c r="Z79" s="3">
        <v>1600000</v>
      </c>
      <c r="AA79" s="3">
        <v>15000</v>
      </c>
      <c r="AB79" s="3">
        <v>5000</v>
      </c>
      <c r="AC79" s="3">
        <v>3000</v>
      </c>
      <c r="AD79" s="3">
        <v>306</v>
      </c>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row>
    <row r="81" spans="1:57" x14ac:dyDescent="0.25">
      <c r="A81" s="1" t="s">
        <v>215</v>
      </c>
      <c r="B81" s="1" t="s">
        <v>31</v>
      </c>
      <c r="C81" s="1" t="s">
        <v>32</v>
      </c>
      <c r="D81" s="1" t="s">
        <v>33</v>
      </c>
      <c r="E81" s="1" t="s">
        <v>38</v>
      </c>
      <c r="F81" s="1"/>
      <c r="G81" s="1">
        <v>2000</v>
      </c>
      <c r="H81" s="1">
        <v>2001</v>
      </c>
      <c r="I81" s="1">
        <v>2002</v>
      </c>
      <c r="J81" s="1">
        <v>2003</v>
      </c>
      <c r="K81" s="1">
        <v>2004</v>
      </c>
      <c r="L81" s="1">
        <v>2005</v>
      </c>
      <c r="M81" s="1">
        <v>2006</v>
      </c>
      <c r="N81" s="1">
        <v>2007</v>
      </c>
      <c r="O81" s="1">
        <v>2008</v>
      </c>
      <c r="P81" s="1">
        <v>2009</v>
      </c>
      <c r="Q81" s="1">
        <v>2010</v>
      </c>
      <c r="R81" s="1">
        <v>2011</v>
      </c>
      <c r="S81" s="1">
        <v>2012</v>
      </c>
      <c r="T81" s="1">
        <v>2013</v>
      </c>
      <c r="U81" s="1">
        <v>2014</v>
      </c>
      <c r="V81" s="1">
        <v>2015</v>
      </c>
      <c r="W81" s="1">
        <v>2016</v>
      </c>
      <c r="X81" s="1">
        <v>2017</v>
      </c>
      <c r="Y81" s="1">
        <v>2018</v>
      </c>
      <c r="Z81" s="1">
        <v>2019</v>
      </c>
      <c r="AA81" s="1">
        <v>2020</v>
      </c>
      <c r="AB81" s="1">
        <v>2021</v>
      </c>
      <c r="AC81" s="1">
        <v>2022</v>
      </c>
      <c r="AD81" s="1">
        <v>2023</v>
      </c>
      <c r="AE81" s="1">
        <v>2024</v>
      </c>
      <c r="AF81" s="1">
        <v>2025</v>
      </c>
      <c r="AG81" s="1">
        <v>2026</v>
      </c>
      <c r="AH81" s="1">
        <v>2027</v>
      </c>
      <c r="AI81" s="1">
        <v>2028</v>
      </c>
      <c r="AJ81" s="1">
        <v>2029</v>
      </c>
      <c r="AK81" s="1">
        <v>2030</v>
      </c>
      <c r="AL81" s="1">
        <v>2031</v>
      </c>
      <c r="AM81" s="1">
        <v>2032</v>
      </c>
      <c r="AN81" s="1">
        <v>2033</v>
      </c>
      <c r="AO81" s="1">
        <v>2034</v>
      </c>
      <c r="AP81" s="1">
        <v>2035</v>
      </c>
      <c r="AQ81" s="1">
        <v>2036</v>
      </c>
      <c r="AR81" s="1">
        <v>2037</v>
      </c>
      <c r="AS81" s="1">
        <v>2038</v>
      </c>
      <c r="AT81" s="1">
        <v>2039</v>
      </c>
      <c r="AU81" s="1">
        <v>2040</v>
      </c>
      <c r="AV81" s="1">
        <v>2041</v>
      </c>
      <c r="AW81" s="1">
        <v>2042</v>
      </c>
      <c r="AX81" s="1">
        <v>2043</v>
      </c>
      <c r="AY81" s="1">
        <v>2044</v>
      </c>
      <c r="AZ81" s="1">
        <v>2045</v>
      </c>
      <c r="BA81" s="1">
        <v>2046</v>
      </c>
      <c r="BB81" s="1">
        <v>2047</v>
      </c>
      <c r="BC81" s="1">
        <v>2048</v>
      </c>
      <c r="BD81" s="1">
        <v>2049</v>
      </c>
      <c r="BE81" s="1">
        <v>2050</v>
      </c>
    </row>
    <row r="82" spans="1:57" x14ac:dyDescent="0.25">
      <c r="A82" s="1" t="str">
        <f>'Population Definitions'!$A$2</f>
        <v>PWID_males</v>
      </c>
      <c r="C82" t="s">
        <v>53</v>
      </c>
      <c r="D82" s="3"/>
      <c r="E82" s="3"/>
      <c r="F82" s="4" t="s">
        <v>39</v>
      </c>
      <c r="G82" s="3">
        <v>0.32669999999999999</v>
      </c>
      <c r="H82" s="3"/>
      <c r="I82" s="3"/>
      <c r="J82" s="3"/>
      <c r="K82" s="3"/>
      <c r="L82" s="3"/>
      <c r="M82" s="3"/>
      <c r="N82" s="3"/>
      <c r="O82" s="3"/>
      <c r="P82" s="3"/>
      <c r="Q82" s="3">
        <v>0.32669999999999999</v>
      </c>
      <c r="R82" s="3"/>
      <c r="S82" s="3"/>
      <c r="T82" s="3"/>
      <c r="U82" s="3"/>
      <c r="V82" s="3">
        <v>0.371</v>
      </c>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row>
    <row r="83" spans="1:57" x14ac:dyDescent="0.25">
      <c r="A83" s="1" t="str">
        <f>'Population Definitions'!$A$3</f>
        <v>PWID_females</v>
      </c>
      <c r="C83" t="s">
        <v>53</v>
      </c>
      <c r="D83" s="3"/>
      <c r="E83" s="3"/>
      <c r="F83" s="4" t="s">
        <v>39</v>
      </c>
      <c r="G83" s="3">
        <v>0.32669999999999999</v>
      </c>
      <c r="H83" s="3"/>
      <c r="I83" s="3"/>
      <c r="J83" s="3"/>
      <c r="K83" s="3"/>
      <c r="L83" s="3"/>
      <c r="M83" s="3"/>
      <c r="N83" s="3"/>
      <c r="O83" s="3"/>
      <c r="P83" s="3"/>
      <c r="Q83" s="3">
        <v>0.32669999999999999</v>
      </c>
      <c r="R83" s="3"/>
      <c r="S83" s="3"/>
      <c r="T83" s="3"/>
      <c r="U83" s="3"/>
      <c r="V83" s="3">
        <v>0.371</v>
      </c>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spans="1:57" x14ac:dyDescent="0.25">
      <c r="A84" s="1" t="str">
        <f>'Population Definitions'!$A$4</f>
        <v>0-9_males</v>
      </c>
      <c r="C84" t="s">
        <v>53</v>
      </c>
      <c r="D84" s="3"/>
      <c r="E84" s="3"/>
      <c r="F84" s="4" t="s">
        <v>39</v>
      </c>
      <c r="G84" s="3">
        <v>0</v>
      </c>
      <c r="H84" s="3"/>
      <c r="I84" s="3"/>
      <c r="J84" s="3"/>
      <c r="K84" s="3"/>
      <c r="L84" s="3"/>
      <c r="M84" s="3"/>
      <c r="N84" s="3"/>
      <c r="O84" s="3"/>
      <c r="P84" s="3"/>
      <c r="Q84" s="3">
        <v>0</v>
      </c>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5" spans="1:57" x14ac:dyDescent="0.25">
      <c r="A85" s="1" t="str">
        <f>'Population Definitions'!$A$5</f>
        <v>0-9_females</v>
      </c>
      <c r="C85" t="s">
        <v>53</v>
      </c>
      <c r="D85" s="3"/>
      <c r="E85" s="3"/>
      <c r="F85" s="4" t="s">
        <v>39</v>
      </c>
      <c r="G85" s="3">
        <v>0</v>
      </c>
      <c r="H85" s="3"/>
      <c r="I85" s="3"/>
      <c r="J85" s="3"/>
      <c r="K85" s="3"/>
      <c r="L85" s="3"/>
      <c r="M85" s="3"/>
      <c r="N85" s="3"/>
      <c r="O85" s="3"/>
      <c r="P85" s="3"/>
      <c r="Q85" s="3">
        <v>0</v>
      </c>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row>
    <row r="86" spans="1:57" x14ac:dyDescent="0.25">
      <c r="A86" s="1" t="str">
        <f>'Population Definitions'!$A$6</f>
        <v>10-17_males</v>
      </c>
      <c r="C86" t="s">
        <v>53</v>
      </c>
      <c r="D86" s="3"/>
      <c r="E86" s="3"/>
      <c r="F86" s="4" t="s">
        <v>39</v>
      </c>
      <c r="G86" s="3">
        <v>0</v>
      </c>
      <c r="H86" s="3"/>
      <c r="I86" s="3"/>
      <c r="J86" s="3"/>
      <c r="K86" s="3"/>
      <c r="L86" s="3"/>
      <c r="M86" s="3"/>
      <c r="N86" s="3"/>
      <c r="O86" s="3"/>
      <c r="P86" s="3"/>
      <c r="Q86" s="3">
        <v>0</v>
      </c>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row>
    <row r="87" spans="1:57" x14ac:dyDescent="0.25">
      <c r="A87" s="1" t="str">
        <f>'Population Definitions'!$A$7</f>
        <v>10-17_females</v>
      </c>
      <c r="C87" t="s">
        <v>53</v>
      </c>
      <c r="D87" s="3"/>
      <c r="E87" s="3"/>
      <c r="F87" s="4" t="s">
        <v>39</v>
      </c>
      <c r="G87" s="3">
        <v>0</v>
      </c>
      <c r="H87" s="3"/>
      <c r="I87" s="3"/>
      <c r="J87" s="3"/>
      <c r="K87" s="3"/>
      <c r="L87" s="3"/>
      <c r="M87" s="3"/>
      <c r="N87" s="3"/>
      <c r="O87" s="3"/>
      <c r="P87" s="3"/>
      <c r="Q87" s="3">
        <v>0</v>
      </c>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spans="1:57" x14ac:dyDescent="0.25">
      <c r="A88" s="1" t="str">
        <f>'Population Definitions'!$A$8</f>
        <v>18-64_males</v>
      </c>
      <c r="C88" t="s">
        <v>53</v>
      </c>
      <c r="D88" s="3"/>
      <c r="E88" s="3"/>
      <c r="F88" s="4" t="s">
        <v>39</v>
      </c>
      <c r="G88" s="3">
        <v>9.5602232937807605E-2</v>
      </c>
      <c r="H88" s="3"/>
      <c r="I88" s="3"/>
      <c r="J88" s="3"/>
      <c r="K88" s="3"/>
      <c r="L88" s="3"/>
      <c r="M88" s="3"/>
      <c r="N88" s="3"/>
      <c r="O88" s="3"/>
      <c r="P88" s="3"/>
      <c r="Q88" s="3">
        <v>0</v>
      </c>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spans="1:57" x14ac:dyDescent="0.25">
      <c r="A89" s="1" t="str">
        <f>'Population Definitions'!$A$9</f>
        <v>18-64_females</v>
      </c>
      <c r="C89" t="s">
        <v>53</v>
      </c>
      <c r="D89" s="3"/>
      <c r="E89" s="3"/>
      <c r="F89" s="4" t="s">
        <v>39</v>
      </c>
      <c r="G89" s="3">
        <v>9.5602232937807605E-2</v>
      </c>
      <c r="H89" s="3"/>
      <c r="I89" s="3"/>
      <c r="J89" s="3"/>
      <c r="K89" s="3"/>
      <c r="L89" s="3"/>
      <c r="M89" s="3"/>
      <c r="N89" s="3"/>
      <c r="O89" s="3"/>
      <c r="P89" s="3"/>
      <c r="Q89" s="3">
        <v>0</v>
      </c>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spans="1:57" x14ac:dyDescent="0.25">
      <c r="A90" s="1" t="str">
        <f>'Population Definitions'!$A$10</f>
        <v>65+_males</v>
      </c>
      <c r="C90" t="s">
        <v>53</v>
      </c>
      <c r="D90" s="3"/>
      <c r="E90" s="3"/>
      <c r="F90" s="4" t="s">
        <v>39</v>
      </c>
      <c r="G90" s="3">
        <v>9.5602232937807619E-2</v>
      </c>
      <c r="H90" s="3"/>
      <c r="I90" s="3"/>
      <c r="J90" s="3"/>
      <c r="K90" s="3"/>
      <c r="L90" s="3"/>
      <c r="M90" s="3"/>
      <c r="N90" s="3"/>
      <c r="O90" s="3"/>
      <c r="P90" s="3"/>
      <c r="Q90" s="3">
        <v>0</v>
      </c>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spans="1:57" x14ac:dyDescent="0.25">
      <c r="A91" s="1" t="str">
        <f>'Population Definitions'!$A$11</f>
        <v>65+_females</v>
      </c>
      <c r="C91" t="s">
        <v>53</v>
      </c>
      <c r="D91" s="3"/>
      <c r="E91" s="3"/>
      <c r="F91" s="4" t="s">
        <v>39</v>
      </c>
      <c r="G91" s="3">
        <v>9.5602232937807605E-2</v>
      </c>
      <c r="H91" s="3"/>
      <c r="I91" s="3"/>
      <c r="J91" s="3"/>
      <c r="K91" s="3"/>
      <c r="L91" s="3"/>
      <c r="M91" s="3"/>
      <c r="N91" s="3"/>
      <c r="O91" s="3"/>
      <c r="P91" s="3"/>
      <c r="Q91" s="3">
        <v>0</v>
      </c>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spans="1:57" x14ac:dyDescent="0.25">
      <c r="A92" s="1" t="str">
        <f>'Population Definitions'!$A$12</f>
        <v>Prisoners_males</v>
      </c>
      <c r="C92" t="s">
        <v>53</v>
      </c>
      <c r="D92" s="3"/>
      <c r="E92" s="3"/>
      <c r="F92" s="4" t="s">
        <v>39</v>
      </c>
      <c r="G92" s="3">
        <v>9.5602232937807591E-2</v>
      </c>
      <c r="H92" s="3"/>
      <c r="I92" s="3"/>
      <c r="J92" s="3"/>
      <c r="K92" s="3"/>
      <c r="L92" s="3"/>
      <c r="M92" s="3"/>
      <c r="N92" s="3"/>
      <c r="O92" s="3"/>
      <c r="P92" s="3"/>
      <c r="Q92" s="3">
        <v>0</v>
      </c>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spans="1:57" x14ac:dyDescent="0.25">
      <c r="A93" s="1" t="str">
        <f>'Population Definitions'!$A$13</f>
        <v>Prisoners_females</v>
      </c>
      <c r="C93" t="s">
        <v>53</v>
      </c>
      <c r="D93" s="3"/>
      <c r="E93" s="3"/>
      <c r="F93" s="4" t="s">
        <v>39</v>
      </c>
      <c r="G93" s="3">
        <v>9.5602232937807605E-2</v>
      </c>
      <c r="H93" s="3"/>
      <c r="I93" s="3"/>
      <c r="J93" s="3"/>
      <c r="K93" s="3"/>
      <c r="L93" s="3"/>
      <c r="M93" s="3"/>
      <c r="N93" s="3"/>
      <c r="O93" s="3"/>
      <c r="P93" s="3"/>
      <c r="Q93" s="3">
        <v>0</v>
      </c>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spans="1:57" x14ac:dyDescent="0.25">
      <c r="A94" s="1" t="str">
        <f>'Population Definitions'!$A$14</f>
        <v>Prisoners_PWID_males</v>
      </c>
      <c r="C94" t="s">
        <v>53</v>
      </c>
      <c r="D94" s="3"/>
      <c r="E94" s="3"/>
      <c r="F94" s="4" t="s">
        <v>39</v>
      </c>
      <c r="G94" s="3">
        <v>0.371</v>
      </c>
      <c r="H94" s="3"/>
      <c r="I94" s="3"/>
      <c r="J94" s="3"/>
      <c r="K94" s="3"/>
      <c r="L94" s="3"/>
      <c r="M94" s="3"/>
      <c r="N94" s="3"/>
      <c r="O94" s="3"/>
      <c r="P94" s="3"/>
      <c r="Q94" s="3">
        <v>0.371</v>
      </c>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spans="1:57" x14ac:dyDescent="0.25">
      <c r="A95" s="1" t="str">
        <f>'Population Definitions'!$A$15</f>
        <v>Prisoners_PWID_females</v>
      </c>
      <c r="C95" t="s">
        <v>53</v>
      </c>
      <c r="D95" s="3"/>
      <c r="E95" s="3"/>
      <c r="F95" s="4" t="s">
        <v>39</v>
      </c>
      <c r="G95" s="3">
        <v>0.371</v>
      </c>
      <c r="H95" s="3"/>
      <c r="I95" s="3"/>
      <c r="J95" s="3"/>
      <c r="K95" s="3"/>
      <c r="L95" s="3"/>
      <c r="M95" s="3"/>
      <c r="N95" s="3"/>
      <c r="O95" s="3"/>
      <c r="P95" s="3"/>
      <c r="Q95" s="3">
        <v>0.371</v>
      </c>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sheetData>
  <conditionalFormatting sqref="E2:E15">
    <cfRule type="expression" dxfId="1175" priority="1">
      <formula>COUNTIF(G2:BE2,"&lt;&gt;" &amp; "")&gt;0</formula>
    </cfRule>
    <cfRule type="expression" dxfId="1174" priority="2">
      <formula>AND(COUNTIF(G2:BE2,"&lt;&gt;" &amp; "")&gt;0,NOT(ISBLANK(E2)))</formula>
    </cfRule>
  </conditionalFormatting>
  <conditionalFormatting sqref="E18:E31">
    <cfRule type="expression" dxfId="1173" priority="29">
      <formula>COUNTIF(G18:BE18,"&lt;&gt;" &amp; "")&gt;0</formula>
    </cfRule>
    <cfRule type="expression" dxfId="1172" priority="30">
      <formula>AND(COUNTIF(G18:BE18,"&lt;&gt;" &amp; "")&gt;0,NOT(ISBLANK(E18)))</formula>
    </cfRule>
  </conditionalFormatting>
  <conditionalFormatting sqref="E34:E47">
    <cfRule type="expression" dxfId="1171" priority="57">
      <formula>COUNTIF(G34:BE34,"&lt;&gt;" &amp; "")&gt;0</formula>
    </cfRule>
    <cfRule type="expression" dxfId="1170" priority="58">
      <formula>AND(COUNTIF(G34:BE34,"&lt;&gt;" &amp; "")&gt;0,NOT(ISBLANK(E34)))</formula>
    </cfRule>
  </conditionalFormatting>
  <conditionalFormatting sqref="E50:E63">
    <cfRule type="expression" dxfId="1169" priority="85">
      <formula>COUNTIF(G50:BE50,"&lt;&gt;" &amp; "")&gt;0</formula>
    </cfRule>
    <cfRule type="expression" dxfId="1168" priority="86">
      <formula>AND(COUNTIF(G50:BE50,"&lt;&gt;" &amp; "")&gt;0,NOT(ISBLANK(E50)))</formula>
    </cfRule>
  </conditionalFormatting>
  <conditionalFormatting sqref="E66:E79">
    <cfRule type="expression" dxfId="1167" priority="113">
      <formula>COUNTIF(G66:BE66,"&lt;&gt;" &amp; "")&gt;0</formula>
    </cfRule>
    <cfRule type="expression" dxfId="1166" priority="114">
      <formula>AND(COUNTIF(G66:BE66,"&lt;&gt;" &amp; "")&gt;0,NOT(ISBLANK(E66)))</formula>
    </cfRule>
  </conditionalFormatting>
  <conditionalFormatting sqref="E82:E95">
    <cfRule type="expression" dxfId="1165" priority="141">
      <formula>COUNTIF(G82:BE82,"&lt;&gt;" &amp; "")&gt;0</formula>
    </cfRule>
    <cfRule type="expression" dxfId="1164" priority="142">
      <formula>AND(COUNTIF(G82:BE82,"&lt;&gt;" &amp; "")&gt;0,NOT(ISBLANK(E82)))</formula>
    </cfRule>
  </conditionalFormatting>
  <dataValidations count="2">
    <dataValidation type="list" allowBlank="1" showInputMessage="1" showErrorMessage="1" sqref="C50:C63 C34:C47 C18:C31 C2:C15" xr:uid="{00000000-0002-0000-0D00-000000000000}">
      <formula1>"N.A."</formula1>
    </dataValidation>
    <dataValidation type="list" allowBlank="1" showInputMessage="1" showErrorMessage="1" sqref="C82:C95 C66:C79" xr:uid="{00000000-0002-0000-0D00-000038000000}">
      <formula1>"Number (per year)"</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08080"/>
  </sheetPr>
  <dimension ref="A1:BE111"/>
  <sheetViews>
    <sheetView workbookViewId="0"/>
  </sheetViews>
  <sheetFormatPr defaultRowHeight="15" x14ac:dyDescent="0.25"/>
  <cols>
    <col min="1" max="1" width="76.5703125" customWidth="1"/>
    <col min="2" max="2" width="30.28515625" customWidth="1"/>
    <col min="3" max="3" width="25.85546875" customWidth="1"/>
    <col min="4" max="4" width="13.85546875" customWidth="1"/>
    <col min="5" max="5" width="10.5703125" customWidth="1"/>
    <col min="6" max="6" width="3.85546875" customWidth="1"/>
    <col min="7" max="57" width="9.42578125" customWidth="1"/>
  </cols>
  <sheetData>
    <row r="1" spans="1:57" x14ac:dyDescent="0.25">
      <c r="A1" s="1" t="s">
        <v>216</v>
      </c>
      <c r="B1" s="1" t="s">
        <v>31</v>
      </c>
      <c r="C1" s="1" t="s">
        <v>32</v>
      </c>
      <c r="D1" s="1" t="s">
        <v>33</v>
      </c>
      <c r="E1" s="1" t="s">
        <v>38</v>
      </c>
      <c r="F1" s="1"/>
      <c r="G1" s="1">
        <v>2000</v>
      </c>
      <c r="H1" s="1">
        <v>2001</v>
      </c>
      <c r="I1" s="1">
        <v>2002</v>
      </c>
      <c r="J1" s="1">
        <v>2003</v>
      </c>
      <c r="K1" s="1">
        <v>2004</v>
      </c>
      <c r="L1" s="1">
        <v>2005</v>
      </c>
      <c r="M1" s="1">
        <v>2006</v>
      </c>
      <c r="N1" s="1">
        <v>2007</v>
      </c>
      <c r="O1" s="1">
        <v>2008</v>
      </c>
      <c r="P1" s="1">
        <v>2009</v>
      </c>
      <c r="Q1" s="1">
        <v>2010</v>
      </c>
      <c r="R1" s="1">
        <v>2011</v>
      </c>
      <c r="S1" s="1">
        <v>2012</v>
      </c>
      <c r="T1" s="1">
        <v>2013</v>
      </c>
      <c r="U1" s="1">
        <v>2014</v>
      </c>
      <c r="V1" s="1">
        <v>2015</v>
      </c>
      <c r="W1" s="1">
        <v>2016</v>
      </c>
      <c r="X1" s="1">
        <v>2017</v>
      </c>
      <c r="Y1" s="1">
        <v>2018</v>
      </c>
      <c r="Z1" s="1">
        <v>2019</v>
      </c>
      <c r="AA1" s="1">
        <v>2020</v>
      </c>
      <c r="AB1" s="1">
        <v>2021</v>
      </c>
      <c r="AC1" s="1">
        <v>2022</v>
      </c>
      <c r="AD1" s="1">
        <v>2023</v>
      </c>
      <c r="AE1" s="1">
        <v>2024</v>
      </c>
      <c r="AF1" s="1">
        <v>2025</v>
      </c>
      <c r="AG1" s="1">
        <v>2026</v>
      </c>
      <c r="AH1" s="1">
        <v>2027</v>
      </c>
      <c r="AI1" s="1">
        <v>2028</v>
      </c>
      <c r="AJ1" s="1">
        <v>2029</v>
      </c>
      <c r="AK1" s="1">
        <v>2030</v>
      </c>
      <c r="AL1" s="1">
        <v>2031</v>
      </c>
      <c r="AM1" s="1">
        <v>2032</v>
      </c>
      <c r="AN1" s="1">
        <v>2033</v>
      </c>
      <c r="AO1" s="1">
        <v>2034</v>
      </c>
      <c r="AP1" s="1">
        <v>2035</v>
      </c>
      <c r="AQ1" s="1">
        <v>2036</v>
      </c>
      <c r="AR1" s="1">
        <v>2037</v>
      </c>
      <c r="AS1" s="1">
        <v>2038</v>
      </c>
      <c r="AT1" s="1">
        <v>2039</v>
      </c>
      <c r="AU1" s="1">
        <v>2040</v>
      </c>
      <c r="AV1" s="1">
        <v>2041</v>
      </c>
      <c r="AW1" s="1">
        <v>2042</v>
      </c>
      <c r="AX1" s="1">
        <v>2043</v>
      </c>
      <c r="AY1" s="1">
        <v>2044</v>
      </c>
      <c r="AZ1" s="1">
        <v>2045</v>
      </c>
      <c r="BA1" s="1">
        <v>2046</v>
      </c>
      <c r="BB1" s="1">
        <v>2047</v>
      </c>
      <c r="BC1" s="1">
        <v>2048</v>
      </c>
      <c r="BD1" s="1">
        <v>2049</v>
      </c>
      <c r="BE1" s="1">
        <v>2050</v>
      </c>
    </row>
    <row r="2" spans="1:57" x14ac:dyDescent="0.25">
      <c r="A2" s="1" t="str">
        <f>'Population Definitions'!$A$2</f>
        <v>PWID_males</v>
      </c>
      <c r="B2" t="s">
        <v>62</v>
      </c>
      <c r="C2" t="s">
        <v>217</v>
      </c>
      <c r="D2" s="3"/>
      <c r="E2" s="3">
        <v>0</v>
      </c>
      <c r="F2" s="4" t="s">
        <v>39</v>
      </c>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row>
    <row r="3" spans="1:57" x14ac:dyDescent="0.25">
      <c r="A3" s="1" t="str">
        <f>'Population Definitions'!$A$3</f>
        <v>PWID_females</v>
      </c>
      <c r="B3" t="s">
        <v>62</v>
      </c>
      <c r="C3" t="s">
        <v>217</v>
      </c>
      <c r="D3" s="3"/>
      <c r="E3" s="3">
        <v>0</v>
      </c>
      <c r="F3" s="4" t="s">
        <v>39</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row>
    <row r="4" spans="1:57" x14ac:dyDescent="0.25">
      <c r="A4" s="1" t="str">
        <f>'Population Definitions'!$A$4</f>
        <v>0-9_males</v>
      </c>
      <c r="B4" t="s">
        <v>62</v>
      </c>
      <c r="C4" t="s">
        <v>217</v>
      </c>
      <c r="D4" s="3"/>
      <c r="E4" s="3">
        <v>0</v>
      </c>
      <c r="F4" s="4" t="s">
        <v>39</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row>
    <row r="5" spans="1:57" x14ac:dyDescent="0.25">
      <c r="A5" s="1" t="str">
        <f>'Population Definitions'!$A$5</f>
        <v>0-9_females</v>
      </c>
      <c r="B5" t="s">
        <v>62</v>
      </c>
      <c r="C5" t="s">
        <v>217</v>
      </c>
      <c r="D5" s="3"/>
      <c r="E5" s="3">
        <v>0</v>
      </c>
      <c r="F5" s="4" t="s">
        <v>39</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row>
    <row r="6" spans="1:57" x14ac:dyDescent="0.25">
      <c r="A6" s="1" t="str">
        <f>'Population Definitions'!$A$6</f>
        <v>10-17_males</v>
      </c>
      <c r="B6" t="s">
        <v>62</v>
      </c>
      <c r="C6" t="s">
        <v>217</v>
      </c>
      <c r="D6" s="3"/>
      <c r="E6" s="3">
        <v>0</v>
      </c>
      <c r="F6" s="4" t="s">
        <v>39</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row>
    <row r="7" spans="1:57" x14ac:dyDescent="0.25">
      <c r="A7" s="1" t="str">
        <f>'Population Definitions'!$A$7</f>
        <v>10-17_females</v>
      </c>
      <c r="B7" t="s">
        <v>62</v>
      </c>
      <c r="C7" t="s">
        <v>217</v>
      </c>
      <c r="D7" s="3"/>
      <c r="E7" s="3">
        <v>0</v>
      </c>
      <c r="F7" s="4" t="s">
        <v>39</v>
      </c>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row>
    <row r="8" spans="1:57" x14ac:dyDescent="0.25">
      <c r="A8" s="1" t="str">
        <f>'Population Definitions'!$A$8</f>
        <v>18-64_males</v>
      </c>
      <c r="B8" t="s">
        <v>62</v>
      </c>
      <c r="C8" t="s">
        <v>217</v>
      </c>
      <c r="D8" s="3"/>
      <c r="E8" s="3">
        <v>0</v>
      </c>
      <c r="F8" s="4" t="s">
        <v>39</v>
      </c>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row>
    <row r="9" spans="1:57" x14ac:dyDescent="0.25">
      <c r="A9" s="1" t="str">
        <f>'Population Definitions'!$A$9</f>
        <v>18-64_females</v>
      </c>
      <c r="B9" t="s">
        <v>62</v>
      </c>
      <c r="C9" t="s">
        <v>217</v>
      </c>
      <c r="D9" s="3"/>
      <c r="E9" s="3">
        <v>0</v>
      </c>
      <c r="F9" s="4" t="s">
        <v>39</v>
      </c>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row>
    <row r="10" spans="1:57" x14ac:dyDescent="0.25">
      <c r="A10" s="1" t="str">
        <f>'Population Definitions'!$A$10</f>
        <v>65+_males</v>
      </c>
      <c r="B10" t="s">
        <v>62</v>
      </c>
      <c r="C10" t="s">
        <v>217</v>
      </c>
      <c r="D10" s="3"/>
      <c r="E10" s="3">
        <v>0</v>
      </c>
      <c r="F10" s="4" t="s">
        <v>39</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row>
    <row r="11" spans="1:57" x14ac:dyDescent="0.25">
      <c r="A11" s="1" t="str">
        <f>'Population Definitions'!$A$11</f>
        <v>65+_females</v>
      </c>
      <c r="B11" t="s">
        <v>62</v>
      </c>
      <c r="C11" t="s">
        <v>217</v>
      </c>
      <c r="D11" s="3"/>
      <c r="E11" s="3">
        <v>0</v>
      </c>
      <c r="F11" s="4" t="s">
        <v>39</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row>
    <row r="12" spans="1:57" x14ac:dyDescent="0.25">
      <c r="A12" s="1" t="str">
        <f>'Population Definitions'!$A$12</f>
        <v>Prisoners_males</v>
      </c>
      <c r="B12" t="s">
        <v>62</v>
      </c>
      <c r="C12" t="s">
        <v>217</v>
      </c>
      <c r="D12" s="3"/>
      <c r="E12" s="3">
        <v>0</v>
      </c>
      <c r="F12" s="4" t="s">
        <v>39</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row>
    <row r="13" spans="1:57" x14ac:dyDescent="0.25">
      <c r="A13" s="1" t="str">
        <f>'Population Definitions'!$A$13</f>
        <v>Prisoners_females</v>
      </c>
      <c r="B13" t="s">
        <v>62</v>
      </c>
      <c r="C13" t="s">
        <v>217</v>
      </c>
      <c r="D13" s="3"/>
      <c r="E13" s="3">
        <v>0</v>
      </c>
      <c r="F13" s="4" t="s">
        <v>39</v>
      </c>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row>
    <row r="14" spans="1:57" x14ac:dyDescent="0.25">
      <c r="A14" s="1" t="str">
        <f>'Population Definitions'!$A$14</f>
        <v>Prisoners_PWID_males</v>
      </c>
      <c r="B14" t="s">
        <v>62</v>
      </c>
      <c r="C14" t="s">
        <v>217</v>
      </c>
      <c r="D14" s="3"/>
      <c r="E14" s="3">
        <v>0</v>
      </c>
      <c r="F14" s="4" t="s">
        <v>39</v>
      </c>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row>
    <row r="15" spans="1:57" x14ac:dyDescent="0.25">
      <c r="A15" s="1" t="str">
        <f>'Population Definitions'!$A$15</f>
        <v>Prisoners_PWID_females</v>
      </c>
      <c r="B15" t="s">
        <v>62</v>
      </c>
      <c r="C15" t="s">
        <v>217</v>
      </c>
      <c r="D15" s="3"/>
      <c r="E15" s="3">
        <v>0</v>
      </c>
      <c r="F15" s="4" t="s">
        <v>39</v>
      </c>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row>
    <row r="17" spans="1:57" x14ac:dyDescent="0.25">
      <c r="A17" s="1" t="s">
        <v>218</v>
      </c>
      <c r="B17" s="1" t="s">
        <v>31</v>
      </c>
      <c r="C17" s="1" t="s">
        <v>32</v>
      </c>
      <c r="D17" s="1" t="s">
        <v>33</v>
      </c>
      <c r="E17" s="1" t="s">
        <v>38</v>
      </c>
      <c r="F17" s="1"/>
      <c r="G17" s="1">
        <v>2000</v>
      </c>
      <c r="H17" s="1">
        <v>2001</v>
      </c>
      <c r="I17" s="1">
        <v>2002</v>
      </c>
      <c r="J17" s="1">
        <v>2003</v>
      </c>
      <c r="K17" s="1">
        <v>2004</v>
      </c>
      <c r="L17" s="1">
        <v>2005</v>
      </c>
      <c r="M17" s="1">
        <v>2006</v>
      </c>
      <c r="N17" s="1">
        <v>2007</v>
      </c>
      <c r="O17" s="1">
        <v>2008</v>
      </c>
      <c r="P17" s="1">
        <v>2009</v>
      </c>
      <c r="Q17" s="1">
        <v>2010</v>
      </c>
      <c r="R17" s="1">
        <v>2011</v>
      </c>
      <c r="S17" s="1">
        <v>2012</v>
      </c>
      <c r="T17" s="1">
        <v>2013</v>
      </c>
      <c r="U17" s="1">
        <v>2014</v>
      </c>
      <c r="V17" s="1">
        <v>2015</v>
      </c>
      <c r="W17" s="1">
        <v>2016</v>
      </c>
      <c r="X17" s="1">
        <v>2017</v>
      </c>
      <c r="Y17" s="1">
        <v>2018</v>
      </c>
      <c r="Z17" s="1">
        <v>2019</v>
      </c>
      <c r="AA17" s="1">
        <v>2020</v>
      </c>
      <c r="AB17" s="1">
        <v>2021</v>
      </c>
      <c r="AC17" s="1">
        <v>2022</v>
      </c>
      <c r="AD17" s="1">
        <v>2023</v>
      </c>
      <c r="AE17" s="1">
        <v>2024</v>
      </c>
      <c r="AF17" s="1">
        <v>2025</v>
      </c>
      <c r="AG17" s="1">
        <v>2026</v>
      </c>
      <c r="AH17" s="1">
        <v>2027</v>
      </c>
      <c r="AI17" s="1">
        <v>2028</v>
      </c>
      <c r="AJ17" s="1">
        <v>2029</v>
      </c>
      <c r="AK17" s="1">
        <v>2030</v>
      </c>
      <c r="AL17" s="1">
        <v>2031</v>
      </c>
      <c r="AM17" s="1">
        <v>2032</v>
      </c>
      <c r="AN17" s="1">
        <v>2033</v>
      </c>
      <c r="AO17" s="1">
        <v>2034</v>
      </c>
      <c r="AP17" s="1">
        <v>2035</v>
      </c>
      <c r="AQ17" s="1">
        <v>2036</v>
      </c>
      <c r="AR17" s="1">
        <v>2037</v>
      </c>
      <c r="AS17" s="1">
        <v>2038</v>
      </c>
      <c r="AT17" s="1">
        <v>2039</v>
      </c>
      <c r="AU17" s="1">
        <v>2040</v>
      </c>
      <c r="AV17" s="1">
        <v>2041</v>
      </c>
      <c r="AW17" s="1">
        <v>2042</v>
      </c>
      <c r="AX17" s="1">
        <v>2043</v>
      </c>
      <c r="AY17" s="1">
        <v>2044</v>
      </c>
      <c r="AZ17" s="1">
        <v>2045</v>
      </c>
      <c r="BA17" s="1">
        <v>2046</v>
      </c>
      <c r="BB17" s="1">
        <v>2047</v>
      </c>
      <c r="BC17" s="1">
        <v>2048</v>
      </c>
      <c r="BD17" s="1">
        <v>2049</v>
      </c>
      <c r="BE17" s="1">
        <v>2050</v>
      </c>
    </row>
    <row r="18" spans="1:57" x14ac:dyDescent="0.25">
      <c r="A18" s="1" t="str">
        <f>'Population Definitions'!$A$2</f>
        <v>PWID_males</v>
      </c>
      <c r="B18" t="s">
        <v>62</v>
      </c>
      <c r="C18" t="s">
        <v>63</v>
      </c>
      <c r="D18" s="3"/>
      <c r="E18" s="3">
        <v>5</v>
      </c>
      <c r="F18" s="4" t="s">
        <v>39</v>
      </c>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row>
    <row r="19" spans="1:57" x14ac:dyDescent="0.25">
      <c r="A19" s="1" t="str">
        <f>'Population Definitions'!$A$3</f>
        <v>PWID_females</v>
      </c>
      <c r="B19" t="s">
        <v>62</v>
      </c>
      <c r="C19" t="s">
        <v>63</v>
      </c>
      <c r="D19" s="3"/>
      <c r="E19" s="3">
        <v>5</v>
      </c>
      <c r="F19" s="4" t="s">
        <v>39</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row>
    <row r="20" spans="1:57" x14ac:dyDescent="0.25">
      <c r="A20" s="1" t="str">
        <f>'Population Definitions'!$A$4</f>
        <v>0-9_males</v>
      </c>
      <c r="B20" t="s">
        <v>62</v>
      </c>
      <c r="C20" t="s">
        <v>63</v>
      </c>
      <c r="D20" s="3"/>
      <c r="E20" s="3">
        <v>5</v>
      </c>
      <c r="F20" s="4" t="s">
        <v>39</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row>
    <row r="21" spans="1:57" x14ac:dyDescent="0.25">
      <c r="A21" s="1" t="str">
        <f>'Population Definitions'!$A$5</f>
        <v>0-9_females</v>
      </c>
      <c r="B21" t="s">
        <v>62</v>
      </c>
      <c r="C21" t="s">
        <v>63</v>
      </c>
      <c r="D21" s="3"/>
      <c r="E21" s="3">
        <v>5</v>
      </c>
      <c r="F21" s="4" t="s">
        <v>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row>
    <row r="22" spans="1:57" x14ac:dyDescent="0.25">
      <c r="A22" s="1" t="str">
        <f>'Population Definitions'!$A$6</f>
        <v>10-17_males</v>
      </c>
      <c r="B22" t="s">
        <v>62</v>
      </c>
      <c r="C22" t="s">
        <v>63</v>
      </c>
      <c r="D22" s="3"/>
      <c r="E22" s="3">
        <v>5</v>
      </c>
      <c r="F22" s="4"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row>
    <row r="23" spans="1:57" x14ac:dyDescent="0.25">
      <c r="A23" s="1" t="str">
        <f>'Population Definitions'!$A$7</f>
        <v>10-17_females</v>
      </c>
      <c r="B23" t="s">
        <v>62</v>
      </c>
      <c r="C23" t="s">
        <v>63</v>
      </c>
      <c r="D23" s="3"/>
      <c r="E23" s="3">
        <v>5</v>
      </c>
      <c r="F23" s="4" t="s">
        <v>39</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row>
    <row r="24" spans="1:57" x14ac:dyDescent="0.25">
      <c r="A24" s="1" t="str">
        <f>'Population Definitions'!$A$8</f>
        <v>18-64_males</v>
      </c>
      <c r="B24" t="s">
        <v>62</v>
      </c>
      <c r="C24" t="s">
        <v>63</v>
      </c>
      <c r="D24" s="3"/>
      <c r="E24" s="3">
        <v>5</v>
      </c>
      <c r="F24" s="4" t="s">
        <v>39</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row>
    <row r="25" spans="1:57" x14ac:dyDescent="0.25">
      <c r="A25" s="1" t="str">
        <f>'Population Definitions'!$A$9</f>
        <v>18-64_females</v>
      </c>
      <c r="B25" t="s">
        <v>62</v>
      </c>
      <c r="C25" t="s">
        <v>63</v>
      </c>
      <c r="D25" s="3"/>
      <c r="E25" s="3">
        <v>5</v>
      </c>
      <c r="F25" s="4" t="s">
        <v>39</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row>
    <row r="26" spans="1:57" x14ac:dyDescent="0.25">
      <c r="A26" s="1" t="str">
        <f>'Population Definitions'!$A$10</f>
        <v>65+_males</v>
      </c>
      <c r="B26" t="s">
        <v>62</v>
      </c>
      <c r="C26" t="s">
        <v>63</v>
      </c>
      <c r="D26" s="3"/>
      <c r="E26" s="3">
        <v>5</v>
      </c>
      <c r="F26" s="4" t="s">
        <v>39</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row>
    <row r="27" spans="1:57" x14ac:dyDescent="0.25">
      <c r="A27" s="1" t="str">
        <f>'Population Definitions'!$A$11</f>
        <v>65+_females</v>
      </c>
      <c r="B27" t="s">
        <v>62</v>
      </c>
      <c r="C27" t="s">
        <v>63</v>
      </c>
      <c r="D27" s="3"/>
      <c r="E27" s="3">
        <v>5</v>
      </c>
      <c r="F27" s="4" t="s">
        <v>39</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row>
    <row r="28" spans="1:57" x14ac:dyDescent="0.25">
      <c r="A28" s="1" t="str">
        <f>'Population Definitions'!$A$12</f>
        <v>Prisoners_males</v>
      </c>
      <c r="B28" t="s">
        <v>62</v>
      </c>
      <c r="C28" t="s">
        <v>63</v>
      </c>
      <c r="D28" s="3"/>
      <c r="E28" s="3">
        <v>5</v>
      </c>
      <c r="F28" s="4" t="s">
        <v>39</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row>
    <row r="29" spans="1:57" x14ac:dyDescent="0.25">
      <c r="A29" s="1" t="str">
        <f>'Population Definitions'!$A$13</f>
        <v>Prisoners_females</v>
      </c>
      <c r="B29" t="s">
        <v>62</v>
      </c>
      <c r="C29" t="s">
        <v>63</v>
      </c>
      <c r="D29" s="3"/>
      <c r="E29" s="3">
        <v>5</v>
      </c>
      <c r="F29" s="4" t="s">
        <v>39</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row>
    <row r="30" spans="1:57" x14ac:dyDescent="0.25">
      <c r="A30" s="1" t="str">
        <f>'Population Definitions'!$A$14</f>
        <v>Prisoners_PWID_males</v>
      </c>
      <c r="B30" t="s">
        <v>62</v>
      </c>
      <c r="C30" t="s">
        <v>63</v>
      </c>
      <c r="D30" s="3"/>
      <c r="E30" s="3">
        <v>5</v>
      </c>
      <c r="F30" s="4" t="s">
        <v>39</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row>
    <row r="31" spans="1:57" x14ac:dyDescent="0.25">
      <c r="A31" s="1" t="str">
        <f>'Population Definitions'!$A$15</f>
        <v>Prisoners_PWID_females</v>
      </c>
      <c r="B31" t="s">
        <v>62</v>
      </c>
      <c r="C31" t="s">
        <v>63</v>
      </c>
      <c r="D31" s="3"/>
      <c r="E31" s="3">
        <v>5</v>
      </c>
      <c r="F31" s="4" t="s">
        <v>39</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row>
    <row r="33" spans="1:57" x14ac:dyDescent="0.25">
      <c r="A33" s="1" t="s">
        <v>219</v>
      </c>
      <c r="B33" s="1" t="s">
        <v>31</v>
      </c>
      <c r="C33" s="1" t="s">
        <v>32</v>
      </c>
      <c r="D33" s="1" t="s">
        <v>33</v>
      </c>
      <c r="E33" s="1" t="s">
        <v>38</v>
      </c>
      <c r="F33" s="1"/>
      <c r="G33" s="1">
        <v>2000</v>
      </c>
      <c r="H33" s="1">
        <v>2001</v>
      </c>
      <c r="I33" s="1">
        <v>2002</v>
      </c>
      <c r="J33" s="1">
        <v>2003</v>
      </c>
      <c r="K33" s="1">
        <v>2004</v>
      </c>
      <c r="L33" s="1">
        <v>2005</v>
      </c>
      <c r="M33" s="1">
        <v>2006</v>
      </c>
      <c r="N33" s="1">
        <v>2007</v>
      </c>
      <c r="O33" s="1">
        <v>2008</v>
      </c>
      <c r="P33" s="1">
        <v>2009</v>
      </c>
      <c r="Q33" s="1">
        <v>2010</v>
      </c>
      <c r="R33" s="1">
        <v>2011</v>
      </c>
      <c r="S33" s="1">
        <v>2012</v>
      </c>
      <c r="T33" s="1">
        <v>2013</v>
      </c>
      <c r="U33" s="1">
        <v>2014</v>
      </c>
      <c r="V33" s="1">
        <v>2015</v>
      </c>
      <c r="W33" s="1">
        <v>2016</v>
      </c>
      <c r="X33" s="1">
        <v>2017</v>
      </c>
      <c r="Y33" s="1">
        <v>2018</v>
      </c>
      <c r="Z33" s="1">
        <v>2019</v>
      </c>
      <c r="AA33" s="1">
        <v>2020</v>
      </c>
      <c r="AB33" s="1">
        <v>2021</v>
      </c>
      <c r="AC33" s="1">
        <v>2022</v>
      </c>
      <c r="AD33" s="1">
        <v>2023</v>
      </c>
      <c r="AE33" s="1">
        <v>2024</v>
      </c>
      <c r="AF33" s="1">
        <v>2025</v>
      </c>
      <c r="AG33" s="1">
        <v>2026</v>
      </c>
      <c r="AH33" s="1">
        <v>2027</v>
      </c>
      <c r="AI33" s="1">
        <v>2028</v>
      </c>
      <c r="AJ33" s="1">
        <v>2029</v>
      </c>
      <c r="AK33" s="1">
        <v>2030</v>
      </c>
      <c r="AL33" s="1">
        <v>2031</v>
      </c>
      <c r="AM33" s="1">
        <v>2032</v>
      </c>
      <c r="AN33" s="1">
        <v>2033</v>
      </c>
      <c r="AO33" s="1">
        <v>2034</v>
      </c>
      <c r="AP33" s="1">
        <v>2035</v>
      </c>
      <c r="AQ33" s="1">
        <v>2036</v>
      </c>
      <c r="AR33" s="1">
        <v>2037</v>
      </c>
      <c r="AS33" s="1">
        <v>2038</v>
      </c>
      <c r="AT33" s="1">
        <v>2039</v>
      </c>
      <c r="AU33" s="1">
        <v>2040</v>
      </c>
      <c r="AV33" s="1">
        <v>2041</v>
      </c>
      <c r="AW33" s="1">
        <v>2042</v>
      </c>
      <c r="AX33" s="1">
        <v>2043</v>
      </c>
      <c r="AY33" s="1">
        <v>2044</v>
      </c>
      <c r="AZ33" s="1">
        <v>2045</v>
      </c>
      <c r="BA33" s="1">
        <v>2046</v>
      </c>
      <c r="BB33" s="1">
        <v>2047</v>
      </c>
      <c r="BC33" s="1">
        <v>2048</v>
      </c>
      <c r="BD33" s="1">
        <v>2049</v>
      </c>
      <c r="BE33" s="1">
        <v>2050</v>
      </c>
    </row>
    <row r="34" spans="1:57" x14ac:dyDescent="0.25">
      <c r="A34" s="1" t="str">
        <f>'Population Definitions'!$A$2</f>
        <v>PWID_males</v>
      </c>
      <c r="B34" t="s">
        <v>62</v>
      </c>
      <c r="C34" t="s">
        <v>50</v>
      </c>
      <c r="D34" s="3"/>
      <c r="E34" s="3">
        <v>0.8</v>
      </c>
      <c r="F34" s="4" t="s">
        <v>39</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row>
    <row r="35" spans="1:57" x14ac:dyDescent="0.25">
      <c r="A35" s="1" t="str">
        <f>'Population Definitions'!$A$3</f>
        <v>PWID_females</v>
      </c>
      <c r="B35" t="s">
        <v>62</v>
      </c>
      <c r="C35" t="s">
        <v>50</v>
      </c>
      <c r="D35" s="3"/>
      <c r="E35" s="3">
        <v>0.8</v>
      </c>
      <c r="F35" s="4" t="s">
        <v>39</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row>
    <row r="36" spans="1:57" x14ac:dyDescent="0.25">
      <c r="A36" s="1" t="str">
        <f>'Population Definitions'!$A$4</f>
        <v>0-9_males</v>
      </c>
      <c r="B36" t="s">
        <v>62</v>
      </c>
      <c r="C36" t="s">
        <v>50</v>
      </c>
      <c r="D36" s="3"/>
      <c r="E36" s="3">
        <v>0.8</v>
      </c>
      <c r="F36" s="4" t="s">
        <v>39</v>
      </c>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row>
    <row r="37" spans="1:57" x14ac:dyDescent="0.25">
      <c r="A37" s="1" t="str">
        <f>'Population Definitions'!$A$5</f>
        <v>0-9_females</v>
      </c>
      <c r="B37" t="s">
        <v>62</v>
      </c>
      <c r="C37" t="s">
        <v>50</v>
      </c>
      <c r="D37" s="3"/>
      <c r="E37" s="3">
        <v>0.8</v>
      </c>
      <c r="F37" s="4" t="s">
        <v>39</v>
      </c>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row>
    <row r="38" spans="1:57" x14ac:dyDescent="0.25">
      <c r="A38" s="1" t="str">
        <f>'Population Definitions'!$A$6</f>
        <v>10-17_males</v>
      </c>
      <c r="B38" t="s">
        <v>62</v>
      </c>
      <c r="C38" t="s">
        <v>50</v>
      </c>
      <c r="D38" s="3"/>
      <c r="E38" s="3">
        <v>0.8</v>
      </c>
      <c r="F38" s="4" t="s">
        <v>39</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row>
    <row r="39" spans="1:57" x14ac:dyDescent="0.25">
      <c r="A39" s="1" t="str">
        <f>'Population Definitions'!$A$7</f>
        <v>10-17_females</v>
      </c>
      <c r="B39" t="s">
        <v>62</v>
      </c>
      <c r="C39" t="s">
        <v>50</v>
      </c>
      <c r="D39" s="3"/>
      <c r="E39" s="3">
        <v>0.8</v>
      </c>
      <c r="F39" s="4" t="s">
        <v>39</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row>
    <row r="40" spans="1:57" x14ac:dyDescent="0.25">
      <c r="A40" s="1" t="str">
        <f>'Population Definitions'!$A$8</f>
        <v>18-64_males</v>
      </c>
      <c r="B40" t="s">
        <v>62</v>
      </c>
      <c r="C40" t="s">
        <v>50</v>
      </c>
      <c r="D40" s="3"/>
      <c r="E40" s="3">
        <v>0.8</v>
      </c>
      <c r="F40" s="4" t="s">
        <v>39</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row>
    <row r="41" spans="1:57" x14ac:dyDescent="0.25">
      <c r="A41" s="1" t="str">
        <f>'Population Definitions'!$A$9</f>
        <v>18-64_females</v>
      </c>
      <c r="B41" t="s">
        <v>62</v>
      </c>
      <c r="C41" t="s">
        <v>50</v>
      </c>
      <c r="D41" s="3"/>
      <c r="E41" s="3">
        <v>0.8</v>
      </c>
      <c r="F41" s="4" t="s">
        <v>39</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row>
    <row r="42" spans="1:57" x14ac:dyDescent="0.25">
      <c r="A42" s="1" t="str">
        <f>'Population Definitions'!$A$10</f>
        <v>65+_males</v>
      </c>
      <c r="B42" t="s">
        <v>62</v>
      </c>
      <c r="C42" t="s">
        <v>50</v>
      </c>
      <c r="D42" s="3"/>
      <c r="E42" s="3">
        <v>0.8</v>
      </c>
      <c r="F42" s="4" t="s">
        <v>39</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row>
    <row r="43" spans="1:57" x14ac:dyDescent="0.25">
      <c r="A43" s="1" t="str">
        <f>'Population Definitions'!$A$11</f>
        <v>65+_females</v>
      </c>
      <c r="B43" t="s">
        <v>62</v>
      </c>
      <c r="C43" t="s">
        <v>50</v>
      </c>
      <c r="D43" s="3"/>
      <c r="E43" s="3">
        <v>0.8</v>
      </c>
      <c r="F43" s="4" t="s">
        <v>39</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row>
    <row r="44" spans="1:57" x14ac:dyDescent="0.25">
      <c r="A44" s="1" t="str">
        <f>'Population Definitions'!$A$12</f>
        <v>Prisoners_males</v>
      </c>
      <c r="B44" t="s">
        <v>62</v>
      </c>
      <c r="C44" t="s">
        <v>50</v>
      </c>
      <c r="D44" s="3"/>
      <c r="E44" s="3">
        <v>0.8</v>
      </c>
      <c r="F44" s="4" t="s">
        <v>39</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row>
    <row r="45" spans="1:57" x14ac:dyDescent="0.25">
      <c r="A45" s="1" t="str">
        <f>'Population Definitions'!$A$13</f>
        <v>Prisoners_females</v>
      </c>
      <c r="B45" t="s">
        <v>62</v>
      </c>
      <c r="C45" t="s">
        <v>50</v>
      </c>
      <c r="D45" s="3"/>
      <c r="E45" s="3">
        <v>0.8</v>
      </c>
      <c r="F45" s="4" t="s">
        <v>39</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row>
    <row r="46" spans="1:57" x14ac:dyDescent="0.25">
      <c r="A46" s="1" t="str">
        <f>'Population Definitions'!$A$14</f>
        <v>Prisoners_PWID_males</v>
      </c>
      <c r="B46" t="s">
        <v>62</v>
      </c>
      <c r="C46" t="s">
        <v>50</v>
      </c>
      <c r="D46" s="3"/>
      <c r="E46" s="3">
        <v>0.8</v>
      </c>
      <c r="F46" s="4" t="s">
        <v>39</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row>
    <row r="47" spans="1:57" x14ac:dyDescent="0.25">
      <c r="A47" s="1" t="str">
        <f>'Population Definitions'!$A$15</f>
        <v>Prisoners_PWID_females</v>
      </c>
      <c r="B47" t="s">
        <v>62</v>
      </c>
      <c r="C47" t="s">
        <v>50</v>
      </c>
      <c r="D47" s="3"/>
      <c r="E47" s="3">
        <v>0.8</v>
      </c>
      <c r="F47" s="4" t="s">
        <v>39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row>
    <row r="49" spans="1:57" x14ac:dyDescent="0.25">
      <c r="A49" s="1" t="s">
        <v>220</v>
      </c>
      <c r="B49" s="1" t="s">
        <v>31</v>
      </c>
      <c r="C49" s="1" t="s">
        <v>32</v>
      </c>
      <c r="D49" s="1" t="s">
        <v>33</v>
      </c>
      <c r="E49" s="1" t="s">
        <v>38</v>
      </c>
      <c r="F49" s="1"/>
      <c r="G49" s="1">
        <v>2000</v>
      </c>
      <c r="H49" s="1">
        <v>2001</v>
      </c>
      <c r="I49" s="1">
        <v>2002</v>
      </c>
      <c r="J49" s="1">
        <v>2003</v>
      </c>
      <c r="K49" s="1">
        <v>2004</v>
      </c>
      <c r="L49" s="1">
        <v>2005</v>
      </c>
      <c r="M49" s="1">
        <v>2006</v>
      </c>
      <c r="N49" s="1">
        <v>2007</v>
      </c>
      <c r="O49" s="1">
        <v>2008</v>
      </c>
      <c r="P49" s="1">
        <v>2009</v>
      </c>
      <c r="Q49" s="1">
        <v>2010</v>
      </c>
      <c r="R49" s="1">
        <v>2011</v>
      </c>
      <c r="S49" s="1">
        <v>2012</v>
      </c>
      <c r="T49" s="1">
        <v>2013</v>
      </c>
      <c r="U49" s="1">
        <v>2014</v>
      </c>
      <c r="V49" s="1">
        <v>2015</v>
      </c>
      <c r="W49" s="1">
        <v>2016</v>
      </c>
      <c r="X49" s="1">
        <v>2017</v>
      </c>
      <c r="Y49" s="1">
        <v>2018</v>
      </c>
      <c r="Z49" s="1">
        <v>2019</v>
      </c>
      <c r="AA49" s="1">
        <v>2020</v>
      </c>
      <c r="AB49" s="1">
        <v>2021</v>
      </c>
      <c r="AC49" s="1">
        <v>2022</v>
      </c>
      <c r="AD49" s="1">
        <v>2023</v>
      </c>
      <c r="AE49" s="1">
        <v>2024</v>
      </c>
      <c r="AF49" s="1">
        <v>2025</v>
      </c>
      <c r="AG49" s="1">
        <v>2026</v>
      </c>
      <c r="AH49" s="1">
        <v>2027</v>
      </c>
      <c r="AI49" s="1">
        <v>2028</v>
      </c>
      <c r="AJ49" s="1">
        <v>2029</v>
      </c>
      <c r="AK49" s="1">
        <v>2030</v>
      </c>
      <c r="AL49" s="1">
        <v>2031</v>
      </c>
      <c r="AM49" s="1">
        <v>2032</v>
      </c>
      <c r="AN49" s="1">
        <v>2033</v>
      </c>
      <c r="AO49" s="1">
        <v>2034</v>
      </c>
      <c r="AP49" s="1">
        <v>2035</v>
      </c>
      <c r="AQ49" s="1">
        <v>2036</v>
      </c>
      <c r="AR49" s="1">
        <v>2037</v>
      </c>
      <c r="AS49" s="1">
        <v>2038</v>
      </c>
      <c r="AT49" s="1">
        <v>2039</v>
      </c>
      <c r="AU49" s="1">
        <v>2040</v>
      </c>
      <c r="AV49" s="1">
        <v>2041</v>
      </c>
      <c r="AW49" s="1">
        <v>2042</v>
      </c>
      <c r="AX49" s="1">
        <v>2043</v>
      </c>
      <c r="AY49" s="1">
        <v>2044</v>
      </c>
      <c r="AZ49" s="1">
        <v>2045</v>
      </c>
      <c r="BA49" s="1">
        <v>2046</v>
      </c>
      <c r="BB49" s="1">
        <v>2047</v>
      </c>
      <c r="BC49" s="1">
        <v>2048</v>
      </c>
      <c r="BD49" s="1">
        <v>2049</v>
      </c>
      <c r="BE49" s="1">
        <v>2050</v>
      </c>
    </row>
    <row r="50" spans="1:57" x14ac:dyDescent="0.25">
      <c r="A50" s="1" t="str">
        <f>'Population Definitions'!$A$2</f>
        <v>PWID_males</v>
      </c>
      <c r="B50" t="s">
        <v>62</v>
      </c>
      <c r="C50" t="s">
        <v>50</v>
      </c>
      <c r="D50" s="3"/>
      <c r="E50" s="3">
        <v>0.8</v>
      </c>
      <c r="F50" s="4" t="s">
        <v>39</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row>
    <row r="51" spans="1:57" x14ac:dyDescent="0.25">
      <c r="A51" s="1" t="str">
        <f>'Population Definitions'!$A$3</f>
        <v>PWID_females</v>
      </c>
      <c r="B51" t="s">
        <v>62</v>
      </c>
      <c r="C51" t="s">
        <v>50</v>
      </c>
      <c r="D51" s="3"/>
      <c r="E51" s="3">
        <v>0.8</v>
      </c>
      <c r="F51" s="4" t="s">
        <v>39</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row>
    <row r="52" spans="1:57" x14ac:dyDescent="0.25">
      <c r="A52" s="1" t="str">
        <f>'Population Definitions'!$A$4</f>
        <v>0-9_males</v>
      </c>
      <c r="B52" t="s">
        <v>62</v>
      </c>
      <c r="C52" t="s">
        <v>50</v>
      </c>
      <c r="D52" s="3"/>
      <c r="E52" s="3">
        <v>0.8</v>
      </c>
      <c r="F52" s="4" t="s">
        <v>39</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row>
    <row r="53" spans="1:57" x14ac:dyDescent="0.25">
      <c r="A53" s="1" t="str">
        <f>'Population Definitions'!$A$5</f>
        <v>0-9_females</v>
      </c>
      <c r="B53" t="s">
        <v>62</v>
      </c>
      <c r="C53" t="s">
        <v>50</v>
      </c>
      <c r="D53" s="3"/>
      <c r="E53" s="3">
        <v>0.8</v>
      </c>
      <c r="F53" s="4" t="s">
        <v>39</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row>
    <row r="54" spans="1:57" x14ac:dyDescent="0.25">
      <c r="A54" s="1" t="str">
        <f>'Population Definitions'!$A$6</f>
        <v>10-17_males</v>
      </c>
      <c r="B54" t="s">
        <v>62</v>
      </c>
      <c r="C54" t="s">
        <v>50</v>
      </c>
      <c r="D54" s="3"/>
      <c r="E54" s="3">
        <v>0.8</v>
      </c>
      <c r="F54" s="4" t="s">
        <v>39</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row>
    <row r="55" spans="1:57" x14ac:dyDescent="0.25">
      <c r="A55" s="1" t="str">
        <f>'Population Definitions'!$A$7</f>
        <v>10-17_females</v>
      </c>
      <c r="B55" t="s">
        <v>62</v>
      </c>
      <c r="C55" t="s">
        <v>50</v>
      </c>
      <c r="D55" s="3"/>
      <c r="E55" s="3">
        <v>0.8</v>
      </c>
      <c r="F55" s="4" t="s">
        <v>39</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row>
    <row r="56" spans="1:57" x14ac:dyDescent="0.25">
      <c r="A56" s="1" t="str">
        <f>'Population Definitions'!$A$8</f>
        <v>18-64_males</v>
      </c>
      <c r="B56" t="s">
        <v>62</v>
      </c>
      <c r="C56" t="s">
        <v>50</v>
      </c>
      <c r="D56" s="3"/>
      <c r="E56" s="3">
        <v>0.8</v>
      </c>
      <c r="F56" s="4" t="s">
        <v>39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row>
    <row r="57" spans="1:57" x14ac:dyDescent="0.25">
      <c r="A57" s="1" t="str">
        <f>'Population Definitions'!$A$9</f>
        <v>18-64_females</v>
      </c>
      <c r="B57" t="s">
        <v>62</v>
      </c>
      <c r="C57" t="s">
        <v>50</v>
      </c>
      <c r="D57" s="3"/>
      <c r="E57" s="3">
        <v>0.8</v>
      </c>
      <c r="F57" s="4" t="s">
        <v>39</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row>
    <row r="58" spans="1:57" x14ac:dyDescent="0.25">
      <c r="A58" s="1" t="str">
        <f>'Population Definitions'!$A$10</f>
        <v>65+_males</v>
      </c>
      <c r="B58" t="s">
        <v>62</v>
      </c>
      <c r="C58" t="s">
        <v>50</v>
      </c>
      <c r="D58" s="3"/>
      <c r="E58" s="3">
        <v>0.8</v>
      </c>
      <c r="F58" s="4" t="s">
        <v>39</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row>
    <row r="59" spans="1:57" x14ac:dyDescent="0.25">
      <c r="A59" s="1" t="str">
        <f>'Population Definitions'!$A$11</f>
        <v>65+_females</v>
      </c>
      <c r="B59" t="s">
        <v>62</v>
      </c>
      <c r="C59" t="s">
        <v>50</v>
      </c>
      <c r="D59" s="3"/>
      <c r="E59" s="3">
        <v>0.8</v>
      </c>
      <c r="F59" s="4" t="s">
        <v>39</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row>
    <row r="60" spans="1:57" x14ac:dyDescent="0.25">
      <c r="A60" s="1" t="str">
        <f>'Population Definitions'!$A$12</f>
        <v>Prisoners_males</v>
      </c>
      <c r="B60" t="s">
        <v>62</v>
      </c>
      <c r="C60" t="s">
        <v>50</v>
      </c>
      <c r="D60" s="3"/>
      <c r="E60" s="3">
        <v>0.8</v>
      </c>
      <c r="F60" s="4" t="s">
        <v>39</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row>
    <row r="61" spans="1:57" x14ac:dyDescent="0.25">
      <c r="A61" s="1" t="str">
        <f>'Population Definitions'!$A$13</f>
        <v>Prisoners_females</v>
      </c>
      <c r="B61" t="s">
        <v>62</v>
      </c>
      <c r="C61" t="s">
        <v>50</v>
      </c>
      <c r="D61" s="3"/>
      <c r="E61" s="3">
        <v>0.8</v>
      </c>
      <c r="F61" s="4" t="s">
        <v>39</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row>
    <row r="62" spans="1:57" x14ac:dyDescent="0.25">
      <c r="A62" s="1" t="str">
        <f>'Population Definitions'!$A$14</f>
        <v>Prisoners_PWID_males</v>
      </c>
      <c r="B62" t="s">
        <v>62</v>
      </c>
      <c r="C62" t="s">
        <v>50</v>
      </c>
      <c r="D62" s="3"/>
      <c r="E62" s="3">
        <v>0.8</v>
      </c>
      <c r="F62" s="4" t="s">
        <v>39</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row>
    <row r="63" spans="1:57" x14ac:dyDescent="0.25">
      <c r="A63" s="1" t="str">
        <f>'Population Definitions'!$A$15</f>
        <v>Prisoners_PWID_females</v>
      </c>
      <c r="B63" t="s">
        <v>62</v>
      </c>
      <c r="C63" t="s">
        <v>50</v>
      </c>
      <c r="D63" s="3"/>
      <c r="E63" s="3">
        <v>0.8</v>
      </c>
      <c r="F63" s="4" t="s">
        <v>39</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row>
    <row r="65" spans="1:57" x14ac:dyDescent="0.25">
      <c r="A65" s="1" t="s">
        <v>221</v>
      </c>
      <c r="B65" s="1" t="s">
        <v>31</v>
      </c>
      <c r="C65" s="1" t="s">
        <v>32</v>
      </c>
      <c r="D65" s="1" t="s">
        <v>33</v>
      </c>
      <c r="E65" s="1" t="s">
        <v>38</v>
      </c>
      <c r="F65" s="1"/>
      <c r="G65" s="1">
        <v>2000</v>
      </c>
      <c r="H65" s="1">
        <v>2001</v>
      </c>
      <c r="I65" s="1">
        <v>2002</v>
      </c>
      <c r="J65" s="1">
        <v>2003</v>
      </c>
      <c r="K65" s="1">
        <v>2004</v>
      </c>
      <c r="L65" s="1">
        <v>2005</v>
      </c>
      <c r="M65" s="1">
        <v>2006</v>
      </c>
      <c r="N65" s="1">
        <v>2007</v>
      </c>
      <c r="O65" s="1">
        <v>2008</v>
      </c>
      <c r="P65" s="1">
        <v>2009</v>
      </c>
      <c r="Q65" s="1">
        <v>2010</v>
      </c>
      <c r="R65" s="1">
        <v>2011</v>
      </c>
      <c r="S65" s="1">
        <v>2012</v>
      </c>
      <c r="T65" s="1">
        <v>2013</v>
      </c>
      <c r="U65" s="1">
        <v>2014</v>
      </c>
      <c r="V65" s="1">
        <v>2015</v>
      </c>
      <c r="W65" s="1">
        <v>2016</v>
      </c>
      <c r="X65" s="1">
        <v>2017</v>
      </c>
      <c r="Y65" s="1">
        <v>2018</v>
      </c>
      <c r="Z65" s="1">
        <v>2019</v>
      </c>
      <c r="AA65" s="1">
        <v>2020</v>
      </c>
      <c r="AB65" s="1">
        <v>2021</v>
      </c>
      <c r="AC65" s="1">
        <v>2022</v>
      </c>
      <c r="AD65" s="1">
        <v>2023</v>
      </c>
      <c r="AE65" s="1">
        <v>2024</v>
      </c>
      <c r="AF65" s="1">
        <v>2025</v>
      </c>
      <c r="AG65" s="1">
        <v>2026</v>
      </c>
      <c r="AH65" s="1">
        <v>2027</v>
      </c>
      <c r="AI65" s="1">
        <v>2028</v>
      </c>
      <c r="AJ65" s="1">
        <v>2029</v>
      </c>
      <c r="AK65" s="1">
        <v>2030</v>
      </c>
      <c r="AL65" s="1">
        <v>2031</v>
      </c>
      <c r="AM65" s="1">
        <v>2032</v>
      </c>
      <c r="AN65" s="1">
        <v>2033</v>
      </c>
      <c r="AO65" s="1">
        <v>2034</v>
      </c>
      <c r="AP65" s="1">
        <v>2035</v>
      </c>
      <c r="AQ65" s="1">
        <v>2036</v>
      </c>
      <c r="AR65" s="1">
        <v>2037</v>
      </c>
      <c r="AS65" s="1">
        <v>2038</v>
      </c>
      <c r="AT65" s="1">
        <v>2039</v>
      </c>
      <c r="AU65" s="1">
        <v>2040</v>
      </c>
      <c r="AV65" s="1">
        <v>2041</v>
      </c>
      <c r="AW65" s="1">
        <v>2042</v>
      </c>
      <c r="AX65" s="1">
        <v>2043</v>
      </c>
      <c r="AY65" s="1">
        <v>2044</v>
      </c>
      <c r="AZ65" s="1">
        <v>2045</v>
      </c>
      <c r="BA65" s="1">
        <v>2046</v>
      </c>
      <c r="BB65" s="1">
        <v>2047</v>
      </c>
      <c r="BC65" s="1">
        <v>2048</v>
      </c>
      <c r="BD65" s="1">
        <v>2049</v>
      </c>
      <c r="BE65" s="1">
        <v>2050</v>
      </c>
    </row>
    <row r="66" spans="1:57" x14ac:dyDescent="0.25">
      <c r="A66" s="1" t="str">
        <f>'Population Definitions'!$A$2</f>
        <v>PWID_males</v>
      </c>
      <c r="B66" t="s">
        <v>62</v>
      </c>
      <c r="C66" t="s">
        <v>63</v>
      </c>
      <c r="D66" s="3"/>
      <c r="E66" s="3">
        <v>1</v>
      </c>
      <c r="F66" s="4" t="s">
        <v>39</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row>
    <row r="67" spans="1:57" x14ac:dyDescent="0.25">
      <c r="A67" s="1" t="str">
        <f>'Population Definitions'!$A$3</f>
        <v>PWID_females</v>
      </c>
      <c r="B67" t="s">
        <v>62</v>
      </c>
      <c r="C67" t="s">
        <v>63</v>
      </c>
      <c r="D67" s="3"/>
      <c r="E67" s="3">
        <v>1</v>
      </c>
      <c r="F67" s="4" t="s">
        <v>39</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row>
    <row r="68" spans="1:57" x14ac:dyDescent="0.25">
      <c r="A68" s="1" t="str">
        <f>'Population Definitions'!$A$4</f>
        <v>0-9_males</v>
      </c>
      <c r="B68" t="s">
        <v>62</v>
      </c>
      <c r="C68" t="s">
        <v>63</v>
      </c>
      <c r="D68" s="3"/>
      <c r="E68" s="3">
        <v>1</v>
      </c>
      <c r="F68" s="4" t="s">
        <v>39</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row>
    <row r="69" spans="1:57" x14ac:dyDescent="0.25">
      <c r="A69" s="1" t="str">
        <f>'Population Definitions'!$A$5</f>
        <v>0-9_females</v>
      </c>
      <c r="B69" t="s">
        <v>62</v>
      </c>
      <c r="C69" t="s">
        <v>63</v>
      </c>
      <c r="D69" s="3"/>
      <c r="E69" s="3">
        <v>1</v>
      </c>
      <c r="F69" s="4" t="s">
        <v>39</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row>
    <row r="70" spans="1:57" x14ac:dyDescent="0.25">
      <c r="A70" s="1" t="str">
        <f>'Population Definitions'!$A$6</f>
        <v>10-17_males</v>
      </c>
      <c r="B70" t="s">
        <v>62</v>
      </c>
      <c r="C70" t="s">
        <v>63</v>
      </c>
      <c r="D70" s="3"/>
      <c r="E70" s="3">
        <v>1</v>
      </c>
      <c r="F70" s="4" t="s">
        <v>39</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row>
    <row r="71" spans="1:57" x14ac:dyDescent="0.25">
      <c r="A71" s="1" t="str">
        <f>'Population Definitions'!$A$7</f>
        <v>10-17_females</v>
      </c>
      <c r="B71" t="s">
        <v>62</v>
      </c>
      <c r="C71" t="s">
        <v>63</v>
      </c>
      <c r="D71" s="3"/>
      <c r="E71" s="3">
        <v>1</v>
      </c>
      <c r="F71" s="4" t="s">
        <v>39</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row>
    <row r="72" spans="1:57" x14ac:dyDescent="0.25">
      <c r="A72" s="1" t="str">
        <f>'Population Definitions'!$A$8</f>
        <v>18-64_males</v>
      </c>
      <c r="B72" t="s">
        <v>62</v>
      </c>
      <c r="C72" t="s">
        <v>63</v>
      </c>
      <c r="D72" s="3"/>
      <c r="E72" s="3">
        <v>1</v>
      </c>
      <c r="F72" s="4" t="s">
        <v>39</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row>
    <row r="73" spans="1:57" x14ac:dyDescent="0.25">
      <c r="A73" s="1" t="str">
        <f>'Population Definitions'!$A$9</f>
        <v>18-64_females</v>
      </c>
      <c r="B73" t="s">
        <v>62</v>
      </c>
      <c r="C73" t="s">
        <v>63</v>
      </c>
      <c r="D73" s="3"/>
      <c r="E73" s="3">
        <v>1</v>
      </c>
      <c r="F73" s="4" t="s">
        <v>39</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row>
    <row r="74" spans="1:57" x14ac:dyDescent="0.25">
      <c r="A74" s="1" t="str">
        <f>'Population Definitions'!$A$10</f>
        <v>65+_males</v>
      </c>
      <c r="B74" t="s">
        <v>62</v>
      </c>
      <c r="C74" t="s">
        <v>63</v>
      </c>
      <c r="D74" s="3"/>
      <c r="E74" s="3">
        <v>1</v>
      </c>
      <c r="F74" s="4" t="s">
        <v>39</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row>
    <row r="75" spans="1:57" x14ac:dyDescent="0.25">
      <c r="A75" s="1" t="str">
        <f>'Population Definitions'!$A$11</f>
        <v>65+_females</v>
      </c>
      <c r="B75" t="s">
        <v>62</v>
      </c>
      <c r="C75" t="s">
        <v>63</v>
      </c>
      <c r="D75" s="3"/>
      <c r="E75" s="3">
        <v>1</v>
      </c>
      <c r="F75" s="4" t="s">
        <v>39</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row>
    <row r="76" spans="1:57" x14ac:dyDescent="0.25">
      <c r="A76" s="1" t="str">
        <f>'Population Definitions'!$A$12</f>
        <v>Prisoners_males</v>
      </c>
      <c r="B76" t="s">
        <v>62</v>
      </c>
      <c r="C76" t="s">
        <v>63</v>
      </c>
      <c r="D76" s="3"/>
      <c r="E76" s="3">
        <v>1</v>
      </c>
      <c r="F76" s="4" t="s">
        <v>39</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row>
    <row r="77" spans="1:57" x14ac:dyDescent="0.25">
      <c r="A77" s="1" t="str">
        <f>'Population Definitions'!$A$13</f>
        <v>Prisoners_females</v>
      </c>
      <c r="B77" t="s">
        <v>62</v>
      </c>
      <c r="C77" t="s">
        <v>63</v>
      </c>
      <c r="D77" s="3"/>
      <c r="E77" s="3">
        <v>1</v>
      </c>
      <c r="F77" s="4" t="s">
        <v>39</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row>
    <row r="78" spans="1:57" x14ac:dyDescent="0.25">
      <c r="A78" s="1" t="str">
        <f>'Population Definitions'!$A$14</f>
        <v>Prisoners_PWID_males</v>
      </c>
      <c r="B78" t="s">
        <v>62</v>
      </c>
      <c r="C78" t="s">
        <v>63</v>
      </c>
      <c r="D78" s="3"/>
      <c r="E78" s="3">
        <v>1</v>
      </c>
      <c r="F78" s="4" t="s">
        <v>39</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row>
    <row r="79" spans="1:57" x14ac:dyDescent="0.25">
      <c r="A79" s="1" t="str">
        <f>'Population Definitions'!$A$15</f>
        <v>Prisoners_PWID_females</v>
      </c>
      <c r="B79" t="s">
        <v>62</v>
      </c>
      <c r="C79" t="s">
        <v>63</v>
      </c>
      <c r="D79" s="3"/>
      <c r="E79" s="3">
        <v>1</v>
      </c>
      <c r="F79" s="4" t="s">
        <v>39</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row>
    <row r="81" spans="1:57" x14ac:dyDescent="0.25">
      <c r="A81" s="1" t="s">
        <v>222</v>
      </c>
      <c r="B81" s="1" t="s">
        <v>31</v>
      </c>
      <c r="C81" s="1" t="s">
        <v>32</v>
      </c>
      <c r="D81" s="1" t="s">
        <v>33</v>
      </c>
      <c r="E81" s="1" t="s">
        <v>38</v>
      </c>
      <c r="F81" s="1"/>
      <c r="G81" s="1">
        <v>2000</v>
      </c>
      <c r="H81" s="1">
        <v>2001</v>
      </c>
      <c r="I81" s="1">
        <v>2002</v>
      </c>
      <c r="J81" s="1">
        <v>2003</v>
      </c>
      <c r="K81" s="1">
        <v>2004</v>
      </c>
      <c r="L81" s="1">
        <v>2005</v>
      </c>
      <c r="M81" s="1">
        <v>2006</v>
      </c>
      <c r="N81" s="1">
        <v>2007</v>
      </c>
      <c r="O81" s="1">
        <v>2008</v>
      </c>
      <c r="P81" s="1">
        <v>2009</v>
      </c>
      <c r="Q81" s="1">
        <v>2010</v>
      </c>
      <c r="R81" s="1">
        <v>2011</v>
      </c>
      <c r="S81" s="1">
        <v>2012</v>
      </c>
      <c r="T81" s="1">
        <v>2013</v>
      </c>
      <c r="U81" s="1">
        <v>2014</v>
      </c>
      <c r="V81" s="1">
        <v>2015</v>
      </c>
      <c r="W81" s="1">
        <v>2016</v>
      </c>
      <c r="X81" s="1">
        <v>2017</v>
      </c>
      <c r="Y81" s="1">
        <v>2018</v>
      </c>
      <c r="Z81" s="1">
        <v>2019</v>
      </c>
      <c r="AA81" s="1">
        <v>2020</v>
      </c>
      <c r="AB81" s="1">
        <v>2021</v>
      </c>
      <c r="AC81" s="1">
        <v>2022</v>
      </c>
      <c r="AD81" s="1">
        <v>2023</v>
      </c>
      <c r="AE81" s="1">
        <v>2024</v>
      </c>
      <c r="AF81" s="1">
        <v>2025</v>
      </c>
      <c r="AG81" s="1">
        <v>2026</v>
      </c>
      <c r="AH81" s="1">
        <v>2027</v>
      </c>
      <c r="AI81" s="1">
        <v>2028</v>
      </c>
      <c r="AJ81" s="1">
        <v>2029</v>
      </c>
      <c r="AK81" s="1">
        <v>2030</v>
      </c>
      <c r="AL81" s="1">
        <v>2031</v>
      </c>
      <c r="AM81" s="1">
        <v>2032</v>
      </c>
      <c r="AN81" s="1">
        <v>2033</v>
      </c>
      <c r="AO81" s="1">
        <v>2034</v>
      </c>
      <c r="AP81" s="1">
        <v>2035</v>
      </c>
      <c r="AQ81" s="1">
        <v>2036</v>
      </c>
      <c r="AR81" s="1">
        <v>2037</v>
      </c>
      <c r="AS81" s="1">
        <v>2038</v>
      </c>
      <c r="AT81" s="1">
        <v>2039</v>
      </c>
      <c r="AU81" s="1">
        <v>2040</v>
      </c>
      <c r="AV81" s="1">
        <v>2041</v>
      </c>
      <c r="AW81" s="1">
        <v>2042</v>
      </c>
      <c r="AX81" s="1">
        <v>2043</v>
      </c>
      <c r="AY81" s="1">
        <v>2044</v>
      </c>
      <c r="AZ81" s="1">
        <v>2045</v>
      </c>
      <c r="BA81" s="1">
        <v>2046</v>
      </c>
      <c r="BB81" s="1">
        <v>2047</v>
      </c>
      <c r="BC81" s="1">
        <v>2048</v>
      </c>
      <c r="BD81" s="1">
        <v>2049</v>
      </c>
      <c r="BE81" s="1">
        <v>2050</v>
      </c>
    </row>
    <row r="82" spans="1:57" x14ac:dyDescent="0.25">
      <c r="A82" s="1" t="str">
        <f>'Population Definitions'!$A$2</f>
        <v>PWID_males</v>
      </c>
      <c r="B82" t="s">
        <v>62</v>
      </c>
      <c r="C82" t="s">
        <v>58</v>
      </c>
      <c r="D82" s="3"/>
      <c r="E82" s="3">
        <v>1</v>
      </c>
      <c r="F82" s="4" t="s">
        <v>39</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row>
    <row r="83" spans="1:57" x14ac:dyDescent="0.25">
      <c r="A83" s="1" t="str">
        <f>'Population Definitions'!$A$3</f>
        <v>PWID_females</v>
      </c>
      <c r="B83" t="s">
        <v>62</v>
      </c>
      <c r="C83" t="s">
        <v>58</v>
      </c>
      <c r="D83" s="3"/>
      <c r="E83" s="3">
        <v>1</v>
      </c>
      <c r="F83" s="4" t="s">
        <v>39</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row>
    <row r="84" spans="1:57" x14ac:dyDescent="0.25">
      <c r="A84" s="1" t="str">
        <f>'Population Definitions'!$A$4</f>
        <v>0-9_males</v>
      </c>
      <c r="B84" t="s">
        <v>62</v>
      </c>
      <c r="C84" t="s">
        <v>58</v>
      </c>
      <c r="D84" s="3"/>
      <c r="E84" s="3">
        <v>1</v>
      </c>
      <c r="F84" s="4" t="s">
        <v>39</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row>
    <row r="85" spans="1:57" x14ac:dyDescent="0.25">
      <c r="A85" s="1" t="str">
        <f>'Population Definitions'!$A$5</f>
        <v>0-9_females</v>
      </c>
      <c r="B85" t="s">
        <v>62</v>
      </c>
      <c r="C85" t="s">
        <v>58</v>
      </c>
      <c r="D85" s="3"/>
      <c r="E85" s="3">
        <v>1</v>
      </c>
      <c r="F85" s="4" t="s">
        <v>39</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row>
    <row r="86" spans="1:57" x14ac:dyDescent="0.25">
      <c r="A86" s="1" t="str">
        <f>'Population Definitions'!$A$6</f>
        <v>10-17_males</v>
      </c>
      <c r="B86" t="s">
        <v>62</v>
      </c>
      <c r="C86" t="s">
        <v>58</v>
      </c>
      <c r="D86" s="3"/>
      <c r="E86" s="3">
        <v>1</v>
      </c>
      <c r="F86" s="4" t="s">
        <v>39</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row>
    <row r="87" spans="1:57" x14ac:dyDescent="0.25">
      <c r="A87" s="1" t="str">
        <f>'Population Definitions'!$A$7</f>
        <v>10-17_females</v>
      </c>
      <c r="B87" t="s">
        <v>62</v>
      </c>
      <c r="C87" t="s">
        <v>58</v>
      </c>
      <c r="D87" s="3"/>
      <c r="E87" s="3">
        <v>1</v>
      </c>
      <c r="F87" s="4" t="s">
        <v>39</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row>
    <row r="88" spans="1:57" x14ac:dyDescent="0.25">
      <c r="A88" s="1" t="str">
        <f>'Population Definitions'!$A$8</f>
        <v>18-64_males</v>
      </c>
      <c r="B88" t="s">
        <v>62</v>
      </c>
      <c r="C88" t="s">
        <v>58</v>
      </c>
      <c r="D88" s="3"/>
      <c r="E88" s="3">
        <v>1</v>
      </c>
      <c r="F88" s="4" t="s">
        <v>39</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row>
    <row r="89" spans="1:57" x14ac:dyDescent="0.25">
      <c r="A89" s="1" t="str">
        <f>'Population Definitions'!$A$9</f>
        <v>18-64_females</v>
      </c>
      <c r="B89" t="s">
        <v>62</v>
      </c>
      <c r="C89" t="s">
        <v>58</v>
      </c>
      <c r="D89" s="3"/>
      <c r="E89" s="3">
        <v>1</v>
      </c>
      <c r="F89" s="4" t="s">
        <v>39</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row>
    <row r="90" spans="1:57" x14ac:dyDescent="0.25">
      <c r="A90" s="1" t="str">
        <f>'Population Definitions'!$A$10</f>
        <v>65+_males</v>
      </c>
      <c r="B90" t="s">
        <v>62</v>
      </c>
      <c r="C90" t="s">
        <v>58</v>
      </c>
      <c r="D90" s="3"/>
      <c r="E90" s="3">
        <v>1</v>
      </c>
      <c r="F90" s="4" t="s">
        <v>39</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row>
    <row r="91" spans="1:57" x14ac:dyDescent="0.25">
      <c r="A91" s="1" t="str">
        <f>'Population Definitions'!$A$11</f>
        <v>65+_females</v>
      </c>
      <c r="B91" t="s">
        <v>62</v>
      </c>
      <c r="C91" t="s">
        <v>58</v>
      </c>
      <c r="D91" s="3"/>
      <c r="E91" s="3">
        <v>1</v>
      </c>
      <c r="F91" s="4" t="s">
        <v>39</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row>
    <row r="92" spans="1:57" x14ac:dyDescent="0.25">
      <c r="A92" s="1" t="str">
        <f>'Population Definitions'!$A$12</f>
        <v>Prisoners_males</v>
      </c>
      <c r="B92" t="s">
        <v>62</v>
      </c>
      <c r="C92" t="s">
        <v>58</v>
      </c>
      <c r="D92" s="3"/>
      <c r="E92" s="3">
        <v>1</v>
      </c>
      <c r="F92" s="4" t="s">
        <v>39</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row>
    <row r="93" spans="1:57" x14ac:dyDescent="0.25">
      <c r="A93" s="1" t="str">
        <f>'Population Definitions'!$A$13</f>
        <v>Prisoners_females</v>
      </c>
      <c r="B93" t="s">
        <v>62</v>
      </c>
      <c r="C93" t="s">
        <v>58</v>
      </c>
      <c r="D93" s="3"/>
      <c r="E93" s="3">
        <v>1</v>
      </c>
      <c r="F93" s="4" t="s">
        <v>39</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row>
    <row r="94" spans="1:57" x14ac:dyDescent="0.25">
      <c r="A94" s="1" t="str">
        <f>'Population Definitions'!$A$14</f>
        <v>Prisoners_PWID_males</v>
      </c>
      <c r="B94" t="s">
        <v>62</v>
      </c>
      <c r="C94" t="s">
        <v>58</v>
      </c>
      <c r="D94" s="3"/>
      <c r="E94" s="3">
        <v>1</v>
      </c>
      <c r="F94" s="4" t="s">
        <v>39</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row>
    <row r="95" spans="1:57" x14ac:dyDescent="0.25">
      <c r="A95" s="1" t="str">
        <f>'Population Definitions'!$A$15</f>
        <v>Prisoners_PWID_females</v>
      </c>
      <c r="B95" t="s">
        <v>62</v>
      </c>
      <c r="C95" t="s">
        <v>58</v>
      </c>
      <c r="D95" s="3"/>
      <c r="E95" s="3">
        <v>1</v>
      </c>
      <c r="F95" s="4" t="s">
        <v>39</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row>
    <row r="97" spans="1:57" x14ac:dyDescent="0.25">
      <c r="A97" s="1" t="s">
        <v>223</v>
      </c>
      <c r="B97" s="1" t="s">
        <v>31</v>
      </c>
      <c r="C97" s="1" t="s">
        <v>32</v>
      </c>
      <c r="D97" s="1" t="s">
        <v>33</v>
      </c>
      <c r="E97" s="1" t="s">
        <v>38</v>
      </c>
      <c r="F97" s="1"/>
      <c r="G97" s="1">
        <v>2000</v>
      </c>
      <c r="H97" s="1">
        <v>2001</v>
      </c>
      <c r="I97" s="1">
        <v>2002</v>
      </c>
      <c r="J97" s="1">
        <v>2003</v>
      </c>
      <c r="K97" s="1">
        <v>2004</v>
      </c>
      <c r="L97" s="1">
        <v>2005</v>
      </c>
      <c r="M97" s="1">
        <v>2006</v>
      </c>
      <c r="N97" s="1">
        <v>2007</v>
      </c>
      <c r="O97" s="1">
        <v>2008</v>
      </c>
      <c r="P97" s="1">
        <v>2009</v>
      </c>
      <c r="Q97" s="1">
        <v>2010</v>
      </c>
      <c r="R97" s="1">
        <v>2011</v>
      </c>
      <c r="S97" s="1">
        <v>2012</v>
      </c>
      <c r="T97" s="1">
        <v>2013</v>
      </c>
      <c r="U97" s="1">
        <v>2014</v>
      </c>
      <c r="V97" s="1">
        <v>2015</v>
      </c>
      <c r="W97" s="1">
        <v>2016</v>
      </c>
      <c r="X97" s="1">
        <v>2017</v>
      </c>
      <c r="Y97" s="1">
        <v>2018</v>
      </c>
      <c r="Z97" s="1">
        <v>2019</v>
      </c>
      <c r="AA97" s="1">
        <v>2020</v>
      </c>
      <c r="AB97" s="1">
        <v>2021</v>
      </c>
      <c r="AC97" s="1">
        <v>2022</v>
      </c>
      <c r="AD97" s="1">
        <v>2023</v>
      </c>
      <c r="AE97" s="1">
        <v>2024</v>
      </c>
      <c r="AF97" s="1">
        <v>2025</v>
      </c>
      <c r="AG97" s="1">
        <v>2026</v>
      </c>
      <c r="AH97" s="1">
        <v>2027</v>
      </c>
      <c r="AI97" s="1">
        <v>2028</v>
      </c>
      <c r="AJ97" s="1">
        <v>2029</v>
      </c>
      <c r="AK97" s="1">
        <v>2030</v>
      </c>
      <c r="AL97" s="1">
        <v>2031</v>
      </c>
      <c r="AM97" s="1">
        <v>2032</v>
      </c>
      <c r="AN97" s="1">
        <v>2033</v>
      </c>
      <c r="AO97" s="1">
        <v>2034</v>
      </c>
      <c r="AP97" s="1">
        <v>2035</v>
      </c>
      <c r="AQ97" s="1">
        <v>2036</v>
      </c>
      <c r="AR97" s="1">
        <v>2037</v>
      </c>
      <c r="AS97" s="1">
        <v>2038</v>
      </c>
      <c r="AT97" s="1">
        <v>2039</v>
      </c>
      <c r="AU97" s="1">
        <v>2040</v>
      </c>
      <c r="AV97" s="1">
        <v>2041</v>
      </c>
      <c r="AW97" s="1">
        <v>2042</v>
      </c>
      <c r="AX97" s="1">
        <v>2043</v>
      </c>
      <c r="AY97" s="1">
        <v>2044</v>
      </c>
      <c r="AZ97" s="1">
        <v>2045</v>
      </c>
      <c r="BA97" s="1">
        <v>2046</v>
      </c>
      <c r="BB97" s="1">
        <v>2047</v>
      </c>
      <c r="BC97" s="1">
        <v>2048</v>
      </c>
      <c r="BD97" s="1">
        <v>2049</v>
      </c>
      <c r="BE97" s="1">
        <v>2050</v>
      </c>
    </row>
    <row r="98" spans="1:57" x14ac:dyDescent="0.25">
      <c r="A98" s="1" t="str">
        <f>'Population Definitions'!$A$2</f>
        <v>PWID_males</v>
      </c>
      <c r="B98" t="s">
        <v>62</v>
      </c>
      <c r="C98" t="s">
        <v>58</v>
      </c>
      <c r="D98" s="3"/>
      <c r="E98" s="3">
        <v>1</v>
      </c>
      <c r="F98" s="4" t="s">
        <v>39</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row>
    <row r="99" spans="1:57" x14ac:dyDescent="0.25">
      <c r="A99" s="1" t="str">
        <f>'Population Definitions'!$A$3</f>
        <v>PWID_females</v>
      </c>
      <c r="B99" t="s">
        <v>62</v>
      </c>
      <c r="C99" t="s">
        <v>58</v>
      </c>
      <c r="D99" s="3"/>
      <c r="E99" s="3">
        <v>1</v>
      </c>
      <c r="F99" s="4" t="s">
        <v>39</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row>
    <row r="100" spans="1:57" x14ac:dyDescent="0.25">
      <c r="A100" s="1" t="str">
        <f>'Population Definitions'!$A$4</f>
        <v>0-9_males</v>
      </c>
      <c r="B100" t="s">
        <v>62</v>
      </c>
      <c r="C100" t="s">
        <v>58</v>
      </c>
      <c r="D100" s="3"/>
      <c r="E100" s="3">
        <v>1</v>
      </c>
      <c r="F100" s="4" t="s">
        <v>39</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row>
    <row r="101" spans="1:57" x14ac:dyDescent="0.25">
      <c r="A101" s="1" t="str">
        <f>'Population Definitions'!$A$5</f>
        <v>0-9_females</v>
      </c>
      <c r="B101" t="s">
        <v>62</v>
      </c>
      <c r="C101" t="s">
        <v>58</v>
      </c>
      <c r="D101" s="3"/>
      <c r="E101" s="3">
        <v>1</v>
      </c>
      <c r="F101" s="4" t="s">
        <v>39</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row>
    <row r="102" spans="1:57" x14ac:dyDescent="0.25">
      <c r="A102" s="1" t="str">
        <f>'Population Definitions'!$A$6</f>
        <v>10-17_males</v>
      </c>
      <c r="B102" t="s">
        <v>62</v>
      </c>
      <c r="C102" t="s">
        <v>58</v>
      </c>
      <c r="D102" s="3"/>
      <c r="E102" s="3">
        <v>1</v>
      </c>
      <c r="F102" s="4" t="s">
        <v>39</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row>
    <row r="103" spans="1:57" x14ac:dyDescent="0.25">
      <c r="A103" s="1" t="str">
        <f>'Population Definitions'!$A$7</f>
        <v>10-17_females</v>
      </c>
      <c r="B103" t="s">
        <v>62</v>
      </c>
      <c r="C103" t="s">
        <v>58</v>
      </c>
      <c r="D103" s="3"/>
      <c r="E103" s="3">
        <v>1</v>
      </c>
      <c r="F103" s="4" t="s">
        <v>39</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row>
    <row r="104" spans="1:57" x14ac:dyDescent="0.25">
      <c r="A104" s="1" t="str">
        <f>'Population Definitions'!$A$8</f>
        <v>18-64_males</v>
      </c>
      <c r="B104" t="s">
        <v>62</v>
      </c>
      <c r="C104" t="s">
        <v>58</v>
      </c>
      <c r="D104" s="3"/>
      <c r="E104" s="3">
        <v>1</v>
      </c>
      <c r="F104" s="4" t="s">
        <v>39</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row>
    <row r="105" spans="1:57" x14ac:dyDescent="0.25">
      <c r="A105" s="1" t="str">
        <f>'Population Definitions'!$A$9</f>
        <v>18-64_females</v>
      </c>
      <c r="B105" t="s">
        <v>62</v>
      </c>
      <c r="C105" t="s">
        <v>58</v>
      </c>
      <c r="D105" s="3"/>
      <c r="E105" s="3">
        <v>1</v>
      </c>
      <c r="F105" s="4" t="s">
        <v>39</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row>
    <row r="106" spans="1:57" x14ac:dyDescent="0.25">
      <c r="A106" s="1" t="str">
        <f>'Population Definitions'!$A$10</f>
        <v>65+_males</v>
      </c>
      <c r="B106" t="s">
        <v>62</v>
      </c>
      <c r="C106" t="s">
        <v>58</v>
      </c>
      <c r="D106" s="3"/>
      <c r="E106" s="3">
        <v>1</v>
      </c>
      <c r="F106" s="4" t="s">
        <v>39</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row>
    <row r="107" spans="1:57" x14ac:dyDescent="0.25">
      <c r="A107" s="1" t="str">
        <f>'Population Definitions'!$A$11</f>
        <v>65+_females</v>
      </c>
      <c r="B107" t="s">
        <v>62</v>
      </c>
      <c r="C107" t="s">
        <v>58</v>
      </c>
      <c r="D107" s="3"/>
      <c r="E107" s="3">
        <v>1</v>
      </c>
      <c r="F107" s="4" t="s">
        <v>39</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row>
    <row r="108" spans="1:57" x14ac:dyDescent="0.25">
      <c r="A108" s="1" t="str">
        <f>'Population Definitions'!$A$12</f>
        <v>Prisoners_males</v>
      </c>
      <c r="B108" t="s">
        <v>62</v>
      </c>
      <c r="C108" t="s">
        <v>58</v>
      </c>
      <c r="D108" s="3"/>
      <c r="E108" s="3">
        <v>1</v>
      </c>
      <c r="F108" s="4" t="s">
        <v>39</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row>
    <row r="109" spans="1:57" x14ac:dyDescent="0.25">
      <c r="A109" s="1" t="str">
        <f>'Population Definitions'!$A$13</f>
        <v>Prisoners_females</v>
      </c>
      <c r="B109" t="s">
        <v>62</v>
      </c>
      <c r="C109" t="s">
        <v>58</v>
      </c>
      <c r="D109" s="3"/>
      <c r="E109" s="3">
        <v>1</v>
      </c>
      <c r="F109" s="4" t="s">
        <v>39</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row>
    <row r="110" spans="1:57" x14ac:dyDescent="0.25">
      <c r="A110" s="1" t="str">
        <f>'Population Definitions'!$A$14</f>
        <v>Prisoners_PWID_males</v>
      </c>
      <c r="B110" t="s">
        <v>62</v>
      </c>
      <c r="C110" t="s">
        <v>58</v>
      </c>
      <c r="D110" s="3"/>
      <c r="E110" s="3">
        <v>1</v>
      </c>
      <c r="F110" s="4" t="s">
        <v>39</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row>
    <row r="111" spans="1:57" x14ac:dyDescent="0.25">
      <c r="A111" s="1" t="str">
        <f>'Population Definitions'!$A$15</f>
        <v>Prisoners_PWID_females</v>
      </c>
      <c r="B111" t="s">
        <v>62</v>
      </c>
      <c r="C111" t="s">
        <v>58</v>
      </c>
      <c r="D111" s="3"/>
      <c r="E111" s="3">
        <v>1</v>
      </c>
      <c r="F111" s="4" t="s">
        <v>39</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row>
  </sheetData>
  <conditionalFormatting sqref="E2:E15">
    <cfRule type="expression" dxfId="1163" priority="1">
      <formula>COUNTIF(G2:BE2,"&lt;&gt;" &amp; "")&gt;0</formula>
    </cfRule>
    <cfRule type="expression" dxfId="1162" priority="2">
      <formula>AND(COUNTIF(G2:BE2,"&lt;&gt;" &amp; "")&gt;0,NOT(ISBLANK(E2)))</formula>
    </cfRule>
  </conditionalFormatting>
  <conditionalFormatting sqref="E18:E31">
    <cfRule type="expression" dxfId="1161" priority="29">
      <formula>COUNTIF(G18:BE18,"&lt;&gt;" &amp; "")&gt;0</formula>
    </cfRule>
    <cfRule type="expression" dxfId="1160" priority="30">
      <formula>AND(COUNTIF(G18:BE18,"&lt;&gt;" &amp; "")&gt;0,NOT(ISBLANK(E18)))</formula>
    </cfRule>
  </conditionalFormatting>
  <conditionalFormatting sqref="E34:E47">
    <cfRule type="expression" dxfId="1159" priority="57">
      <formula>COUNTIF(G34:BE34,"&lt;&gt;" &amp; "")&gt;0</formula>
    </cfRule>
    <cfRule type="expression" dxfId="1158" priority="58">
      <formula>AND(COUNTIF(G34:BE34,"&lt;&gt;" &amp; "")&gt;0,NOT(ISBLANK(E34)))</formula>
    </cfRule>
  </conditionalFormatting>
  <conditionalFormatting sqref="E50:E63">
    <cfRule type="expression" dxfId="1157" priority="85">
      <formula>COUNTIF(G50:BE50,"&lt;&gt;" &amp; "")&gt;0</formula>
    </cfRule>
    <cfRule type="expression" dxfId="1156" priority="86">
      <formula>AND(COUNTIF(G50:BE50,"&lt;&gt;" &amp; "")&gt;0,NOT(ISBLANK(E50)))</formula>
    </cfRule>
  </conditionalFormatting>
  <conditionalFormatting sqref="E66:E79">
    <cfRule type="expression" dxfId="1155" priority="113">
      <formula>COUNTIF(G66:BE66,"&lt;&gt;" &amp; "")&gt;0</formula>
    </cfRule>
    <cfRule type="expression" dxfId="1154" priority="114">
      <formula>AND(COUNTIF(G66:BE66,"&lt;&gt;" &amp; "")&gt;0,NOT(ISBLANK(E66)))</formula>
    </cfRule>
  </conditionalFormatting>
  <conditionalFormatting sqref="E82:E95">
    <cfRule type="expression" dxfId="1153" priority="141">
      <formula>COUNTIF(G82:BE82,"&lt;&gt;" &amp; "")&gt;0</formula>
    </cfRule>
    <cfRule type="expression" dxfId="1152" priority="142">
      <formula>AND(COUNTIF(G82:BE82,"&lt;&gt;" &amp; "")&gt;0,NOT(ISBLANK(E82)))</formula>
    </cfRule>
  </conditionalFormatting>
  <conditionalFormatting sqref="E98:E111">
    <cfRule type="expression" dxfId="1151" priority="169">
      <formula>COUNTIF(G98:BE98,"&lt;&gt;" &amp; "")&gt;0</formula>
    </cfRule>
    <cfRule type="expression" dxfId="1150" priority="170">
      <formula>AND(COUNTIF(G98:BE98,"&lt;&gt;" &amp; "")&gt;0,NOT(ISBLANK(E98)))</formula>
    </cfRule>
  </conditionalFormatting>
  <dataValidations count="4">
    <dataValidation type="list" allowBlank="1" showInputMessage="1" showErrorMessage="1" sqref="C2:C15" xr:uid="{00000000-0002-0000-0E00-000000000000}">
      <formula1>"Probability (per year)"</formula1>
    </dataValidation>
    <dataValidation type="list" allowBlank="1" showInputMessage="1" showErrorMessage="1" sqref="C66:C79 C18:C31" xr:uid="{00000000-0002-0000-0E00-00000E000000}">
      <formula1>"Duration (years)"</formula1>
    </dataValidation>
    <dataValidation type="list" allowBlank="1" showInputMessage="1" showErrorMessage="1" sqref="C50:C63 C34:C47" xr:uid="{00000000-0002-0000-0E00-00001C000000}">
      <formula1>"Proportion"</formula1>
    </dataValidation>
    <dataValidation type="list" allowBlank="1" showInputMessage="1" showErrorMessage="1" sqref="C98:C111 C82:C95" xr:uid="{00000000-0002-0000-0E00-000046000000}">
      <formula1>"N.A."</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808080"/>
  </sheetPr>
  <dimension ref="A1:BG433"/>
  <sheetViews>
    <sheetView workbookViewId="0"/>
  </sheetViews>
  <sheetFormatPr defaultRowHeight="15" x14ac:dyDescent="0.25"/>
  <cols>
    <col min="1" max="1" width="25.85546875" customWidth="1"/>
    <col min="2" max="2" width="35.85546875" customWidth="1"/>
    <col min="3" max="3" width="25.85546875" customWidth="1"/>
    <col min="4" max="4" width="30.28515625" customWidth="1"/>
    <col min="5" max="6" width="13.85546875" customWidth="1"/>
    <col min="7" max="7" width="16" customWidth="1"/>
    <col min="8" max="8" width="13.85546875" customWidth="1"/>
    <col min="9" max="9" width="16" customWidth="1"/>
    <col min="10" max="10" width="11.5703125" customWidth="1"/>
    <col min="11" max="11" width="13.85546875" customWidth="1"/>
    <col min="12" max="12" width="18.28515625" customWidth="1"/>
    <col min="13" max="13" width="20.42578125" customWidth="1"/>
    <col min="14" max="14" width="23.7109375" customWidth="1"/>
    <col min="15" max="15" width="25.85546875" customWidth="1"/>
    <col min="16" max="59" width="9.42578125" customWidth="1"/>
  </cols>
  <sheetData>
    <row r="1" spans="1:15" x14ac:dyDescent="0.25">
      <c r="A1" s="1" t="s">
        <v>0</v>
      </c>
      <c r="B1" s="1" t="s">
        <v>1</v>
      </c>
      <c r="C1" s="1" t="s">
        <v>226</v>
      </c>
      <c r="D1" s="1" t="s">
        <v>227</v>
      </c>
    </row>
    <row r="2" spans="1:15" x14ac:dyDescent="0.25">
      <c r="A2" t="s">
        <v>224</v>
      </c>
      <c r="B2" t="s">
        <v>225</v>
      </c>
      <c r="C2" t="s">
        <v>5</v>
      </c>
      <c r="D2" t="s">
        <v>5</v>
      </c>
    </row>
    <row r="4" spans="1:15" x14ac:dyDescent="0.25">
      <c r="B4" s="1" t="str">
        <f>'Population Definitions'!$A$2</f>
        <v>PWID_males</v>
      </c>
      <c r="C4" s="1" t="str">
        <f>'Population Definitions'!$A$3</f>
        <v>PWID_females</v>
      </c>
      <c r="D4" s="1" t="str">
        <f>'Population Definitions'!$A$4</f>
        <v>0-9_males</v>
      </c>
      <c r="E4" s="1" t="str">
        <f>'Population Definitions'!$A$5</f>
        <v>0-9_females</v>
      </c>
      <c r="F4" s="1" t="str">
        <f>'Population Definitions'!$A$6</f>
        <v>10-17_males</v>
      </c>
      <c r="G4" s="1" t="str">
        <f>'Population Definitions'!$A$7</f>
        <v>10-17_females</v>
      </c>
      <c r="H4" s="1" t="str">
        <f>'Population Definitions'!$A$8</f>
        <v>18-64_males</v>
      </c>
      <c r="I4" s="1" t="str">
        <f>'Population Definitions'!$A$9</f>
        <v>18-64_females</v>
      </c>
      <c r="J4" s="1" t="str">
        <f>'Population Definitions'!$A$10</f>
        <v>65+_males</v>
      </c>
      <c r="K4" s="1" t="str">
        <f>'Population Definitions'!$A$11</f>
        <v>65+_females</v>
      </c>
      <c r="L4" s="1" t="str">
        <f>'Population Definitions'!$A$12</f>
        <v>Prisoners_males</v>
      </c>
      <c r="M4" s="1" t="str">
        <f>'Population Definitions'!$A$13</f>
        <v>Prisoners_females</v>
      </c>
      <c r="N4" s="1" t="str">
        <f>'Population Definitions'!$A$14</f>
        <v>Prisoners_PWID_males</v>
      </c>
      <c r="O4" s="1" t="str">
        <f>'Population Definitions'!$A$15</f>
        <v>Prisoners_PWID_females</v>
      </c>
    </row>
    <row r="5" spans="1:15" x14ac:dyDescent="0.25">
      <c r="A5" s="1" t="str">
        <f>'Population Definitions'!$A$2</f>
        <v>PWID_males</v>
      </c>
      <c r="B5" s="5" t="s">
        <v>228</v>
      </c>
      <c r="C5" s="5" t="s">
        <v>228</v>
      </c>
      <c r="D5" s="5" t="s">
        <v>229</v>
      </c>
      <c r="E5" s="5" t="s">
        <v>229</v>
      </c>
      <c r="F5" s="5" t="s">
        <v>229</v>
      </c>
      <c r="G5" s="5" t="s">
        <v>229</v>
      </c>
      <c r="H5" s="5" t="s">
        <v>229</v>
      </c>
      <c r="I5" s="5" t="s">
        <v>229</v>
      </c>
      <c r="J5" s="5" t="s">
        <v>229</v>
      </c>
      <c r="K5" s="5" t="s">
        <v>229</v>
      </c>
      <c r="L5" s="5" t="s">
        <v>229</v>
      </c>
      <c r="M5" s="5" t="s">
        <v>229</v>
      </c>
      <c r="N5" s="5" t="s">
        <v>229</v>
      </c>
      <c r="O5" s="5" t="s">
        <v>229</v>
      </c>
    </row>
    <row r="6" spans="1:15" x14ac:dyDescent="0.25">
      <c r="A6" s="1" t="str">
        <f>'Population Definitions'!$A$3</f>
        <v>PWID_females</v>
      </c>
      <c r="B6" s="5" t="s">
        <v>228</v>
      </c>
      <c r="C6" s="5" t="s">
        <v>228</v>
      </c>
      <c r="D6" s="5" t="s">
        <v>229</v>
      </c>
      <c r="E6" s="5" t="s">
        <v>229</v>
      </c>
      <c r="F6" s="5" t="s">
        <v>229</v>
      </c>
      <c r="G6" s="5" t="s">
        <v>229</v>
      </c>
      <c r="H6" s="5" t="s">
        <v>229</v>
      </c>
      <c r="I6" s="5" t="s">
        <v>229</v>
      </c>
      <c r="J6" s="5" t="s">
        <v>229</v>
      </c>
      <c r="K6" s="5" t="s">
        <v>229</v>
      </c>
      <c r="L6" s="5" t="s">
        <v>229</v>
      </c>
      <c r="M6" s="5" t="s">
        <v>229</v>
      </c>
      <c r="N6" s="5" t="s">
        <v>229</v>
      </c>
      <c r="O6" s="5" t="s">
        <v>229</v>
      </c>
    </row>
    <row r="7" spans="1:15" x14ac:dyDescent="0.25">
      <c r="A7" s="1" t="str">
        <f>'Population Definitions'!$A$4</f>
        <v>0-9_males</v>
      </c>
      <c r="B7" s="5" t="s">
        <v>229</v>
      </c>
      <c r="C7" s="5" t="s">
        <v>229</v>
      </c>
      <c r="D7" s="5" t="s">
        <v>229</v>
      </c>
      <c r="E7" s="5" t="s">
        <v>229</v>
      </c>
      <c r="F7" s="5" t="s">
        <v>229</v>
      </c>
      <c r="G7" s="5" t="s">
        <v>229</v>
      </c>
      <c r="H7" s="5" t="s">
        <v>229</v>
      </c>
      <c r="I7" s="5" t="s">
        <v>229</v>
      </c>
      <c r="J7" s="5" t="s">
        <v>229</v>
      </c>
      <c r="K7" s="5" t="s">
        <v>229</v>
      </c>
      <c r="L7" s="5" t="s">
        <v>229</v>
      </c>
      <c r="M7" s="5" t="s">
        <v>229</v>
      </c>
      <c r="N7" s="5" t="s">
        <v>229</v>
      </c>
      <c r="O7" s="5" t="s">
        <v>229</v>
      </c>
    </row>
    <row r="8" spans="1:15" x14ac:dyDescent="0.25">
      <c r="A8" s="1" t="str">
        <f>'Population Definitions'!$A$5</f>
        <v>0-9_females</v>
      </c>
      <c r="B8" s="5" t="s">
        <v>229</v>
      </c>
      <c r="C8" s="5" t="s">
        <v>229</v>
      </c>
      <c r="D8" s="5" t="s">
        <v>229</v>
      </c>
      <c r="E8" s="5" t="s">
        <v>229</v>
      </c>
      <c r="F8" s="5" t="s">
        <v>229</v>
      </c>
      <c r="G8" s="5" t="s">
        <v>229</v>
      </c>
      <c r="H8" s="5" t="s">
        <v>229</v>
      </c>
      <c r="I8" s="5" t="s">
        <v>229</v>
      </c>
      <c r="J8" s="5" t="s">
        <v>229</v>
      </c>
      <c r="K8" s="5" t="s">
        <v>229</v>
      </c>
      <c r="L8" s="5" t="s">
        <v>229</v>
      </c>
      <c r="M8" s="5" t="s">
        <v>229</v>
      </c>
      <c r="N8" s="5" t="s">
        <v>229</v>
      </c>
      <c r="O8" s="5" t="s">
        <v>229</v>
      </c>
    </row>
    <row r="9" spans="1:15" x14ac:dyDescent="0.25">
      <c r="A9" s="1" t="str">
        <f>'Population Definitions'!$A$6</f>
        <v>10-17_males</v>
      </c>
      <c r="B9" s="5" t="s">
        <v>229</v>
      </c>
      <c r="C9" s="5" t="s">
        <v>229</v>
      </c>
      <c r="D9" s="5" t="s">
        <v>229</v>
      </c>
      <c r="E9" s="5" t="s">
        <v>229</v>
      </c>
      <c r="F9" s="5" t="s">
        <v>229</v>
      </c>
      <c r="G9" s="5" t="s">
        <v>229</v>
      </c>
      <c r="H9" s="5" t="s">
        <v>229</v>
      </c>
      <c r="I9" s="5" t="s">
        <v>229</v>
      </c>
      <c r="J9" s="5" t="s">
        <v>229</v>
      </c>
      <c r="K9" s="5" t="s">
        <v>229</v>
      </c>
      <c r="L9" s="5" t="s">
        <v>229</v>
      </c>
      <c r="M9" s="5" t="s">
        <v>229</v>
      </c>
      <c r="N9" s="5" t="s">
        <v>229</v>
      </c>
      <c r="O9" s="5" t="s">
        <v>229</v>
      </c>
    </row>
    <row r="10" spans="1:15" x14ac:dyDescent="0.25">
      <c r="A10" s="1" t="str">
        <f>'Population Definitions'!$A$7</f>
        <v>10-17_females</v>
      </c>
      <c r="B10" s="5" t="s">
        <v>229</v>
      </c>
      <c r="C10" s="5" t="s">
        <v>229</v>
      </c>
      <c r="D10" s="5" t="s">
        <v>229</v>
      </c>
      <c r="E10" s="5" t="s">
        <v>229</v>
      </c>
      <c r="F10" s="5" t="s">
        <v>229</v>
      </c>
      <c r="G10" s="5" t="s">
        <v>229</v>
      </c>
      <c r="H10" s="5" t="s">
        <v>229</v>
      </c>
      <c r="I10" s="5" t="s">
        <v>229</v>
      </c>
      <c r="J10" s="5" t="s">
        <v>229</v>
      </c>
      <c r="K10" s="5" t="s">
        <v>229</v>
      </c>
      <c r="L10" s="5" t="s">
        <v>229</v>
      </c>
      <c r="M10" s="5" t="s">
        <v>229</v>
      </c>
      <c r="N10" s="5" t="s">
        <v>229</v>
      </c>
      <c r="O10" s="5" t="s">
        <v>229</v>
      </c>
    </row>
    <row r="11" spans="1:15" x14ac:dyDescent="0.25">
      <c r="A11" s="1" t="str">
        <f>'Population Definitions'!$A$8</f>
        <v>18-64_males</v>
      </c>
      <c r="B11" s="5" t="s">
        <v>229</v>
      </c>
      <c r="C11" s="5" t="s">
        <v>229</v>
      </c>
      <c r="D11" s="5" t="s">
        <v>229</v>
      </c>
      <c r="E11" s="5" t="s">
        <v>229</v>
      </c>
      <c r="F11" s="5" t="s">
        <v>229</v>
      </c>
      <c r="G11" s="5" t="s">
        <v>229</v>
      </c>
      <c r="H11" s="5" t="s">
        <v>229</v>
      </c>
      <c r="I11" s="5" t="s">
        <v>229</v>
      </c>
      <c r="J11" s="5" t="s">
        <v>229</v>
      </c>
      <c r="K11" s="5" t="s">
        <v>229</v>
      </c>
      <c r="L11" s="5" t="s">
        <v>229</v>
      </c>
      <c r="M11" s="5" t="s">
        <v>229</v>
      </c>
      <c r="N11" s="5" t="s">
        <v>229</v>
      </c>
      <c r="O11" s="5" t="s">
        <v>229</v>
      </c>
    </row>
    <row r="12" spans="1:15" x14ac:dyDescent="0.25">
      <c r="A12" s="1" t="str">
        <f>'Population Definitions'!$A$9</f>
        <v>18-64_females</v>
      </c>
      <c r="B12" s="5" t="s">
        <v>229</v>
      </c>
      <c r="C12" s="5" t="s">
        <v>229</v>
      </c>
      <c r="D12" s="5" t="s">
        <v>229</v>
      </c>
      <c r="E12" s="5" t="s">
        <v>229</v>
      </c>
      <c r="F12" s="5" t="s">
        <v>229</v>
      </c>
      <c r="G12" s="5" t="s">
        <v>229</v>
      </c>
      <c r="H12" s="5" t="s">
        <v>229</v>
      </c>
      <c r="I12" s="5" t="s">
        <v>229</v>
      </c>
      <c r="J12" s="5" t="s">
        <v>229</v>
      </c>
      <c r="K12" s="5" t="s">
        <v>229</v>
      </c>
      <c r="L12" s="5" t="s">
        <v>229</v>
      </c>
      <c r="M12" s="5" t="s">
        <v>229</v>
      </c>
      <c r="N12" s="5" t="s">
        <v>229</v>
      </c>
      <c r="O12" s="5" t="s">
        <v>229</v>
      </c>
    </row>
    <row r="13" spans="1:15" x14ac:dyDescent="0.25">
      <c r="A13" s="1" t="str">
        <f>'Population Definitions'!$A$10</f>
        <v>65+_males</v>
      </c>
      <c r="B13" s="5" t="s">
        <v>229</v>
      </c>
      <c r="C13" s="5" t="s">
        <v>229</v>
      </c>
      <c r="D13" s="5" t="s">
        <v>229</v>
      </c>
      <c r="E13" s="5" t="s">
        <v>229</v>
      </c>
      <c r="F13" s="5" t="s">
        <v>229</v>
      </c>
      <c r="G13" s="5" t="s">
        <v>229</v>
      </c>
      <c r="H13" s="5" t="s">
        <v>229</v>
      </c>
      <c r="I13" s="5" t="s">
        <v>229</v>
      </c>
      <c r="J13" s="5" t="s">
        <v>229</v>
      </c>
      <c r="K13" s="5" t="s">
        <v>229</v>
      </c>
      <c r="L13" s="5" t="s">
        <v>229</v>
      </c>
      <c r="M13" s="5" t="s">
        <v>229</v>
      </c>
      <c r="N13" s="5" t="s">
        <v>229</v>
      </c>
      <c r="O13" s="5" t="s">
        <v>229</v>
      </c>
    </row>
    <row r="14" spans="1:15" x14ac:dyDescent="0.25">
      <c r="A14" s="1" t="str">
        <f>'Population Definitions'!$A$11</f>
        <v>65+_females</v>
      </c>
      <c r="B14" s="5" t="s">
        <v>229</v>
      </c>
      <c r="C14" s="5" t="s">
        <v>229</v>
      </c>
      <c r="D14" s="5" t="s">
        <v>229</v>
      </c>
      <c r="E14" s="5" t="s">
        <v>229</v>
      </c>
      <c r="F14" s="5" t="s">
        <v>229</v>
      </c>
      <c r="G14" s="5" t="s">
        <v>229</v>
      </c>
      <c r="H14" s="5" t="s">
        <v>229</v>
      </c>
      <c r="I14" s="5" t="s">
        <v>229</v>
      </c>
      <c r="J14" s="5" t="s">
        <v>229</v>
      </c>
      <c r="K14" s="5" t="s">
        <v>229</v>
      </c>
      <c r="L14" s="5" t="s">
        <v>229</v>
      </c>
      <c r="M14" s="5" t="s">
        <v>229</v>
      </c>
      <c r="N14" s="5" t="s">
        <v>229</v>
      </c>
      <c r="O14" s="5" t="s">
        <v>229</v>
      </c>
    </row>
    <row r="15" spans="1:15" x14ac:dyDescent="0.25">
      <c r="A15" s="1" t="str">
        <f>'Population Definitions'!$A$12</f>
        <v>Prisoners_males</v>
      </c>
      <c r="B15" s="5" t="s">
        <v>229</v>
      </c>
      <c r="C15" s="5" t="s">
        <v>229</v>
      </c>
      <c r="D15" s="5" t="s">
        <v>229</v>
      </c>
      <c r="E15" s="5" t="s">
        <v>229</v>
      </c>
      <c r="F15" s="5" t="s">
        <v>229</v>
      </c>
      <c r="G15" s="5" t="s">
        <v>229</v>
      </c>
      <c r="H15" s="5" t="s">
        <v>229</v>
      </c>
      <c r="I15" s="5" t="s">
        <v>229</v>
      </c>
      <c r="J15" s="5" t="s">
        <v>229</v>
      </c>
      <c r="K15" s="5" t="s">
        <v>229</v>
      </c>
      <c r="L15" s="5" t="s">
        <v>229</v>
      </c>
      <c r="M15" s="5" t="s">
        <v>229</v>
      </c>
      <c r="N15" s="5" t="s">
        <v>229</v>
      </c>
      <c r="O15" s="5" t="s">
        <v>229</v>
      </c>
    </row>
    <row r="16" spans="1:15" x14ac:dyDescent="0.25">
      <c r="A16" s="1" t="str">
        <f>'Population Definitions'!$A$13</f>
        <v>Prisoners_females</v>
      </c>
      <c r="B16" s="5" t="s">
        <v>229</v>
      </c>
      <c r="C16" s="5" t="s">
        <v>229</v>
      </c>
      <c r="D16" s="5" t="s">
        <v>229</v>
      </c>
      <c r="E16" s="5" t="s">
        <v>229</v>
      </c>
      <c r="F16" s="5" t="s">
        <v>229</v>
      </c>
      <c r="G16" s="5" t="s">
        <v>229</v>
      </c>
      <c r="H16" s="5" t="s">
        <v>229</v>
      </c>
      <c r="I16" s="5" t="s">
        <v>229</v>
      </c>
      <c r="J16" s="5" t="s">
        <v>229</v>
      </c>
      <c r="K16" s="5" t="s">
        <v>229</v>
      </c>
      <c r="L16" s="5" t="s">
        <v>229</v>
      </c>
      <c r="M16" s="5" t="s">
        <v>229</v>
      </c>
      <c r="N16" s="5" t="s">
        <v>229</v>
      </c>
      <c r="O16" s="5" t="s">
        <v>229</v>
      </c>
    </row>
    <row r="17" spans="1:59" x14ac:dyDescent="0.25">
      <c r="A17" s="1" t="str">
        <f>'Population Definitions'!$A$14</f>
        <v>Prisoners_PWID_males</v>
      </c>
      <c r="B17" s="5" t="s">
        <v>229</v>
      </c>
      <c r="C17" s="5" t="s">
        <v>229</v>
      </c>
      <c r="D17" s="5" t="s">
        <v>229</v>
      </c>
      <c r="E17" s="5" t="s">
        <v>229</v>
      </c>
      <c r="F17" s="5" t="s">
        <v>229</v>
      </c>
      <c r="G17" s="5" t="s">
        <v>229</v>
      </c>
      <c r="H17" s="5" t="s">
        <v>229</v>
      </c>
      <c r="I17" s="5" t="s">
        <v>229</v>
      </c>
      <c r="J17" s="5" t="s">
        <v>229</v>
      </c>
      <c r="K17" s="5" t="s">
        <v>229</v>
      </c>
      <c r="L17" s="5" t="s">
        <v>229</v>
      </c>
      <c r="M17" s="5" t="s">
        <v>229</v>
      </c>
      <c r="N17" s="5" t="s">
        <v>228</v>
      </c>
      <c r="O17" s="5" t="s">
        <v>229</v>
      </c>
    </row>
    <row r="18" spans="1:59" x14ac:dyDescent="0.25">
      <c r="A18" s="1" t="str">
        <f>'Population Definitions'!$A$15</f>
        <v>Prisoners_PWID_females</v>
      </c>
      <c r="B18" s="5" t="s">
        <v>229</v>
      </c>
      <c r="C18" s="5" t="s">
        <v>229</v>
      </c>
      <c r="D18" s="5" t="s">
        <v>229</v>
      </c>
      <c r="E18" s="5" t="s">
        <v>229</v>
      </c>
      <c r="F18" s="5" t="s">
        <v>229</v>
      </c>
      <c r="G18" s="5" t="s">
        <v>229</v>
      </c>
      <c r="H18" s="5" t="s">
        <v>229</v>
      </c>
      <c r="I18" s="5" t="s">
        <v>229</v>
      </c>
      <c r="J18" s="5" t="s">
        <v>229</v>
      </c>
      <c r="K18" s="5" t="s">
        <v>229</v>
      </c>
      <c r="L18" s="5" t="s">
        <v>229</v>
      </c>
      <c r="M18" s="5" t="s">
        <v>229</v>
      </c>
      <c r="N18" s="5" t="s">
        <v>229</v>
      </c>
      <c r="O18" s="5" t="s">
        <v>228</v>
      </c>
    </row>
    <row r="20" spans="1:59" x14ac:dyDescent="0.25">
      <c r="A20" s="1" t="s">
        <v>230</v>
      </c>
      <c r="B20" s="1"/>
      <c r="C20" s="1" t="s">
        <v>231</v>
      </c>
      <c r="D20" s="1" t="s">
        <v>31</v>
      </c>
      <c r="E20" s="1" t="s">
        <v>32</v>
      </c>
      <c r="F20" s="1" t="s">
        <v>33</v>
      </c>
      <c r="G20" s="1" t="s">
        <v>38</v>
      </c>
      <c r="H20" s="1"/>
      <c r="I20" s="1">
        <v>2000</v>
      </c>
      <c r="J20" s="1">
        <v>2001</v>
      </c>
      <c r="K20" s="1">
        <v>2002</v>
      </c>
      <c r="L20" s="1">
        <v>2003</v>
      </c>
      <c r="M20" s="1">
        <v>2004</v>
      </c>
      <c r="N20" s="1">
        <v>2005</v>
      </c>
      <c r="O20" s="1">
        <v>2006</v>
      </c>
      <c r="P20" s="1">
        <v>2007</v>
      </c>
      <c r="Q20" s="1">
        <v>2008</v>
      </c>
      <c r="R20" s="1">
        <v>2009</v>
      </c>
      <c r="S20" s="1">
        <v>2010</v>
      </c>
      <c r="T20" s="1">
        <v>2011</v>
      </c>
      <c r="U20" s="1">
        <v>2012</v>
      </c>
      <c r="V20" s="1">
        <v>2013</v>
      </c>
      <c r="W20" s="1">
        <v>2014</v>
      </c>
      <c r="X20" s="1">
        <v>2015</v>
      </c>
      <c r="Y20" s="1">
        <v>2016</v>
      </c>
      <c r="Z20" s="1">
        <v>2017</v>
      </c>
      <c r="AA20" s="1">
        <v>2018</v>
      </c>
      <c r="AB20" s="1">
        <v>2019</v>
      </c>
      <c r="AC20" s="1">
        <v>2020</v>
      </c>
      <c r="AD20" s="1">
        <v>2021</v>
      </c>
      <c r="AE20" s="1">
        <v>2022</v>
      </c>
      <c r="AF20" s="1">
        <v>2023</v>
      </c>
      <c r="AG20" s="1">
        <v>2024</v>
      </c>
      <c r="AH20" s="1">
        <v>2025</v>
      </c>
      <c r="AI20" s="1">
        <v>2026</v>
      </c>
      <c r="AJ20" s="1">
        <v>2027</v>
      </c>
      <c r="AK20" s="1">
        <v>2028</v>
      </c>
      <c r="AL20" s="1">
        <v>2029</v>
      </c>
      <c r="AM20" s="1">
        <v>2030</v>
      </c>
      <c r="AN20" s="1">
        <v>2031</v>
      </c>
      <c r="AO20" s="1">
        <v>2032</v>
      </c>
      <c r="AP20" s="1">
        <v>2033</v>
      </c>
      <c r="AQ20" s="1">
        <v>2034</v>
      </c>
      <c r="AR20" s="1">
        <v>2035</v>
      </c>
      <c r="AS20" s="1">
        <v>2036</v>
      </c>
      <c r="AT20" s="1">
        <v>2037</v>
      </c>
      <c r="AU20" s="1">
        <v>2038</v>
      </c>
      <c r="AV20" s="1">
        <v>2039</v>
      </c>
      <c r="AW20" s="1">
        <v>2040</v>
      </c>
      <c r="AX20" s="1">
        <v>2041</v>
      </c>
      <c r="AY20" s="1">
        <v>2042</v>
      </c>
      <c r="AZ20" s="1">
        <v>2043</v>
      </c>
      <c r="BA20" s="1">
        <v>2044</v>
      </c>
      <c r="BB20" s="1">
        <v>2045</v>
      </c>
      <c r="BC20" s="1">
        <v>2046</v>
      </c>
      <c r="BD20" s="1">
        <v>2047</v>
      </c>
      <c r="BE20" s="1">
        <v>2048</v>
      </c>
      <c r="BF20" s="1">
        <v>2049</v>
      </c>
      <c r="BG20" s="1">
        <v>2050</v>
      </c>
    </row>
    <row r="21" spans="1:59" x14ac:dyDescent="0.25">
      <c r="A21" s="1" t="str">
        <f>IF($B$5="Y",'Population Definitions'!$A$2,"...")</f>
        <v>PWID_males</v>
      </c>
      <c r="B21" s="4" t="str">
        <f>IF($B$5="Y","---&gt;","...")</f>
        <v>---&gt;</v>
      </c>
      <c r="C21" s="1" t="str">
        <f>IF($B$5="Y",'Population Definitions'!$A$2,"...")</f>
        <v>PWID_males</v>
      </c>
      <c r="D21" t="s">
        <v>62</v>
      </c>
      <c r="E21" s="3" t="s">
        <v>58</v>
      </c>
      <c r="F21" s="3"/>
      <c r="G21" s="3">
        <v>1</v>
      </c>
      <c r="H21" s="4" t="str">
        <f>IF($B$5="Y","OR","...")</f>
        <v>OR</v>
      </c>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row>
    <row r="22" spans="1:59" x14ac:dyDescent="0.25">
      <c r="A22" s="1" t="str">
        <f>IF($C$5="Y",'Population Definitions'!$A$2,"...")</f>
        <v>PWID_males</v>
      </c>
      <c r="B22" s="4" t="str">
        <f>IF($C$5="Y","---&gt;","...")</f>
        <v>---&gt;</v>
      </c>
      <c r="C22" s="1" t="str">
        <f>IF($C$5="Y",'Population Definitions'!$A$3,"...")</f>
        <v>PWID_females</v>
      </c>
      <c r="D22" t="s">
        <v>62</v>
      </c>
      <c r="E22" s="3" t="s">
        <v>58</v>
      </c>
      <c r="F22" s="3"/>
      <c r="G22" s="3">
        <v>1</v>
      </c>
      <c r="H22" s="4" t="str">
        <f>IF($C$5="Y","OR","...")</f>
        <v>OR</v>
      </c>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row>
    <row r="23" spans="1:59" x14ac:dyDescent="0.25">
      <c r="A23" s="1" t="str">
        <f>IF($D$5="Y",'Population Definitions'!$A$2,"...")</f>
        <v>...</v>
      </c>
      <c r="B23" s="4" t="str">
        <f>IF($D$5="Y","---&gt;","...")</f>
        <v>...</v>
      </c>
      <c r="C23" s="1" t="str">
        <f>IF($D$5="Y",'Population Definitions'!$A$4,"...")</f>
        <v>...</v>
      </c>
      <c r="E23" s="2"/>
      <c r="F23" s="3"/>
      <c r="G23" s="2"/>
      <c r="H23" s="4" t="str">
        <f>IF($D$5="Y","OR","...")</f>
        <v>...</v>
      </c>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row>
    <row r="24" spans="1:59" x14ac:dyDescent="0.25">
      <c r="A24" s="1" t="str">
        <f>IF($E$5="Y",'Population Definitions'!$A$2,"...")</f>
        <v>...</v>
      </c>
      <c r="B24" s="4" t="str">
        <f>IF($E$5="Y","---&gt;","...")</f>
        <v>...</v>
      </c>
      <c r="C24" s="1" t="str">
        <f>IF($E$5="Y",'Population Definitions'!$A$5,"...")</f>
        <v>...</v>
      </c>
      <c r="E24" s="2"/>
      <c r="F24" s="3"/>
      <c r="G24" s="2"/>
      <c r="H24" s="4" t="str">
        <f>IF($E$5="Y","OR","...")</f>
        <v>...</v>
      </c>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row>
    <row r="25" spans="1:59" x14ac:dyDescent="0.25">
      <c r="A25" s="1" t="str">
        <f>IF($F$5="Y",'Population Definitions'!$A$2,"...")</f>
        <v>...</v>
      </c>
      <c r="B25" s="4" t="str">
        <f>IF($F$5="Y","---&gt;","...")</f>
        <v>...</v>
      </c>
      <c r="C25" s="1" t="str">
        <f>IF($F$5="Y",'Population Definitions'!$A$6,"...")</f>
        <v>...</v>
      </c>
      <c r="E25" s="2"/>
      <c r="F25" s="3"/>
      <c r="G25" s="2"/>
      <c r="H25" s="4" t="str">
        <f>IF($F$5="Y","OR","...")</f>
        <v>...</v>
      </c>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row>
    <row r="26" spans="1:59" x14ac:dyDescent="0.25">
      <c r="A26" s="1" t="str">
        <f>IF($G$5="Y",'Population Definitions'!$A$2,"...")</f>
        <v>...</v>
      </c>
      <c r="B26" s="4" t="str">
        <f>IF($G$5="Y","---&gt;","...")</f>
        <v>...</v>
      </c>
      <c r="C26" s="1" t="str">
        <f>IF($G$5="Y",'Population Definitions'!$A$7,"...")</f>
        <v>...</v>
      </c>
      <c r="E26" s="2"/>
      <c r="F26" s="3"/>
      <c r="G26" s="2"/>
      <c r="H26" s="4" t="str">
        <f>IF($G$5="Y","OR","...")</f>
        <v>...</v>
      </c>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row>
    <row r="27" spans="1:59" x14ac:dyDescent="0.25">
      <c r="A27" s="1" t="str">
        <f>IF($H$5="Y",'Population Definitions'!$A$2,"...")</f>
        <v>...</v>
      </c>
      <c r="B27" s="4" t="str">
        <f>IF($H$5="Y","---&gt;","...")</f>
        <v>...</v>
      </c>
      <c r="C27" s="1" t="str">
        <f>IF($H$5="Y",'Population Definitions'!$A$8,"...")</f>
        <v>...</v>
      </c>
      <c r="E27" s="2"/>
      <c r="F27" s="3"/>
      <c r="G27" s="2"/>
      <c r="H27" s="4" t="str">
        <f>IF($H$5="Y","OR","...")</f>
        <v>...</v>
      </c>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row>
    <row r="28" spans="1:59" x14ac:dyDescent="0.25">
      <c r="A28" s="1" t="str">
        <f>IF($I$5="Y",'Population Definitions'!$A$2,"...")</f>
        <v>...</v>
      </c>
      <c r="B28" s="4" t="str">
        <f>IF($I$5="Y","---&gt;","...")</f>
        <v>...</v>
      </c>
      <c r="C28" s="1" t="str">
        <f>IF($I$5="Y",'Population Definitions'!$A$9,"...")</f>
        <v>...</v>
      </c>
      <c r="E28" s="2"/>
      <c r="F28" s="3"/>
      <c r="G28" s="2"/>
      <c r="H28" s="4" t="str">
        <f>IF($I$5="Y","OR","...")</f>
        <v>...</v>
      </c>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row>
    <row r="29" spans="1:59" x14ac:dyDescent="0.25">
      <c r="A29" s="1" t="str">
        <f>IF($J$5="Y",'Population Definitions'!$A$2,"...")</f>
        <v>...</v>
      </c>
      <c r="B29" s="4" t="str">
        <f>IF($J$5="Y","---&gt;","...")</f>
        <v>...</v>
      </c>
      <c r="C29" s="1" t="str">
        <f>IF($J$5="Y",'Population Definitions'!$A$10,"...")</f>
        <v>...</v>
      </c>
      <c r="E29" s="2"/>
      <c r="F29" s="3"/>
      <c r="G29" s="2"/>
      <c r="H29" s="4" t="str">
        <f>IF($J$5="Y","OR","...")</f>
        <v>...</v>
      </c>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row>
    <row r="30" spans="1:59" x14ac:dyDescent="0.25">
      <c r="A30" s="1" t="str">
        <f>IF($K$5="Y",'Population Definitions'!$A$2,"...")</f>
        <v>...</v>
      </c>
      <c r="B30" s="4" t="str">
        <f>IF($K$5="Y","---&gt;","...")</f>
        <v>...</v>
      </c>
      <c r="C30" s="1" t="str">
        <f>IF($K$5="Y",'Population Definitions'!$A$11,"...")</f>
        <v>...</v>
      </c>
      <c r="E30" s="2"/>
      <c r="F30" s="3"/>
      <c r="G30" s="2"/>
      <c r="H30" s="4" t="str">
        <f>IF($K$5="Y","OR","...")</f>
        <v>...</v>
      </c>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row>
    <row r="31" spans="1:59" x14ac:dyDescent="0.25">
      <c r="A31" s="1" t="str">
        <f>IF($L$5="Y",'Population Definitions'!$A$2,"...")</f>
        <v>...</v>
      </c>
      <c r="B31" s="4" t="str">
        <f>IF($L$5="Y","---&gt;","...")</f>
        <v>...</v>
      </c>
      <c r="C31" s="1" t="str">
        <f>IF($L$5="Y",'Population Definitions'!$A$12,"...")</f>
        <v>...</v>
      </c>
      <c r="E31" s="2"/>
      <c r="F31" s="3"/>
      <c r="G31" s="2"/>
      <c r="H31" s="4" t="str">
        <f>IF($L$5="Y","OR","...")</f>
        <v>...</v>
      </c>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row>
    <row r="32" spans="1:59" x14ac:dyDescent="0.25">
      <c r="A32" s="1" t="str">
        <f>IF($M$5="Y",'Population Definitions'!$A$2,"...")</f>
        <v>...</v>
      </c>
      <c r="B32" s="4" t="str">
        <f>IF($M$5="Y","---&gt;","...")</f>
        <v>...</v>
      </c>
      <c r="C32" s="1" t="str">
        <f>IF($M$5="Y",'Population Definitions'!$A$13,"...")</f>
        <v>...</v>
      </c>
      <c r="E32" s="2"/>
      <c r="F32" s="3"/>
      <c r="G32" s="2"/>
      <c r="H32" s="4" t="str">
        <f>IF($M$5="Y","OR","...")</f>
        <v>...</v>
      </c>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row>
    <row r="33" spans="1:59" x14ac:dyDescent="0.25">
      <c r="A33" s="1" t="str">
        <f>IF($N$5="Y",'Population Definitions'!$A$2,"...")</f>
        <v>...</v>
      </c>
      <c r="B33" s="4" t="str">
        <f>IF($N$5="Y","---&gt;","...")</f>
        <v>...</v>
      </c>
      <c r="C33" s="1" t="str">
        <f>IF($N$5="Y",'Population Definitions'!$A$14,"...")</f>
        <v>...</v>
      </c>
      <c r="E33" s="2"/>
      <c r="F33" s="3"/>
      <c r="G33" s="2"/>
      <c r="H33" s="4" t="str">
        <f>IF($N$5="Y","OR","...")</f>
        <v>...</v>
      </c>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row>
    <row r="34" spans="1:59" x14ac:dyDescent="0.25">
      <c r="A34" s="1" t="str">
        <f>IF($O$5="Y",'Population Definitions'!$A$2,"...")</f>
        <v>...</v>
      </c>
      <c r="B34" s="4" t="str">
        <f>IF($O$5="Y","---&gt;","...")</f>
        <v>...</v>
      </c>
      <c r="C34" s="1" t="str">
        <f>IF($O$5="Y",'Population Definitions'!$A$15,"...")</f>
        <v>...</v>
      </c>
      <c r="E34" s="2"/>
      <c r="F34" s="3"/>
      <c r="G34" s="2"/>
      <c r="H34" s="4" t="str">
        <f>IF($O$5="Y","OR","...")</f>
        <v>...</v>
      </c>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row>
    <row r="35" spans="1:59" x14ac:dyDescent="0.25">
      <c r="A35" s="1" t="str">
        <f>IF($B$6="Y",'Population Definitions'!$A$3,"...")</f>
        <v>PWID_females</v>
      </c>
      <c r="B35" s="4" t="str">
        <f>IF($B$6="Y","---&gt;","...")</f>
        <v>---&gt;</v>
      </c>
      <c r="C35" s="1" t="str">
        <f>IF($B$6="Y",'Population Definitions'!$A$2,"...")</f>
        <v>PWID_males</v>
      </c>
      <c r="D35" t="s">
        <v>62</v>
      </c>
      <c r="E35" s="3" t="s">
        <v>58</v>
      </c>
      <c r="F35" s="3"/>
      <c r="G35" s="3">
        <v>1</v>
      </c>
      <c r="H35" s="4" t="str">
        <f>IF($B$6="Y","OR","...")</f>
        <v>OR</v>
      </c>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row>
    <row r="36" spans="1:59" x14ac:dyDescent="0.25">
      <c r="A36" s="1" t="str">
        <f>IF($C$6="Y",'Population Definitions'!$A$3,"...")</f>
        <v>PWID_females</v>
      </c>
      <c r="B36" s="4" t="str">
        <f>IF($C$6="Y","---&gt;","...")</f>
        <v>---&gt;</v>
      </c>
      <c r="C36" s="1" t="str">
        <f>IF($C$6="Y",'Population Definitions'!$A$3,"...")</f>
        <v>PWID_females</v>
      </c>
      <c r="D36" t="s">
        <v>62</v>
      </c>
      <c r="E36" s="3" t="s">
        <v>58</v>
      </c>
      <c r="F36" s="3"/>
      <c r="G36" s="3">
        <v>1</v>
      </c>
      <c r="H36" s="4" t="str">
        <f>IF($C$6="Y","OR","...")</f>
        <v>OR</v>
      </c>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row>
    <row r="37" spans="1:59" x14ac:dyDescent="0.25">
      <c r="A37" s="1" t="str">
        <f>IF($D$6="Y",'Population Definitions'!$A$3,"...")</f>
        <v>...</v>
      </c>
      <c r="B37" s="4" t="str">
        <f>IF($D$6="Y","---&gt;","...")</f>
        <v>...</v>
      </c>
      <c r="C37" s="1" t="str">
        <f>IF($D$6="Y",'Population Definitions'!$A$4,"...")</f>
        <v>...</v>
      </c>
      <c r="E37" s="2"/>
      <c r="F37" s="3"/>
      <c r="G37" s="2"/>
      <c r="H37" s="4" t="str">
        <f>IF($D$6="Y","OR","...")</f>
        <v>...</v>
      </c>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row>
    <row r="38" spans="1:59" x14ac:dyDescent="0.25">
      <c r="A38" s="1" t="str">
        <f>IF($E$6="Y",'Population Definitions'!$A$3,"...")</f>
        <v>...</v>
      </c>
      <c r="B38" s="4" t="str">
        <f>IF($E$6="Y","---&gt;","...")</f>
        <v>...</v>
      </c>
      <c r="C38" s="1" t="str">
        <f>IF($E$6="Y",'Population Definitions'!$A$5,"...")</f>
        <v>...</v>
      </c>
      <c r="E38" s="2"/>
      <c r="F38" s="3"/>
      <c r="G38" s="2"/>
      <c r="H38" s="4" t="str">
        <f>IF($E$6="Y","OR","...")</f>
        <v>...</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row>
    <row r="39" spans="1:59" x14ac:dyDescent="0.25">
      <c r="A39" s="1" t="str">
        <f>IF($F$6="Y",'Population Definitions'!$A$3,"...")</f>
        <v>...</v>
      </c>
      <c r="B39" s="4" t="str">
        <f>IF($F$6="Y","---&gt;","...")</f>
        <v>...</v>
      </c>
      <c r="C39" s="1" t="str">
        <f>IF($F$6="Y",'Population Definitions'!$A$6,"...")</f>
        <v>...</v>
      </c>
      <c r="E39" s="2"/>
      <c r="F39" s="3"/>
      <c r="G39" s="2"/>
      <c r="H39" s="4" t="str">
        <f>IF($F$6="Y","OR","...")</f>
        <v>...</v>
      </c>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row>
    <row r="40" spans="1:59" x14ac:dyDescent="0.25">
      <c r="A40" s="1" t="str">
        <f>IF($G$6="Y",'Population Definitions'!$A$3,"...")</f>
        <v>...</v>
      </c>
      <c r="B40" s="4" t="str">
        <f>IF($G$6="Y","---&gt;","...")</f>
        <v>...</v>
      </c>
      <c r="C40" s="1" t="str">
        <f>IF($G$6="Y",'Population Definitions'!$A$7,"...")</f>
        <v>...</v>
      </c>
      <c r="E40" s="2"/>
      <c r="F40" s="3"/>
      <c r="G40" s="2"/>
      <c r="H40" s="4" t="str">
        <f>IF($G$6="Y","OR","...")</f>
        <v>...</v>
      </c>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row>
    <row r="41" spans="1:59" x14ac:dyDescent="0.25">
      <c r="A41" s="1" t="str">
        <f>IF($H$6="Y",'Population Definitions'!$A$3,"...")</f>
        <v>...</v>
      </c>
      <c r="B41" s="4" t="str">
        <f>IF($H$6="Y","---&gt;","...")</f>
        <v>...</v>
      </c>
      <c r="C41" s="1" t="str">
        <f>IF($H$6="Y",'Population Definitions'!$A$8,"...")</f>
        <v>...</v>
      </c>
      <c r="E41" s="2"/>
      <c r="F41" s="3"/>
      <c r="G41" s="2"/>
      <c r="H41" s="4" t="str">
        <f>IF($H$6="Y","OR","...")</f>
        <v>...</v>
      </c>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row>
    <row r="42" spans="1:59" x14ac:dyDescent="0.25">
      <c r="A42" s="1" t="str">
        <f>IF($I$6="Y",'Population Definitions'!$A$3,"...")</f>
        <v>...</v>
      </c>
      <c r="B42" s="4" t="str">
        <f>IF($I$6="Y","---&gt;","...")</f>
        <v>...</v>
      </c>
      <c r="C42" s="1" t="str">
        <f>IF($I$6="Y",'Population Definitions'!$A$9,"...")</f>
        <v>...</v>
      </c>
      <c r="E42" s="2"/>
      <c r="F42" s="3"/>
      <c r="G42" s="2"/>
      <c r="H42" s="4" t="str">
        <f>IF($I$6="Y","OR","...")</f>
        <v>...</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row>
    <row r="43" spans="1:59" x14ac:dyDescent="0.25">
      <c r="A43" s="1" t="str">
        <f>IF($J$6="Y",'Population Definitions'!$A$3,"...")</f>
        <v>...</v>
      </c>
      <c r="B43" s="4" t="str">
        <f>IF($J$6="Y","---&gt;","...")</f>
        <v>...</v>
      </c>
      <c r="C43" s="1" t="str">
        <f>IF($J$6="Y",'Population Definitions'!$A$10,"...")</f>
        <v>...</v>
      </c>
      <c r="E43" s="2"/>
      <c r="F43" s="3"/>
      <c r="G43" s="2"/>
      <c r="H43" s="4" t="str">
        <f>IF($J$6="Y","OR","...")</f>
        <v>...</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row>
    <row r="44" spans="1:59" x14ac:dyDescent="0.25">
      <c r="A44" s="1" t="str">
        <f>IF($K$6="Y",'Population Definitions'!$A$3,"...")</f>
        <v>...</v>
      </c>
      <c r="B44" s="4" t="str">
        <f>IF($K$6="Y","---&gt;","...")</f>
        <v>...</v>
      </c>
      <c r="C44" s="1" t="str">
        <f>IF($K$6="Y",'Population Definitions'!$A$11,"...")</f>
        <v>...</v>
      </c>
      <c r="E44" s="2"/>
      <c r="F44" s="3"/>
      <c r="G44" s="2"/>
      <c r="H44" s="4" t="str">
        <f>IF($K$6="Y","OR","...")</f>
        <v>...</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row>
    <row r="45" spans="1:59" x14ac:dyDescent="0.25">
      <c r="A45" s="1" t="str">
        <f>IF($L$6="Y",'Population Definitions'!$A$3,"...")</f>
        <v>...</v>
      </c>
      <c r="B45" s="4" t="str">
        <f>IF($L$6="Y","---&gt;","...")</f>
        <v>...</v>
      </c>
      <c r="C45" s="1" t="str">
        <f>IF($L$6="Y",'Population Definitions'!$A$12,"...")</f>
        <v>...</v>
      </c>
      <c r="E45" s="2"/>
      <c r="F45" s="3"/>
      <c r="G45" s="2"/>
      <c r="H45" s="4" t="str">
        <f>IF($L$6="Y","OR","...")</f>
        <v>...</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row>
    <row r="46" spans="1:59" x14ac:dyDescent="0.25">
      <c r="A46" s="1" t="str">
        <f>IF($M$6="Y",'Population Definitions'!$A$3,"...")</f>
        <v>...</v>
      </c>
      <c r="B46" s="4" t="str">
        <f>IF($M$6="Y","---&gt;","...")</f>
        <v>...</v>
      </c>
      <c r="C46" s="1" t="str">
        <f>IF($M$6="Y",'Population Definitions'!$A$13,"...")</f>
        <v>...</v>
      </c>
      <c r="E46" s="2"/>
      <c r="F46" s="3"/>
      <c r="G46" s="2"/>
      <c r="H46" s="4" t="str">
        <f>IF($M$6="Y","OR","...")</f>
        <v>...</v>
      </c>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row>
    <row r="47" spans="1:59" x14ac:dyDescent="0.25">
      <c r="A47" s="1" t="str">
        <f>IF($N$6="Y",'Population Definitions'!$A$3,"...")</f>
        <v>...</v>
      </c>
      <c r="B47" s="4" t="str">
        <f>IF($N$6="Y","---&gt;","...")</f>
        <v>...</v>
      </c>
      <c r="C47" s="1" t="str">
        <f>IF($N$6="Y",'Population Definitions'!$A$14,"...")</f>
        <v>...</v>
      </c>
      <c r="E47" s="2"/>
      <c r="F47" s="3"/>
      <c r="G47" s="2"/>
      <c r="H47" s="4" t="str">
        <f>IF($N$6="Y","OR","...")</f>
        <v>...</v>
      </c>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row>
    <row r="48" spans="1:59" x14ac:dyDescent="0.25">
      <c r="A48" s="1" t="str">
        <f>IF($O$6="Y",'Population Definitions'!$A$3,"...")</f>
        <v>...</v>
      </c>
      <c r="B48" s="4" t="str">
        <f>IF($O$6="Y","---&gt;","...")</f>
        <v>...</v>
      </c>
      <c r="C48" s="1" t="str">
        <f>IF($O$6="Y",'Population Definitions'!$A$15,"...")</f>
        <v>...</v>
      </c>
      <c r="E48" s="2"/>
      <c r="F48" s="3"/>
      <c r="G48" s="2"/>
      <c r="H48" s="4" t="str">
        <f>IF($O$6="Y","OR","...")</f>
        <v>...</v>
      </c>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row>
    <row r="49" spans="1:59" x14ac:dyDescent="0.25">
      <c r="A49" s="1" t="str">
        <f>IF($B$7="Y",'Population Definitions'!$A$4,"...")</f>
        <v>...</v>
      </c>
      <c r="B49" s="4" t="str">
        <f>IF($B$7="Y","---&gt;","...")</f>
        <v>...</v>
      </c>
      <c r="C49" s="1" t="str">
        <f>IF($B$7="Y",'Population Definitions'!$A$2,"...")</f>
        <v>...</v>
      </c>
      <c r="E49" s="2"/>
      <c r="F49" s="3"/>
      <c r="G49" s="2"/>
      <c r="H49" s="4" t="str">
        <f>IF($B$7="Y","OR","...")</f>
        <v>...</v>
      </c>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row>
    <row r="50" spans="1:59" x14ac:dyDescent="0.25">
      <c r="A50" s="1" t="str">
        <f>IF($C$7="Y",'Population Definitions'!$A$4,"...")</f>
        <v>...</v>
      </c>
      <c r="B50" s="4" t="str">
        <f>IF($C$7="Y","---&gt;","...")</f>
        <v>...</v>
      </c>
      <c r="C50" s="1" t="str">
        <f>IF($C$7="Y",'Population Definitions'!$A$3,"...")</f>
        <v>...</v>
      </c>
      <c r="E50" s="2"/>
      <c r="F50" s="3"/>
      <c r="G50" s="2"/>
      <c r="H50" s="4" t="str">
        <f>IF($C$7="Y","OR","...")</f>
        <v>...</v>
      </c>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row>
    <row r="51" spans="1:59" x14ac:dyDescent="0.25">
      <c r="A51" s="1" t="str">
        <f>IF($D$7="Y",'Population Definitions'!$A$4,"...")</f>
        <v>...</v>
      </c>
      <c r="B51" s="4" t="str">
        <f>IF($D$7="Y","---&gt;","...")</f>
        <v>...</v>
      </c>
      <c r="C51" s="1" t="str">
        <f>IF($D$7="Y",'Population Definitions'!$A$4,"...")</f>
        <v>...</v>
      </c>
      <c r="E51" s="2"/>
      <c r="F51" s="3"/>
      <c r="G51" s="2"/>
      <c r="H51" s="4" t="str">
        <f>IF($D$7="Y","OR","...")</f>
        <v>...</v>
      </c>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row>
    <row r="52" spans="1:59" x14ac:dyDescent="0.25">
      <c r="A52" s="1" t="str">
        <f>IF($E$7="Y",'Population Definitions'!$A$4,"...")</f>
        <v>...</v>
      </c>
      <c r="B52" s="4" t="str">
        <f>IF($E$7="Y","---&gt;","...")</f>
        <v>...</v>
      </c>
      <c r="C52" s="1" t="str">
        <f>IF($E$7="Y",'Population Definitions'!$A$5,"...")</f>
        <v>...</v>
      </c>
      <c r="E52" s="2"/>
      <c r="F52" s="3"/>
      <c r="G52" s="2"/>
      <c r="H52" s="4" t="str">
        <f>IF($E$7="Y","OR","...")</f>
        <v>...</v>
      </c>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row>
    <row r="53" spans="1:59" x14ac:dyDescent="0.25">
      <c r="A53" s="1" t="str">
        <f>IF($F$7="Y",'Population Definitions'!$A$4,"...")</f>
        <v>...</v>
      </c>
      <c r="B53" s="4" t="str">
        <f>IF($F$7="Y","---&gt;","...")</f>
        <v>...</v>
      </c>
      <c r="C53" s="1" t="str">
        <f>IF($F$7="Y",'Population Definitions'!$A$6,"...")</f>
        <v>...</v>
      </c>
      <c r="E53" s="2"/>
      <c r="F53" s="3"/>
      <c r="G53" s="2"/>
      <c r="H53" s="4" t="str">
        <f>IF($F$7="Y","OR","...")</f>
        <v>...</v>
      </c>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row>
    <row r="54" spans="1:59" x14ac:dyDescent="0.25">
      <c r="A54" s="1" t="str">
        <f>IF($G$7="Y",'Population Definitions'!$A$4,"...")</f>
        <v>...</v>
      </c>
      <c r="B54" s="4" t="str">
        <f>IF($G$7="Y","---&gt;","...")</f>
        <v>...</v>
      </c>
      <c r="C54" s="1" t="str">
        <f>IF($G$7="Y",'Population Definitions'!$A$7,"...")</f>
        <v>...</v>
      </c>
      <c r="E54" s="2"/>
      <c r="F54" s="3"/>
      <c r="G54" s="2"/>
      <c r="H54" s="4" t="str">
        <f>IF($G$7="Y","OR","...")</f>
        <v>...</v>
      </c>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row>
    <row r="55" spans="1:59" x14ac:dyDescent="0.25">
      <c r="A55" s="1" t="str">
        <f>IF($H$7="Y",'Population Definitions'!$A$4,"...")</f>
        <v>...</v>
      </c>
      <c r="B55" s="4" t="str">
        <f>IF($H$7="Y","---&gt;","...")</f>
        <v>...</v>
      </c>
      <c r="C55" s="1" t="str">
        <f>IF($H$7="Y",'Population Definitions'!$A$8,"...")</f>
        <v>...</v>
      </c>
      <c r="E55" s="2"/>
      <c r="F55" s="3"/>
      <c r="G55" s="2"/>
      <c r="H55" s="4" t="str">
        <f>IF($H$7="Y","OR","...")</f>
        <v>...</v>
      </c>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row>
    <row r="56" spans="1:59" x14ac:dyDescent="0.25">
      <c r="A56" s="1" t="str">
        <f>IF($I$7="Y",'Population Definitions'!$A$4,"...")</f>
        <v>...</v>
      </c>
      <c r="B56" s="4" t="str">
        <f>IF($I$7="Y","---&gt;","...")</f>
        <v>...</v>
      </c>
      <c r="C56" s="1" t="str">
        <f>IF($I$7="Y",'Population Definitions'!$A$9,"...")</f>
        <v>...</v>
      </c>
      <c r="E56" s="2"/>
      <c r="F56" s="3"/>
      <c r="G56" s="2"/>
      <c r="H56" s="4" t="str">
        <f>IF($I$7="Y","OR","...")</f>
        <v>...</v>
      </c>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row>
    <row r="57" spans="1:59" x14ac:dyDescent="0.25">
      <c r="A57" s="1" t="str">
        <f>IF($J$7="Y",'Population Definitions'!$A$4,"...")</f>
        <v>...</v>
      </c>
      <c r="B57" s="4" t="str">
        <f>IF($J$7="Y","---&gt;","...")</f>
        <v>...</v>
      </c>
      <c r="C57" s="1" t="str">
        <f>IF($J$7="Y",'Population Definitions'!$A$10,"...")</f>
        <v>...</v>
      </c>
      <c r="E57" s="2"/>
      <c r="F57" s="3"/>
      <c r="G57" s="2"/>
      <c r="H57" s="4" t="str">
        <f>IF($J$7="Y","OR","...")</f>
        <v>...</v>
      </c>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row>
    <row r="58" spans="1:59" x14ac:dyDescent="0.25">
      <c r="A58" s="1" t="str">
        <f>IF($K$7="Y",'Population Definitions'!$A$4,"...")</f>
        <v>...</v>
      </c>
      <c r="B58" s="4" t="str">
        <f>IF($K$7="Y","---&gt;","...")</f>
        <v>...</v>
      </c>
      <c r="C58" s="1" t="str">
        <f>IF($K$7="Y",'Population Definitions'!$A$11,"...")</f>
        <v>...</v>
      </c>
      <c r="E58" s="2"/>
      <c r="F58" s="3"/>
      <c r="G58" s="2"/>
      <c r="H58" s="4" t="str">
        <f>IF($K$7="Y","OR","...")</f>
        <v>...</v>
      </c>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row>
    <row r="59" spans="1:59" x14ac:dyDescent="0.25">
      <c r="A59" s="1" t="str">
        <f>IF($L$7="Y",'Population Definitions'!$A$4,"...")</f>
        <v>...</v>
      </c>
      <c r="B59" s="4" t="str">
        <f>IF($L$7="Y","---&gt;","...")</f>
        <v>...</v>
      </c>
      <c r="C59" s="1" t="str">
        <f>IF($L$7="Y",'Population Definitions'!$A$12,"...")</f>
        <v>...</v>
      </c>
      <c r="E59" s="2"/>
      <c r="F59" s="3"/>
      <c r="G59" s="2"/>
      <c r="H59" s="4" t="str">
        <f>IF($L$7="Y","OR","...")</f>
        <v>...</v>
      </c>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row>
    <row r="60" spans="1:59" x14ac:dyDescent="0.25">
      <c r="A60" s="1" t="str">
        <f>IF($M$7="Y",'Population Definitions'!$A$4,"...")</f>
        <v>...</v>
      </c>
      <c r="B60" s="4" t="str">
        <f>IF($M$7="Y","---&gt;","...")</f>
        <v>...</v>
      </c>
      <c r="C60" s="1" t="str">
        <f>IF($M$7="Y",'Population Definitions'!$A$13,"...")</f>
        <v>...</v>
      </c>
      <c r="E60" s="2"/>
      <c r="F60" s="3"/>
      <c r="G60" s="2"/>
      <c r="H60" s="4" t="str">
        <f>IF($M$7="Y","OR","...")</f>
        <v>...</v>
      </c>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row>
    <row r="61" spans="1:59" x14ac:dyDescent="0.25">
      <c r="A61" s="1" t="str">
        <f>IF($N$7="Y",'Population Definitions'!$A$4,"...")</f>
        <v>...</v>
      </c>
      <c r="B61" s="4" t="str">
        <f>IF($N$7="Y","---&gt;","...")</f>
        <v>...</v>
      </c>
      <c r="C61" s="1" t="str">
        <f>IF($N$7="Y",'Population Definitions'!$A$14,"...")</f>
        <v>...</v>
      </c>
      <c r="E61" s="2"/>
      <c r="F61" s="3"/>
      <c r="G61" s="2"/>
      <c r="H61" s="4" t="str">
        <f>IF($N$7="Y","OR","...")</f>
        <v>...</v>
      </c>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row>
    <row r="62" spans="1:59" x14ac:dyDescent="0.25">
      <c r="A62" s="1" t="str">
        <f>IF($O$7="Y",'Population Definitions'!$A$4,"...")</f>
        <v>...</v>
      </c>
      <c r="B62" s="4" t="str">
        <f>IF($O$7="Y","---&gt;","...")</f>
        <v>...</v>
      </c>
      <c r="C62" s="1" t="str">
        <f>IF($O$7="Y",'Population Definitions'!$A$15,"...")</f>
        <v>...</v>
      </c>
      <c r="E62" s="2"/>
      <c r="F62" s="3"/>
      <c r="G62" s="2"/>
      <c r="H62" s="4" t="str">
        <f>IF($O$7="Y","OR","...")</f>
        <v>...</v>
      </c>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row>
    <row r="63" spans="1:59" x14ac:dyDescent="0.25">
      <c r="A63" s="1" t="str">
        <f>IF($B$8="Y",'Population Definitions'!$A$5,"...")</f>
        <v>...</v>
      </c>
      <c r="B63" s="4" t="str">
        <f>IF($B$8="Y","---&gt;","...")</f>
        <v>...</v>
      </c>
      <c r="C63" s="1" t="str">
        <f>IF($B$8="Y",'Population Definitions'!$A$2,"...")</f>
        <v>...</v>
      </c>
      <c r="E63" s="2"/>
      <c r="F63" s="3"/>
      <c r="G63" s="2"/>
      <c r="H63" s="4" t="str">
        <f>IF($B$8="Y","OR","...")</f>
        <v>...</v>
      </c>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row>
    <row r="64" spans="1:59" x14ac:dyDescent="0.25">
      <c r="A64" s="1" t="str">
        <f>IF($C$8="Y",'Population Definitions'!$A$5,"...")</f>
        <v>...</v>
      </c>
      <c r="B64" s="4" t="str">
        <f>IF($C$8="Y","---&gt;","...")</f>
        <v>...</v>
      </c>
      <c r="C64" s="1" t="str">
        <f>IF($C$8="Y",'Population Definitions'!$A$3,"...")</f>
        <v>...</v>
      </c>
      <c r="E64" s="2"/>
      <c r="F64" s="3"/>
      <c r="G64" s="2"/>
      <c r="H64" s="4" t="str">
        <f>IF($C$8="Y","OR","...")</f>
        <v>...</v>
      </c>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row>
    <row r="65" spans="1:59" x14ac:dyDescent="0.25">
      <c r="A65" s="1" t="str">
        <f>IF($D$8="Y",'Population Definitions'!$A$5,"...")</f>
        <v>...</v>
      </c>
      <c r="B65" s="4" t="str">
        <f>IF($D$8="Y","---&gt;","...")</f>
        <v>...</v>
      </c>
      <c r="C65" s="1" t="str">
        <f>IF($D$8="Y",'Population Definitions'!$A$4,"...")</f>
        <v>...</v>
      </c>
      <c r="E65" s="2"/>
      <c r="F65" s="3"/>
      <c r="G65" s="2"/>
      <c r="H65" s="4" t="str">
        <f>IF($D$8="Y","OR","...")</f>
        <v>...</v>
      </c>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row>
    <row r="66" spans="1:59" x14ac:dyDescent="0.25">
      <c r="A66" s="1" t="str">
        <f>IF($E$8="Y",'Population Definitions'!$A$5,"...")</f>
        <v>...</v>
      </c>
      <c r="B66" s="4" t="str">
        <f>IF($E$8="Y","---&gt;","...")</f>
        <v>...</v>
      </c>
      <c r="C66" s="1" t="str">
        <f>IF($E$8="Y",'Population Definitions'!$A$5,"...")</f>
        <v>...</v>
      </c>
      <c r="E66" s="2"/>
      <c r="F66" s="3"/>
      <c r="G66" s="2"/>
      <c r="H66" s="4" t="str">
        <f>IF($E$8="Y","OR","...")</f>
        <v>...</v>
      </c>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row>
    <row r="67" spans="1:59" x14ac:dyDescent="0.25">
      <c r="A67" s="1" t="str">
        <f>IF($F$8="Y",'Population Definitions'!$A$5,"...")</f>
        <v>...</v>
      </c>
      <c r="B67" s="4" t="str">
        <f>IF($F$8="Y","---&gt;","...")</f>
        <v>...</v>
      </c>
      <c r="C67" s="1" t="str">
        <f>IF($F$8="Y",'Population Definitions'!$A$6,"...")</f>
        <v>...</v>
      </c>
      <c r="E67" s="2"/>
      <c r="F67" s="3"/>
      <c r="G67" s="2"/>
      <c r="H67" s="4" t="str">
        <f>IF($F$8="Y","OR","...")</f>
        <v>...</v>
      </c>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row>
    <row r="68" spans="1:59" x14ac:dyDescent="0.25">
      <c r="A68" s="1" t="str">
        <f>IF($G$8="Y",'Population Definitions'!$A$5,"...")</f>
        <v>...</v>
      </c>
      <c r="B68" s="4" t="str">
        <f>IF($G$8="Y","---&gt;","...")</f>
        <v>...</v>
      </c>
      <c r="C68" s="1" t="str">
        <f>IF($G$8="Y",'Population Definitions'!$A$7,"...")</f>
        <v>...</v>
      </c>
      <c r="E68" s="2"/>
      <c r="F68" s="3"/>
      <c r="G68" s="2"/>
      <c r="H68" s="4" t="str">
        <f>IF($G$8="Y","OR","...")</f>
        <v>...</v>
      </c>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row>
    <row r="69" spans="1:59" x14ac:dyDescent="0.25">
      <c r="A69" s="1" t="str">
        <f>IF($H$8="Y",'Population Definitions'!$A$5,"...")</f>
        <v>...</v>
      </c>
      <c r="B69" s="4" t="str">
        <f>IF($H$8="Y","---&gt;","...")</f>
        <v>...</v>
      </c>
      <c r="C69" s="1" t="str">
        <f>IF($H$8="Y",'Population Definitions'!$A$8,"...")</f>
        <v>...</v>
      </c>
      <c r="E69" s="2"/>
      <c r="F69" s="3"/>
      <c r="G69" s="2"/>
      <c r="H69" s="4" t="str">
        <f>IF($H$8="Y","OR","...")</f>
        <v>...</v>
      </c>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row>
    <row r="70" spans="1:59" x14ac:dyDescent="0.25">
      <c r="A70" s="1" t="str">
        <f>IF($I$8="Y",'Population Definitions'!$A$5,"...")</f>
        <v>...</v>
      </c>
      <c r="B70" s="4" t="str">
        <f>IF($I$8="Y","---&gt;","...")</f>
        <v>...</v>
      </c>
      <c r="C70" s="1" t="str">
        <f>IF($I$8="Y",'Population Definitions'!$A$9,"...")</f>
        <v>...</v>
      </c>
      <c r="E70" s="2"/>
      <c r="F70" s="3"/>
      <c r="G70" s="2"/>
      <c r="H70" s="4" t="str">
        <f>IF($I$8="Y","OR","...")</f>
        <v>...</v>
      </c>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row>
    <row r="71" spans="1:59" x14ac:dyDescent="0.25">
      <c r="A71" s="1" t="str">
        <f>IF($J$8="Y",'Population Definitions'!$A$5,"...")</f>
        <v>...</v>
      </c>
      <c r="B71" s="4" t="str">
        <f>IF($J$8="Y","---&gt;","...")</f>
        <v>...</v>
      </c>
      <c r="C71" s="1" t="str">
        <f>IF($J$8="Y",'Population Definitions'!$A$10,"...")</f>
        <v>...</v>
      </c>
      <c r="E71" s="2"/>
      <c r="F71" s="3"/>
      <c r="G71" s="2"/>
      <c r="H71" s="4" t="str">
        <f>IF($J$8="Y","OR","...")</f>
        <v>...</v>
      </c>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row>
    <row r="72" spans="1:59" x14ac:dyDescent="0.25">
      <c r="A72" s="1" t="str">
        <f>IF($K$8="Y",'Population Definitions'!$A$5,"...")</f>
        <v>...</v>
      </c>
      <c r="B72" s="4" t="str">
        <f>IF($K$8="Y","---&gt;","...")</f>
        <v>...</v>
      </c>
      <c r="C72" s="1" t="str">
        <f>IF($K$8="Y",'Population Definitions'!$A$11,"...")</f>
        <v>...</v>
      </c>
      <c r="E72" s="2"/>
      <c r="F72" s="3"/>
      <c r="G72" s="2"/>
      <c r="H72" s="4" t="str">
        <f>IF($K$8="Y","OR","...")</f>
        <v>...</v>
      </c>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row>
    <row r="73" spans="1:59" x14ac:dyDescent="0.25">
      <c r="A73" s="1" t="str">
        <f>IF($L$8="Y",'Population Definitions'!$A$5,"...")</f>
        <v>...</v>
      </c>
      <c r="B73" s="4" t="str">
        <f>IF($L$8="Y","---&gt;","...")</f>
        <v>...</v>
      </c>
      <c r="C73" s="1" t="str">
        <f>IF($L$8="Y",'Population Definitions'!$A$12,"...")</f>
        <v>...</v>
      </c>
      <c r="E73" s="2"/>
      <c r="F73" s="3"/>
      <c r="G73" s="2"/>
      <c r="H73" s="4" t="str">
        <f>IF($L$8="Y","OR","...")</f>
        <v>...</v>
      </c>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row>
    <row r="74" spans="1:59" x14ac:dyDescent="0.25">
      <c r="A74" s="1" t="str">
        <f>IF($M$8="Y",'Population Definitions'!$A$5,"...")</f>
        <v>...</v>
      </c>
      <c r="B74" s="4" t="str">
        <f>IF($M$8="Y","---&gt;","...")</f>
        <v>...</v>
      </c>
      <c r="C74" s="1" t="str">
        <f>IF($M$8="Y",'Population Definitions'!$A$13,"...")</f>
        <v>...</v>
      </c>
      <c r="E74" s="2"/>
      <c r="F74" s="3"/>
      <c r="G74" s="2"/>
      <c r="H74" s="4" t="str">
        <f>IF($M$8="Y","OR","...")</f>
        <v>...</v>
      </c>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row>
    <row r="75" spans="1:59" x14ac:dyDescent="0.25">
      <c r="A75" s="1" t="str">
        <f>IF($N$8="Y",'Population Definitions'!$A$5,"...")</f>
        <v>...</v>
      </c>
      <c r="B75" s="4" t="str">
        <f>IF($N$8="Y","---&gt;","...")</f>
        <v>...</v>
      </c>
      <c r="C75" s="1" t="str">
        <f>IF($N$8="Y",'Population Definitions'!$A$14,"...")</f>
        <v>...</v>
      </c>
      <c r="E75" s="2"/>
      <c r="F75" s="3"/>
      <c r="G75" s="2"/>
      <c r="H75" s="4" t="str">
        <f>IF($N$8="Y","OR","...")</f>
        <v>...</v>
      </c>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row>
    <row r="76" spans="1:59" x14ac:dyDescent="0.25">
      <c r="A76" s="1" t="str">
        <f>IF($O$8="Y",'Population Definitions'!$A$5,"...")</f>
        <v>...</v>
      </c>
      <c r="B76" s="4" t="str">
        <f>IF($O$8="Y","---&gt;","...")</f>
        <v>...</v>
      </c>
      <c r="C76" s="1" t="str">
        <f>IF($O$8="Y",'Population Definitions'!$A$15,"...")</f>
        <v>...</v>
      </c>
      <c r="E76" s="2"/>
      <c r="F76" s="3"/>
      <c r="G76" s="2"/>
      <c r="H76" s="4" t="str">
        <f>IF($O$8="Y","OR","...")</f>
        <v>...</v>
      </c>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row>
    <row r="77" spans="1:59" x14ac:dyDescent="0.25">
      <c r="A77" s="1" t="str">
        <f>IF($B$9="Y",'Population Definitions'!$A$6,"...")</f>
        <v>...</v>
      </c>
      <c r="B77" s="4" t="str">
        <f>IF($B$9="Y","---&gt;","...")</f>
        <v>...</v>
      </c>
      <c r="C77" s="1" t="str">
        <f>IF($B$9="Y",'Population Definitions'!$A$2,"...")</f>
        <v>...</v>
      </c>
      <c r="E77" s="2"/>
      <c r="F77" s="3"/>
      <c r="G77" s="2"/>
      <c r="H77" s="4" t="str">
        <f>IF($B$9="Y","OR","...")</f>
        <v>...</v>
      </c>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row>
    <row r="78" spans="1:59" x14ac:dyDescent="0.25">
      <c r="A78" s="1" t="str">
        <f>IF($C$9="Y",'Population Definitions'!$A$6,"...")</f>
        <v>...</v>
      </c>
      <c r="B78" s="4" t="str">
        <f>IF($C$9="Y","---&gt;","...")</f>
        <v>...</v>
      </c>
      <c r="C78" s="1" t="str">
        <f>IF($C$9="Y",'Population Definitions'!$A$3,"...")</f>
        <v>...</v>
      </c>
      <c r="E78" s="2"/>
      <c r="F78" s="3"/>
      <c r="G78" s="2"/>
      <c r="H78" s="4" t="str">
        <f>IF($C$9="Y","OR","...")</f>
        <v>...</v>
      </c>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row>
    <row r="79" spans="1:59" x14ac:dyDescent="0.25">
      <c r="A79" s="1" t="str">
        <f>IF($D$9="Y",'Population Definitions'!$A$6,"...")</f>
        <v>...</v>
      </c>
      <c r="B79" s="4" t="str">
        <f>IF($D$9="Y","---&gt;","...")</f>
        <v>...</v>
      </c>
      <c r="C79" s="1" t="str">
        <f>IF($D$9="Y",'Population Definitions'!$A$4,"...")</f>
        <v>...</v>
      </c>
      <c r="E79" s="2"/>
      <c r="F79" s="3"/>
      <c r="G79" s="2"/>
      <c r="H79" s="4" t="str">
        <f>IF($D$9="Y","OR","...")</f>
        <v>...</v>
      </c>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row>
    <row r="80" spans="1:59" x14ac:dyDescent="0.25">
      <c r="A80" s="1" t="str">
        <f>IF($E$9="Y",'Population Definitions'!$A$6,"...")</f>
        <v>...</v>
      </c>
      <c r="B80" s="4" t="str">
        <f>IF($E$9="Y","---&gt;","...")</f>
        <v>...</v>
      </c>
      <c r="C80" s="1" t="str">
        <f>IF($E$9="Y",'Population Definitions'!$A$5,"...")</f>
        <v>...</v>
      </c>
      <c r="E80" s="2"/>
      <c r="F80" s="3"/>
      <c r="G80" s="2"/>
      <c r="H80" s="4" t="str">
        <f>IF($E$9="Y","OR","...")</f>
        <v>...</v>
      </c>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row>
    <row r="81" spans="1:59" x14ac:dyDescent="0.25">
      <c r="A81" s="1" t="str">
        <f>IF($F$9="Y",'Population Definitions'!$A$6,"...")</f>
        <v>...</v>
      </c>
      <c r="B81" s="4" t="str">
        <f>IF($F$9="Y","---&gt;","...")</f>
        <v>...</v>
      </c>
      <c r="C81" s="1" t="str">
        <f>IF($F$9="Y",'Population Definitions'!$A$6,"...")</f>
        <v>...</v>
      </c>
      <c r="E81" s="2"/>
      <c r="F81" s="3"/>
      <c r="G81" s="2"/>
      <c r="H81" s="4" t="str">
        <f>IF($F$9="Y","OR","...")</f>
        <v>...</v>
      </c>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row>
    <row r="82" spans="1:59" x14ac:dyDescent="0.25">
      <c r="A82" s="1" t="str">
        <f>IF($G$9="Y",'Population Definitions'!$A$6,"...")</f>
        <v>...</v>
      </c>
      <c r="B82" s="4" t="str">
        <f>IF($G$9="Y","---&gt;","...")</f>
        <v>...</v>
      </c>
      <c r="C82" s="1" t="str">
        <f>IF($G$9="Y",'Population Definitions'!$A$7,"...")</f>
        <v>...</v>
      </c>
      <c r="E82" s="2"/>
      <c r="F82" s="3"/>
      <c r="G82" s="2"/>
      <c r="H82" s="4" t="str">
        <f>IF($G$9="Y","OR","...")</f>
        <v>...</v>
      </c>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row>
    <row r="83" spans="1:59" x14ac:dyDescent="0.25">
      <c r="A83" s="1" t="str">
        <f>IF($H$9="Y",'Population Definitions'!$A$6,"...")</f>
        <v>...</v>
      </c>
      <c r="B83" s="4" t="str">
        <f>IF($H$9="Y","---&gt;","...")</f>
        <v>...</v>
      </c>
      <c r="C83" s="1" t="str">
        <f>IF($H$9="Y",'Population Definitions'!$A$8,"...")</f>
        <v>...</v>
      </c>
      <c r="E83" s="2"/>
      <c r="F83" s="3"/>
      <c r="G83" s="2"/>
      <c r="H83" s="4" t="str">
        <f>IF($H$9="Y","OR","...")</f>
        <v>...</v>
      </c>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row>
    <row r="84" spans="1:59" x14ac:dyDescent="0.25">
      <c r="A84" s="1" t="str">
        <f>IF($I$9="Y",'Population Definitions'!$A$6,"...")</f>
        <v>...</v>
      </c>
      <c r="B84" s="4" t="str">
        <f>IF($I$9="Y","---&gt;","...")</f>
        <v>...</v>
      </c>
      <c r="C84" s="1" t="str">
        <f>IF($I$9="Y",'Population Definitions'!$A$9,"...")</f>
        <v>...</v>
      </c>
      <c r="E84" s="2"/>
      <c r="F84" s="3"/>
      <c r="G84" s="2"/>
      <c r="H84" s="4" t="str">
        <f>IF($I$9="Y","OR","...")</f>
        <v>...</v>
      </c>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row>
    <row r="85" spans="1:59" x14ac:dyDescent="0.25">
      <c r="A85" s="1" t="str">
        <f>IF($J$9="Y",'Population Definitions'!$A$6,"...")</f>
        <v>...</v>
      </c>
      <c r="B85" s="4" t="str">
        <f>IF($J$9="Y","---&gt;","...")</f>
        <v>...</v>
      </c>
      <c r="C85" s="1" t="str">
        <f>IF($J$9="Y",'Population Definitions'!$A$10,"...")</f>
        <v>...</v>
      </c>
      <c r="E85" s="2"/>
      <c r="F85" s="3"/>
      <c r="G85" s="2"/>
      <c r="H85" s="4" t="str">
        <f>IF($J$9="Y","OR","...")</f>
        <v>...</v>
      </c>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row>
    <row r="86" spans="1:59" x14ac:dyDescent="0.25">
      <c r="A86" s="1" t="str">
        <f>IF($K$9="Y",'Population Definitions'!$A$6,"...")</f>
        <v>...</v>
      </c>
      <c r="B86" s="4" t="str">
        <f>IF($K$9="Y","---&gt;","...")</f>
        <v>...</v>
      </c>
      <c r="C86" s="1" t="str">
        <f>IF($K$9="Y",'Population Definitions'!$A$11,"...")</f>
        <v>...</v>
      </c>
      <c r="E86" s="2"/>
      <c r="F86" s="3"/>
      <c r="G86" s="2"/>
      <c r="H86" s="4" t="str">
        <f>IF($K$9="Y","OR","...")</f>
        <v>...</v>
      </c>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row>
    <row r="87" spans="1:59" x14ac:dyDescent="0.25">
      <c r="A87" s="1" t="str">
        <f>IF($L$9="Y",'Population Definitions'!$A$6,"...")</f>
        <v>...</v>
      </c>
      <c r="B87" s="4" t="str">
        <f>IF($L$9="Y","---&gt;","...")</f>
        <v>...</v>
      </c>
      <c r="C87" s="1" t="str">
        <f>IF($L$9="Y",'Population Definitions'!$A$12,"...")</f>
        <v>...</v>
      </c>
      <c r="E87" s="2"/>
      <c r="F87" s="3"/>
      <c r="G87" s="2"/>
      <c r="H87" s="4" t="str">
        <f>IF($L$9="Y","OR","...")</f>
        <v>...</v>
      </c>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row>
    <row r="88" spans="1:59" x14ac:dyDescent="0.25">
      <c r="A88" s="1" t="str">
        <f>IF($M$9="Y",'Population Definitions'!$A$6,"...")</f>
        <v>...</v>
      </c>
      <c r="B88" s="4" t="str">
        <f>IF($M$9="Y","---&gt;","...")</f>
        <v>...</v>
      </c>
      <c r="C88" s="1" t="str">
        <f>IF($M$9="Y",'Population Definitions'!$A$13,"...")</f>
        <v>...</v>
      </c>
      <c r="E88" s="2"/>
      <c r="F88" s="3"/>
      <c r="G88" s="2"/>
      <c r="H88" s="4" t="str">
        <f>IF($M$9="Y","OR","...")</f>
        <v>...</v>
      </c>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row>
    <row r="89" spans="1:59" x14ac:dyDescent="0.25">
      <c r="A89" s="1" t="str">
        <f>IF($N$9="Y",'Population Definitions'!$A$6,"...")</f>
        <v>...</v>
      </c>
      <c r="B89" s="4" t="str">
        <f>IF($N$9="Y","---&gt;","...")</f>
        <v>...</v>
      </c>
      <c r="C89" s="1" t="str">
        <f>IF($N$9="Y",'Population Definitions'!$A$14,"...")</f>
        <v>...</v>
      </c>
      <c r="E89" s="2"/>
      <c r="F89" s="3"/>
      <c r="G89" s="2"/>
      <c r="H89" s="4" t="str">
        <f>IF($N$9="Y","OR","...")</f>
        <v>...</v>
      </c>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row>
    <row r="90" spans="1:59" x14ac:dyDescent="0.25">
      <c r="A90" s="1" t="str">
        <f>IF($O$9="Y",'Population Definitions'!$A$6,"...")</f>
        <v>...</v>
      </c>
      <c r="B90" s="4" t="str">
        <f>IF($O$9="Y","---&gt;","...")</f>
        <v>...</v>
      </c>
      <c r="C90" s="1" t="str">
        <f>IF($O$9="Y",'Population Definitions'!$A$15,"...")</f>
        <v>...</v>
      </c>
      <c r="E90" s="2"/>
      <c r="F90" s="3"/>
      <c r="G90" s="2"/>
      <c r="H90" s="4" t="str">
        <f>IF($O$9="Y","OR","...")</f>
        <v>...</v>
      </c>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row>
    <row r="91" spans="1:59" x14ac:dyDescent="0.25">
      <c r="A91" s="1" t="str">
        <f>IF($B$10="Y",'Population Definitions'!$A$7,"...")</f>
        <v>...</v>
      </c>
      <c r="B91" s="4" t="str">
        <f>IF($B$10="Y","---&gt;","...")</f>
        <v>...</v>
      </c>
      <c r="C91" s="1" t="str">
        <f>IF($B$10="Y",'Population Definitions'!$A$2,"...")</f>
        <v>...</v>
      </c>
      <c r="E91" s="2"/>
      <c r="F91" s="3"/>
      <c r="G91" s="2"/>
      <c r="H91" s="4" t="str">
        <f>IF($B$10="Y","OR","...")</f>
        <v>...</v>
      </c>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row>
    <row r="92" spans="1:59" x14ac:dyDescent="0.25">
      <c r="A92" s="1" t="str">
        <f>IF($C$10="Y",'Population Definitions'!$A$7,"...")</f>
        <v>...</v>
      </c>
      <c r="B92" s="4" t="str">
        <f>IF($C$10="Y","---&gt;","...")</f>
        <v>...</v>
      </c>
      <c r="C92" s="1" t="str">
        <f>IF($C$10="Y",'Population Definitions'!$A$3,"...")</f>
        <v>...</v>
      </c>
      <c r="E92" s="2"/>
      <c r="F92" s="3"/>
      <c r="G92" s="2"/>
      <c r="H92" s="4" t="str">
        <f>IF($C$10="Y","OR","...")</f>
        <v>...</v>
      </c>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row>
    <row r="93" spans="1:59" x14ac:dyDescent="0.25">
      <c r="A93" s="1" t="str">
        <f>IF($D$10="Y",'Population Definitions'!$A$7,"...")</f>
        <v>...</v>
      </c>
      <c r="B93" s="4" t="str">
        <f>IF($D$10="Y","---&gt;","...")</f>
        <v>...</v>
      </c>
      <c r="C93" s="1" t="str">
        <f>IF($D$10="Y",'Population Definitions'!$A$4,"...")</f>
        <v>...</v>
      </c>
      <c r="E93" s="2"/>
      <c r="F93" s="3"/>
      <c r="G93" s="2"/>
      <c r="H93" s="4" t="str">
        <f>IF($D$10="Y","OR","...")</f>
        <v>...</v>
      </c>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row>
    <row r="94" spans="1:59" x14ac:dyDescent="0.25">
      <c r="A94" s="1" t="str">
        <f>IF($E$10="Y",'Population Definitions'!$A$7,"...")</f>
        <v>...</v>
      </c>
      <c r="B94" s="4" t="str">
        <f>IF($E$10="Y","---&gt;","...")</f>
        <v>...</v>
      </c>
      <c r="C94" s="1" t="str">
        <f>IF($E$10="Y",'Population Definitions'!$A$5,"...")</f>
        <v>...</v>
      </c>
      <c r="E94" s="2"/>
      <c r="F94" s="3"/>
      <c r="G94" s="2"/>
      <c r="H94" s="4" t="str">
        <f>IF($E$10="Y","OR","...")</f>
        <v>...</v>
      </c>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row>
    <row r="95" spans="1:59" x14ac:dyDescent="0.25">
      <c r="A95" s="1" t="str">
        <f>IF($F$10="Y",'Population Definitions'!$A$7,"...")</f>
        <v>...</v>
      </c>
      <c r="B95" s="4" t="str">
        <f>IF($F$10="Y","---&gt;","...")</f>
        <v>...</v>
      </c>
      <c r="C95" s="1" t="str">
        <f>IF($F$10="Y",'Population Definitions'!$A$6,"...")</f>
        <v>...</v>
      </c>
      <c r="E95" s="2"/>
      <c r="F95" s="3"/>
      <c r="G95" s="2"/>
      <c r="H95" s="4" t="str">
        <f>IF($F$10="Y","OR","...")</f>
        <v>...</v>
      </c>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row>
    <row r="96" spans="1:59" x14ac:dyDescent="0.25">
      <c r="A96" s="1" t="str">
        <f>IF($G$10="Y",'Population Definitions'!$A$7,"...")</f>
        <v>...</v>
      </c>
      <c r="B96" s="4" t="str">
        <f>IF($G$10="Y","---&gt;","...")</f>
        <v>...</v>
      </c>
      <c r="C96" s="1" t="str">
        <f>IF($G$10="Y",'Population Definitions'!$A$7,"...")</f>
        <v>...</v>
      </c>
      <c r="E96" s="2"/>
      <c r="F96" s="3"/>
      <c r="G96" s="2"/>
      <c r="H96" s="4" t="str">
        <f>IF($G$10="Y","OR","...")</f>
        <v>...</v>
      </c>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row>
    <row r="97" spans="1:59" x14ac:dyDescent="0.25">
      <c r="A97" s="1" t="str">
        <f>IF($H$10="Y",'Population Definitions'!$A$7,"...")</f>
        <v>...</v>
      </c>
      <c r="B97" s="4" t="str">
        <f>IF($H$10="Y","---&gt;","...")</f>
        <v>...</v>
      </c>
      <c r="C97" s="1" t="str">
        <f>IF($H$10="Y",'Population Definitions'!$A$8,"...")</f>
        <v>...</v>
      </c>
      <c r="E97" s="2"/>
      <c r="F97" s="3"/>
      <c r="G97" s="2"/>
      <c r="H97" s="4" t="str">
        <f>IF($H$10="Y","OR","...")</f>
        <v>...</v>
      </c>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row>
    <row r="98" spans="1:59" x14ac:dyDescent="0.25">
      <c r="A98" s="1" t="str">
        <f>IF($I$10="Y",'Population Definitions'!$A$7,"...")</f>
        <v>...</v>
      </c>
      <c r="B98" s="4" t="str">
        <f>IF($I$10="Y","---&gt;","...")</f>
        <v>...</v>
      </c>
      <c r="C98" s="1" t="str">
        <f>IF($I$10="Y",'Population Definitions'!$A$9,"...")</f>
        <v>...</v>
      </c>
      <c r="E98" s="2"/>
      <c r="F98" s="3"/>
      <c r="G98" s="2"/>
      <c r="H98" s="4" t="str">
        <f>IF($I$10="Y","OR","...")</f>
        <v>...</v>
      </c>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row>
    <row r="99" spans="1:59" x14ac:dyDescent="0.25">
      <c r="A99" s="1" t="str">
        <f>IF($J$10="Y",'Population Definitions'!$A$7,"...")</f>
        <v>...</v>
      </c>
      <c r="B99" s="4" t="str">
        <f>IF($J$10="Y","---&gt;","...")</f>
        <v>...</v>
      </c>
      <c r="C99" s="1" t="str">
        <f>IF($J$10="Y",'Population Definitions'!$A$10,"...")</f>
        <v>...</v>
      </c>
      <c r="E99" s="2"/>
      <c r="F99" s="3"/>
      <c r="G99" s="2"/>
      <c r="H99" s="4" t="str">
        <f>IF($J$10="Y","OR","...")</f>
        <v>...</v>
      </c>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row>
    <row r="100" spans="1:59" x14ac:dyDescent="0.25">
      <c r="A100" s="1" t="str">
        <f>IF($K$10="Y",'Population Definitions'!$A$7,"...")</f>
        <v>...</v>
      </c>
      <c r="B100" s="4" t="str">
        <f>IF($K$10="Y","---&gt;","...")</f>
        <v>...</v>
      </c>
      <c r="C100" s="1" t="str">
        <f>IF($K$10="Y",'Population Definitions'!$A$11,"...")</f>
        <v>...</v>
      </c>
      <c r="E100" s="2"/>
      <c r="F100" s="3"/>
      <c r="G100" s="2"/>
      <c r="H100" s="4" t="str">
        <f>IF($K$10="Y","OR","...")</f>
        <v>...</v>
      </c>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row>
    <row r="101" spans="1:59" x14ac:dyDescent="0.25">
      <c r="A101" s="1" t="str">
        <f>IF($L$10="Y",'Population Definitions'!$A$7,"...")</f>
        <v>...</v>
      </c>
      <c r="B101" s="4" t="str">
        <f>IF($L$10="Y","---&gt;","...")</f>
        <v>...</v>
      </c>
      <c r="C101" s="1" t="str">
        <f>IF($L$10="Y",'Population Definitions'!$A$12,"...")</f>
        <v>...</v>
      </c>
      <c r="E101" s="2"/>
      <c r="F101" s="3"/>
      <c r="G101" s="2"/>
      <c r="H101" s="4" t="str">
        <f>IF($L$10="Y","OR","...")</f>
        <v>...</v>
      </c>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row>
    <row r="102" spans="1:59" x14ac:dyDescent="0.25">
      <c r="A102" s="1" t="str">
        <f>IF($M$10="Y",'Population Definitions'!$A$7,"...")</f>
        <v>...</v>
      </c>
      <c r="B102" s="4" t="str">
        <f>IF($M$10="Y","---&gt;","...")</f>
        <v>...</v>
      </c>
      <c r="C102" s="1" t="str">
        <f>IF($M$10="Y",'Population Definitions'!$A$13,"...")</f>
        <v>...</v>
      </c>
      <c r="E102" s="2"/>
      <c r="F102" s="3"/>
      <c r="G102" s="2"/>
      <c r="H102" s="4" t="str">
        <f>IF($M$10="Y","OR","...")</f>
        <v>...</v>
      </c>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row>
    <row r="103" spans="1:59" x14ac:dyDescent="0.25">
      <c r="A103" s="1" t="str">
        <f>IF($N$10="Y",'Population Definitions'!$A$7,"...")</f>
        <v>...</v>
      </c>
      <c r="B103" s="4" t="str">
        <f>IF($N$10="Y","---&gt;","...")</f>
        <v>...</v>
      </c>
      <c r="C103" s="1" t="str">
        <f>IF($N$10="Y",'Population Definitions'!$A$14,"...")</f>
        <v>...</v>
      </c>
      <c r="E103" s="2"/>
      <c r="F103" s="3"/>
      <c r="G103" s="2"/>
      <c r="H103" s="4" t="str">
        <f>IF($N$10="Y","OR","...")</f>
        <v>...</v>
      </c>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row>
    <row r="104" spans="1:59" x14ac:dyDescent="0.25">
      <c r="A104" s="1" t="str">
        <f>IF($O$10="Y",'Population Definitions'!$A$7,"...")</f>
        <v>...</v>
      </c>
      <c r="B104" s="4" t="str">
        <f>IF($O$10="Y","---&gt;","...")</f>
        <v>...</v>
      </c>
      <c r="C104" s="1" t="str">
        <f>IF($O$10="Y",'Population Definitions'!$A$15,"...")</f>
        <v>...</v>
      </c>
      <c r="E104" s="2"/>
      <c r="F104" s="3"/>
      <c r="G104" s="2"/>
      <c r="H104" s="4" t="str">
        <f>IF($O$10="Y","OR","...")</f>
        <v>...</v>
      </c>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row>
    <row r="105" spans="1:59" x14ac:dyDescent="0.25">
      <c r="A105" s="1" t="str">
        <f>IF($B$11="Y",'Population Definitions'!$A$8,"...")</f>
        <v>...</v>
      </c>
      <c r="B105" s="4" t="str">
        <f>IF($B$11="Y","---&gt;","...")</f>
        <v>...</v>
      </c>
      <c r="C105" s="1" t="str">
        <f>IF($B$11="Y",'Population Definitions'!$A$2,"...")</f>
        <v>...</v>
      </c>
      <c r="E105" s="2"/>
      <c r="F105" s="3"/>
      <c r="G105" s="2"/>
      <c r="H105" s="4" t="str">
        <f>IF($B$11="Y","OR","...")</f>
        <v>...</v>
      </c>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row>
    <row r="106" spans="1:59" x14ac:dyDescent="0.25">
      <c r="A106" s="1" t="str">
        <f>IF($C$11="Y",'Population Definitions'!$A$8,"...")</f>
        <v>...</v>
      </c>
      <c r="B106" s="4" t="str">
        <f>IF($C$11="Y","---&gt;","...")</f>
        <v>...</v>
      </c>
      <c r="C106" s="1" t="str">
        <f>IF($C$11="Y",'Population Definitions'!$A$3,"...")</f>
        <v>...</v>
      </c>
      <c r="E106" s="2"/>
      <c r="F106" s="3"/>
      <c r="G106" s="2"/>
      <c r="H106" s="4" t="str">
        <f>IF($C$11="Y","OR","...")</f>
        <v>...</v>
      </c>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row>
    <row r="107" spans="1:59" x14ac:dyDescent="0.25">
      <c r="A107" s="1" t="str">
        <f>IF($D$11="Y",'Population Definitions'!$A$8,"...")</f>
        <v>...</v>
      </c>
      <c r="B107" s="4" t="str">
        <f>IF($D$11="Y","---&gt;","...")</f>
        <v>...</v>
      </c>
      <c r="C107" s="1" t="str">
        <f>IF($D$11="Y",'Population Definitions'!$A$4,"...")</f>
        <v>...</v>
      </c>
      <c r="E107" s="2"/>
      <c r="F107" s="3"/>
      <c r="G107" s="2"/>
      <c r="H107" s="4" t="str">
        <f>IF($D$11="Y","OR","...")</f>
        <v>...</v>
      </c>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row>
    <row r="108" spans="1:59" x14ac:dyDescent="0.25">
      <c r="A108" s="1" t="str">
        <f>IF($E$11="Y",'Population Definitions'!$A$8,"...")</f>
        <v>...</v>
      </c>
      <c r="B108" s="4" t="str">
        <f>IF($E$11="Y","---&gt;","...")</f>
        <v>...</v>
      </c>
      <c r="C108" s="1" t="str">
        <f>IF($E$11="Y",'Population Definitions'!$A$5,"...")</f>
        <v>...</v>
      </c>
      <c r="E108" s="2"/>
      <c r="F108" s="3"/>
      <c r="G108" s="2"/>
      <c r="H108" s="4" t="str">
        <f>IF($E$11="Y","OR","...")</f>
        <v>...</v>
      </c>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row>
    <row r="109" spans="1:59" x14ac:dyDescent="0.25">
      <c r="A109" s="1" t="str">
        <f>IF($F$11="Y",'Population Definitions'!$A$8,"...")</f>
        <v>...</v>
      </c>
      <c r="B109" s="4" t="str">
        <f>IF($F$11="Y","---&gt;","...")</f>
        <v>...</v>
      </c>
      <c r="C109" s="1" t="str">
        <f>IF($F$11="Y",'Population Definitions'!$A$6,"...")</f>
        <v>...</v>
      </c>
      <c r="E109" s="2"/>
      <c r="F109" s="3"/>
      <c r="G109" s="2"/>
      <c r="H109" s="4" t="str">
        <f>IF($F$11="Y","OR","...")</f>
        <v>...</v>
      </c>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row>
    <row r="110" spans="1:59" x14ac:dyDescent="0.25">
      <c r="A110" s="1" t="str">
        <f>IF($G$11="Y",'Population Definitions'!$A$8,"...")</f>
        <v>...</v>
      </c>
      <c r="B110" s="4" t="str">
        <f>IF($G$11="Y","---&gt;","...")</f>
        <v>...</v>
      </c>
      <c r="C110" s="1" t="str">
        <f>IF($G$11="Y",'Population Definitions'!$A$7,"...")</f>
        <v>...</v>
      </c>
      <c r="E110" s="2"/>
      <c r="F110" s="3"/>
      <c r="G110" s="2"/>
      <c r="H110" s="4" t="str">
        <f>IF($G$11="Y","OR","...")</f>
        <v>...</v>
      </c>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row>
    <row r="111" spans="1:59" x14ac:dyDescent="0.25">
      <c r="A111" s="1" t="str">
        <f>IF($H$11="Y",'Population Definitions'!$A$8,"...")</f>
        <v>...</v>
      </c>
      <c r="B111" s="4" t="str">
        <f>IF($H$11="Y","---&gt;","...")</f>
        <v>...</v>
      </c>
      <c r="C111" s="1" t="str">
        <f>IF($H$11="Y",'Population Definitions'!$A$8,"...")</f>
        <v>...</v>
      </c>
      <c r="E111" s="2"/>
      <c r="F111" s="3"/>
      <c r="G111" s="2"/>
      <c r="H111" s="4" t="str">
        <f>IF($H$11="Y","OR","...")</f>
        <v>...</v>
      </c>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row>
    <row r="112" spans="1:59" x14ac:dyDescent="0.25">
      <c r="A112" s="1" t="str">
        <f>IF($I$11="Y",'Population Definitions'!$A$8,"...")</f>
        <v>...</v>
      </c>
      <c r="B112" s="4" t="str">
        <f>IF($I$11="Y","---&gt;","...")</f>
        <v>...</v>
      </c>
      <c r="C112" s="1" t="str">
        <f>IF($I$11="Y",'Population Definitions'!$A$9,"...")</f>
        <v>...</v>
      </c>
      <c r="E112" s="2"/>
      <c r="F112" s="3"/>
      <c r="G112" s="2"/>
      <c r="H112" s="4" t="str">
        <f>IF($I$11="Y","OR","...")</f>
        <v>...</v>
      </c>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row>
    <row r="113" spans="1:59" x14ac:dyDescent="0.25">
      <c r="A113" s="1" t="str">
        <f>IF($J$11="Y",'Population Definitions'!$A$8,"...")</f>
        <v>...</v>
      </c>
      <c r="B113" s="4" t="str">
        <f>IF($J$11="Y","---&gt;","...")</f>
        <v>...</v>
      </c>
      <c r="C113" s="1" t="str">
        <f>IF($J$11="Y",'Population Definitions'!$A$10,"...")</f>
        <v>...</v>
      </c>
      <c r="E113" s="2"/>
      <c r="F113" s="3"/>
      <c r="G113" s="2"/>
      <c r="H113" s="4" t="str">
        <f>IF($J$11="Y","OR","...")</f>
        <v>...</v>
      </c>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row>
    <row r="114" spans="1:59" x14ac:dyDescent="0.25">
      <c r="A114" s="1" t="str">
        <f>IF($K$11="Y",'Population Definitions'!$A$8,"...")</f>
        <v>...</v>
      </c>
      <c r="B114" s="4" t="str">
        <f>IF($K$11="Y","---&gt;","...")</f>
        <v>...</v>
      </c>
      <c r="C114" s="1" t="str">
        <f>IF($K$11="Y",'Population Definitions'!$A$11,"...")</f>
        <v>...</v>
      </c>
      <c r="E114" s="2"/>
      <c r="F114" s="3"/>
      <c r="G114" s="2"/>
      <c r="H114" s="4" t="str">
        <f>IF($K$11="Y","OR","...")</f>
        <v>...</v>
      </c>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row>
    <row r="115" spans="1:59" x14ac:dyDescent="0.25">
      <c r="A115" s="1" t="str">
        <f>IF($L$11="Y",'Population Definitions'!$A$8,"...")</f>
        <v>...</v>
      </c>
      <c r="B115" s="4" t="str">
        <f>IF($L$11="Y","---&gt;","...")</f>
        <v>...</v>
      </c>
      <c r="C115" s="1" t="str">
        <f>IF($L$11="Y",'Population Definitions'!$A$12,"...")</f>
        <v>...</v>
      </c>
      <c r="E115" s="2"/>
      <c r="F115" s="3"/>
      <c r="G115" s="2"/>
      <c r="H115" s="4" t="str">
        <f>IF($L$11="Y","OR","...")</f>
        <v>...</v>
      </c>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row>
    <row r="116" spans="1:59" x14ac:dyDescent="0.25">
      <c r="A116" s="1" t="str">
        <f>IF($M$11="Y",'Population Definitions'!$A$8,"...")</f>
        <v>...</v>
      </c>
      <c r="B116" s="4" t="str">
        <f>IF($M$11="Y","---&gt;","...")</f>
        <v>...</v>
      </c>
      <c r="C116" s="1" t="str">
        <f>IF($M$11="Y",'Population Definitions'!$A$13,"...")</f>
        <v>...</v>
      </c>
      <c r="E116" s="2"/>
      <c r="F116" s="3"/>
      <c r="G116" s="2"/>
      <c r="H116" s="4" t="str">
        <f>IF($M$11="Y","OR","...")</f>
        <v>...</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row>
    <row r="117" spans="1:59" x14ac:dyDescent="0.25">
      <c r="A117" s="1" t="str">
        <f>IF($N$11="Y",'Population Definitions'!$A$8,"...")</f>
        <v>...</v>
      </c>
      <c r="B117" s="4" t="str">
        <f>IF($N$11="Y","---&gt;","...")</f>
        <v>...</v>
      </c>
      <c r="C117" s="1" t="str">
        <f>IF($N$11="Y",'Population Definitions'!$A$14,"...")</f>
        <v>...</v>
      </c>
      <c r="E117" s="2"/>
      <c r="F117" s="3"/>
      <c r="G117" s="2"/>
      <c r="H117" s="4" t="str">
        <f>IF($N$11="Y","OR","...")</f>
        <v>...</v>
      </c>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row>
    <row r="118" spans="1:59" x14ac:dyDescent="0.25">
      <c r="A118" s="1" t="str">
        <f>IF($O$11="Y",'Population Definitions'!$A$8,"...")</f>
        <v>...</v>
      </c>
      <c r="B118" s="4" t="str">
        <f>IF($O$11="Y","---&gt;","...")</f>
        <v>...</v>
      </c>
      <c r="C118" s="1" t="str">
        <f>IF($O$11="Y",'Population Definitions'!$A$15,"...")</f>
        <v>...</v>
      </c>
      <c r="E118" s="2"/>
      <c r="F118" s="3"/>
      <c r="G118" s="2"/>
      <c r="H118" s="4" t="str">
        <f>IF($O$11="Y","OR","...")</f>
        <v>...</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row>
    <row r="119" spans="1:59" x14ac:dyDescent="0.25">
      <c r="A119" s="1" t="str">
        <f>IF($B$12="Y",'Population Definitions'!$A$9,"...")</f>
        <v>...</v>
      </c>
      <c r="B119" s="4" t="str">
        <f>IF($B$12="Y","---&gt;","...")</f>
        <v>...</v>
      </c>
      <c r="C119" s="1" t="str">
        <f>IF($B$12="Y",'Population Definitions'!$A$2,"...")</f>
        <v>...</v>
      </c>
      <c r="E119" s="2"/>
      <c r="F119" s="3"/>
      <c r="G119" s="2"/>
      <c r="H119" s="4" t="str">
        <f>IF($B$12="Y","OR","...")</f>
        <v>...</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row>
    <row r="120" spans="1:59" x14ac:dyDescent="0.25">
      <c r="A120" s="1" t="str">
        <f>IF($C$12="Y",'Population Definitions'!$A$9,"...")</f>
        <v>...</v>
      </c>
      <c r="B120" s="4" t="str">
        <f>IF($C$12="Y","---&gt;","...")</f>
        <v>...</v>
      </c>
      <c r="C120" s="1" t="str">
        <f>IF($C$12="Y",'Population Definitions'!$A$3,"...")</f>
        <v>...</v>
      </c>
      <c r="E120" s="2"/>
      <c r="F120" s="3"/>
      <c r="G120" s="2"/>
      <c r="H120" s="4" t="str">
        <f>IF($C$12="Y","OR","...")</f>
        <v>...</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row>
    <row r="121" spans="1:59" x14ac:dyDescent="0.25">
      <c r="A121" s="1" t="str">
        <f>IF($D$12="Y",'Population Definitions'!$A$9,"...")</f>
        <v>...</v>
      </c>
      <c r="B121" s="4" t="str">
        <f>IF($D$12="Y","---&gt;","...")</f>
        <v>...</v>
      </c>
      <c r="C121" s="1" t="str">
        <f>IF($D$12="Y",'Population Definitions'!$A$4,"...")</f>
        <v>...</v>
      </c>
      <c r="E121" s="2"/>
      <c r="F121" s="3"/>
      <c r="G121" s="2"/>
      <c r="H121" s="4" t="str">
        <f>IF($D$12="Y","OR","...")</f>
        <v>...</v>
      </c>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row>
    <row r="122" spans="1:59" x14ac:dyDescent="0.25">
      <c r="A122" s="1" t="str">
        <f>IF($E$12="Y",'Population Definitions'!$A$9,"...")</f>
        <v>...</v>
      </c>
      <c r="B122" s="4" t="str">
        <f>IF($E$12="Y","---&gt;","...")</f>
        <v>...</v>
      </c>
      <c r="C122" s="1" t="str">
        <f>IF($E$12="Y",'Population Definitions'!$A$5,"...")</f>
        <v>...</v>
      </c>
      <c r="E122" s="2"/>
      <c r="F122" s="3"/>
      <c r="G122" s="2"/>
      <c r="H122" s="4" t="str">
        <f>IF($E$12="Y","OR","...")</f>
        <v>...</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row>
    <row r="123" spans="1:59" x14ac:dyDescent="0.25">
      <c r="A123" s="1" t="str">
        <f>IF($F$12="Y",'Population Definitions'!$A$9,"...")</f>
        <v>...</v>
      </c>
      <c r="B123" s="4" t="str">
        <f>IF($F$12="Y","---&gt;","...")</f>
        <v>...</v>
      </c>
      <c r="C123" s="1" t="str">
        <f>IF($F$12="Y",'Population Definitions'!$A$6,"...")</f>
        <v>...</v>
      </c>
      <c r="E123" s="2"/>
      <c r="F123" s="3"/>
      <c r="G123" s="2"/>
      <c r="H123" s="4" t="str">
        <f>IF($F$12="Y","OR","...")</f>
        <v>...</v>
      </c>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row>
    <row r="124" spans="1:59" x14ac:dyDescent="0.25">
      <c r="A124" s="1" t="str">
        <f>IF($G$12="Y",'Population Definitions'!$A$9,"...")</f>
        <v>...</v>
      </c>
      <c r="B124" s="4" t="str">
        <f>IF($G$12="Y","---&gt;","...")</f>
        <v>...</v>
      </c>
      <c r="C124" s="1" t="str">
        <f>IF($G$12="Y",'Population Definitions'!$A$7,"...")</f>
        <v>...</v>
      </c>
      <c r="E124" s="2"/>
      <c r="F124" s="3"/>
      <c r="G124" s="2"/>
      <c r="H124" s="4" t="str">
        <f>IF($G$12="Y","OR","...")</f>
        <v>...</v>
      </c>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row>
    <row r="125" spans="1:59" x14ac:dyDescent="0.25">
      <c r="A125" s="1" t="str">
        <f>IF($H$12="Y",'Population Definitions'!$A$9,"...")</f>
        <v>...</v>
      </c>
      <c r="B125" s="4" t="str">
        <f>IF($H$12="Y","---&gt;","...")</f>
        <v>...</v>
      </c>
      <c r="C125" s="1" t="str">
        <f>IF($H$12="Y",'Population Definitions'!$A$8,"...")</f>
        <v>...</v>
      </c>
      <c r="E125" s="2"/>
      <c r="F125" s="3"/>
      <c r="G125" s="2"/>
      <c r="H125" s="4" t="str">
        <f>IF($H$12="Y","OR","...")</f>
        <v>...</v>
      </c>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row>
    <row r="126" spans="1:59" x14ac:dyDescent="0.25">
      <c r="A126" s="1" t="str">
        <f>IF($I$12="Y",'Population Definitions'!$A$9,"...")</f>
        <v>...</v>
      </c>
      <c r="B126" s="4" t="str">
        <f>IF($I$12="Y","---&gt;","...")</f>
        <v>...</v>
      </c>
      <c r="C126" s="1" t="str">
        <f>IF($I$12="Y",'Population Definitions'!$A$9,"...")</f>
        <v>...</v>
      </c>
      <c r="E126" s="2"/>
      <c r="F126" s="3"/>
      <c r="G126" s="2"/>
      <c r="H126" s="4" t="str">
        <f>IF($I$12="Y","OR","...")</f>
        <v>...</v>
      </c>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row>
    <row r="127" spans="1:59" x14ac:dyDescent="0.25">
      <c r="A127" s="1" t="str">
        <f>IF($J$12="Y",'Population Definitions'!$A$9,"...")</f>
        <v>...</v>
      </c>
      <c r="B127" s="4" t="str">
        <f>IF($J$12="Y","---&gt;","...")</f>
        <v>...</v>
      </c>
      <c r="C127" s="1" t="str">
        <f>IF($J$12="Y",'Population Definitions'!$A$10,"...")</f>
        <v>...</v>
      </c>
      <c r="E127" s="2"/>
      <c r="F127" s="3"/>
      <c r="G127" s="2"/>
      <c r="H127" s="4" t="str">
        <f>IF($J$12="Y","OR","...")</f>
        <v>...</v>
      </c>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row>
    <row r="128" spans="1:59" x14ac:dyDescent="0.25">
      <c r="A128" s="1" t="str">
        <f>IF($K$12="Y",'Population Definitions'!$A$9,"...")</f>
        <v>...</v>
      </c>
      <c r="B128" s="4" t="str">
        <f>IF($K$12="Y","---&gt;","...")</f>
        <v>...</v>
      </c>
      <c r="C128" s="1" t="str">
        <f>IF($K$12="Y",'Population Definitions'!$A$11,"...")</f>
        <v>...</v>
      </c>
      <c r="E128" s="2"/>
      <c r="F128" s="3"/>
      <c r="G128" s="2"/>
      <c r="H128" s="4" t="str">
        <f>IF($K$12="Y","OR","...")</f>
        <v>...</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row>
    <row r="129" spans="1:59" x14ac:dyDescent="0.25">
      <c r="A129" s="1" t="str">
        <f>IF($L$12="Y",'Population Definitions'!$A$9,"...")</f>
        <v>...</v>
      </c>
      <c r="B129" s="4" t="str">
        <f>IF($L$12="Y","---&gt;","...")</f>
        <v>...</v>
      </c>
      <c r="C129" s="1" t="str">
        <f>IF($L$12="Y",'Population Definitions'!$A$12,"...")</f>
        <v>...</v>
      </c>
      <c r="E129" s="2"/>
      <c r="F129" s="3"/>
      <c r="G129" s="2"/>
      <c r="H129" s="4" t="str">
        <f>IF($L$12="Y","OR","...")</f>
        <v>...</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row>
    <row r="130" spans="1:59" x14ac:dyDescent="0.25">
      <c r="A130" s="1" t="str">
        <f>IF($M$12="Y",'Population Definitions'!$A$9,"...")</f>
        <v>...</v>
      </c>
      <c r="B130" s="4" t="str">
        <f>IF($M$12="Y","---&gt;","...")</f>
        <v>...</v>
      </c>
      <c r="C130" s="1" t="str">
        <f>IF($M$12="Y",'Population Definitions'!$A$13,"...")</f>
        <v>...</v>
      </c>
      <c r="E130" s="2"/>
      <c r="F130" s="3"/>
      <c r="G130" s="2"/>
      <c r="H130" s="4" t="str">
        <f>IF($M$12="Y","OR","...")</f>
        <v>...</v>
      </c>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row>
    <row r="131" spans="1:59" x14ac:dyDescent="0.25">
      <c r="A131" s="1" t="str">
        <f>IF($N$12="Y",'Population Definitions'!$A$9,"...")</f>
        <v>...</v>
      </c>
      <c r="B131" s="4" t="str">
        <f>IF($N$12="Y","---&gt;","...")</f>
        <v>...</v>
      </c>
      <c r="C131" s="1" t="str">
        <f>IF($N$12="Y",'Population Definitions'!$A$14,"...")</f>
        <v>...</v>
      </c>
      <c r="E131" s="2"/>
      <c r="F131" s="3"/>
      <c r="G131" s="2"/>
      <c r="H131" s="4" t="str">
        <f>IF($N$12="Y","OR","...")</f>
        <v>...</v>
      </c>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row>
    <row r="132" spans="1:59" x14ac:dyDescent="0.25">
      <c r="A132" s="1" t="str">
        <f>IF($O$12="Y",'Population Definitions'!$A$9,"...")</f>
        <v>...</v>
      </c>
      <c r="B132" s="4" t="str">
        <f>IF($O$12="Y","---&gt;","...")</f>
        <v>...</v>
      </c>
      <c r="C132" s="1" t="str">
        <f>IF($O$12="Y",'Population Definitions'!$A$15,"...")</f>
        <v>...</v>
      </c>
      <c r="E132" s="2"/>
      <c r="F132" s="3"/>
      <c r="G132" s="2"/>
      <c r="H132" s="4" t="str">
        <f>IF($O$12="Y","OR","...")</f>
        <v>...</v>
      </c>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row>
    <row r="133" spans="1:59" x14ac:dyDescent="0.25">
      <c r="A133" s="1" t="str">
        <f>IF($B$13="Y",'Population Definitions'!$A$10,"...")</f>
        <v>...</v>
      </c>
      <c r="B133" s="4" t="str">
        <f>IF($B$13="Y","---&gt;","...")</f>
        <v>...</v>
      </c>
      <c r="C133" s="1" t="str">
        <f>IF($B$13="Y",'Population Definitions'!$A$2,"...")</f>
        <v>...</v>
      </c>
      <c r="E133" s="2"/>
      <c r="F133" s="3"/>
      <c r="G133" s="2"/>
      <c r="H133" s="4" t="str">
        <f>IF($B$13="Y","OR","...")</f>
        <v>...</v>
      </c>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row>
    <row r="134" spans="1:59" x14ac:dyDescent="0.25">
      <c r="A134" s="1" t="str">
        <f>IF($C$13="Y",'Population Definitions'!$A$10,"...")</f>
        <v>...</v>
      </c>
      <c r="B134" s="4" t="str">
        <f>IF($C$13="Y","---&gt;","...")</f>
        <v>...</v>
      </c>
      <c r="C134" s="1" t="str">
        <f>IF($C$13="Y",'Population Definitions'!$A$3,"...")</f>
        <v>...</v>
      </c>
      <c r="E134" s="2"/>
      <c r="F134" s="3"/>
      <c r="G134" s="2"/>
      <c r="H134" s="4" t="str">
        <f>IF($C$13="Y","OR","...")</f>
        <v>...</v>
      </c>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row>
    <row r="135" spans="1:59" x14ac:dyDescent="0.25">
      <c r="A135" s="1" t="str">
        <f>IF($D$13="Y",'Population Definitions'!$A$10,"...")</f>
        <v>...</v>
      </c>
      <c r="B135" s="4" t="str">
        <f>IF($D$13="Y","---&gt;","...")</f>
        <v>...</v>
      </c>
      <c r="C135" s="1" t="str">
        <f>IF($D$13="Y",'Population Definitions'!$A$4,"...")</f>
        <v>...</v>
      </c>
      <c r="E135" s="2"/>
      <c r="F135" s="3"/>
      <c r="G135" s="2"/>
      <c r="H135" s="4" t="str">
        <f>IF($D$13="Y","OR","...")</f>
        <v>...</v>
      </c>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row>
    <row r="136" spans="1:59" x14ac:dyDescent="0.25">
      <c r="A136" s="1" t="str">
        <f>IF($E$13="Y",'Population Definitions'!$A$10,"...")</f>
        <v>...</v>
      </c>
      <c r="B136" s="4" t="str">
        <f>IF($E$13="Y","---&gt;","...")</f>
        <v>...</v>
      </c>
      <c r="C136" s="1" t="str">
        <f>IF($E$13="Y",'Population Definitions'!$A$5,"...")</f>
        <v>...</v>
      </c>
      <c r="E136" s="2"/>
      <c r="F136" s="3"/>
      <c r="G136" s="2"/>
      <c r="H136" s="4" t="str">
        <f>IF($E$13="Y","OR","...")</f>
        <v>...</v>
      </c>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row>
    <row r="137" spans="1:59" x14ac:dyDescent="0.25">
      <c r="A137" s="1" t="str">
        <f>IF($F$13="Y",'Population Definitions'!$A$10,"...")</f>
        <v>...</v>
      </c>
      <c r="B137" s="4" t="str">
        <f>IF($F$13="Y","---&gt;","...")</f>
        <v>...</v>
      </c>
      <c r="C137" s="1" t="str">
        <f>IF($F$13="Y",'Population Definitions'!$A$6,"...")</f>
        <v>...</v>
      </c>
      <c r="E137" s="2"/>
      <c r="F137" s="3"/>
      <c r="G137" s="2"/>
      <c r="H137" s="4" t="str">
        <f>IF($F$13="Y","OR","...")</f>
        <v>...</v>
      </c>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row>
    <row r="138" spans="1:59" x14ac:dyDescent="0.25">
      <c r="A138" s="1" t="str">
        <f>IF($G$13="Y",'Population Definitions'!$A$10,"...")</f>
        <v>...</v>
      </c>
      <c r="B138" s="4" t="str">
        <f>IF($G$13="Y","---&gt;","...")</f>
        <v>...</v>
      </c>
      <c r="C138" s="1" t="str">
        <f>IF($G$13="Y",'Population Definitions'!$A$7,"...")</f>
        <v>...</v>
      </c>
      <c r="E138" s="2"/>
      <c r="F138" s="3"/>
      <c r="G138" s="2"/>
      <c r="H138" s="4" t="str">
        <f>IF($G$13="Y","OR","...")</f>
        <v>...</v>
      </c>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row>
    <row r="139" spans="1:59" x14ac:dyDescent="0.25">
      <c r="A139" s="1" t="str">
        <f>IF($H$13="Y",'Population Definitions'!$A$10,"...")</f>
        <v>...</v>
      </c>
      <c r="B139" s="4" t="str">
        <f>IF($H$13="Y","---&gt;","...")</f>
        <v>...</v>
      </c>
      <c r="C139" s="1" t="str">
        <f>IF($H$13="Y",'Population Definitions'!$A$8,"...")</f>
        <v>...</v>
      </c>
      <c r="E139" s="2"/>
      <c r="F139" s="3"/>
      <c r="G139" s="2"/>
      <c r="H139" s="4" t="str">
        <f>IF($H$13="Y","OR","...")</f>
        <v>...</v>
      </c>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row>
    <row r="140" spans="1:59" x14ac:dyDescent="0.25">
      <c r="A140" s="1" t="str">
        <f>IF($I$13="Y",'Population Definitions'!$A$10,"...")</f>
        <v>...</v>
      </c>
      <c r="B140" s="4" t="str">
        <f>IF($I$13="Y","---&gt;","...")</f>
        <v>...</v>
      </c>
      <c r="C140" s="1" t="str">
        <f>IF($I$13="Y",'Population Definitions'!$A$9,"...")</f>
        <v>...</v>
      </c>
      <c r="E140" s="2"/>
      <c r="F140" s="3"/>
      <c r="G140" s="2"/>
      <c r="H140" s="4" t="str">
        <f>IF($I$13="Y","OR","...")</f>
        <v>...</v>
      </c>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row>
    <row r="141" spans="1:59" x14ac:dyDescent="0.25">
      <c r="A141" s="1" t="str">
        <f>IF($J$13="Y",'Population Definitions'!$A$10,"...")</f>
        <v>...</v>
      </c>
      <c r="B141" s="4" t="str">
        <f>IF($J$13="Y","---&gt;","...")</f>
        <v>...</v>
      </c>
      <c r="C141" s="1" t="str">
        <f>IF($J$13="Y",'Population Definitions'!$A$10,"...")</f>
        <v>...</v>
      </c>
      <c r="E141" s="2"/>
      <c r="F141" s="3"/>
      <c r="G141" s="2"/>
      <c r="H141" s="4" t="str">
        <f>IF($J$13="Y","OR","...")</f>
        <v>...</v>
      </c>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row>
    <row r="142" spans="1:59" x14ac:dyDescent="0.25">
      <c r="A142" s="1" t="str">
        <f>IF($K$13="Y",'Population Definitions'!$A$10,"...")</f>
        <v>...</v>
      </c>
      <c r="B142" s="4" t="str">
        <f>IF($K$13="Y","---&gt;","...")</f>
        <v>...</v>
      </c>
      <c r="C142" s="1" t="str">
        <f>IF($K$13="Y",'Population Definitions'!$A$11,"...")</f>
        <v>...</v>
      </c>
      <c r="E142" s="2"/>
      <c r="F142" s="3"/>
      <c r="G142" s="2"/>
      <c r="H142" s="4" t="str">
        <f>IF($K$13="Y","OR","...")</f>
        <v>...</v>
      </c>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row>
    <row r="143" spans="1:59" x14ac:dyDescent="0.25">
      <c r="A143" s="1" t="str">
        <f>IF($L$13="Y",'Population Definitions'!$A$10,"...")</f>
        <v>...</v>
      </c>
      <c r="B143" s="4" t="str">
        <f>IF($L$13="Y","---&gt;","...")</f>
        <v>...</v>
      </c>
      <c r="C143" s="1" t="str">
        <f>IF($L$13="Y",'Population Definitions'!$A$12,"...")</f>
        <v>...</v>
      </c>
      <c r="E143" s="2"/>
      <c r="F143" s="3"/>
      <c r="G143" s="2"/>
      <c r="H143" s="4" t="str">
        <f>IF($L$13="Y","OR","...")</f>
        <v>...</v>
      </c>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row>
    <row r="144" spans="1:59" x14ac:dyDescent="0.25">
      <c r="A144" s="1" t="str">
        <f>IF($M$13="Y",'Population Definitions'!$A$10,"...")</f>
        <v>...</v>
      </c>
      <c r="B144" s="4" t="str">
        <f>IF($M$13="Y","---&gt;","...")</f>
        <v>...</v>
      </c>
      <c r="C144" s="1" t="str">
        <f>IF($M$13="Y",'Population Definitions'!$A$13,"...")</f>
        <v>...</v>
      </c>
      <c r="E144" s="2"/>
      <c r="F144" s="3"/>
      <c r="G144" s="2"/>
      <c r="H144" s="4" t="str">
        <f>IF($M$13="Y","OR","...")</f>
        <v>...</v>
      </c>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row>
    <row r="145" spans="1:59" x14ac:dyDescent="0.25">
      <c r="A145" s="1" t="str">
        <f>IF($N$13="Y",'Population Definitions'!$A$10,"...")</f>
        <v>...</v>
      </c>
      <c r="B145" s="4" t="str">
        <f>IF($N$13="Y","---&gt;","...")</f>
        <v>...</v>
      </c>
      <c r="C145" s="1" t="str">
        <f>IF($N$13="Y",'Population Definitions'!$A$14,"...")</f>
        <v>...</v>
      </c>
      <c r="E145" s="2"/>
      <c r="F145" s="3"/>
      <c r="G145" s="2"/>
      <c r="H145" s="4" t="str">
        <f>IF($N$13="Y","OR","...")</f>
        <v>...</v>
      </c>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row>
    <row r="146" spans="1:59" x14ac:dyDescent="0.25">
      <c r="A146" s="1" t="str">
        <f>IF($O$13="Y",'Population Definitions'!$A$10,"...")</f>
        <v>...</v>
      </c>
      <c r="B146" s="4" t="str">
        <f>IF($O$13="Y","---&gt;","...")</f>
        <v>...</v>
      </c>
      <c r="C146" s="1" t="str">
        <f>IF($O$13="Y",'Population Definitions'!$A$15,"...")</f>
        <v>...</v>
      </c>
      <c r="E146" s="2"/>
      <c r="F146" s="3"/>
      <c r="G146" s="2"/>
      <c r="H146" s="4" t="str">
        <f>IF($O$13="Y","OR","...")</f>
        <v>...</v>
      </c>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row>
    <row r="147" spans="1:59" x14ac:dyDescent="0.25">
      <c r="A147" s="1" t="str">
        <f>IF($B$14="Y",'Population Definitions'!$A$11,"...")</f>
        <v>...</v>
      </c>
      <c r="B147" s="4" t="str">
        <f>IF($B$14="Y","---&gt;","...")</f>
        <v>...</v>
      </c>
      <c r="C147" s="1" t="str">
        <f>IF($B$14="Y",'Population Definitions'!$A$2,"...")</f>
        <v>...</v>
      </c>
      <c r="E147" s="2"/>
      <c r="F147" s="3"/>
      <c r="G147" s="2"/>
      <c r="H147" s="4" t="str">
        <f>IF($B$14="Y","OR","...")</f>
        <v>...</v>
      </c>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row>
    <row r="148" spans="1:59" x14ac:dyDescent="0.25">
      <c r="A148" s="1" t="str">
        <f>IF($C$14="Y",'Population Definitions'!$A$11,"...")</f>
        <v>...</v>
      </c>
      <c r="B148" s="4" t="str">
        <f>IF($C$14="Y","---&gt;","...")</f>
        <v>...</v>
      </c>
      <c r="C148" s="1" t="str">
        <f>IF($C$14="Y",'Population Definitions'!$A$3,"...")</f>
        <v>...</v>
      </c>
      <c r="E148" s="2"/>
      <c r="F148" s="3"/>
      <c r="G148" s="2"/>
      <c r="H148" s="4" t="str">
        <f>IF($C$14="Y","OR","...")</f>
        <v>...</v>
      </c>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row>
    <row r="149" spans="1:59" x14ac:dyDescent="0.25">
      <c r="A149" s="1" t="str">
        <f>IF($D$14="Y",'Population Definitions'!$A$11,"...")</f>
        <v>...</v>
      </c>
      <c r="B149" s="4" t="str">
        <f>IF($D$14="Y","---&gt;","...")</f>
        <v>...</v>
      </c>
      <c r="C149" s="1" t="str">
        <f>IF($D$14="Y",'Population Definitions'!$A$4,"...")</f>
        <v>...</v>
      </c>
      <c r="E149" s="2"/>
      <c r="F149" s="3"/>
      <c r="G149" s="2"/>
      <c r="H149" s="4" t="str">
        <f>IF($D$14="Y","OR","...")</f>
        <v>...</v>
      </c>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row>
    <row r="150" spans="1:59" x14ac:dyDescent="0.25">
      <c r="A150" s="1" t="str">
        <f>IF($E$14="Y",'Population Definitions'!$A$11,"...")</f>
        <v>...</v>
      </c>
      <c r="B150" s="4" t="str">
        <f>IF($E$14="Y","---&gt;","...")</f>
        <v>...</v>
      </c>
      <c r="C150" s="1" t="str">
        <f>IF($E$14="Y",'Population Definitions'!$A$5,"...")</f>
        <v>...</v>
      </c>
      <c r="E150" s="2"/>
      <c r="F150" s="3"/>
      <c r="G150" s="2"/>
      <c r="H150" s="4" t="str">
        <f>IF($E$14="Y","OR","...")</f>
        <v>...</v>
      </c>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row>
    <row r="151" spans="1:59" x14ac:dyDescent="0.25">
      <c r="A151" s="1" t="str">
        <f>IF($F$14="Y",'Population Definitions'!$A$11,"...")</f>
        <v>...</v>
      </c>
      <c r="B151" s="4" t="str">
        <f>IF($F$14="Y","---&gt;","...")</f>
        <v>...</v>
      </c>
      <c r="C151" s="1" t="str">
        <f>IF($F$14="Y",'Population Definitions'!$A$6,"...")</f>
        <v>...</v>
      </c>
      <c r="E151" s="2"/>
      <c r="F151" s="3"/>
      <c r="G151" s="2"/>
      <c r="H151" s="4" t="str">
        <f>IF($F$14="Y","OR","...")</f>
        <v>...</v>
      </c>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row>
    <row r="152" spans="1:59" x14ac:dyDescent="0.25">
      <c r="A152" s="1" t="str">
        <f>IF($G$14="Y",'Population Definitions'!$A$11,"...")</f>
        <v>...</v>
      </c>
      <c r="B152" s="4" t="str">
        <f>IF($G$14="Y","---&gt;","...")</f>
        <v>...</v>
      </c>
      <c r="C152" s="1" t="str">
        <f>IF($G$14="Y",'Population Definitions'!$A$7,"...")</f>
        <v>...</v>
      </c>
      <c r="E152" s="2"/>
      <c r="F152" s="3"/>
      <c r="G152" s="2"/>
      <c r="H152" s="4" t="str">
        <f>IF($G$14="Y","OR","...")</f>
        <v>...</v>
      </c>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row>
    <row r="153" spans="1:59" x14ac:dyDescent="0.25">
      <c r="A153" s="1" t="str">
        <f>IF($H$14="Y",'Population Definitions'!$A$11,"...")</f>
        <v>...</v>
      </c>
      <c r="B153" s="4" t="str">
        <f>IF($H$14="Y","---&gt;","...")</f>
        <v>...</v>
      </c>
      <c r="C153" s="1" t="str">
        <f>IF($H$14="Y",'Population Definitions'!$A$8,"...")</f>
        <v>...</v>
      </c>
      <c r="E153" s="2"/>
      <c r="F153" s="3"/>
      <c r="G153" s="2"/>
      <c r="H153" s="4" t="str">
        <f>IF($H$14="Y","OR","...")</f>
        <v>...</v>
      </c>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row>
    <row r="154" spans="1:59" x14ac:dyDescent="0.25">
      <c r="A154" s="1" t="str">
        <f>IF($I$14="Y",'Population Definitions'!$A$11,"...")</f>
        <v>...</v>
      </c>
      <c r="B154" s="4" t="str">
        <f>IF($I$14="Y","---&gt;","...")</f>
        <v>...</v>
      </c>
      <c r="C154" s="1" t="str">
        <f>IF($I$14="Y",'Population Definitions'!$A$9,"...")</f>
        <v>...</v>
      </c>
      <c r="E154" s="2"/>
      <c r="F154" s="3"/>
      <c r="G154" s="2"/>
      <c r="H154" s="4" t="str">
        <f>IF($I$14="Y","OR","...")</f>
        <v>...</v>
      </c>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row>
    <row r="155" spans="1:59" x14ac:dyDescent="0.25">
      <c r="A155" s="1" t="str">
        <f>IF($J$14="Y",'Population Definitions'!$A$11,"...")</f>
        <v>...</v>
      </c>
      <c r="B155" s="4" t="str">
        <f>IF($J$14="Y","---&gt;","...")</f>
        <v>...</v>
      </c>
      <c r="C155" s="1" t="str">
        <f>IF($J$14="Y",'Population Definitions'!$A$10,"...")</f>
        <v>...</v>
      </c>
      <c r="E155" s="2"/>
      <c r="F155" s="3"/>
      <c r="G155" s="2"/>
      <c r="H155" s="4" t="str">
        <f>IF($J$14="Y","OR","...")</f>
        <v>...</v>
      </c>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row>
    <row r="156" spans="1:59" x14ac:dyDescent="0.25">
      <c r="A156" s="1" t="str">
        <f>IF($K$14="Y",'Population Definitions'!$A$11,"...")</f>
        <v>...</v>
      </c>
      <c r="B156" s="4" t="str">
        <f>IF($K$14="Y","---&gt;","...")</f>
        <v>...</v>
      </c>
      <c r="C156" s="1" t="str">
        <f>IF($K$14="Y",'Population Definitions'!$A$11,"...")</f>
        <v>...</v>
      </c>
      <c r="E156" s="2"/>
      <c r="F156" s="3"/>
      <c r="G156" s="2"/>
      <c r="H156" s="4" t="str">
        <f>IF($K$14="Y","OR","...")</f>
        <v>...</v>
      </c>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row>
    <row r="157" spans="1:59" x14ac:dyDescent="0.25">
      <c r="A157" s="1" t="str">
        <f>IF($L$14="Y",'Population Definitions'!$A$11,"...")</f>
        <v>...</v>
      </c>
      <c r="B157" s="4" t="str">
        <f>IF($L$14="Y","---&gt;","...")</f>
        <v>...</v>
      </c>
      <c r="C157" s="1" t="str">
        <f>IF($L$14="Y",'Population Definitions'!$A$12,"...")</f>
        <v>...</v>
      </c>
      <c r="E157" s="2"/>
      <c r="F157" s="3"/>
      <c r="G157" s="2"/>
      <c r="H157" s="4" t="str">
        <f>IF($L$14="Y","OR","...")</f>
        <v>...</v>
      </c>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row>
    <row r="158" spans="1:59" x14ac:dyDescent="0.25">
      <c r="A158" s="1" t="str">
        <f>IF($M$14="Y",'Population Definitions'!$A$11,"...")</f>
        <v>...</v>
      </c>
      <c r="B158" s="4" t="str">
        <f>IF($M$14="Y","---&gt;","...")</f>
        <v>...</v>
      </c>
      <c r="C158" s="1" t="str">
        <f>IF($M$14="Y",'Population Definitions'!$A$13,"...")</f>
        <v>...</v>
      </c>
      <c r="E158" s="2"/>
      <c r="F158" s="3"/>
      <c r="G158" s="2"/>
      <c r="H158" s="4" t="str">
        <f>IF($M$14="Y","OR","...")</f>
        <v>...</v>
      </c>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row>
    <row r="159" spans="1:59" x14ac:dyDescent="0.25">
      <c r="A159" s="1" t="str">
        <f>IF($N$14="Y",'Population Definitions'!$A$11,"...")</f>
        <v>...</v>
      </c>
      <c r="B159" s="4" t="str">
        <f>IF($N$14="Y","---&gt;","...")</f>
        <v>...</v>
      </c>
      <c r="C159" s="1" t="str">
        <f>IF($N$14="Y",'Population Definitions'!$A$14,"...")</f>
        <v>...</v>
      </c>
      <c r="E159" s="2"/>
      <c r="F159" s="3"/>
      <c r="G159" s="2"/>
      <c r="H159" s="4" t="str">
        <f>IF($N$14="Y","OR","...")</f>
        <v>...</v>
      </c>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row>
    <row r="160" spans="1:59" x14ac:dyDescent="0.25">
      <c r="A160" s="1" t="str">
        <f>IF($O$14="Y",'Population Definitions'!$A$11,"...")</f>
        <v>...</v>
      </c>
      <c r="B160" s="4" t="str">
        <f>IF($O$14="Y","---&gt;","...")</f>
        <v>...</v>
      </c>
      <c r="C160" s="1" t="str">
        <f>IF($O$14="Y",'Population Definitions'!$A$15,"...")</f>
        <v>...</v>
      </c>
      <c r="E160" s="2"/>
      <c r="F160" s="3"/>
      <c r="G160" s="2"/>
      <c r="H160" s="4" t="str">
        <f>IF($O$14="Y","OR","...")</f>
        <v>...</v>
      </c>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row>
    <row r="161" spans="1:59" x14ac:dyDescent="0.25">
      <c r="A161" s="1" t="str">
        <f>IF($B$15="Y",'Population Definitions'!$A$12,"...")</f>
        <v>...</v>
      </c>
      <c r="B161" s="4" t="str">
        <f>IF($B$15="Y","---&gt;","...")</f>
        <v>...</v>
      </c>
      <c r="C161" s="1" t="str">
        <f>IF($B$15="Y",'Population Definitions'!$A$2,"...")</f>
        <v>...</v>
      </c>
      <c r="E161" s="2"/>
      <c r="F161" s="3"/>
      <c r="G161" s="2"/>
      <c r="H161" s="4" t="str">
        <f>IF($B$15="Y","OR","...")</f>
        <v>...</v>
      </c>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row>
    <row r="162" spans="1:59" x14ac:dyDescent="0.25">
      <c r="A162" s="1" t="str">
        <f>IF($C$15="Y",'Population Definitions'!$A$12,"...")</f>
        <v>...</v>
      </c>
      <c r="B162" s="4" t="str">
        <f>IF($C$15="Y","---&gt;","...")</f>
        <v>...</v>
      </c>
      <c r="C162" s="1" t="str">
        <f>IF($C$15="Y",'Population Definitions'!$A$3,"...")</f>
        <v>...</v>
      </c>
      <c r="E162" s="2"/>
      <c r="F162" s="3"/>
      <c r="G162" s="2"/>
      <c r="H162" s="4" t="str">
        <f>IF($C$15="Y","OR","...")</f>
        <v>...</v>
      </c>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row>
    <row r="163" spans="1:59" x14ac:dyDescent="0.25">
      <c r="A163" s="1" t="str">
        <f>IF($D$15="Y",'Population Definitions'!$A$12,"...")</f>
        <v>...</v>
      </c>
      <c r="B163" s="4" t="str">
        <f>IF($D$15="Y","---&gt;","...")</f>
        <v>...</v>
      </c>
      <c r="C163" s="1" t="str">
        <f>IF($D$15="Y",'Population Definitions'!$A$4,"...")</f>
        <v>...</v>
      </c>
      <c r="E163" s="2"/>
      <c r="F163" s="3"/>
      <c r="G163" s="2"/>
      <c r="H163" s="4" t="str">
        <f>IF($D$15="Y","OR","...")</f>
        <v>...</v>
      </c>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row>
    <row r="164" spans="1:59" x14ac:dyDescent="0.25">
      <c r="A164" s="1" t="str">
        <f>IF($E$15="Y",'Population Definitions'!$A$12,"...")</f>
        <v>...</v>
      </c>
      <c r="B164" s="4" t="str">
        <f>IF($E$15="Y","---&gt;","...")</f>
        <v>...</v>
      </c>
      <c r="C164" s="1" t="str">
        <f>IF($E$15="Y",'Population Definitions'!$A$5,"...")</f>
        <v>...</v>
      </c>
      <c r="E164" s="2"/>
      <c r="F164" s="3"/>
      <c r="G164" s="2"/>
      <c r="H164" s="4" t="str">
        <f>IF($E$15="Y","OR","...")</f>
        <v>...</v>
      </c>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row>
    <row r="165" spans="1:59" x14ac:dyDescent="0.25">
      <c r="A165" s="1" t="str">
        <f>IF($F$15="Y",'Population Definitions'!$A$12,"...")</f>
        <v>...</v>
      </c>
      <c r="B165" s="4" t="str">
        <f>IF($F$15="Y","---&gt;","...")</f>
        <v>...</v>
      </c>
      <c r="C165" s="1" t="str">
        <f>IF($F$15="Y",'Population Definitions'!$A$6,"...")</f>
        <v>...</v>
      </c>
      <c r="E165" s="2"/>
      <c r="F165" s="3"/>
      <c r="G165" s="2"/>
      <c r="H165" s="4" t="str">
        <f>IF($F$15="Y","OR","...")</f>
        <v>...</v>
      </c>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row>
    <row r="166" spans="1:59" x14ac:dyDescent="0.25">
      <c r="A166" s="1" t="str">
        <f>IF($G$15="Y",'Population Definitions'!$A$12,"...")</f>
        <v>...</v>
      </c>
      <c r="B166" s="4" t="str">
        <f>IF($G$15="Y","---&gt;","...")</f>
        <v>...</v>
      </c>
      <c r="C166" s="1" t="str">
        <f>IF($G$15="Y",'Population Definitions'!$A$7,"...")</f>
        <v>...</v>
      </c>
      <c r="E166" s="2"/>
      <c r="F166" s="3"/>
      <c r="G166" s="2"/>
      <c r="H166" s="4" t="str">
        <f>IF($G$15="Y","OR","...")</f>
        <v>...</v>
      </c>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row>
    <row r="167" spans="1:59" x14ac:dyDescent="0.25">
      <c r="A167" s="1" t="str">
        <f>IF($H$15="Y",'Population Definitions'!$A$12,"...")</f>
        <v>...</v>
      </c>
      <c r="B167" s="4" t="str">
        <f>IF($H$15="Y","---&gt;","...")</f>
        <v>...</v>
      </c>
      <c r="C167" s="1" t="str">
        <f>IF($H$15="Y",'Population Definitions'!$A$8,"...")</f>
        <v>...</v>
      </c>
      <c r="E167" s="2"/>
      <c r="F167" s="3"/>
      <c r="G167" s="2"/>
      <c r="H167" s="4" t="str">
        <f>IF($H$15="Y","OR","...")</f>
        <v>...</v>
      </c>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row>
    <row r="168" spans="1:59" x14ac:dyDescent="0.25">
      <c r="A168" s="1" t="str">
        <f>IF($I$15="Y",'Population Definitions'!$A$12,"...")</f>
        <v>...</v>
      </c>
      <c r="B168" s="4" t="str">
        <f>IF($I$15="Y","---&gt;","...")</f>
        <v>...</v>
      </c>
      <c r="C168" s="1" t="str">
        <f>IF($I$15="Y",'Population Definitions'!$A$9,"...")</f>
        <v>...</v>
      </c>
      <c r="E168" s="2"/>
      <c r="F168" s="3"/>
      <c r="G168" s="2"/>
      <c r="H168" s="4" t="str">
        <f>IF($I$15="Y","OR","...")</f>
        <v>...</v>
      </c>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row>
    <row r="169" spans="1:59" x14ac:dyDescent="0.25">
      <c r="A169" s="1" t="str">
        <f>IF($J$15="Y",'Population Definitions'!$A$12,"...")</f>
        <v>...</v>
      </c>
      <c r="B169" s="4" t="str">
        <f>IF($J$15="Y","---&gt;","...")</f>
        <v>...</v>
      </c>
      <c r="C169" s="1" t="str">
        <f>IF($J$15="Y",'Population Definitions'!$A$10,"...")</f>
        <v>...</v>
      </c>
      <c r="E169" s="2"/>
      <c r="F169" s="3"/>
      <c r="G169" s="2"/>
      <c r="H169" s="4" t="str">
        <f>IF($J$15="Y","OR","...")</f>
        <v>...</v>
      </c>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row>
    <row r="170" spans="1:59" x14ac:dyDescent="0.25">
      <c r="A170" s="1" t="str">
        <f>IF($K$15="Y",'Population Definitions'!$A$12,"...")</f>
        <v>...</v>
      </c>
      <c r="B170" s="4" t="str">
        <f>IF($K$15="Y","---&gt;","...")</f>
        <v>...</v>
      </c>
      <c r="C170" s="1" t="str">
        <f>IF($K$15="Y",'Population Definitions'!$A$11,"...")</f>
        <v>...</v>
      </c>
      <c r="E170" s="2"/>
      <c r="F170" s="3"/>
      <c r="G170" s="2"/>
      <c r="H170" s="4" t="str">
        <f>IF($K$15="Y","OR","...")</f>
        <v>...</v>
      </c>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row>
    <row r="171" spans="1:59" x14ac:dyDescent="0.25">
      <c r="A171" s="1" t="str">
        <f>IF($L$15="Y",'Population Definitions'!$A$12,"...")</f>
        <v>...</v>
      </c>
      <c r="B171" s="4" t="str">
        <f>IF($L$15="Y","---&gt;","...")</f>
        <v>...</v>
      </c>
      <c r="C171" s="1" t="str">
        <f>IF($L$15="Y",'Population Definitions'!$A$12,"...")</f>
        <v>...</v>
      </c>
      <c r="E171" s="2"/>
      <c r="F171" s="3"/>
      <c r="G171" s="2"/>
      <c r="H171" s="4" t="str">
        <f>IF($L$15="Y","OR","...")</f>
        <v>...</v>
      </c>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row>
    <row r="172" spans="1:59" x14ac:dyDescent="0.25">
      <c r="A172" s="1" t="str">
        <f>IF($M$15="Y",'Population Definitions'!$A$12,"...")</f>
        <v>...</v>
      </c>
      <c r="B172" s="4" t="str">
        <f>IF($M$15="Y","---&gt;","...")</f>
        <v>...</v>
      </c>
      <c r="C172" s="1" t="str">
        <f>IF($M$15="Y",'Population Definitions'!$A$13,"...")</f>
        <v>...</v>
      </c>
      <c r="E172" s="2"/>
      <c r="F172" s="3"/>
      <c r="G172" s="2"/>
      <c r="H172" s="4" t="str">
        <f>IF($M$15="Y","OR","...")</f>
        <v>...</v>
      </c>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row>
    <row r="173" spans="1:59" x14ac:dyDescent="0.25">
      <c r="A173" s="1" t="str">
        <f>IF($N$15="Y",'Population Definitions'!$A$12,"...")</f>
        <v>...</v>
      </c>
      <c r="B173" s="4" t="str">
        <f>IF($N$15="Y","---&gt;","...")</f>
        <v>...</v>
      </c>
      <c r="C173" s="1" t="str">
        <f>IF($N$15="Y",'Population Definitions'!$A$14,"...")</f>
        <v>...</v>
      </c>
      <c r="E173" s="2"/>
      <c r="F173" s="3"/>
      <c r="G173" s="2"/>
      <c r="H173" s="4" t="str">
        <f>IF($N$15="Y","OR","...")</f>
        <v>...</v>
      </c>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row>
    <row r="174" spans="1:59" x14ac:dyDescent="0.25">
      <c r="A174" s="1" t="str">
        <f>IF($O$15="Y",'Population Definitions'!$A$12,"...")</f>
        <v>...</v>
      </c>
      <c r="B174" s="4" t="str">
        <f>IF($O$15="Y","---&gt;","...")</f>
        <v>...</v>
      </c>
      <c r="C174" s="1" t="str">
        <f>IF($O$15="Y",'Population Definitions'!$A$15,"...")</f>
        <v>...</v>
      </c>
      <c r="E174" s="2"/>
      <c r="F174" s="3"/>
      <c r="G174" s="2"/>
      <c r="H174" s="4" t="str">
        <f>IF($O$15="Y","OR","...")</f>
        <v>...</v>
      </c>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row>
    <row r="175" spans="1:59" x14ac:dyDescent="0.25">
      <c r="A175" s="1" t="str">
        <f>IF($B$16="Y",'Population Definitions'!$A$13,"...")</f>
        <v>...</v>
      </c>
      <c r="B175" s="4" t="str">
        <f>IF($B$16="Y","---&gt;","...")</f>
        <v>...</v>
      </c>
      <c r="C175" s="1" t="str">
        <f>IF($B$16="Y",'Population Definitions'!$A$2,"...")</f>
        <v>...</v>
      </c>
      <c r="E175" s="2"/>
      <c r="F175" s="3"/>
      <c r="G175" s="2"/>
      <c r="H175" s="4" t="str">
        <f>IF($B$16="Y","OR","...")</f>
        <v>...</v>
      </c>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row>
    <row r="176" spans="1:59" x14ac:dyDescent="0.25">
      <c r="A176" s="1" t="str">
        <f>IF($C$16="Y",'Population Definitions'!$A$13,"...")</f>
        <v>...</v>
      </c>
      <c r="B176" s="4" t="str">
        <f>IF($C$16="Y","---&gt;","...")</f>
        <v>...</v>
      </c>
      <c r="C176" s="1" t="str">
        <f>IF($C$16="Y",'Population Definitions'!$A$3,"...")</f>
        <v>...</v>
      </c>
      <c r="E176" s="2"/>
      <c r="F176" s="3"/>
      <c r="G176" s="2"/>
      <c r="H176" s="4" t="str">
        <f>IF($C$16="Y","OR","...")</f>
        <v>...</v>
      </c>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row>
    <row r="177" spans="1:59" x14ac:dyDescent="0.25">
      <c r="A177" s="1" t="str">
        <f>IF($D$16="Y",'Population Definitions'!$A$13,"...")</f>
        <v>...</v>
      </c>
      <c r="B177" s="4" t="str">
        <f>IF($D$16="Y","---&gt;","...")</f>
        <v>...</v>
      </c>
      <c r="C177" s="1" t="str">
        <f>IF($D$16="Y",'Population Definitions'!$A$4,"...")</f>
        <v>...</v>
      </c>
      <c r="E177" s="2"/>
      <c r="F177" s="3"/>
      <c r="G177" s="2"/>
      <c r="H177" s="4" t="str">
        <f>IF($D$16="Y","OR","...")</f>
        <v>...</v>
      </c>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row>
    <row r="178" spans="1:59" x14ac:dyDescent="0.25">
      <c r="A178" s="1" t="str">
        <f>IF($E$16="Y",'Population Definitions'!$A$13,"...")</f>
        <v>...</v>
      </c>
      <c r="B178" s="4" t="str">
        <f>IF($E$16="Y","---&gt;","...")</f>
        <v>...</v>
      </c>
      <c r="C178" s="1" t="str">
        <f>IF($E$16="Y",'Population Definitions'!$A$5,"...")</f>
        <v>...</v>
      </c>
      <c r="E178" s="2"/>
      <c r="F178" s="3"/>
      <c r="G178" s="2"/>
      <c r="H178" s="4" t="str">
        <f>IF($E$16="Y","OR","...")</f>
        <v>...</v>
      </c>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row>
    <row r="179" spans="1:59" x14ac:dyDescent="0.25">
      <c r="A179" s="1" t="str">
        <f>IF($F$16="Y",'Population Definitions'!$A$13,"...")</f>
        <v>...</v>
      </c>
      <c r="B179" s="4" t="str">
        <f>IF($F$16="Y","---&gt;","...")</f>
        <v>...</v>
      </c>
      <c r="C179" s="1" t="str">
        <f>IF($F$16="Y",'Population Definitions'!$A$6,"...")</f>
        <v>...</v>
      </c>
      <c r="E179" s="2"/>
      <c r="F179" s="3"/>
      <c r="G179" s="2"/>
      <c r="H179" s="4" t="str">
        <f>IF($F$16="Y","OR","...")</f>
        <v>...</v>
      </c>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row>
    <row r="180" spans="1:59" x14ac:dyDescent="0.25">
      <c r="A180" s="1" t="str">
        <f>IF($G$16="Y",'Population Definitions'!$A$13,"...")</f>
        <v>...</v>
      </c>
      <c r="B180" s="4" t="str">
        <f>IF($G$16="Y","---&gt;","...")</f>
        <v>...</v>
      </c>
      <c r="C180" s="1" t="str">
        <f>IF($G$16="Y",'Population Definitions'!$A$7,"...")</f>
        <v>...</v>
      </c>
      <c r="E180" s="2"/>
      <c r="F180" s="3"/>
      <c r="G180" s="2"/>
      <c r="H180" s="4" t="str">
        <f>IF($G$16="Y","OR","...")</f>
        <v>...</v>
      </c>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row>
    <row r="181" spans="1:59" x14ac:dyDescent="0.25">
      <c r="A181" s="1" t="str">
        <f>IF($H$16="Y",'Population Definitions'!$A$13,"...")</f>
        <v>...</v>
      </c>
      <c r="B181" s="4" t="str">
        <f>IF($H$16="Y","---&gt;","...")</f>
        <v>...</v>
      </c>
      <c r="C181" s="1" t="str">
        <f>IF($H$16="Y",'Population Definitions'!$A$8,"...")</f>
        <v>...</v>
      </c>
      <c r="E181" s="2"/>
      <c r="F181" s="3"/>
      <c r="G181" s="2"/>
      <c r="H181" s="4" t="str">
        <f>IF($H$16="Y","OR","...")</f>
        <v>...</v>
      </c>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row>
    <row r="182" spans="1:59" x14ac:dyDescent="0.25">
      <c r="A182" s="1" t="str">
        <f>IF($I$16="Y",'Population Definitions'!$A$13,"...")</f>
        <v>...</v>
      </c>
      <c r="B182" s="4" t="str">
        <f>IF($I$16="Y","---&gt;","...")</f>
        <v>...</v>
      </c>
      <c r="C182" s="1" t="str">
        <f>IF($I$16="Y",'Population Definitions'!$A$9,"...")</f>
        <v>...</v>
      </c>
      <c r="E182" s="2"/>
      <c r="F182" s="3"/>
      <c r="G182" s="2"/>
      <c r="H182" s="4" t="str">
        <f>IF($I$16="Y","OR","...")</f>
        <v>...</v>
      </c>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row>
    <row r="183" spans="1:59" x14ac:dyDescent="0.25">
      <c r="A183" s="1" t="str">
        <f>IF($J$16="Y",'Population Definitions'!$A$13,"...")</f>
        <v>...</v>
      </c>
      <c r="B183" s="4" t="str">
        <f>IF($J$16="Y","---&gt;","...")</f>
        <v>...</v>
      </c>
      <c r="C183" s="1" t="str">
        <f>IF($J$16="Y",'Population Definitions'!$A$10,"...")</f>
        <v>...</v>
      </c>
      <c r="E183" s="2"/>
      <c r="F183" s="3"/>
      <c r="G183" s="2"/>
      <c r="H183" s="4" t="str">
        <f>IF($J$16="Y","OR","...")</f>
        <v>...</v>
      </c>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row>
    <row r="184" spans="1:59" x14ac:dyDescent="0.25">
      <c r="A184" s="1" t="str">
        <f>IF($K$16="Y",'Population Definitions'!$A$13,"...")</f>
        <v>...</v>
      </c>
      <c r="B184" s="4" t="str">
        <f>IF($K$16="Y","---&gt;","...")</f>
        <v>...</v>
      </c>
      <c r="C184" s="1" t="str">
        <f>IF($K$16="Y",'Population Definitions'!$A$11,"...")</f>
        <v>...</v>
      </c>
      <c r="E184" s="2"/>
      <c r="F184" s="3"/>
      <c r="G184" s="2"/>
      <c r="H184" s="4" t="str">
        <f>IF($K$16="Y","OR","...")</f>
        <v>...</v>
      </c>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row>
    <row r="185" spans="1:59" x14ac:dyDescent="0.25">
      <c r="A185" s="1" t="str">
        <f>IF($L$16="Y",'Population Definitions'!$A$13,"...")</f>
        <v>...</v>
      </c>
      <c r="B185" s="4" t="str">
        <f>IF($L$16="Y","---&gt;","...")</f>
        <v>...</v>
      </c>
      <c r="C185" s="1" t="str">
        <f>IF($L$16="Y",'Population Definitions'!$A$12,"...")</f>
        <v>...</v>
      </c>
      <c r="E185" s="2"/>
      <c r="F185" s="3"/>
      <c r="G185" s="2"/>
      <c r="H185" s="4" t="str">
        <f>IF($L$16="Y","OR","...")</f>
        <v>...</v>
      </c>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row>
    <row r="186" spans="1:59" x14ac:dyDescent="0.25">
      <c r="A186" s="1" t="str">
        <f>IF($M$16="Y",'Population Definitions'!$A$13,"...")</f>
        <v>...</v>
      </c>
      <c r="B186" s="4" t="str">
        <f>IF($M$16="Y","---&gt;","...")</f>
        <v>...</v>
      </c>
      <c r="C186" s="1" t="str">
        <f>IF($M$16="Y",'Population Definitions'!$A$13,"...")</f>
        <v>...</v>
      </c>
      <c r="E186" s="2"/>
      <c r="F186" s="3"/>
      <c r="G186" s="2"/>
      <c r="H186" s="4" t="str">
        <f>IF($M$16="Y","OR","...")</f>
        <v>...</v>
      </c>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row>
    <row r="187" spans="1:59" x14ac:dyDescent="0.25">
      <c r="A187" s="1" t="str">
        <f>IF($N$16="Y",'Population Definitions'!$A$13,"...")</f>
        <v>...</v>
      </c>
      <c r="B187" s="4" t="str">
        <f>IF($N$16="Y","---&gt;","...")</f>
        <v>...</v>
      </c>
      <c r="C187" s="1" t="str">
        <f>IF($N$16="Y",'Population Definitions'!$A$14,"...")</f>
        <v>...</v>
      </c>
      <c r="E187" s="2"/>
      <c r="F187" s="3"/>
      <c r="G187" s="2"/>
      <c r="H187" s="4" t="str">
        <f>IF($N$16="Y","OR","...")</f>
        <v>...</v>
      </c>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row>
    <row r="188" spans="1:59" x14ac:dyDescent="0.25">
      <c r="A188" s="1" t="str">
        <f>IF($O$16="Y",'Population Definitions'!$A$13,"...")</f>
        <v>...</v>
      </c>
      <c r="B188" s="4" t="str">
        <f>IF($O$16="Y","---&gt;","...")</f>
        <v>...</v>
      </c>
      <c r="C188" s="1" t="str">
        <f>IF($O$16="Y",'Population Definitions'!$A$15,"...")</f>
        <v>...</v>
      </c>
      <c r="E188" s="2"/>
      <c r="F188" s="3"/>
      <c r="G188" s="2"/>
      <c r="H188" s="4" t="str">
        <f>IF($O$16="Y","OR","...")</f>
        <v>...</v>
      </c>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row>
    <row r="189" spans="1:59" x14ac:dyDescent="0.25">
      <c r="A189" s="1" t="str">
        <f>IF($B$17="Y",'Population Definitions'!$A$14,"...")</f>
        <v>...</v>
      </c>
      <c r="B189" s="4" t="str">
        <f>IF($B$17="Y","---&gt;","...")</f>
        <v>...</v>
      </c>
      <c r="C189" s="1" t="str">
        <f>IF($B$17="Y",'Population Definitions'!$A$2,"...")</f>
        <v>...</v>
      </c>
      <c r="E189" s="2"/>
      <c r="F189" s="3"/>
      <c r="G189" s="2"/>
      <c r="H189" s="4" t="str">
        <f>IF($B$17="Y","OR","...")</f>
        <v>...</v>
      </c>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row>
    <row r="190" spans="1:59" x14ac:dyDescent="0.25">
      <c r="A190" s="1" t="str">
        <f>IF($C$17="Y",'Population Definitions'!$A$14,"...")</f>
        <v>...</v>
      </c>
      <c r="B190" s="4" t="str">
        <f>IF($C$17="Y","---&gt;","...")</f>
        <v>...</v>
      </c>
      <c r="C190" s="1" t="str">
        <f>IF($C$17="Y",'Population Definitions'!$A$3,"...")</f>
        <v>...</v>
      </c>
      <c r="E190" s="2"/>
      <c r="F190" s="3"/>
      <c r="G190" s="2"/>
      <c r="H190" s="4" t="str">
        <f>IF($C$17="Y","OR","...")</f>
        <v>...</v>
      </c>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row>
    <row r="191" spans="1:59" x14ac:dyDescent="0.25">
      <c r="A191" s="1" t="str">
        <f>IF($D$17="Y",'Population Definitions'!$A$14,"...")</f>
        <v>...</v>
      </c>
      <c r="B191" s="4" t="str">
        <f>IF($D$17="Y","---&gt;","...")</f>
        <v>...</v>
      </c>
      <c r="C191" s="1" t="str">
        <f>IF($D$17="Y",'Population Definitions'!$A$4,"...")</f>
        <v>...</v>
      </c>
      <c r="E191" s="2"/>
      <c r="F191" s="3"/>
      <c r="G191" s="2"/>
      <c r="H191" s="4" t="str">
        <f>IF($D$17="Y","OR","...")</f>
        <v>...</v>
      </c>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row>
    <row r="192" spans="1:59" x14ac:dyDescent="0.25">
      <c r="A192" s="1" t="str">
        <f>IF($E$17="Y",'Population Definitions'!$A$14,"...")</f>
        <v>...</v>
      </c>
      <c r="B192" s="4" t="str">
        <f>IF($E$17="Y","---&gt;","...")</f>
        <v>...</v>
      </c>
      <c r="C192" s="1" t="str">
        <f>IF($E$17="Y",'Population Definitions'!$A$5,"...")</f>
        <v>...</v>
      </c>
      <c r="E192" s="2"/>
      <c r="F192" s="3"/>
      <c r="G192" s="2"/>
      <c r="H192" s="4" t="str">
        <f>IF($E$17="Y","OR","...")</f>
        <v>...</v>
      </c>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row>
    <row r="193" spans="1:59" x14ac:dyDescent="0.25">
      <c r="A193" s="1" t="str">
        <f>IF($F$17="Y",'Population Definitions'!$A$14,"...")</f>
        <v>...</v>
      </c>
      <c r="B193" s="4" t="str">
        <f>IF($F$17="Y","---&gt;","...")</f>
        <v>...</v>
      </c>
      <c r="C193" s="1" t="str">
        <f>IF($F$17="Y",'Population Definitions'!$A$6,"...")</f>
        <v>...</v>
      </c>
      <c r="E193" s="2"/>
      <c r="F193" s="3"/>
      <c r="G193" s="2"/>
      <c r="H193" s="4" t="str">
        <f>IF($F$17="Y","OR","...")</f>
        <v>...</v>
      </c>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row>
    <row r="194" spans="1:59" x14ac:dyDescent="0.25">
      <c r="A194" s="1" t="str">
        <f>IF($G$17="Y",'Population Definitions'!$A$14,"...")</f>
        <v>...</v>
      </c>
      <c r="B194" s="4" t="str">
        <f>IF($G$17="Y","---&gt;","...")</f>
        <v>...</v>
      </c>
      <c r="C194" s="1" t="str">
        <f>IF($G$17="Y",'Population Definitions'!$A$7,"...")</f>
        <v>...</v>
      </c>
      <c r="E194" s="2"/>
      <c r="F194" s="3"/>
      <c r="G194" s="2"/>
      <c r="H194" s="4" t="str">
        <f>IF($G$17="Y","OR","...")</f>
        <v>...</v>
      </c>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row>
    <row r="195" spans="1:59" x14ac:dyDescent="0.25">
      <c r="A195" s="1" t="str">
        <f>IF($H$17="Y",'Population Definitions'!$A$14,"...")</f>
        <v>...</v>
      </c>
      <c r="B195" s="4" t="str">
        <f>IF($H$17="Y","---&gt;","...")</f>
        <v>...</v>
      </c>
      <c r="C195" s="1" t="str">
        <f>IF($H$17="Y",'Population Definitions'!$A$8,"...")</f>
        <v>...</v>
      </c>
      <c r="E195" s="2"/>
      <c r="F195" s="3"/>
      <c r="G195" s="2"/>
      <c r="H195" s="4" t="str">
        <f>IF($H$17="Y","OR","...")</f>
        <v>...</v>
      </c>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row>
    <row r="196" spans="1:59" x14ac:dyDescent="0.25">
      <c r="A196" s="1" t="str">
        <f>IF($I$17="Y",'Population Definitions'!$A$14,"...")</f>
        <v>...</v>
      </c>
      <c r="B196" s="4" t="str">
        <f>IF($I$17="Y","---&gt;","...")</f>
        <v>...</v>
      </c>
      <c r="C196" s="1" t="str">
        <f>IF($I$17="Y",'Population Definitions'!$A$9,"...")</f>
        <v>...</v>
      </c>
      <c r="E196" s="2"/>
      <c r="F196" s="3"/>
      <c r="G196" s="2"/>
      <c r="H196" s="4" t="str">
        <f>IF($I$17="Y","OR","...")</f>
        <v>...</v>
      </c>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row>
    <row r="197" spans="1:59" x14ac:dyDescent="0.25">
      <c r="A197" s="1" t="str">
        <f>IF($J$17="Y",'Population Definitions'!$A$14,"...")</f>
        <v>...</v>
      </c>
      <c r="B197" s="4" t="str">
        <f>IF($J$17="Y","---&gt;","...")</f>
        <v>...</v>
      </c>
      <c r="C197" s="1" t="str">
        <f>IF($J$17="Y",'Population Definitions'!$A$10,"...")</f>
        <v>...</v>
      </c>
      <c r="E197" s="2"/>
      <c r="F197" s="3"/>
      <c r="G197" s="2"/>
      <c r="H197" s="4" t="str">
        <f>IF($J$17="Y","OR","...")</f>
        <v>...</v>
      </c>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row>
    <row r="198" spans="1:59" x14ac:dyDescent="0.25">
      <c r="A198" s="1" t="str">
        <f>IF($K$17="Y",'Population Definitions'!$A$14,"...")</f>
        <v>...</v>
      </c>
      <c r="B198" s="4" t="str">
        <f>IF($K$17="Y","---&gt;","...")</f>
        <v>...</v>
      </c>
      <c r="C198" s="1" t="str">
        <f>IF($K$17="Y",'Population Definitions'!$A$11,"...")</f>
        <v>...</v>
      </c>
      <c r="E198" s="2"/>
      <c r="F198" s="3"/>
      <c r="G198" s="2"/>
      <c r="H198" s="4" t="str">
        <f>IF($K$17="Y","OR","...")</f>
        <v>...</v>
      </c>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row>
    <row r="199" spans="1:59" x14ac:dyDescent="0.25">
      <c r="A199" s="1" t="str">
        <f>IF($L$17="Y",'Population Definitions'!$A$14,"...")</f>
        <v>...</v>
      </c>
      <c r="B199" s="4" t="str">
        <f>IF($L$17="Y","---&gt;","...")</f>
        <v>...</v>
      </c>
      <c r="C199" s="1" t="str">
        <f>IF($L$17="Y",'Population Definitions'!$A$12,"...")</f>
        <v>...</v>
      </c>
      <c r="E199" s="2"/>
      <c r="F199" s="3"/>
      <c r="G199" s="2"/>
      <c r="H199" s="4" t="str">
        <f>IF($L$17="Y","OR","...")</f>
        <v>...</v>
      </c>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row>
    <row r="200" spans="1:59" x14ac:dyDescent="0.25">
      <c r="A200" s="1" t="str">
        <f>IF($M$17="Y",'Population Definitions'!$A$14,"...")</f>
        <v>...</v>
      </c>
      <c r="B200" s="4" t="str">
        <f>IF($M$17="Y","---&gt;","...")</f>
        <v>...</v>
      </c>
      <c r="C200" s="1" t="str">
        <f>IF($M$17="Y",'Population Definitions'!$A$13,"...")</f>
        <v>...</v>
      </c>
      <c r="E200" s="2"/>
      <c r="F200" s="3"/>
      <c r="G200" s="2"/>
      <c r="H200" s="4" t="str">
        <f>IF($M$17="Y","OR","...")</f>
        <v>...</v>
      </c>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row>
    <row r="201" spans="1:59" x14ac:dyDescent="0.25">
      <c r="A201" s="1" t="str">
        <f>IF($N$17="Y",'Population Definitions'!$A$14,"...")</f>
        <v>Prisoners_PWID_males</v>
      </c>
      <c r="B201" s="4" t="str">
        <f>IF($N$17="Y","---&gt;","...")</f>
        <v>---&gt;</v>
      </c>
      <c r="C201" s="1" t="str">
        <f>IF($N$17="Y",'Population Definitions'!$A$14,"...")</f>
        <v>Prisoners_PWID_males</v>
      </c>
      <c r="D201" t="s">
        <v>62</v>
      </c>
      <c r="E201" s="3" t="s">
        <v>58</v>
      </c>
      <c r="F201" s="3"/>
      <c r="G201" s="3">
        <v>1</v>
      </c>
      <c r="H201" s="4" t="str">
        <f>IF($N$17="Y","OR","...")</f>
        <v>OR</v>
      </c>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row>
    <row r="202" spans="1:59" x14ac:dyDescent="0.25">
      <c r="A202" s="1" t="str">
        <f>IF($O$17="Y",'Population Definitions'!$A$14,"...")</f>
        <v>...</v>
      </c>
      <c r="B202" s="4" t="str">
        <f>IF($O$17="Y","---&gt;","...")</f>
        <v>...</v>
      </c>
      <c r="C202" s="1" t="str">
        <f>IF($O$17="Y",'Population Definitions'!$A$15,"...")</f>
        <v>...</v>
      </c>
      <c r="E202" s="2"/>
      <c r="F202" s="3"/>
      <c r="G202" s="2"/>
      <c r="H202" s="4" t="str">
        <f>IF($O$17="Y","OR","...")</f>
        <v>...</v>
      </c>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row>
    <row r="203" spans="1:59" x14ac:dyDescent="0.25">
      <c r="A203" s="1" t="str">
        <f>IF($B$18="Y",'Population Definitions'!$A$15,"...")</f>
        <v>...</v>
      </c>
      <c r="B203" s="4" t="str">
        <f>IF($B$18="Y","---&gt;","...")</f>
        <v>...</v>
      </c>
      <c r="C203" s="1" t="str">
        <f>IF($B$18="Y",'Population Definitions'!$A$2,"...")</f>
        <v>...</v>
      </c>
      <c r="E203" s="2"/>
      <c r="F203" s="3"/>
      <c r="G203" s="2"/>
      <c r="H203" s="4" t="str">
        <f>IF($B$18="Y","OR","...")</f>
        <v>...</v>
      </c>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row>
    <row r="204" spans="1:59" x14ac:dyDescent="0.25">
      <c r="A204" s="1" t="str">
        <f>IF($C$18="Y",'Population Definitions'!$A$15,"...")</f>
        <v>...</v>
      </c>
      <c r="B204" s="4" t="str">
        <f>IF($C$18="Y","---&gt;","...")</f>
        <v>...</v>
      </c>
      <c r="C204" s="1" t="str">
        <f>IF($C$18="Y",'Population Definitions'!$A$3,"...")</f>
        <v>...</v>
      </c>
      <c r="E204" s="2"/>
      <c r="F204" s="3"/>
      <c r="G204" s="2"/>
      <c r="H204" s="4" t="str">
        <f>IF($C$18="Y","OR","...")</f>
        <v>...</v>
      </c>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row>
    <row r="205" spans="1:59" x14ac:dyDescent="0.25">
      <c r="A205" s="1" t="str">
        <f>IF($D$18="Y",'Population Definitions'!$A$15,"...")</f>
        <v>...</v>
      </c>
      <c r="B205" s="4" t="str">
        <f>IF($D$18="Y","---&gt;","...")</f>
        <v>...</v>
      </c>
      <c r="C205" s="1" t="str">
        <f>IF($D$18="Y",'Population Definitions'!$A$4,"...")</f>
        <v>...</v>
      </c>
      <c r="E205" s="2"/>
      <c r="F205" s="3"/>
      <c r="G205" s="2"/>
      <c r="H205" s="4" t="str">
        <f>IF($D$18="Y","OR","...")</f>
        <v>...</v>
      </c>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row>
    <row r="206" spans="1:59" x14ac:dyDescent="0.25">
      <c r="A206" s="1" t="str">
        <f>IF($E$18="Y",'Population Definitions'!$A$15,"...")</f>
        <v>...</v>
      </c>
      <c r="B206" s="4" t="str">
        <f>IF($E$18="Y","---&gt;","...")</f>
        <v>...</v>
      </c>
      <c r="C206" s="1" t="str">
        <f>IF($E$18="Y",'Population Definitions'!$A$5,"...")</f>
        <v>...</v>
      </c>
      <c r="E206" s="2"/>
      <c r="F206" s="3"/>
      <c r="G206" s="2"/>
      <c r="H206" s="4" t="str">
        <f>IF($E$18="Y","OR","...")</f>
        <v>...</v>
      </c>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row>
    <row r="207" spans="1:59" x14ac:dyDescent="0.25">
      <c r="A207" s="1" t="str">
        <f>IF($F$18="Y",'Population Definitions'!$A$15,"...")</f>
        <v>...</v>
      </c>
      <c r="B207" s="4" t="str">
        <f>IF($F$18="Y","---&gt;","...")</f>
        <v>...</v>
      </c>
      <c r="C207" s="1" t="str">
        <f>IF($F$18="Y",'Population Definitions'!$A$6,"...")</f>
        <v>...</v>
      </c>
      <c r="E207" s="2"/>
      <c r="F207" s="3"/>
      <c r="G207" s="2"/>
      <c r="H207" s="4" t="str">
        <f>IF($F$18="Y","OR","...")</f>
        <v>...</v>
      </c>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row>
    <row r="208" spans="1:59" x14ac:dyDescent="0.25">
      <c r="A208" s="1" t="str">
        <f>IF($G$18="Y",'Population Definitions'!$A$15,"...")</f>
        <v>...</v>
      </c>
      <c r="B208" s="4" t="str">
        <f>IF($G$18="Y","---&gt;","...")</f>
        <v>...</v>
      </c>
      <c r="C208" s="1" t="str">
        <f>IF($G$18="Y",'Population Definitions'!$A$7,"...")</f>
        <v>...</v>
      </c>
      <c r="E208" s="2"/>
      <c r="F208" s="3"/>
      <c r="G208" s="2"/>
      <c r="H208" s="4" t="str">
        <f>IF($G$18="Y","OR","...")</f>
        <v>...</v>
      </c>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row>
    <row r="209" spans="1:59" x14ac:dyDescent="0.25">
      <c r="A209" s="1" t="str">
        <f>IF($H$18="Y",'Population Definitions'!$A$15,"...")</f>
        <v>...</v>
      </c>
      <c r="B209" s="4" t="str">
        <f>IF($H$18="Y","---&gt;","...")</f>
        <v>...</v>
      </c>
      <c r="C209" s="1" t="str">
        <f>IF($H$18="Y",'Population Definitions'!$A$8,"...")</f>
        <v>...</v>
      </c>
      <c r="E209" s="2"/>
      <c r="F209" s="3"/>
      <c r="G209" s="2"/>
      <c r="H209" s="4" t="str">
        <f>IF($H$18="Y","OR","...")</f>
        <v>...</v>
      </c>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row>
    <row r="210" spans="1:59" x14ac:dyDescent="0.25">
      <c r="A210" s="1" t="str">
        <f>IF($I$18="Y",'Population Definitions'!$A$15,"...")</f>
        <v>...</v>
      </c>
      <c r="B210" s="4" t="str">
        <f>IF($I$18="Y","---&gt;","...")</f>
        <v>...</v>
      </c>
      <c r="C210" s="1" t="str">
        <f>IF($I$18="Y",'Population Definitions'!$A$9,"...")</f>
        <v>...</v>
      </c>
      <c r="E210" s="2"/>
      <c r="F210" s="3"/>
      <c r="G210" s="2"/>
      <c r="H210" s="4" t="str">
        <f>IF($I$18="Y","OR","...")</f>
        <v>...</v>
      </c>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row>
    <row r="211" spans="1:59" x14ac:dyDescent="0.25">
      <c r="A211" s="1" t="str">
        <f>IF($J$18="Y",'Population Definitions'!$A$15,"...")</f>
        <v>...</v>
      </c>
      <c r="B211" s="4" t="str">
        <f>IF($J$18="Y","---&gt;","...")</f>
        <v>...</v>
      </c>
      <c r="C211" s="1" t="str">
        <f>IF($J$18="Y",'Population Definitions'!$A$10,"...")</f>
        <v>...</v>
      </c>
      <c r="E211" s="2"/>
      <c r="F211" s="3"/>
      <c r="G211" s="2"/>
      <c r="H211" s="4" t="str">
        <f>IF($J$18="Y","OR","...")</f>
        <v>...</v>
      </c>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row>
    <row r="212" spans="1:59" x14ac:dyDescent="0.25">
      <c r="A212" s="1" t="str">
        <f>IF($K$18="Y",'Population Definitions'!$A$15,"...")</f>
        <v>...</v>
      </c>
      <c r="B212" s="4" t="str">
        <f>IF($K$18="Y","---&gt;","...")</f>
        <v>...</v>
      </c>
      <c r="C212" s="1" t="str">
        <f>IF($K$18="Y",'Population Definitions'!$A$11,"...")</f>
        <v>...</v>
      </c>
      <c r="E212" s="2"/>
      <c r="F212" s="3"/>
      <c r="G212" s="2"/>
      <c r="H212" s="4" t="str">
        <f>IF($K$18="Y","OR","...")</f>
        <v>...</v>
      </c>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row>
    <row r="213" spans="1:59" x14ac:dyDescent="0.25">
      <c r="A213" s="1" t="str">
        <f>IF($L$18="Y",'Population Definitions'!$A$15,"...")</f>
        <v>...</v>
      </c>
      <c r="B213" s="4" t="str">
        <f>IF($L$18="Y","---&gt;","...")</f>
        <v>...</v>
      </c>
      <c r="C213" s="1" t="str">
        <f>IF($L$18="Y",'Population Definitions'!$A$12,"...")</f>
        <v>...</v>
      </c>
      <c r="E213" s="2"/>
      <c r="F213" s="3"/>
      <c r="G213" s="2"/>
      <c r="H213" s="4" t="str">
        <f>IF($L$18="Y","OR","...")</f>
        <v>...</v>
      </c>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row>
    <row r="214" spans="1:59" x14ac:dyDescent="0.25">
      <c r="A214" s="1" t="str">
        <f>IF($M$18="Y",'Population Definitions'!$A$15,"...")</f>
        <v>...</v>
      </c>
      <c r="B214" s="4" t="str">
        <f>IF($M$18="Y","---&gt;","...")</f>
        <v>...</v>
      </c>
      <c r="C214" s="1" t="str">
        <f>IF($M$18="Y",'Population Definitions'!$A$13,"...")</f>
        <v>...</v>
      </c>
      <c r="E214" s="2"/>
      <c r="F214" s="3"/>
      <c r="G214" s="2"/>
      <c r="H214" s="4" t="str">
        <f>IF($M$18="Y","OR","...")</f>
        <v>...</v>
      </c>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row>
    <row r="215" spans="1:59" x14ac:dyDescent="0.25">
      <c r="A215" s="1" t="str">
        <f>IF($N$18="Y",'Population Definitions'!$A$15,"...")</f>
        <v>...</v>
      </c>
      <c r="B215" s="4" t="str">
        <f>IF($N$18="Y","---&gt;","...")</f>
        <v>...</v>
      </c>
      <c r="C215" s="1" t="str">
        <f>IF($N$18="Y",'Population Definitions'!$A$14,"...")</f>
        <v>...</v>
      </c>
      <c r="E215" s="2"/>
      <c r="F215" s="3"/>
      <c r="G215" s="2"/>
      <c r="H215" s="4" t="str">
        <f>IF($N$18="Y","OR","...")</f>
        <v>...</v>
      </c>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row>
    <row r="216" spans="1:59" x14ac:dyDescent="0.25">
      <c r="A216" s="1" t="str">
        <f>IF($O$18="Y",'Population Definitions'!$A$15,"...")</f>
        <v>Prisoners_PWID_females</v>
      </c>
      <c r="B216" s="4" t="str">
        <f>IF($O$18="Y","---&gt;","...")</f>
        <v>---&gt;</v>
      </c>
      <c r="C216" s="1" t="str">
        <f>IF($O$18="Y",'Population Definitions'!$A$15,"...")</f>
        <v>Prisoners_PWID_females</v>
      </c>
      <c r="D216" t="s">
        <v>62</v>
      </c>
      <c r="E216" s="3" t="s">
        <v>58</v>
      </c>
      <c r="F216" s="3"/>
      <c r="G216" s="3">
        <v>1</v>
      </c>
      <c r="H216" s="4" t="str">
        <f>IF($O$18="Y","OR","...")</f>
        <v>OR</v>
      </c>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row>
    <row r="218" spans="1:59" x14ac:dyDescent="0.25">
      <c r="A218" s="1" t="s">
        <v>0</v>
      </c>
      <c r="B218" s="1" t="s">
        <v>1</v>
      </c>
      <c r="C218" s="1" t="s">
        <v>226</v>
      </c>
      <c r="D218" s="1" t="s">
        <v>227</v>
      </c>
    </row>
    <row r="219" spans="1:59" x14ac:dyDescent="0.25">
      <c r="A219" t="s">
        <v>232</v>
      </c>
      <c r="B219" t="s">
        <v>233</v>
      </c>
      <c r="C219" t="s">
        <v>5</v>
      </c>
      <c r="D219" t="s">
        <v>5</v>
      </c>
    </row>
    <row r="221" spans="1:59" x14ac:dyDescent="0.25">
      <c r="B221" s="1" t="str">
        <f>'Population Definitions'!$A$2</f>
        <v>PWID_males</v>
      </c>
      <c r="C221" s="1" t="str">
        <f>'Population Definitions'!$A$3</f>
        <v>PWID_females</v>
      </c>
      <c r="D221" s="1" t="str">
        <f>'Population Definitions'!$A$4</f>
        <v>0-9_males</v>
      </c>
      <c r="E221" s="1" t="str">
        <f>'Population Definitions'!$A$5</f>
        <v>0-9_females</v>
      </c>
      <c r="F221" s="1" t="str">
        <f>'Population Definitions'!$A$6</f>
        <v>10-17_males</v>
      </c>
      <c r="G221" s="1" t="str">
        <f>'Population Definitions'!$A$7</f>
        <v>10-17_females</v>
      </c>
      <c r="H221" s="1" t="str">
        <f>'Population Definitions'!$A$8</f>
        <v>18-64_males</v>
      </c>
      <c r="I221" s="1" t="str">
        <f>'Population Definitions'!$A$9</f>
        <v>18-64_females</v>
      </c>
      <c r="J221" s="1" t="str">
        <f>'Population Definitions'!$A$10</f>
        <v>65+_males</v>
      </c>
      <c r="K221" s="1" t="str">
        <f>'Population Definitions'!$A$11</f>
        <v>65+_females</v>
      </c>
      <c r="L221" s="1" t="str">
        <f>'Population Definitions'!$A$12</f>
        <v>Prisoners_males</v>
      </c>
      <c r="M221" s="1" t="str">
        <f>'Population Definitions'!$A$13</f>
        <v>Prisoners_females</v>
      </c>
      <c r="N221" s="1" t="str">
        <f>'Population Definitions'!$A$14</f>
        <v>Prisoners_PWID_males</v>
      </c>
      <c r="O221" s="1" t="str">
        <f>'Population Definitions'!$A$15</f>
        <v>Prisoners_PWID_females</v>
      </c>
    </row>
    <row r="222" spans="1:59" x14ac:dyDescent="0.25">
      <c r="A222" s="1" t="str">
        <f>'Population Definitions'!$A$2</f>
        <v>PWID_males</v>
      </c>
      <c r="B222" s="5" t="s">
        <v>229</v>
      </c>
      <c r="C222" s="5" t="s">
        <v>229</v>
      </c>
      <c r="D222" s="5" t="s">
        <v>229</v>
      </c>
      <c r="E222" s="5" t="s">
        <v>229</v>
      </c>
      <c r="F222" s="5" t="s">
        <v>229</v>
      </c>
      <c r="G222" s="5" t="s">
        <v>229</v>
      </c>
      <c r="H222" s="5" t="s">
        <v>229</v>
      </c>
      <c r="I222" s="5" t="s">
        <v>229</v>
      </c>
      <c r="J222" s="5" t="s">
        <v>229</v>
      </c>
      <c r="K222" s="5" t="s">
        <v>229</v>
      </c>
      <c r="L222" s="5" t="s">
        <v>229</v>
      </c>
      <c r="M222" s="5" t="s">
        <v>229</v>
      </c>
      <c r="N222" s="5" t="s">
        <v>229</v>
      </c>
      <c r="O222" s="5" t="s">
        <v>229</v>
      </c>
    </row>
    <row r="223" spans="1:59" x14ac:dyDescent="0.25">
      <c r="A223" s="1" t="str">
        <f>'Population Definitions'!$A$3</f>
        <v>PWID_females</v>
      </c>
      <c r="B223" s="5" t="s">
        <v>229</v>
      </c>
      <c r="C223" s="5" t="s">
        <v>229</v>
      </c>
      <c r="D223" s="5" t="s">
        <v>229</v>
      </c>
      <c r="E223" s="5" t="s">
        <v>229</v>
      </c>
      <c r="F223" s="5" t="s">
        <v>229</v>
      </c>
      <c r="G223" s="5" t="s">
        <v>229</v>
      </c>
      <c r="H223" s="5" t="s">
        <v>229</v>
      </c>
      <c r="I223" s="5" t="s">
        <v>229</v>
      </c>
      <c r="J223" s="5" t="s">
        <v>229</v>
      </c>
      <c r="K223" s="5" t="s">
        <v>229</v>
      </c>
      <c r="L223" s="5" t="s">
        <v>229</v>
      </c>
      <c r="M223" s="5" t="s">
        <v>229</v>
      </c>
      <c r="N223" s="5" t="s">
        <v>229</v>
      </c>
      <c r="O223" s="5" t="s">
        <v>229</v>
      </c>
    </row>
    <row r="224" spans="1:59" x14ac:dyDescent="0.25">
      <c r="A224" s="1" t="str">
        <f>'Population Definitions'!$A$4</f>
        <v>0-9_males</v>
      </c>
      <c r="B224" s="5" t="s">
        <v>229</v>
      </c>
      <c r="C224" s="5" t="s">
        <v>229</v>
      </c>
      <c r="D224" s="5" t="s">
        <v>229</v>
      </c>
      <c r="E224" s="5" t="s">
        <v>229</v>
      </c>
      <c r="F224" s="5" t="s">
        <v>229</v>
      </c>
      <c r="G224" s="5" t="s">
        <v>229</v>
      </c>
      <c r="H224" s="5" t="s">
        <v>229</v>
      </c>
      <c r="I224" s="5" t="s">
        <v>229</v>
      </c>
      <c r="J224" s="5" t="s">
        <v>229</v>
      </c>
      <c r="K224" s="5" t="s">
        <v>229</v>
      </c>
      <c r="L224" s="5" t="s">
        <v>229</v>
      </c>
      <c r="M224" s="5" t="s">
        <v>229</v>
      </c>
      <c r="N224" s="5" t="s">
        <v>229</v>
      </c>
      <c r="O224" s="5" t="s">
        <v>229</v>
      </c>
    </row>
    <row r="225" spans="1:59" x14ac:dyDescent="0.25">
      <c r="A225" s="1" t="str">
        <f>'Population Definitions'!$A$5</f>
        <v>0-9_females</v>
      </c>
      <c r="B225" s="5" t="s">
        <v>229</v>
      </c>
      <c r="C225" s="5" t="s">
        <v>229</v>
      </c>
      <c r="D225" s="5" t="s">
        <v>229</v>
      </c>
      <c r="E225" s="5" t="s">
        <v>229</v>
      </c>
      <c r="F225" s="5" t="s">
        <v>229</v>
      </c>
      <c r="G225" s="5" t="s">
        <v>229</v>
      </c>
      <c r="H225" s="5" t="s">
        <v>229</v>
      </c>
      <c r="I225" s="5" t="s">
        <v>229</v>
      </c>
      <c r="J225" s="5" t="s">
        <v>229</v>
      </c>
      <c r="K225" s="5" t="s">
        <v>229</v>
      </c>
      <c r="L225" s="5" t="s">
        <v>229</v>
      </c>
      <c r="M225" s="5" t="s">
        <v>229</v>
      </c>
      <c r="N225" s="5" t="s">
        <v>229</v>
      </c>
      <c r="O225" s="5" t="s">
        <v>229</v>
      </c>
    </row>
    <row r="226" spans="1:59" x14ac:dyDescent="0.25">
      <c r="A226" s="1" t="str">
        <f>'Population Definitions'!$A$6</f>
        <v>10-17_males</v>
      </c>
      <c r="B226" s="5" t="s">
        <v>229</v>
      </c>
      <c r="C226" s="5" t="s">
        <v>229</v>
      </c>
      <c r="D226" s="5" t="s">
        <v>229</v>
      </c>
      <c r="E226" s="5" t="s">
        <v>229</v>
      </c>
      <c r="F226" s="5" t="s">
        <v>229</v>
      </c>
      <c r="G226" s="5" t="s">
        <v>229</v>
      </c>
      <c r="H226" s="5" t="s">
        <v>229</v>
      </c>
      <c r="I226" s="5" t="s">
        <v>229</v>
      </c>
      <c r="J226" s="5" t="s">
        <v>229</v>
      </c>
      <c r="K226" s="5" t="s">
        <v>229</v>
      </c>
      <c r="L226" s="5" t="s">
        <v>229</v>
      </c>
      <c r="M226" s="5" t="s">
        <v>229</v>
      </c>
      <c r="N226" s="5" t="s">
        <v>229</v>
      </c>
      <c r="O226" s="5" t="s">
        <v>229</v>
      </c>
    </row>
    <row r="227" spans="1:59" x14ac:dyDescent="0.25">
      <c r="A227" s="1" t="str">
        <f>'Population Definitions'!$A$7</f>
        <v>10-17_females</v>
      </c>
      <c r="B227" s="5" t="s">
        <v>229</v>
      </c>
      <c r="C227" s="5" t="s">
        <v>229</v>
      </c>
      <c r="D227" s="5" t="s">
        <v>229</v>
      </c>
      <c r="E227" s="5" t="s">
        <v>229</v>
      </c>
      <c r="F227" s="5" t="s">
        <v>229</v>
      </c>
      <c r="G227" s="5" t="s">
        <v>229</v>
      </c>
      <c r="H227" s="5" t="s">
        <v>229</v>
      </c>
      <c r="I227" s="5" t="s">
        <v>229</v>
      </c>
      <c r="J227" s="5" t="s">
        <v>229</v>
      </c>
      <c r="K227" s="5" t="s">
        <v>229</v>
      </c>
      <c r="L227" s="5" t="s">
        <v>229</v>
      </c>
      <c r="M227" s="5" t="s">
        <v>229</v>
      </c>
      <c r="N227" s="5" t="s">
        <v>229</v>
      </c>
      <c r="O227" s="5" t="s">
        <v>229</v>
      </c>
    </row>
    <row r="228" spans="1:59" x14ac:dyDescent="0.25">
      <c r="A228" s="1" t="str">
        <f>'Population Definitions'!$A$8</f>
        <v>18-64_males</v>
      </c>
      <c r="B228" s="5" t="s">
        <v>229</v>
      </c>
      <c r="C228" s="5" t="s">
        <v>229</v>
      </c>
      <c r="D228" s="5" t="s">
        <v>229</v>
      </c>
      <c r="E228" s="5" t="s">
        <v>229</v>
      </c>
      <c r="F228" s="5" t="s">
        <v>229</v>
      </c>
      <c r="G228" s="5" t="s">
        <v>229</v>
      </c>
      <c r="H228" s="5" t="s">
        <v>228</v>
      </c>
      <c r="I228" s="5" t="s">
        <v>228</v>
      </c>
      <c r="J228" s="5" t="s">
        <v>228</v>
      </c>
      <c r="K228" s="5" t="s">
        <v>228</v>
      </c>
      <c r="L228" s="5" t="s">
        <v>229</v>
      </c>
      <c r="M228" s="5" t="s">
        <v>229</v>
      </c>
      <c r="N228" s="5" t="s">
        <v>229</v>
      </c>
      <c r="O228" s="5" t="s">
        <v>229</v>
      </c>
    </row>
    <row r="229" spans="1:59" x14ac:dyDescent="0.25">
      <c r="A229" s="1" t="str">
        <f>'Population Definitions'!$A$9</f>
        <v>18-64_females</v>
      </c>
      <c r="B229" s="5" t="s">
        <v>229</v>
      </c>
      <c r="C229" s="5" t="s">
        <v>229</v>
      </c>
      <c r="D229" s="5" t="s">
        <v>229</v>
      </c>
      <c r="E229" s="5" t="s">
        <v>229</v>
      </c>
      <c r="F229" s="5" t="s">
        <v>229</v>
      </c>
      <c r="G229" s="5" t="s">
        <v>229</v>
      </c>
      <c r="H229" s="5" t="s">
        <v>228</v>
      </c>
      <c r="I229" s="5" t="s">
        <v>228</v>
      </c>
      <c r="J229" s="5" t="s">
        <v>228</v>
      </c>
      <c r="K229" s="5" t="s">
        <v>228</v>
      </c>
      <c r="L229" s="5" t="s">
        <v>229</v>
      </c>
      <c r="M229" s="5" t="s">
        <v>229</v>
      </c>
      <c r="N229" s="5" t="s">
        <v>229</v>
      </c>
      <c r="O229" s="5" t="s">
        <v>229</v>
      </c>
    </row>
    <row r="230" spans="1:59" x14ac:dyDescent="0.25">
      <c r="A230" s="1" t="str">
        <f>'Population Definitions'!$A$10</f>
        <v>65+_males</v>
      </c>
      <c r="B230" s="5" t="s">
        <v>229</v>
      </c>
      <c r="C230" s="5" t="s">
        <v>229</v>
      </c>
      <c r="D230" s="5" t="s">
        <v>229</v>
      </c>
      <c r="E230" s="5" t="s">
        <v>229</v>
      </c>
      <c r="F230" s="5" t="s">
        <v>229</v>
      </c>
      <c r="G230" s="5" t="s">
        <v>229</v>
      </c>
      <c r="H230" s="5" t="s">
        <v>228</v>
      </c>
      <c r="I230" s="5" t="s">
        <v>228</v>
      </c>
      <c r="J230" s="5" t="s">
        <v>228</v>
      </c>
      <c r="K230" s="5" t="s">
        <v>228</v>
      </c>
      <c r="L230" s="5" t="s">
        <v>229</v>
      </c>
      <c r="M230" s="5" t="s">
        <v>229</v>
      </c>
      <c r="N230" s="5" t="s">
        <v>229</v>
      </c>
      <c r="O230" s="5" t="s">
        <v>229</v>
      </c>
    </row>
    <row r="231" spans="1:59" x14ac:dyDescent="0.25">
      <c r="A231" s="1" t="str">
        <f>'Population Definitions'!$A$11</f>
        <v>65+_females</v>
      </c>
      <c r="B231" s="5" t="s">
        <v>229</v>
      </c>
      <c r="C231" s="5" t="s">
        <v>229</v>
      </c>
      <c r="D231" s="5" t="s">
        <v>229</v>
      </c>
      <c r="E231" s="5" t="s">
        <v>229</v>
      </c>
      <c r="F231" s="5" t="s">
        <v>229</v>
      </c>
      <c r="G231" s="5" t="s">
        <v>229</v>
      </c>
      <c r="H231" s="5" t="s">
        <v>228</v>
      </c>
      <c r="I231" s="5" t="s">
        <v>228</v>
      </c>
      <c r="J231" s="5" t="s">
        <v>228</v>
      </c>
      <c r="K231" s="5" t="s">
        <v>228</v>
      </c>
      <c r="L231" s="5" t="s">
        <v>229</v>
      </c>
      <c r="M231" s="5" t="s">
        <v>229</v>
      </c>
      <c r="N231" s="5" t="s">
        <v>229</v>
      </c>
      <c r="O231" s="5" t="s">
        <v>229</v>
      </c>
    </row>
    <row r="232" spans="1:59" x14ac:dyDescent="0.25">
      <c r="A232" s="1" t="str">
        <f>'Population Definitions'!$A$12</f>
        <v>Prisoners_males</v>
      </c>
      <c r="B232" s="5" t="s">
        <v>229</v>
      </c>
      <c r="C232" s="5" t="s">
        <v>229</v>
      </c>
      <c r="D232" s="5" t="s">
        <v>229</v>
      </c>
      <c r="E232" s="5" t="s">
        <v>229</v>
      </c>
      <c r="F232" s="5" t="s">
        <v>229</v>
      </c>
      <c r="G232" s="5" t="s">
        <v>229</v>
      </c>
      <c r="H232" s="5" t="s">
        <v>229</v>
      </c>
      <c r="I232" s="5" t="s">
        <v>229</v>
      </c>
      <c r="J232" s="5" t="s">
        <v>229</v>
      </c>
      <c r="K232" s="5" t="s">
        <v>229</v>
      </c>
      <c r="L232" s="5" t="s">
        <v>229</v>
      </c>
      <c r="M232" s="5" t="s">
        <v>229</v>
      </c>
      <c r="N232" s="5" t="s">
        <v>229</v>
      </c>
      <c r="O232" s="5" t="s">
        <v>229</v>
      </c>
    </row>
    <row r="233" spans="1:59" x14ac:dyDescent="0.25">
      <c r="A233" s="1" t="str">
        <f>'Population Definitions'!$A$13</f>
        <v>Prisoners_females</v>
      </c>
      <c r="B233" s="5" t="s">
        <v>229</v>
      </c>
      <c r="C233" s="5" t="s">
        <v>229</v>
      </c>
      <c r="D233" s="5" t="s">
        <v>229</v>
      </c>
      <c r="E233" s="5" t="s">
        <v>229</v>
      </c>
      <c r="F233" s="5" t="s">
        <v>229</v>
      </c>
      <c r="G233" s="5" t="s">
        <v>229</v>
      </c>
      <c r="H233" s="5" t="s">
        <v>229</v>
      </c>
      <c r="I233" s="5" t="s">
        <v>229</v>
      </c>
      <c r="J233" s="5" t="s">
        <v>229</v>
      </c>
      <c r="K233" s="5" t="s">
        <v>229</v>
      </c>
      <c r="L233" s="5" t="s">
        <v>229</v>
      </c>
      <c r="M233" s="5" t="s">
        <v>229</v>
      </c>
      <c r="N233" s="5" t="s">
        <v>229</v>
      </c>
      <c r="O233" s="5" t="s">
        <v>229</v>
      </c>
    </row>
    <row r="234" spans="1:59" x14ac:dyDescent="0.25">
      <c r="A234" s="1" t="str">
        <f>'Population Definitions'!$A$14</f>
        <v>Prisoners_PWID_males</v>
      </c>
      <c r="B234" s="5" t="s">
        <v>229</v>
      </c>
      <c r="C234" s="5" t="s">
        <v>229</v>
      </c>
      <c r="D234" s="5" t="s">
        <v>229</v>
      </c>
      <c r="E234" s="5" t="s">
        <v>229</v>
      </c>
      <c r="F234" s="5" t="s">
        <v>229</v>
      </c>
      <c r="G234" s="5" t="s">
        <v>229</v>
      </c>
      <c r="H234" s="5" t="s">
        <v>229</v>
      </c>
      <c r="I234" s="5" t="s">
        <v>229</v>
      </c>
      <c r="J234" s="5" t="s">
        <v>229</v>
      </c>
      <c r="K234" s="5" t="s">
        <v>229</v>
      </c>
      <c r="L234" s="5" t="s">
        <v>229</v>
      </c>
      <c r="M234" s="5" t="s">
        <v>229</v>
      </c>
      <c r="N234" s="5" t="s">
        <v>229</v>
      </c>
      <c r="O234" s="5" t="s">
        <v>229</v>
      </c>
    </row>
    <row r="235" spans="1:59" x14ac:dyDescent="0.25">
      <c r="A235" s="1" t="str">
        <f>'Population Definitions'!$A$15</f>
        <v>Prisoners_PWID_females</v>
      </c>
      <c r="B235" s="5" t="s">
        <v>229</v>
      </c>
      <c r="C235" s="5" t="s">
        <v>229</v>
      </c>
      <c r="D235" s="5" t="s">
        <v>229</v>
      </c>
      <c r="E235" s="5" t="s">
        <v>229</v>
      </c>
      <c r="F235" s="5" t="s">
        <v>229</v>
      </c>
      <c r="G235" s="5" t="s">
        <v>229</v>
      </c>
      <c r="H235" s="5" t="s">
        <v>229</v>
      </c>
      <c r="I235" s="5" t="s">
        <v>229</v>
      </c>
      <c r="J235" s="5" t="s">
        <v>229</v>
      </c>
      <c r="K235" s="5" t="s">
        <v>229</v>
      </c>
      <c r="L235" s="5" t="s">
        <v>229</v>
      </c>
      <c r="M235" s="5" t="s">
        <v>229</v>
      </c>
      <c r="N235" s="5" t="s">
        <v>229</v>
      </c>
      <c r="O235" s="5" t="s">
        <v>229</v>
      </c>
    </row>
    <row r="237" spans="1:59" x14ac:dyDescent="0.25">
      <c r="A237" s="1" t="s">
        <v>230</v>
      </c>
      <c r="B237" s="1"/>
      <c r="C237" s="1" t="s">
        <v>231</v>
      </c>
      <c r="D237" s="1" t="s">
        <v>31</v>
      </c>
      <c r="E237" s="1" t="s">
        <v>32</v>
      </c>
      <c r="F237" s="1" t="s">
        <v>33</v>
      </c>
      <c r="G237" s="1" t="s">
        <v>38</v>
      </c>
      <c r="H237" s="1"/>
      <c r="I237" s="1">
        <v>2000</v>
      </c>
      <c r="J237" s="1">
        <v>2001</v>
      </c>
      <c r="K237" s="1">
        <v>2002</v>
      </c>
      <c r="L237" s="1">
        <v>2003</v>
      </c>
      <c r="M237" s="1">
        <v>2004</v>
      </c>
      <c r="N237" s="1">
        <v>2005</v>
      </c>
      <c r="O237" s="1">
        <v>2006</v>
      </c>
      <c r="P237" s="1">
        <v>2007</v>
      </c>
      <c r="Q237" s="1">
        <v>2008</v>
      </c>
      <c r="R237" s="1">
        <v>2009</v>
      </c>
      <c r="S237" s="1">
        <v>2010</v>
      </c>
      <c r="T237" s="1">
        <v>2011</v>
      </c>
      <c r="U237" s="1">
        <v>2012</v>
      </c>
      <c r="V237" s="1">
        <v>2013</v>
      </c>
      <c r="W237" s="1">
        <v>2014</v>
      </c>
      <c r="X237" s="1">
        <v>2015</v>
      </c>
      <c r="Y237" s="1">
        <v>2016</v>
      </c>
      <c r="Z237" s="1">
        <v>2017</v>
      </c>
      <c r="AA237" s="1">
        <v>2018</v>
      </c>
      <c r="AB237" s="1">
        <v>2019</v>
      </c>
      <c r="AC237" s="1">
        <v>2020</v>
      </c>
      <c r="AD237" s="1">
        <v>2021</v>
      </c>
      <c r="AE237" s="1">
        <v>2022</v>
      </c>
      <c r="AF237" s="1">
        <v>2023</v>
      </c>
      <c r="AG237" s="1">
        <v>2024</v>
      </c>
      <c r="AH237" s="1">
        <v>2025</v>
      </c>
      <c r="AI237" s="1">
        <v>2026</v>
      </c>
      <c r="AJ237" s="1">
        <v>2027</v>
      </c>
      <c r="AK237" s="1">
        <v>2028</v>
      </c>
      <c r="AL237" s="1">
        <v>2029</v>
      </c>
      <c r="AM237" s="1">
        <v>2030</v>
      </c>
      <c r="AN237" s="1">
        <v>2031</v>
      </c>
      <c r="AO237" s="1">
        <v>2032</v>
      </c>
      <c r="AP237" s="1">
        <v>2033</v>
      </c>
      <c r="AQ237" s="1">
        <v>2034</v>
      </c>
      <c r="AR237" s="1">
        <v>2035</v>
      </c>
      <c r="AS237" s="1">
        <v>2036</v>
      </c>
      <c r="AT237" s="1">
        <v>2037</v>
      </c>
      <c r="AU237" s="1">
        <v>2038</v>
      </c>
      <c r="AV237" s="1">
        <v>2039</v>
      </c>
      <c r="AW237" s="1">
        <v>2040</v>
      </c>
      <c r="AX237" s="1">
        <v>2041</v>
      </c>
      <c r="AY237" s="1">
        <v>2042</v>
      </c>
      <c r="AZ237" s="1">
        <v>2043</v>
      </c>
      <c r="BA237" s="1">
        <v>2044</v>
      </c>
      <c r="BB237" s="1">
        <v>2045</v>
      </c>
      <c r="BC237" s="1">
        <v>2046</v>
      </c>
      <c r="BD237" s="1">
        <v>2047</v>
      </c>
      <c r="BE237" s="1">
        <v>2048</v>
      </c>
      <c r="BF237" s="1">
        <v>2049</v>
      </c>
      <c r="BG237" s="1">
        <v>2050</v>
      </c>
    </row>
    <row r="238" spans="1:59" x14ac:dyDescent="0.25">
      <c r="A238" s="1" t="str">
        <f>IF($B$222="Y",'Population Definitions'!$A$2,"...")</f>
        <v>...</v>
      </c>
      <c r="B238" s="4" t="str">
        <f>IF($B$222="Y","---&gt;","...")</f>
        <v>...</v>
      </c>
      <c r="C238" s="1" t="str">
        <f>IF($B$222="Y",'Population Definitions'!$A$2,"...")</f>
        <v>...</v>
      </c>
      <c r="E238" s="2"/>
      <c r="F238" s="3"/>
      <c r="G238" s="2"/>
      <c r="H238" s="4" t="str">
        <f>IF($B$222="Y","OR","...")</f>
        <v>...</v>
      </c>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row>
    <row r="239" spans="1:59" x14ac:dyDescent="0.25">
      <c r="A239" s="1" t="str">
        <f>IF($C$222="Y",'Population Definitions'!$A$2,"...")</f>
        <v>...</v>
      </c>
      <c r="B239" s="4" t="str">
        <f>IF($C$222="Y","---&gt;","...")</f>
        <v>...</v>
      </c>
      <c r="C239" s="1" t="str">
        <f>IF($C$222="Y",'Population Definitions'!$A$3,"...")</f>
        <v>...</v>
      </c>
      <c r="E239" s="2"/>
      <c r="F239" s="3"/>
      <c r="G239" s="2"/>
      <c r="H239" s="4" t="str">
        <f>IF($C$222="Y","OR","...")</f>
        <v>...</v>
      </c>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row>
    <row r="240" spans="1:59" x14ac:dyDescent="0.25">
      <c r="A240" s="1" t="str">
        <f>IF($D$222="Y",'Population Definitions'!$A$2,"...")</f>
        <v>...</v>
      </c>
      <c r="B240" s="4" t="str">
        <f>IF($D$222="Y","---&gt;","...")</f>
        <v>...</v>
      </c>
      <c r="C240" s="1" t="str">
        <f>IF($D$222="Y",'Population Definitions'!$A$4,"...")</f>
        <v>...</v>
      </c>
      <c r="E240" s="2"/>
      <c r="F240" s="3"/>
      <c r="G240" s="2"/>
      <c r="H240" s="4" t="str">
        <f>IF($D$222="Y","OR","...")</f>
        <v>...</v>
      </c>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row>
    <row r="241" spans="1:59" x14ac:dyDescent="0.25">
      <c r="A241" s="1" t="str">
        <f>IF($E$222="Y",'Population Definitions'!$A$2,"...")</f>
        <v>...</v>
      </c>
      <c r="B241" s="4" t="str">
        <f>IF($E$222="Y","---&gt;","...")</f>
        <v>...</v>
      </c>
      <c r="C241" s="1" t="str">
        <f>IF($E$222="Y",'Population Definitions'!$A$5,"...")</f>
        <v>...</v>
      </c>
      <c r="E241" s="2"/>
      <c r="F241" s="3"/>
      <c r="G241" s="2"/>
      <c r="H241" s="4" t="str">
        <f>IF($E$222="Y","OR","...")</f>
        <v>...</v>
      </c>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row>
    <row r="242" spans="1:59" x14ac:dyDescent="0.25">
      <c r="A242" s="1" t="str">
        <f>IF($F$222="Y",'Population Definitions'!$A$2,"...")</f>
        <v>...</v>
      </c>
      <c r="B242" s="4" t="str">
        <f>IF($F$222="Y","---&gt;","...")</f>
        <v>...</v>
      </c>
      <c r="C242" s="1" t="str">
        <f>IF($F$222="Y",'Population Definitions'!$A$6,"...")</f>
        <v>...</v>
      </c>
      <c r="E242" s="2"/>
      <c r="F242" s="3"/>
      <c r="G242" s="2"/>
      <c r="H242" s="4" t="str">
        <f>IF($F$222="Y","OR","...")</f>
        <v>...</v>
      </c>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row>
    <row r="243" spans="1:59" x14ac:dyDescent="0.25">
      <c r="A243" s="1" t="str">
        <f>IF($G$222="Y",'Population Definitions'!$A$2,"...")</f>
        <v>...</v>
      </c>
      <c r="B243" s="4" t="str">
        <f>IF($G$222="Y","---&gt;","...")</f>
        <v>...</v>
      </c>
      <c r="C243" s="1" t="str">
        <f>IF($G$222="Y",'Population Definitions'!$A$7,"...")</f>
        <v>...</v>
      </c>
      <c r="E243" s="2"/>
      <c r="F243" s="3"/>
      <c r="G243" s="2"/>
      <c r="H243" s="4" t="str">
        <f>IF($G$222="Y","OR","...")</f>
        <v>...</v>
      </c>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row>
    <row r="244" spans="1:59" x14ac:dyDescent="0.25">
      <c r="A244" s="1" t="str">
        <f>IF($H$222="Y",'Population Definitions'!$A$2,"...")</f>
        <v>...</v>
      </c>
      <c r="B244" s="4" t="str">
        <f>IF($H$222="Y","---&gt;","...")</f>
        <v>...</v>
      </c>
      <c r="C244" s="1" t="str">
        <f>IF($H$222="Y",'Population Definitions'!$A$8,"...")</f>
        <v>...</v>
      </c>
      <c r="E244" s="2"/>
      <c r="F244" s="3"/>
      <c r="G244" s="2"/>
      <c r="H244" s="4" t="str">
        <f>IF($H$222="Y","OR","...")</f>
        <v>...</v>
      </c>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row>
    <row r="245" spans="1:59" x14ac:dyDescent="0.25">
      <c r="A245" s="1" t="str">
        <f>IF($I$222="Y",'Population Definitions'!$A$2,"...")</f>
        <v>...</v>
      </c>
      <c r="B245" s="4" t="str">
        <f>IF($I$222="Y","---&gt;","...")</f>
        <v>...</v>
      </c>
      <c r="C245" s="1" t="str">
        <f>IF($I$222="Y",'Population Definitions'!$A$9,"...")</f>
        <v>...</v>
      </c>
      <c r="E245" s="2"/>
      <c r="F245" s="3"/>
      <c r="G245" s="2"/>
      <c r="H245" s="4" t="str">
        <f>IF($I$222="Y","OR","...")</f>
        <v>...</v>
      </c>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row>
    <row r="246" spans="1:59" x14ac:dyDescent="0.25">
      <c r="A246" s="1" t="str">
        <f>IF($J$222="Y",'Population Definitions'!$A$2,"...")</f>
        <v>...</v>
      </c>
      <c r="B246" s="4" t="str">
        <f>IF($J$222="Y","---&gt;","...")</f>
        <v>...</v>
      </c>
      <c r="C246" s="1" t="str">
        <f>IF($J$222="Y",'Population Definitions'!$A$10,"...")</f>
        <v>...</v>
      </c>
      <c r="E246" s="2"/>
      <c r="F246" s="3"/>
      <c r="G246" s="2"/>
      <c r="H246" s="4" t="str">
        <f>IF($J$222="Y","OR","...")</f>
        <v>...</v>
      </c>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row>
    <row r="247" spans="1:59" x14ac:dyDescent="0.25">
      <c r="A247" s="1" t="str">
        <f>IF($K$222="Y",'Population Definitions'!$A$2,"...")</f>
        <v>...</v>
      </c>
      <c r="B247" s="4" t="str">
        <f>IF($K$222="Y","---&gt;","...")</f>
        <v>...</v>
      </c>
      <c r="C247" s="1" t="str">
        <f>IF($K$222="Y",'Population Definitions'!$A$11,"...")</f>
        <v>...</v>
      </c>
      <c r="E247" s="2"/>
      <c r="F247" s="3"/>
      <c r="G247" s="2"/>
      <c r="H247" s="4" t="str">
        <f>IF($K$222="Y","OR","...")</f>
        <v>...</v>
      </c>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row>
    <row r="248" spans="1:59" x14ac:dyDescent="0.25">
      <c r="A248" s="1" t="str">
        <f>IF($L$222="Y",'Population Definitions'!$A$2,"...")</f>
        <v>...</v>
      </c>
      <c r="B248" s="4" t="str">
        <f>IF($L$222="Y","---&gt;","...")</f>
        <v>...</v>
      </c>
      <c r="C248" s="1" t="str">
        <f>IF($L$222="Y",'Population Definitions'!$A$12,"...")</f>
        <v>...</v>
      </c>
      <c r="E248" s="2"/>
      <c r="F248" s="3"/>
      <c r="G248" s="2"/>
      <c r="H248" s="4" t="str">
        <f>IF($L$222="Y","OR","...")</f>
        <v>...</v>
      </c>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row>
    <row r="249" spans="1:59" x14ac:dyDescent="0.25">
      <c r="A249" s="1" t="str">
        <f>IF($M$222="Y",'Population Definitions'!$A$2,"...")</f>
        <v>...</v>
      </c>
      <c r="B249" s="4" t="str">
        <f>IF($M$222="Y","---&gt;","...")</f>
        <v>...</v>
      </c>
      <c r="C249" s="1" t="str">
        <f>IF($M$222="Y",'Population Definitions'!$A$13,"...")</f>
        <v>...</v>
      </c>
      <c r="E249" s="2"/>
      <c r="F249" s="3"/>
      <c r="G249" s="2"/>
      <c r="H249" s="4" t="str">
        <f>IF($M$222="Y","OR","...")</f>
        <v>...</v>
      </c>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row>
    <row r="250" spans="1:59" x14ac:dyDescent="0.25">
      <c r="A250" s="1" t="str">
        <f>IF($N$222="Y",'Population Definitions'!$A$2,"...")</f>
        <v>...</v>
      </c>
      <c r="B250" s="4" t="str">
        <f>IF($N$222="Y","---&gt;","...")</f>
        <v>...</v>
      </c>
      <c r="C250" s="1" t="str">
        <f>IF($N$222="Y",'Population Definitions'!$A$14,"...")</f>
        <v>...</v>
      </c>
      <c r="E250" s="2"/>
      <c r="F250" s="3"/>
      <c r="G250" s="2"/>
      <c r="H250" s="4" t="str">
        <f>IF($N$222="Y","OR","...")</f>
        <v>...</v>
      </c>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row>
    <row r="251" spans="1:59" x14ac:dyDescent="0.25">
      <c r="A251" s="1" t="str">
        <f>IF($O$222="Y",'Population Definitions'!$A$2,"...")</f>
        <v>...</v>
      </c>
      <c r="B251" s="4" t="str">
        <f>IF($O$222="Y","---&gt;","...")</f>
        <v>...</v>
      </c>
      <c r="C251" s="1" t="str">
        <f>IF($O$222="Y",'Population Definitions'!$A$15,"...")</f>
        <v>...</v>
      </c>
      <c r="E251" s="2"/>
      <c r="F251" s="3"/>
      <c r="G251" s="2"/>
      <c r="H251" s="4" t="str">
        <f>IF($O$222="Y","OR","...")</f>
        <v>...</v>
      </c>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row>
    <row r="252" spans="1:59" x14ac:dyDescent="0.25">
      <c r="A252" s="1" t="str">
        <f>IF($B$223="Y",'Population Definitions'!$A$3,"...")</f>
        <v>...</v>
      </c>
      <c r="B252" s="4" t="str">
        <f>IF($B$223="Y","---&gt;","...")</f>
        <v>...</v>
      </c>
      <c r="C252" s="1" t="str">
        <f>IF($B$223="Y",'Population Definitions'!$A$2,"...")</f>
        <v>...</v>
      </c>
      <c r="E252" s="2"/>
      <c r="F252" s="3"/>
      <c r="G252" s="2"/>
      <c r="H252" s="4" t="str">
        <f>IF($B$223="Y","OR","...")</f>
        <v>...</v>
      </c>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row>
    <row r="253" spans="1:59" x14ac:dyDescent="0.25">
      <c r="A253" s="1" t="str">
        <f>IF($C$223="Y",'Population Definitions'!$A$3,"...")</f>
        <v>...</v>
      </c>
      <c r="B253" s="4" t="str">
        <f>IF($C$223="Y","---&gt;","...")</f>
        <v>...</v>
      </c>
      <c r="C253" s="1" t="str">
        <f>IF($C$223="Y",'Population Definitions'!$A$3,"...")</f>
        <v>...</v>
      </c>
      <c r="E253" s="2"/>
      <c r="F253" s="3"/>
      <c r="G253" s="2"/>
      <c r="H253" s="4" t="str">
        <f>IF($C$223="Y","OR","...")</f>
        <v>...</v>
      </c>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row>
    <row r="254" spans="1:59" x14ac:dyDescent="0.25">
      <c r="A254" s="1" t="str">
        <f>IF($D$223="Y",'Population Definitions'!$A$3,"...")</f>
        <v>...</v>
      </c>
      <c r="B254" s="4" t="str">
        <f>IF($D$223="Y","---&gt;","...")</f>
        <v>...</v>
      </c>
      <c r="C254" s="1" t="str">
        <f>IF($D$223="Y",'Population Definitions'!$A$4,"...")</f>
        <v>...</v>
      </c>
      <c r="E254" s="2"/>
      <c r="F254" s="3"/>
      <c r="G254" s="2"/>
      <c r="H254" s="4" t="str">
        <f>IF($D$223="Y","OR","...")</f>
        <v>...</v>
      </c>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row>
    <row r="255" spans="1:59" x14ac:dyDescent="0.25">
      <c r="A255" s="1" t="str">
        <f>IF($E$223="Y",'Population Definitions'!$A$3,"...")</f>
        <v>...</v>
      </c>
      <c r="B255" s="4" t="str">
        <f>IF($E$223="Y","---&gt;","...")</f>
        <v>...</v>
      </c>
      <c r="C255" s="1" t="str">
        <f>IF($E$223="Y",'Population Definitions'!$A$5,"...")</f>
        <v>...</v>
      </c>
      <c r="E255" s="2"/>
      <c r="F255" s="3"/>
      <c r="G255" s="2"/>
      <c r="H255" s="4" t="str">
        <f>IF($E$223="Y","OR","...")</f>
        <v>...</v>
      </c>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row>
    <row r="256" spans="1:59" x14ac:dyDescent="0.25">
      <c r="A256" s="1" t="str">
        <f>IF($F$223="Y",'Population Definitions'!$A$3,"...")</f>
        <v>...</v>
      </c>
      <c r="B256" s="4" t="str">
        <f>IF($F$223="Y","---&gt;","...")</f>
        <v>...</v>
      </c>
      <c r="C256" s="1" t="str">
        <f>IF($F$223="Y",'Population Definitions'!$A$6,"...")</f>
        <v>...</v>
      </c>
      <c r="E256" s="2"/>
      <c r="F256" s="3"/>
      <c r="G256" s="2"/>
      <c r="H256" s="4" t="str">
        <f>IF($F$223="Y","OR","...")</f>
        <v>...</v>
      </c>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row>
    <row r="257" spans="1:59" x14ac:dyDescent="0.25">
      <c r="A257" s="1" t="str">
        <f>IF($G$223="Y",'Population Definitions'!$A$3,"...")</f>
        <v>...</v>
      </c>
      <c r="B257" s="4" t="str">
        <f>IF($G$223="Y","---&gt;","...")</f>
        <v>...</v>
      </c>
      <c r="C257" s="1" t="str">
        <f>IF($G$223="Y",'Population Definitions'!$A$7,"...")</f>
        <v>...</v>
      </c>
      <c r="E257" s="2"/>
      <c r="F257" s="3"/>
      <c r="G257" s="2"/>
      <c r="H257" s="4" t="str">
        <f>IF($G$223="Y","OR","...")</f>
        <v>...</v>
      </c>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row>
    <row r="258" spans="1:59" x14ac:dyDescent="0.25">
      <c r="A258" s="1" t="str">
        <f>IF($H$223="Y",'Population Definitions'!$A$3,"...")</f>
        <v>...</v>
      </c>
      <c r="B258" s="4" t="str">
        <f>IF($H$223="Y","---&gt;","...")</f>
        <v>...</v>
      </c>
      <c r="C258" s="1" t="str">
        <f>IF($H$223="Y",'Population Definitions'!$A$8,"...")</f>
        <v>...</v>
      </c>
      <c r="E258" s="2"/>
      <c r="F258" s="3"/>
      <c r="G258" s="2"/>
      <c r="H258" s="4" t="str">
        <f>IF($H$223="Y","OR","...")</f>
        <v>...</v>
      </c>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row>
    <row r="259" spans="1:59" x14ac:dyDescent="0.25">
      <c r="A259" s="1" t="str">
        <f>IF($I$223="Y",'Population Definitions'!$A$3,"...")</f>
        <v>...</v>
      </c>
      <c r="B259" s="4" t="str">
        <f>IF($I$223="Y","---&gt;","...")</f>
        <v>...</v>
      </c>
      <c r="C259" s="1" t="str">
        <f>IF($I$223="Y",'Population Definitions'!$A$9,"...")</f>
        <v>...</v>
      </c>
      <c r="E259" s="2"/>
      <c r="F259" s="3"/>
      <c r="G259" s="2"/>
      <c r="H259" s="4" t="str">
        <f>IF($I$223="Y","OR","...")</f>
        <v>...</v>
      </c>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row>
    <row r="260" spans="1:59" x14ac:dyDescent="0.25">
      <c r="A260" s="1" t="str">
        <f>IF($J$223="Y",'Population Definitions'!$A$3,"...")</f>
        <v>...</v>
      </c>
      <c r="B260" s="4" t="str">
        <f>IF($J$223="Y","---&gt;","...")</f>
        <v>...</v>
      </c>
      <c r="C260" s="1" t="str">
        <f>IF($J$223="Y",'Population Definitions'!$A$10,"...")</f>
        <v>...</v>
      </c>
      <c r="E260" s="2"/>
      <c r="F260" s="3"/>
      <c r="G260" s="2"/>
      <c r="H260" s="4" t="str">
        <f>IF($J$223="Y","OR","...")</f>
        <v>...</v>
      </c>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row>
    <row r="261" spans="1:59" x14ac:dyDescent="0.25">
      <c r="A261" s="1" t="str">
        <f>IF($K$223="Y",'Population Definitions'!$A$3,"...")</f>
        <v>...</v>
      </c>
      <c r="B261" s="4" t="str">
        <f>IF($K$223="Y","---&gt;","...")</f>
        <v>...</v>
      </c>
      <c r="C261" s="1" t="str">
        <f>IF($K$223="Y",'Population Definitions'!$A$11,"...")</f>
        <v>...</v>
      </c>
      <c r="E261" s="2"/>
      <c r="F261" s="3"/>
      <c r="G261" s="2"/>
      <c r="H261" s="4" t="str">
        <f>IF($K$223="Y","OR","...")</f>
        <v>...</v>
      </c>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row>
    <row r="262" spans="1:59" x14ac:dyDescent="0.25">
      <c r="A262" s="1" t="str">
        <f>IF($L$223="Y",'Population Definitions'!$A$3,"...")</f>
        <v>...</v>
      </c>
      <c r="B262" s="4" t="str">
        <f>IF($L$223="Y","---&gt;","...")</f>
        <v>...</v>
      </c>
      <c r="C262" s="1" t="str">
        <f>IF($L$223="Y",'Population Definitions'!$A$12,"...")</f>
        <v>...</v>
      </c>
      <c r="E262" s="2"/>
      <c r="F262" s="3"/>
      <c r="G262" s="2"/>
      <c r="H262" s="4" t="str">
        <f>IF($L$223="Y","OR","...")</f>
        <v>...</v>
      </c>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row>
    <row r="263" spans="1:59" x14ac:dyDescent="0.25">
      <c r="A263" s="1" t="str">
        <f>IF($M$223="Y",'Population Definitions'!$A$3,"...")</f>
        <v>...</v>
      </c>
      <c r="B263" s="4" t="str">
        <f>IF($M$223="Y","---&gt;","...")</f>
        <v>...</v>
      </c>
      <c r="C263" s="1" t="str">
        <f>IF($M$223="Y",'Population Definitions'!$A$13,"...")</f>
        <v>...</v>
      </c>
      <c r="E263" s="2"/>
      <c r="F263" s="3"/>
      <c r="G263" s="2"/>
      <c r="H263" s="4" t="str">
        <f>IF($M$223="Y","OR","...")</f>
        <v>...</v>
      </c>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row>
    <row r="264" spans="1:59" x14ac:dyDescent="0.25">
      <c r="A264" s="1" t="str">
        <f>IF($N$223="Y",'Population Definitions'!$A$3,"...")</f>
        <v>...</v>
      </c>
      <c r="B264" s="4" t="str">
        <f>IF($N$223="Y","---&gt;","...")</f>
        <v>...</v>
      </c>
      <c r="C264" s="1" t="str">
        <f>IF($N$223="Y",'Population Definitions'!$A$14,"...")</f>
        <v>...</v>
      </c>
      <c r="E264" s="2"/>
      <c r="F264" s="3"/>
      <c r="G264" s="2"/>
      <c r="H264" s="4" t="str">
        <f>IF($N$223="Y","OR","...")</f>
        <v>...</v>
      </c>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row>
    <row r="265" spans="1:59" x14ac:dyDescent="0.25">
      <c r="A265" s="1" t="str">
        <f>IF($O$223="Y",'Population Definitions'!$A$3,"...")</f>
        <v>...</v>
      </c>
      <c r="B265" s="4" t="str">
        <f>IF($O$223="Y","---&gt;","...")</f>
        <v>...</v>
      </c>
      <c r="C265" s="1" t="str">
        <f>IF($O$223="Y",'Population Definitions'!$A$15,"...")</f>
        <v>...</v>
      </c>
      <c r="E265" s="2"/>
      <c r="F265" s="3"/>
      <c r="G265" s="2"/>
      <c r="H265" s="4" t="str">
        <f>IF($O$223="Y","OR","...")</f>
        <v>...</v>
      </c>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row>
    <row r="266" spans="1:59" x14ac:dyDescent="0.25">
      <c r="A266" s="1" t="str">
        <f>IF($B$224="Y",'Population Definitions'!$A$4,"...")</f>
        <v>...</v>
      </c>
      <c r="B266" s="4" t="str">
        <f>IF($B$224="Y","---&gt;","...")</f>
        <v>...</v>
      </c>
      <c r="C266" s="1" t="str">
        <f>IF($B$224="Y",'Population Definitions'!$A$2,"...")</f>
        <v>...</v>
      </c>
      <c r="E266" s="2"/>
      <c r="F266" s="3"/>
      <c r="G266" s="2"/>
      <c r="H266" s="4" t="str">
        <f>IF($B$224="Y","OR","...")</f>
        <v>...</v>
      </c>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row>
    <row r="267" spans="1:59" x14ac:dyDescent="0.25">
      <c r="A267" s="1" t="str">
        <f>IF($C$224="Y",'Population Definitions'!$A$4,"...")</f>
        <v>...</v>
      </c>
      <c r="B267" s="4" t="str">
        <f>IF($C$224="Y","---&gt;","...")</f>
        <v>...</v>
      </c>
      <c r="C267" s="1" t="str">
        <f>IF($C$224="Y",'Population Definitions'!$A$3,"...")</f>
        <v>...</v>
      </c>
      <c r="E267" s="2"/>
      <c r="F267" s="3"/>
      <c r="G267" s="2"/>
      <c r="H267" s="4" t="str">
        <f>IF($C$224="Y","OR","...")</f>
        <v>...</v>
      </c>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row>
    <row r="268" spans="1:59" x14ac:dyDescent="0.25">
      <c r="A268" s="1" t="str">
        <f>IF($D$224="Y",'Population Definitions'!$A$4,"...")</f>
        <v>...</v>
      </c>
      <c r="B268" s="4" t="str">
        <f>IF($D$224="Y","---&gt;","...")</f>
        <v>...</v>
      </c>
      <c r="C268" s="1" t="str">
        <f>IF($D$224="Y",'Population Definitions'!$A$4,"...")</f>
        <v>...</v>
      </c>
      <c r="E268" s="2"/>
      <c r="F268" s="3"/>
      <c r="G268" s="2"/>
      <c r="H268" s="4" t="str">
        <f>IF($D$224="Y","OR","...")</f>
        <v>...</v>
      </c>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row>
    <row r="269" spans="1:59" x14ac:dyDescent="0.25">
      <c r="A269" s="1" t="str">
        <f>IF($E$224="Y",'Population Definitions'!$A$4,"...")</f>
        <v>...</v>
      </c>
      <c r="B269" s="4" t="str">
        <f>IF($E$224="Y","---&gt;","...")</f>
        <v>...</v>
      </c>
      <c r="C269" s="1" t="str">
        <f>IF($E$224="Y",'Population Definitions'!$A$5,"...")</f>
        <v>...</v>
      </c>
      <c r="E269" s="2"/>
      <c r="F269" s="3"/>
      <c r="G269" s="2"/>
      <c r="H269" s="4" t="str">
        <f>IF($E$224="Y","OR","...")</f>
        <v>...</v>
      </c>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row>
    <row r="270" spans="1:59" x14ac:dyDescent="0.25">
      <c r="A270" s="1" t="str">
        <f>IF($F$224="Y",'Population Definitions'!$A$4,"...")</f>
        <v>...</v>
      </c>
      <c r="B270" s="4" t="str">
        <f>IF($F$224="Y","---&gt;","...")</f>
        <v>...</v>
      </c>
      <c r="C270" s="1" t="str">
        <f>IF($F$224="Y",'Population Definitions'!$A$6,"...")</f>
        <v>...</v>
      </c>
      <c r="E270" s="2"/>
      <c r="F270" s="3"/>
      <c r="G270" s="2"/>
      <c r="H270" s="4" t="str">
        <f>IF($F$224="Y","OR","...")</f>
        <v>...</v>
      </c>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row>
    <row r="271" spans="1:59" x14ac:dyDescent="0.25">
      <c r="A271" s="1" t="str">
        <f>IF($G$224="Y",'Population Definitions'!$A$4,"...")</f>
        <v>...</v>
      </c>
      <c r="B271" s="4" t="str">
        <f>IF($G$224="Y","---&gt;","...")</f>
        <v>...</v>
      </c>
      <c r="C271" s="1" t="str">
        <f>IF($G$224="Y",'Population Definitions'!$A$7,"...")</f>
        <v>...</v>
      </c>
      <c r="E271" s="2"/>
      <c r="F271" s="3"/>
      <c r="G271" s="2"/>
      <c r="H271" s="4" t="str">
        <f>IF($G$224="Y","OR","...")</f>
        <v>...</v>
      </c>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row>
    <row r="272" spans="1:59" x14ac:dyDescent="0.25">
      <c r="A272" s="1" t="str">
        <f>IF($H$224="Y",'Population Definitions'!$A$4,"...")</f>
        <v>...</v>
      </c>
      <c r="B272" s="4" t="str">
        <f>IF($H$224="Y","---&gt;","...")</f>
        <v>...</v>
      </c>
      <c r="C272" s="1" t="str">
        <f>IF($H$224="Y",'Population Definitions'!$A$8,"...")</f>
        <v>...</v>
      </c>
      <c r="E272" s="2"/>
      <c r="F272" s="3"/>
      <c r="G272" s="2"/>
      <c r="H272" s="4" t="str">
        <f>IF($H$224="Y","OR","...")</f>
        <v>...</v>
      </c>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row>
    <row r="273" spans="1:59" x14ac:dyDescent="0.25">
      <c r="A273" s="1" t="str">
        <f>IF($I$224="Y",'Population Definitions'!$A$4,"...")</f>
        <v>...</v>
      </c>
      <c r="B273" s="4" t="str">
        <f>IF($I$224="Y","---&gt;","...")</f>
        <v>...</v>
      </c>
      <c r="C273" s="1" t="str">
        <f>IF($I$224="Y",'Population Definitions'!$A$9,"...")</f>
        <v>...</v>
      </c>
      <c r="E273" s="2"/>
      <c r="F273" s="3"/>
      <c r="G273" s="2"/>
      <c r="H273" s="4" t="str">
        <f>IF($I$224="Y","OR","...")</f>
        <v>...</v>
      </c>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row>
    <row r="274" spans="1:59" x14ac:dyDescent="0.25">
      <c r="A274" s="1" t="str">
        <f>IF($J$224="Y",'Population Definitions'!$A$4,"...")</f>
        <v>...</v>
      </c>
      <c r="B274" s="4" t="str">
        <f>IF($J$224="Y","---&gt;","...")</f>
        <v>...</v>
      </c>
      <c r="C274" s="1" t="str">
        <f>IF($J$224="Y",'Population Definitions'!$A$10,"...")</f>
        <v>...</v>
      </c>
      <c r="E274" s="2"/>
      <c r="F274" s="3"/>
      <c r="G274" s="2"/>
      <c r="H274" s="4" t="str">
        <f>IF($J$224="Y","OR","...")</f>
        <v>...</v>
      </c>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row>
    <row r="275" spans="1:59" x14ac:dyDescent="0.25">
      <c r="A275" s="1" t="str">
        <f>IF($K$224="Y",'Population Definitions'!$A$4,"...")</f>
        <v>...</v>
      </c>
      <c r="B275" s="4" t="str">
        <f>IF($K$224="Y","---&gt;","...")</f>
        <v>...</v>
      </c>
      <c r="C275" s="1" t="str">
        <f>IF($K$224="Y",'Population Definitions'!$A$11,"...")</f>
        <v>...</v>
      </c>
      <c r="E275" s="2"/>
      <c r="F275" s="3"/>
      <c r="G275" s="2"/>
      <c r="H275" s="4" t="str">
        <f>IF($K$224="Y","OR","...")</f>
        <v>...</v>
      </c>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row>
    <row r="276" spans="1:59" x14ac:dyDescent="0.25">
      <c r="A276" s="1" t="str">
        <f>IF($L$224="Y",'Population Definitions'!$A$4,"...")</f>
        <v>...</v>
      </c>
      <c r="B276" s="4" t="str">
        <f>IF($L$224="Y","---&gt;","...")</f>
        <v>...</v>
      </c>
      <c r="C276" s="1" t="str">
        <f>IF($L$224="Y",'Population Definitions'!$A$12,"...")</f>
        <v>...</v>
      </c>
      <c r="E276" s="2"/>
      <c r="F276" s="3"/>
      <c r="G276" s="2"/>
      <c r="H276" s="4" t="str">
        <f>IF($L$224="Y","OR","...")</f>
        <v>...</v>
      </c>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row>
    <row r="277" spans="1:59" x14ac:dyDescent="0.25">
      <c r="A277" s="1" t="str">
        <f>IF($M$224="Y",'Population Definitions'!$A$4,"...")</f>
        <v>...</v>
      </c>
      <c r="B277" s="4" t="str">
        <f>IF($M$224="Y","---&gt;","...")</f>
        <v>...</v>
      </c>
      <c r="C277" s="1" t="str">
        <f>IF($M$224="Y",'Population Definitions'!$A$13,"...")</f>
        <v>...</v>
      </c>
      <c r="E277" s="2"/>
      <c r="F277" s="3"/>
      <c r="G277" s="2"/>
      <c r="H277" s="4" t="str">
        <f>IF($M$224="Y","OR","...")</f>
        <v>...</v>
      </c>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row>
    <row r="278" spans="1:59" x14ac:dyDescent="0.25">
      <c r="A278" s="1" t="str">
        <f>IF($N$224="Y",'Population Definitions'!$A$4,"...")</f>
        <v>...</v>
      </c>
      <c r="B278" s="4" t="str">
        <f>IF($N$224="Y","---&gt;","...")</f>
        <v>...</v>
      </c>
      <c r="C278" s="1" t="str">
        <f>IF($N$224="Y",'Population Definitions'!$A$14,"...")</f>
        <v>...</v>
      </c>
      <c r="E278" s="2"/>
      <c r="F278" s="3"/>
      <c r="G278" s="2"/>
      <c r="H278" s="4" t="str">
        <f>IF($N$224="Y","OR","...")</f>
        <v>...</v>
      </c>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row>
    <row r="279" spans="1:59" x14ac:dyDescent="0.25">
      <c r="A279" s="1" t="str">
        <f>IF($O$224="Y",'Population Definitions'!$A$4,"...")</f>
        <v>...</v>
      </c>
      <c r="B279" s="4" t="str">
        <f>IF($O$224="Y","---&gt;","...")</f>
        <v>...</v>
      </c>
      <c r="C279" s="1" t="str">
        <f>IF($O$224="Y",'Population Definitions'!$A$15,"...")</f>
        <v>...</v>
      </c>
      <c r="E279" s="2"/>
      <c r="F279" s="3"/>
      <c r="G279" s="2"/>
      <c r="H279" s="4" t="str">
        <f>IF($O$224="Y","OR","...")</f>
        <v>...</v>
      </c>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row>
    <row r="280" spans="1:59" x14ac:dyDescent="0.25">
      <c r="A280" s="1" t="str">
        <f>IF($B$225="Y",'Population Definitions'!$A$5,"...")</f>
        <v>...</v>
      </c>
      <c r="B280" s="4" t="str">
        <f>IF($B$225="Y","---&gt;","...")</f>
        <v>...</v>
      </c>
      <c r="C280" s="1" t="str">
        <f>IF($B$225="Y",'Population Definitions'!$A$2,"...")</f>
        <v>...</v>
      </c>
      <c r="E280" s="2"/>
      <c r="F280" s="3"/>
      <c r="G280" s="2"/>
      <c r="H280" s="4" t="str">
        <f>IF($B$225="Y","OR","...")</f>
        <v>...</v>
      </c>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row>
    <row r="281" spans="1:59" x14ac:dyDescent="0.25">
      <c r="A281" s="1" t="str">
        <f>IF($C$225="Y",'Population Definitions'!$A$5,"...")</f>
        <v>...</v>
      </c>
      <c r="B281" s="4" t="str">
        <f>IF($C$225="Y","---&gt;","...")</f>
        <v>...</v>
      </c>
      <c r="C281" s="1" t="str">
        <f>IF($C$225="Y",'Population Definitions'!$A$3,"...")</f>
        <v>...</v>
      </c>
      <c r="E281" s="2"/>
      <c r="F281" s="3"/>
      <c r="G281" s="2"/>
      <c r="H281" s="4" t="str">
        <f>IF($C$225="Y","OR","...")</f>
        <v>...</v>
      </c>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row>
    <row r="282" spans="1:59" x14ac:dyDescent="0.25">
      <c r="A282" s="1" t="str">
        <f>IF($D$225="Y",'Population Definitions'!$A$5,"...")</f>
        <v>...</v>
      </c>
      <c r="B282" s="4" t="str">
        <f>IF($D$225="Y","---&gt;","...")</f>
        <v>...</v>
      </c>
      <c r="C282" s="1" t="str">
        <f>IF($D$225="Y",'Population Definitions'!$A$4,"...")</f>
        <v>...</v>
      </c>
      <c r="E282" s="2"/>
      <c r="F282" s="3"/>
      <c r="G282" s="2"/>
      <c r="H282" s="4" t="str">
        <f>IF($D$225="Y","OR","...")</f>
        <v>...</v>
      </c>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row>
    <row r="283" spans="1:59" x14ac:dyDescent="0.25">
      <c r="A283" s="1" t="str">
        <f>IF($E$225="Y",'Population Definitions'!$A$5,"...")</f>
        <v>...</v>
      </c>
      <c r="B283" s="4" t="str">
        <f>IF($E$225="Y","---&gt;","...")</f>
        <v>...</v>
      </c>
      <c r="C283" s="1" t="str">
        <f>IF($E$225="Y",'Population Definitions'!$A$5,"...")</f>
        <v>...</v>
      </c>
      <c r="E283" s="2"/>
      <c r="F283" s="3"/>
      <c r="G283" s="2"/>
      <c r="H283" s="4" t="str">
        <f>IF($E$225="Y","OR","...")</f>
        <v>...</v>
      </c>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row>
    <row r="284" spans="1:59" x14ac:dyDescent="0.25">
      <c r="A284" s="1" t="str">
        <f>IF($F$225="Y",'Population Definitions'!$A$5,"...")</f>
        <v>...</v>
      </c>
      <c r="B284" s="4" t="str">
        <f>IF($F$225="Y","---&gt;","...")</f>
        <v>...</v>
      </c>
      <c r="C284" s="1" t="str">
        <f>IF($F$225="Y",'Population Definitions'!$A$6,"...")</f>
        <v>...</v>
      </c>
      <c r="E284" s="2"/>
      <c r="F284" s="3"/>
      <c r="G284" s="2"/>
      <c r="H284" s="4" t="str">
        <f>IF($F$225="Y","OR","...")</f>
        <v>...</v>
      </c>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row>
    <row r="285" spans="1:59" x14ac:dyDescent="0.25">
      <c r="A285" s="1" t="str">
        <f>IF($G$225="Y",'Population Definitions'!$A$5,"...")</f>
        <v>...</v>
      </c>
      <c r="B285" s="4" t="str">
        <f>IF($G$225="Y","---&gt;","...")</f>
        <v>...</v>
      </c>
      <c r="C285" s="1" t="str">
        <f>IF($G$225="Y",'Population Definitions'!$A$7,"...")</f>
        <v>...</v>
      </c>
      <c r="E285" s="2"/>
      <c r="F285" s="3"/>
      <c r="G285" s="2"/>
      <c r="H285" s="4" t="str">
        <f>IF($G$225="Y","OR","...")</f>
        <v>...</v>
      </c>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row>
    <row r="286" spans="1:59" x14ac:dyDescent="0.25">
      <c r="A286" s="1" t="str">
        <f>IF($H$225="Y",'Population Definitions'!$A$5,"...")</f>
        <v>...</v>
      </c>
      <c r="B286" s="4" t="str">
        <f>IF($H$225="Y","---&gt;","...")</f>
        <v>...</v>
      </c>
      <c r="C286" s="1" t="str">
        <f>IF($H$225="Y",'Population Definitions'!$A$8,"...")</f>
        <v>...</v>
      </c>
      <c r="E286" s="2"/>
      <c r="F286" s="3"/>
      <c r="G286" s="2"/>
      <c r="H286" s="4" t="str">
        <f>IF($H$225="Y","OR","...")</f>
        <v>...</v>
      </c>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row>
    <row r="287" spans="1:59" x14ac:dyDescent="0.25">
      <c r="A287" s="1" t="str">
        <f>IF($I$225="Y",'Population Definitions'!$A$5,"...")</f>
        <v>...</v>
      </c>
      <c r="B287" s="4" t="str">
        <f>IF($I$225="Y","---&gt;","...")</f>
        <v>...</v>
      </c>
      <c r="C287" s="1" t="str">
        <f>IF($I$225="Y",'Population Definitions'!$A$9,"...")</f>
        <v>...</v>
      </c>
      <c r="E287" s="2"/>
      <c r="F287" s="3"/>
      <c r="G287" s="2"/>
      <c r="H287" s="4" t="str">
        <f>IF($I$225="Y","OR","...")</f>
        <v>...</v>
      </c>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row>
    <row r="288" spans="1:59" x14ac:dyDescent="0.25">
      <c r="A288" s="1" t="str">
        <f>IF($J$225="Y",'Population Definitions'!$A$5,"...")</f>
        <v>...</v>
      </c>
      <c r="B288" s="4" t="str">
        <f>IF($J$225="Y","---&gt;","...")</f>
        <v>...</v>
      </c>
      <c r="C288" s="1" t="str">
        <f>IF($J$225="Y",'Population Definitions'!$A$10,"...")</f>
        <v>...</v>
      </c>
      <c r="E288" s="2"/>
      <c r="F288" s="3"/>
      <c r="G288" s="2"/>
      <c r="H288" s="4" t="str">
        <f>IF($J$225="Y","OR","...")</f>
        <v>...</v>
      </c>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row>
    <row r="289" spans="1:59" x14ac:dyDescent="0.25">
      <c r="A289" s="1" t="str">
        <f>IF($K$225="Y",'Population Definitions'!$A$5,"...")</f>
        <v>...</v>
      </c>
      <c r="B289" s="4" t="str">
        <f>IF($K$225="Y","---&gt;","...")</f>
        <v>...</v>
      </c>
      <c r="C289" s="1" t="str">
        <f>IF($K$225="Y",'Population Definitions'!$A$11,"...")</f>
        <v>...</v>
      </c>
      <c r="E289" s="2"/>
      <c r="F289" s="3"/>
      <c r="G289" s="2"/>
      <c r="H289" s="4" t="str">
        <f>IF($K$225="Y","OR","...")</f>
        <v>...</v>
      </c>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row>
    <row r="290" spans="1:59" x14ac:dyDescent="0.25">
      <c r="A290" s="1" t="str">
        <f>IF($L$225="Y",'Population Definitions'!$A$5,"...")</f>
        <v>...</v>
      </c>
      <c r="B290" s="4" t="str">
        <f>IF($L$225="Y","---&gt;","...")</f>
        <v>...</v>
      </c>
      <c r="C290" s="1" t="str">
        <f>IF($L$225="Y",'Population Definitions'!$A$12,"...")</f>
        <v>...</v>
      </c>
      <c r="E290" s="2"/>
      <c r="F290" s="3"/>
      <c r="G290" s="2"/>
      <c r="H290" s="4" t="str">
        <f>IF($L$225="Y","OR","...")</f>
        <v>...</v>
      </c>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row>
    <row r="291" spans="1:59" x14ac:dyDescent="0.25">
      <c r="A291" s="1" t="str">
        <f>IF($M$225="Y",'Population Definitions'!$A$5,"...")</f>
        <v>...</v>
      </c>
      <c r="B291" s="4" t="str">
        <f>IF($M$225="Y","---&gt;","...")</f>
        <v>...</v>
      </c>
      <c r="C291" s="1" t="str">
        <f>IF($M$225="Y",'Population Definitions'!$A$13,"...")</f>
        <v>...</v>
      </c>
      <c r="E291" s="2"/>
      <c r="F291" s="3"/>
      <c r="G291" s="2"/>
      <c r="H291" s="4" t="str">
        <f>IF($M$225="Y","OR","...")</f>
        <v>...</v>
      </c>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row>
    <row r="292" spans="1:59" x14ac:dyDescent="0.25">
      <c r="A292" s="1" t="str">
        <f>IF($N$225="Y",'Population Definitions'!$A$5,"...")</f>
        <v>...</v>
      </c>
      <c r="B292" s="4" t="str">
        <f>IF($N$225="Y","---&gt;","...")</f>
        <v>...</v>
      </c>
      <c r="C292" s="1" t="str">
        <f>IF($N$225="Y",'Population Definitions'!$A$14,"...")</f>
        <v>...</v>
      </c>
      <c r="E292" s="2"/>
      <c r="F292" s="3"/>
      <c r="G292" s="2"/>
      <c r="H292" s="4" t="str">
        <f>IF($N$225="Y","OR","...")</f>
        <v>...</v>
      </c>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row>
    <row r="293" spans="1:59" x14ac:dyDescent="0.25">
      <c r="A293" s="1" t="str">
        <f>IF($O$225="Y",'Population Definitions'!$A$5,"...")</f>
        <v>...</v>
      </c>
      <c r="B293" s="4" t="str">
        <f>IF($O$225="Y","---&gt;","...")</f>
        <v>...</v>
      </c>
      <c r="C293" s="1" t="str">
        <f>IF($O$225="Y",'Population Definitions'!$A$15,"...")</f>
        <v>...</v>
      </c>
      <c r="E293" s="2"/>
      <c r="F293" s="3"/>
      <c r="G293" s="2"/>
      <c r="H293" s="4" t="str">
        <f>IF($O$225="Y","OR","...")</f>
        <v>...</v>
      </c>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row>
    <row r="294" spans="1:59" x14ac:dyDescent="0.25">
      <c r="A294" s="1" t="str">
        <f>IF($B$226="Y",'Population Definitions'!$A$6,"...")</f>
        <v>...</v>
      </c>
      <c r="B294" s="4" t="str">
        <f>IF($B$226="Y","---&gt;","...")</f>
        <v>...</v>
      </c>
      <c r="C294" s="1" t="str">
        <f>IF($B$226="Y",'Population Definitions'!$A$2,"...")</f>
        <v>...</v>
      </c>
      <c r="E294" s="2"/>
      <c r="F294" s="3"/>
      <c r="G294" s="2"/>
      <c r="H294" s="4" t="str">
        <f>IF($B$226="Y","OR","...")</f>
        <v>...</v>
      </c>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row>
    <row r="295" spans="1:59" x14ac:dyDescent="0.25">
      <c r="A295" s="1" t="str">
        <f>IF($C$226="Y",'Population Definitions'!$A$6,"...")</f>
        <v>...</v>
      </c>
      <c r="B295" s="4" t="str">
        <f>IF($C$226="Y","---&gt;","...")</f>
        <v>...</v>
      </c>
      <c r="C295" s="1" t="str">
        <f>IF($C$226="Y",'Population Definitions'!$A$3,"...")</f>
        <v>...</v>
      </c>
      <c r="E295" s="2"/>
      <c r="F295" s="3"/>
      <c r="G295" s="2"/>
      <c r="H295" s="4" t="str">
        <f>IF($C$226="Y","OR","...")</f>
        <v>...</v>
      </c>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row>
    <row r="296" spans="1:59" x14ac:dyDescent="0.25">
      <c r="A296" s="1" t="str">
        <f>IF($D$226="Y",'Population Definitions'!$A$6,"...")</f>
        <v>...</v>
      </c>
      <c r="B296" s="4" t="str">
        <f>IF($D$226="Y","---&gt;","...")</f>
        <v>...</v>
      </c>
      <c r="C296" s="1" t="str">
        <f>IF($D$226="Y",'Population Definitions'!$A$4,"...")</f>
        <v>...</v>
      </c>
      <c r="E296" s="2"/>
      <c r="F296" s="3"/>
      <c r="G296" s="2"/>
      <c r="H296" s="4" t="str">
        <f>IF($D$226="Y","OR","...")</f>
        <v>...</v>
      </c>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row>
    <row r="297" spans="1:59" x14ac:dyDescent="0.25">
      <c r="A297" s="1" t="str">
        <f>IF($E$226="Y",'Population Definitions'!$A$6,"...")</f>
        <v>...</v>
      </c>
      <c r="B297" s="4" t="str">
        <f>IF($E$226="Y","---&gt;","...")</f>
        <v>...</v>
      </c>
      <c r="C297" s="1" t="str">
        <f>IF($E$226="Y",'Population Definitions'!$A$5,"...")</f>
        <v>...</v>
      </c>
      <c r="E297" s="2"/>
      <c r="F297" s="3"/>
      <c r="G297" s="2"/>
      <c r="H297" s="4" t="str">
        <f>IF($E$226="Y","OR","...")</f>
        <v>...</v>
      </c>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row>
    <row r="298" spans="1:59" x14ac:dyDescent="0.25">
      <c r="A298" s="1" t="str">
        <f>IF($F$226="Y",'Population Definitions'!$A$6,"...")</f>
        <v>...</v>
      </c>
      <c r="B298" s="4" t="str">
        <f>IF($F$226="Y","---&gt;","...")</f>
        <v>...</v>
      </c>
      <c r="C298" s="1" t="str">
        <f>IF($F$226="Y",'Population Definitions'!$A$6,"...")</f>
        <v>...</v>
      </c>
      <c r="E298" s="2"/>
      <c r="F298" s="3"/>
      <c r="G298" s="2"/>
      <c r="H298" s="4" t="str">
        <f>IF($F$226="Y","OR","...")</f>
        <v>...</v>
      </c>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row>
    <row r="299" spans="1:59" x14ac:dyDescent="0.25">
      <c r="A299" s="1" t="str">
        <f>IF($G$226="Y",'Population Definitions'!$A$6,"...")</f>
        <v>...</v>
      </c>
      <c r="B299" s="4" t="str">
        <f>IF($G$226="Y","---&gt;","...")</f>
        <v>...</v>
      </c>
      <c r="C299" s="1" t="str">
        <f>IF($G$226="Y",'Population Definitions'!$A$7,"...")</f>
        <v>...</v>
      </c>
      <c r="E299" s="2"/>
      <c r="F299" s="3"/>
      <c r="G299" s="2"/>
      <c r="H299" s="4" t="str">
        <f>IF($G$226="Y","OR","...")</f>
        <v>...</v>
      </c>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row>
    <row r="300" spans="1:59" x14ac:dyDescent="0.25">
      <c r="A300" s="1" t="str">
        <f>IF($H$226="Y",'Population Definitions'!$A$6,"...")</f>
        <v>...</v>
      </c>
      <c r="B300" s="4" t="str">
        <f>IF($H$226="Y","---&gt;","...")</f>
        <v>...</v>
      </c>
      <c r="C300" s="1" t="str">
        <f>IF($H$226="Y",'Population Definitions'!$A$8,"...")</f>
        <v>...</v>
      </c>
      <c r="E300" s="2"/>
      <c r="F300" s="3"/>
      <c r="G300" s="2"/>
      <c r="H300" s="4" t="str">
        <f>IF($H$226="Y","OR","...")</f>
        <v>...</v>
      </c>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row>
    <row r="301" spans="1:59" x14ac:dyDescent="0.25">
      <c r="A301" s="1" t="str">
        <f>IF($I$226="Y",'Population Definitions'!$A$6,"...")</f>
        <v>...</v>
      </c>
      <c r="B301" s="4" t="str">
        <f>IF($I$226="Y","---&gt;","...")</f>
        <v>...</v>
      </c>
      <c r="C301" s="1" t="str">
        <f>IF($I$226="Y",'Population Definitions'!$A$9,"...")</f>
        <v>...</v>
      </c>
      <c r="E301" s="2"/>
      <c r="F301" s="3"/>
      <c r="G301" s="2"/>
      <c r="H301" s="4" t="str">
        <f>IF($I$226="Y","OR","...")</f>
        <v>...</v>
      </c>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row>
    <row r="302" spans="1:59" x14ac:dyDescent="0.25">
      <c r="A302" s="1" t="str">
        <f>IF($J$226="Y",'Population Definitions'!$A$6,"...")</f>
        <v>...</v>
      </c>
      <c r="B302" s="4" t="str">
        <f>IF($J$226="Y","---&gt;","...")</f>
        <v>...</v>
      </c>
      <c r="C302" s="1" t="str">
        <f>IF($J$226="Y",'Population Definitions'!$A$10,"...")</f>
        <v>...</v>
      </c>
      <c r="E302" s="2"/>
      <c r="F302" s="3"/>
      <c r="G302" s="2"/>
      <c r="H302" s="4" t="str">
        <f>IF($J$226="Y","OR","...")</f>
        <v>...</v>
      </c>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row>
    <row r="303" spans="1:59" x14ac:dyDescent="0.25">
      <c r="A303" s="1" t="str">
        <f>IF($K$226="Y",'Population Definitions'!$A$6,"...")</f>
        <v>...</v>
      </c>
      <c r="B303" s="4" t="str">
        <f>IF($K$226="Y","---&gt;","...")</f>
        <v>...</v>
      </c>
      <c r="C303" s="1" t="str">
        <f>IF($K$226="Y",'Population Definitions'!$A$11,"...")</f>
        <v>...</v>
      </c>
      <c r="E303" s="2"/>
      <c r="F303" s="3"/>
      <c r="G303" s="2"/>
      <c r="H303" s="4" t="str">
        <f>IF($K$226="Y","OR","...")</f>
        <v>...</v>
      </c>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row>
    <row r="304" spans="1:59" x14ac:dyDescent="0.25">
      <c r="A304" s="1" t="str">
        <f>IF($L$226="Y",'Population Definitions'!$A$6,"...")</f>
        <v>...</v>
      </c>
      <c r="B304" s="4" t="str">
        <f>IF($L$226="Y","---&gt;","...")</f>
        <v>...</v>
      </c>
      <c r="C304" s="1" t="str">
        <f>IF($L$226="Y",'Population Definitions'!$A$12,"...")</f>
        <v>...</v>
      </c>
      <c r="E304" s="2"/>
      <c r="F304" s="3"/>
      <c r="G304" s="2"/>
      <c r="H304" s="4" t="str">
        <f>IF($L$226="Y","OR","...")</f>
        <v>...</v>
      </c>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row>
    <row r="305" spans="1:59" x14ac:dyDescent="0.25">
      <c r="A305" s="1" t="str">
        <f>IF($M$226="Y",'Population Definitions'!$A$6,"...")</f>
        <v>...</v>
      </c>
      <c r="B305" s="4" t="str">
        <f>IF($M$226="Y","---&gt;","...")</f>
        <v>...</v>
      </c>
      <c r="C305" s="1" t="str">
        <f>IF($M$226="Y",'Population Definitions'!$A$13,"...")</f>
        <v>...</v>
      </c>
      <c r="E305" s="2"/>
      <c r="F305" s="3"/>
      <c r="G305" s="2"/>
      <c r="H305" s="4" t="str">
        <f>IF($M$226="Y","OR","...")</f>
        <v>...</v>
      </c>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row>
    <row r="306" spans="1:59" x14ac:dyDescent="0.25">
      <c r="A306" s="1" t="str">
        <f>IF($N$226="Y",'Population Definitions'!$A$6,"...")</f>
        <v>...</v>
      </c>
      <c r="B306" s="4" t="str">
        <f>IF($N$226="Y","---&gt;","...")</f>
        <v>...</v>
      </c>
      <c r="C306" s="1" t="str">
        <f>IF($N$226="Y",'Population Definitions'!$A$14,"...")</f>
        <v>...</v>
      </c>
      <c r="E306" s="2"/>
      <c r="F306" s="3"/>
      <c r="G306" s="2"/>
      <c r="H306" s="4" t="str">
        <f>IF($N$226="Y","OR","...")</f>
        <v>...</v>
      </c>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row>
    <row r="307" spans="1:59" x14ac:dyDescent="0.25">
      <c r="A307" s="1" t="str">
        <f>IF($O$226="Y",'Population Definitions'!$A$6,"...")</f>
        <v>...</v>
      </c>
      <c r="B307" s="4" t="str">
        <f>IF($O$226="Y","---&gt;","...")</f>
        <v>...</v>
      </c>
      <c r="C307" s="1" t="str">
        <f>IF($O$226="Y",'Population Definitions'!$A$15,"...")</f>
        <v>...</v>
      </c>
      <c r="E307" s="2"/>
      <c r="F307" s="3"/>
      <c r="G307" s="2"/>
      <c r="H307" s="4" t="str">
        <f>IF($O$226="Y","OR","...")</f>
        <v>...</v>
      </c>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row>
    <row r="308" spans="1:59" x14ac:dyDescent="0.25">
      <c r="A308" s="1" t="str">
        <f>IF($B$227="Y",'Population Definitions'!$A$7,"...")</f>
        <v>...</v>
      </c>
      <c r="B308" s="4" t="str">
        <f>IF($B$227="Y","---&gt;","...")</f>
        <v>...</v>
      </c>
      <c r="C308" s="1" t="str">
        <f>IF($B$227="Y",'Population Definitions'!$A$2,"...")</f>
        <v>...</v>
      </c>
      <c r="E308" s="2"/>
      <c r="F308" s="3"/>
      <c r="G308" s="2"/>
      <c r="H308" s="4" t="str">
        <f>IF($B$227="Y","OR","...")</f>
        <v>...</v>
      </c>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row>
    <row r="309" spans="1:59" x14ac:dyDescent="0.25">
      <c r="A309" s="1" t="str">
        <f>IF($C$227="Y",'Population Definitions'!$A$7,"...")</f>
        <v>...</v>
      </c>
      <c r="B309" s="4" t="str">
        <f>IF($C$227="Y","---&gt;","...")</f>
        <v>...</v>
      </c>
      <c r="C309" s="1" t="str">
        <f>IF($C$227="Y",'Population Definitions'!$A$3,"...")</f>
        <v>...</v>
      </c>
      <c r="E309" s="2"/>
      <c r="F309" s="3"/>
      <c r="G309" s="2"/>
      <c r="H309" s="4" t="str">
        <f>IF($C$227="Y","OR","...")</f>
        <v>...</v>
      </c>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row>
    <row r="310" spans="1:59" x14ac:dyDescent="0.25">
      <c r="A310" s="1" t="str">
        <f>IF($D$227="Y",'Population Definitions'!$A$7,"...")</f>
        <v>...</v>
      </c>
      <c r="B310" s="4" t="str">
        <f>IF($D$227="Y","---&gt;","...")</f>
        <v>...</v>
      </c>
      <c r="C310" s="1" t="str">
        <f>IF($D$227="Y",'Population Definitions'!$A$4,"...")</f>
        <v>...</v>
      </c>
      <c r="E310" s="2"/>
      <c r="F310" s="3"/>
      <c r="G310" s="2"/>
      <c r="H310" s="4" t="str">
        <f>IF($D$227="Y","OR","...")</f>
        <v>...</v>
      </c>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row>
    <row r="311" spans="1:59" x14ac:dyDescent="0.25">
      <c r="A311" s="1" t="str">
        <f>IF($E$227="Y",'Population Definitions'!$A$7,"...")</f>
        <v>...</v>
      </c>
      <c r="B311" s="4" t="str">
        <f>IF($E$227="Y","---&gt;","...")</f>
        <v>...</v>
      </c>
      <c r="C311" s="1" t="str">
        <f>IF($E$227="Y",'Population Definitions'!$A$5,"...")</f>
        <v>...</v>
      </c>
      <c r="E311" s="2"/>
      <c r="F311" s="3"/>
      <c r="G311" s="2"/>
      <c r="H311" s="4" t="str">
        <f>IF($E$227="Y","OR","...")</f>
        <v>...</v>
      </c>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row>
    <row r="312" spans="1:59" x14ac:dyDescent="0.25">
      <c r="A312" s="1" t="str">
        <f>IF($F$227="Y",'Population Definitions'!$A$7,"...")</f>
        <v>...</v>
      </c>
      <c r="B312" s="4" t="str">
        <f>IF($F$227="Y","---&gt;","...")</f>
        <v>...</v>
      </c>
      <c r="C312" s="1" t="str">
        <f>IF($F$227="Y",'Population Definitions'!$A$6,"...")</f>
        <v>...</v>
      </c>
      <c r="E312" s="2"/>
      <c r="F312" s="3"/>
      <c r="G312" s="2"/>
      <c r="H312" s="4" t="str">
        <f>IF($F$227="Y","OR","...")</f>
        <v>...</v>
      </c>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row>
    <row r="313" spans="1:59" x14ac:dyDescent="0.25">
      <c r="A313" s="1" t="str">
        <f>IF($G$227="Y",'Population Definitions'!$A$7,"...")</f>
        <v>...</v>
      </c>
      <c r="B313" s="4" t="str">
        <f>IF($G$227="Y","---&gt;","...")</f>
        <v>...</v>
      </c>
      <c r="C313" s="1" t="str">
        <f>IF($G$227="Y",'Population Definitions'!$A$7,"...")</f>
        <v>...</v>
      </c>
      <c r="E313" s="2"/>
      <c r="F313" s="3"/>
      <c r="G313" s="2"/>
      <c r="H313" s="4" t="str">
        <f>IF($G$227="Y","OR","...")</f>
        <v>...</v>
      </c>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row>
    <row r="314" spans="1:59" x14ac:dyDescent="0.25">
      <c r="A314" s="1" t="str">
        <f>IF($H$227="Y",'Population Definitions'!$A$7,"...")</f>
        <v>...</v>
      </c>
      <c r="B314" s="4" t="str">
        <f>IF($H$227="Y","---&gt;","...")</f>
        <v>...</v>
      </c>
      <c r="C314" s="1" t="str">
        <f>IF($H$227="Y",'Population Definitions'!$A$8,"...")</f>
        <v>...</v>
      </c>
      <c r="E314" s="2"/>
      <c r="F314" s="3"/>
      <c r="G314" s="2"/>
      <c r="H314" s="4" t="str">
        <f>IF($H$227="Y","OR","...")</f>
        <v>...</v>
      </c>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row>
    <row r="315" spans="1:59" x14ac:dyDescent="0.25">
      <c r="A315" s="1" t="str">
        <f>IF($I$227="Y",'Population Definitions'!$A$7,"...")</f>
        <v>...</v>
      </c>
      <c r="B315" s="4" t="str">
        <f>IF($I$227="Y","---&gt;","...")</f>
        <v>...</v>
      </c>
      <c r="C315" s="1" t="str">
        <f>IF($I$227="Y",'Population Definitions'!$A$9,"...")</f>
        <v>...</v>
      </c>
      <c r="E315" s="2"/>
      <c r="F315" s="3"/>
      <c r="G315" s="2"/>
      <c r="H315" s="4" t="str">
        <f>IF($I$227="Y","OR","...")</f>
        <v>...</v>
      </c>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row>
    <row r="316" spans="1:59" x14ac:dyDescent="0.25">
      <c r="A316" s="1" t="str">
        <f>IF($J$227="Y",'Population Definitions'!$A$7,"...")</f>
        <v>...</v>
      </c>
      <c r="B316" s="4" t="str">
        <f>IF($J$227="Y","---&gt;","...")</f>
        <v>...</v>
      </c>
      <c r="C316" s="1" t="str">
        <f>IF($J$227="Y",'Population Definitions'!$A$10,"...")</f>
        <v>...</v>
      </c>
      <c r="E316" s="2"/>
      <c r="F316" s="3"/>
      <c r="G316" s="2"/>
      <c r="H316" s="4" t="str">
        <f>IF($J$227="Y","OR","...")</f>
        <v>...</v>
      </c>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row>
    <row r="317" spans="1:59" x14ac:dyDescent="0.25">
      <c r="A317" s="1" t="str">
        <f>IF($K$227="Y",'Population Definitions'!$A$7,"...")</f>
        <v>...</v>
      </c>
      <c r="B317" s="4" t="str">
        <f>IF($K$227="Y","---&gt;","...")</f>
        <v>...</v>
      </c>
      <c r="C317" s="1" t="str">
        <f>IF($K$227="Y",'Population Definitions'!$A$11,"...")</f>
        <v>...</v>
      </c>
      <c r="E317" s="2"/>
      <c r="F317" s="3"/>
      <c r="G317" s="2"/>
      <c r="H317" s="4" t="str">
        <f>IF($K$227="Y","OR","...")</f>
        <v>...</v>
      </c>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row>
    <row r="318" spans="1:59" x14ac:dyDescent="0.25">
      <c r="A318" s="1" t="str">
        <f>IF($L$227="Y",'Population Definitions'!$A$7,"...")</f>
        <v>...</v>
      </c>
      <c r="B318" s="4" t="str">
        <f>IF($L$227="Y","---&gt;","...")</f>
        <v>...</v>
      </c>
      <c r="C318" s="1" t="str">
        <f>IF($L$227="Y",'Population Definitions'!$A$12,"...")</f>
        <v>...</v>
      </c>
      <c r="E318" s="2"/>
      <c r="F318" s="3"/>
      <c r="G318" s="2"/>
      <c r="H318" s="4" t="str">
        <f>IF($L$227="Y","OR","...")</f>
        <v>...</v>
      </c>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row>
    <row r="319" spans="1:59" x14ac:dyDescent="0.25">
      <c r="A319" s="1" t="str">
        <f>IF($M$227="Y",'Population Definitions'!$A$7,"...")</f>
        <v>...</v>
      </c>
      <c r="B319" s="4" t="str">
        <f>IF($M$227="Y","---&gt;","...")</f>
        <v>...</v>
      </c>
      <c r="C319" s="1" t="str">
        <f>IF($M$227="Y",'Population Definitions'!$A$13,"...")</f>
        <v>...</v>
      </c>
      <c r="E319" s="2"/>
      <c r="F319" s="3"/>
      <c r="G319" s="2"/>
      <c r="H319" s="4" t="str">
        <f>IF($M$227="Y","OR","...")</f>
        <v>...</v>
      </c>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row>
    <row r="320" spans="1:59" x14ac:dyDescent="0.25">
      <c r="A320" s="1" t="str">
        <f>IF($N$227="Y",'Population Definitions'!$A$7,"...")</f>
        <v>...</v>
      </c>
      <c r="B320" s="4" t="str">
        <f>IF($N$227="Y","---&gt;","...")</f>
        <v>...</v>
      </c>
      <c r="C320" s="1" t="str">
        <f>IF($N$227="Y",'Population Definitions'!$A$14,"...")</f>
        <v>...</v>
      </c>
      <c r="E320" s="2"/>
      <c r="F320" s="3"/>
      <c r="G320" s="2"/>
      <c r="H320" s="4" t="str">
        <f>IF($N$227="Y","OR","...")</f>
        <v>...</v>
      </c>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row>
    <row r="321" spans="1:59" x14ac:dyDescent="0.25">
      <c r="A321" s="1" t="str">
        <f>IF($O$227="Y",'Population Definitions'!$A$7,"...")</f>
        <v>...</v>
      </c>
      <c r="B321" s="4" t="str">
        <f>IF($O$227="Y","---&gt;","...")</f>
        <v>...</v>
      </c>
      <c r="C321" s="1" t="str">
        <f>IF($O$227="Y",'Population Definitions'!$A$15,"...")</f>
        <v>...</v>
      </c>
      <c r="E321" s="2"/>
      <c r="F321" s="3"/>
      <c r="G321" s="2"/>
      <c r="H321" s="4" t="str">
        <f>IF($O$227="Y","OR","...")</f>
        <v>...</v>
      </c>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row>
    <row r="322" spans="1:59" x14ac:dyDescent="0.25">
      <c r="A322" s="1" t="str">
        <f>IF($B$228="Y",'Population Definitions'!$A$8,"...")</f>
        <v>...</v>
      </c>
      <c r="B322" s="4" t="str">
        <f>IF($B$228="Y","---&gt;","...")</f>
        <v>...</v>
      </c>
      <c r="C322" s="1" t="str">
        <f>IF($B$228="Y",'Population Definitions'!$A$2,"...")</f>
        <v>...</v>
      </c>
      <c r="E322" s="2"/>
      <c r="F322" s="3"/>
      <c r="G322" s="2"/>
      <c r="H322" s="4" t="str">
        <f>IF($B$228="Y","OR","...")</f>
        <v>...</v>
      </c>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row>
    <row r="323" spans="1:59" x14ac:dyDescent="0.25">
      <c r="A323" s="1" t="str">
        <f>IF($C$228="Y",'Population Definitions'!$A$8,"...")</f>
        <v>...</v>
      </c>
      <c r="B323" s="4" t="str">
        <f>IF($C$228="Y","---&gt;","...")</f>
        <v>...</v>
      </c>
      <c r="C323" s="1" t="str">
        <f>IF($C$228="Y",'Population Definitions'!$A$3,"...")</f>
        <v>...</v>
      </c>
      <c r="E323" s="2"/>
      <c r="F323" s="3"/>
      <c r="G323" s="2"/>
      <c r="H323" s="4" t="str">
        <f>IF($C$228="Y","OR","...")</f>
        <v>...</v>
      </c>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row>
    <row r="324" spans="1:59" x14ac:dyDescent="0.25">
      <c r="A324" s="1" t="str">
        <f>IF($D$228="Y",'Population Definitions'!$A$8,"...")</f>
        <v>...</v>
      </c>
      <c r="B324" s="4" t="str">
        <f>IF($D$228="Y","---&gt;","...")</f>
        <v>...</v>
      </c>
      <c r="C324" s="1" t="str">
        <f>IF($D$228="Y",'Population Definitions'!$A$4,"...")</f>
        <v>...</v>
      </c>
      <c r="E324" s="2"/>
      <c r="F324" s="3"/>
      <c r="G324" s="2"/>
      <c r="H324" s="4" t="str">
        <f>IF($D$228="Y","OR","...")</f>
        <v>...</v>
      </c>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row>
    <row r="325" spans="1:59" x14ac:dyDescent="0.25">
      <c r="A325" s="1" t="str">
        <f>IF($E$228="Y",'Population Definitions'!$A$8,"...")</f>
        <v>...</v>
      </c>
      <c r="B325" s="4" t="str">
        <f>IF($E$228="Y","---&gt;","...")</f>
        <v>...</v>
      </c>
      <c r="C325" s="1" t="str">
        <f>IF($E$228="Y",'Population Definitions'!$A$5,"...")</f>
        <v>...</v>
      </c>
      <c r="E325" s="2"/>
      <c r="F325" s="3"/>
      <c r="G325" s="2"/>
      <c r="H325" s="4" t="str">
        <f>IF($E$228="Y","OR","...")</f>
        <v>...</v>
      </c>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row>
    <row r="326" spans="1:59" x14ac:dyDescent="0.25">
      <c r="A326" s="1" t="str">
        <f>IF($F$228="Y",'Population Definitions'!$A$8,"...")</f>
        <v>...</v>
      </c>
      <c r="B326" s="4" t="str">
        <f>IF($F$228="Y","---&gt;","...")</f>
        <v>...</v>
      </c>
      <c r="C326" s="1" t="str">
        <f>IF($F$228="Y",'Population Definitions'!$A$6,"...")</f>
        <v>...</v>
      </c>
      <c r="E326" s="2"/>
      <c r="F326" s="3"/>
      <c r="G326" s="2"/>
      <c r="H326" s="4" t="str">
        <f>IF($F$228="Y","OR","...")</f>
        <v>...</v>
      </c>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row>
    <row r="327" spans="1:59" x14ac:dyDescent="0.25">
      <c r="A327" s="1" t="str">
        <f>IF($G$228="Y",'Population Definitions'!$A$8,"...")</f>
        <v>...</v>
      </c>
      <c r="B327" s="4" t="str">
        <f>IF($G$228="Y","---&gt;","...")</f>
        <v>...</v>
      </c>
      <c r="C327" s="1" t="str">
        <f>IF($G$228="Y",'Population Definitions'!$A$7,"...")</f>
        <v>...</v>
      </c>
      <c r="E327" s="2"/>
      <c r="F327" s="3"/>
      <c r="G327" s="2"/>
      <c r="H327" s="4" t="str">
        <f>IF($G$228="Y","OR","...")</f>
        <v>...</v>
      </c>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row>
    <row r="328" spans="1:59" x14ac:dyDescent="0.25">
      <c r="A328" s="1" t="str">
        <f>IF($H$228="Y",'Population Definitions'!$A$8,"...")</f>
        <v>18-64_males</v>
      </c>
      <c r="B328" s="4" t="str">
        <f>IF($H$228="Y","---&gt;","...")</f>
        <v>---&gt;</v>
      </c>
      <c r="C328" s="1" t="str">
        <f>IF($H$228="Y",'Population Definitions'!$A$8,"...")</f>
        <v>18-64_males</v>
      </c>
      <c r="D328" t="s">
        <v>62</v>
      </c>
      <c r="E328" s="3" t="s">
        <v>58</v>
      </c>
      <c r="F328" s="3"/>
      <c r="G328" s="3">
        <v>1</v>
      </c>
      <c r="H328" s="4" t="str">
        <f>IF($H$228="Y","OR","...")</f>
        <v>OR</v>
      </c>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row>
    <row r="329" spans="1:59" x14ac:dyDescent="0.25">
      <c r="A329" s="1" t="str">
        <f>IF($I$228="Y",'Population Definitions'!$A$8,"...")</f>
        <v>18-64_males</v>
      </c>
      <c r="B329" s="4" t="str">
        <f>IF($I$228="Y","---&gt;","...")</f>
        <v>---&gt;</v>
      </c>
      <c r="C329" s="1" t="str">
        <f>IF($I$228="Y",'Population Definitions'!$A$9,"...")</f>
        <v>18-64_females</v>
      </c>
      <c r="D329" t="s">
        <v>62</v>
      </c>
      <c r="E329" s="3" t="s">
        <v>58</v>
      </c>
      <c r="F329" s="3"/>
      <c r="G329" s="3">
        <v>1</v>
      </c>
      <c r="H329" s="4" t="str">
        <f>IF($I$228="Y","OR","...")</f>
        <v>OR</v>
      </c>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row>
    <row r="330" spans="1:59" x14ac:dyDescent="0.25">
      <c r="A330" s="1" t="str">
        <f>IF($J$228="Y",'Population Definitions'!$A$8,"...")</f>
        <v>18-64_males</v>
      </c>
      <c r="B330" s="4" t="str">
        <f>IF($J$228="Y","---&gt;","...")</f>
        <v>---&gt;</v>
      </c>
      <c r="C330" s="1" t="str">
        <f>IF($J$228="Y",'Population Definitions'!$A$10,"...")</f>
        <v>65+_males</v>
      </c>
      <c r="D330" t="s">
        <v>62</v>
      </c>
      <c r="E330" s="3" t="s">
        <v>58</v>
      </c>
      <c r="F330" s="3"/>
      <c r="G330" s="3">
        <v>1</v>
      </c>
      <c r="H330" s="4" t="str">
        <f>IF($J$228="Y","OR","...")</f>
        <v>OR</v>
      </c>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row>
    <row r="331" spans="1:59" x14ac:dyDescent="0.25">
      <c r="A331" s="1" t="str">
        <f>IF($K$228="Y",'Population Definitions'!$A$8,"...")</f>
        <v>18-64_males</v>
      </c>
      <c r="B331" s="4" t="str">
        <f>IF($K$228="Y","---&gt;","...")</f>
        <v>---&gt;</v>
      </c>
      <c r="C331" s="1" t="str">
        <f>IF($K$228="Y",'Population Definitions'!$A$11,"...")</f>
        <v>65+_females</v>
      </c>
      <c r="D331" t="s">
        <v>62</v>
      </c>
      <c r="E331" s="3" t="s">
        <v>58</v>
      </c>
      <c r="F331" s="3"/>
      <c r="G331" s="3">
        <v>1</v>
      </c>
      <c r="H331" s="4" t="str">
        <f>IF($K$228="Y","OR","...")</f>
        <v>OR</v>
      </c>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row>
    <row r="332" spans="1:59" x14ac:dyDescent="0.25">
      <c r="A332" s="1" t="str">
        <f>IF($L$228="Y",'Population Definitions'!$A$8,"...")</f>
        <v>...</v>
      </c>
      <c r="B332" s="4" t="str">
        <f>IF($L$228="Y","---&gt;","...")</f>
        <v>...</v>
      </c>
      <c r="C332" s="1" t="str">
        <f>IF($L$228="Y",'Population Definitions'!$A$12,"...")</f>
        <v>...</v>
      </c>
      <c r="E332" s="2"/>
      <c r="F332" s="3"/>
      <c r="G332" s="2"/>
      <c r="H332" s="4" t="str">
        <f>IF($L$228="Y","OR","...")</f>
        <v>...</v>
      </c>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row>
    <row r="333" spans="1:59" x14ac:dyDescent="0.25">
      <c r="A333" s="1" t="str">
        <f>IF($M$228="Y",'Population Definitions'!$A$8,"...")</f>
        <v>...</v>
      </c>
      <c r="B333" s="4" t="str">
        <f>IF($M$228="Y","---&gt;","...")</f>
        <v>...</v>
      </c>
      <c r="C333" s="1" t="str">
        <f>IF($M$228="Y",'Population Definitions'!$A$13,"...")</f>
        <v>...</v>
      </c>
      <c r="E333" s="2"/>
      <c r="F333" s="3"/>
      <c r="G333" s="2"/>
      <c r="H333" s="4" t="str">
        <f>IF($M$228="Y","OR","...")</f>
        <v>...</v>
      </c>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row>
    <row r="334" spans="1:59" x14ac:dyDescent="0.25">
      <c r="A334" s="1" t="str">
        <f>IF($N$228="Y",'Population Definitions'!$A$8,"...")</f>
        <v>...</v>
      </c>
      <c r="B334" s="4" t="str">
        <f>IF($N$228="Y","---&gt;","...")</f>
        <v>...</v>
      </c>
      <c r="C334" s="1" t="str">
        <f>IF($N$228="Y",'Population Definitions'!$A$14,"...")</f>
        <v>...</v>
      </c>
      <c r="E334" s="2"/>
      <c r="F334" s="3"/>
      <c r="G334" s="2"/>
      <c r="H334" s="4" t="str">
        <f>IF($N$228="Y","OR","...")</f>
        <v>...</v>
      </c>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row>
    <row r="335" spans="1:59" x14ac:dyDescent="0.25">
      <c r="A335" s="1" t="str">
        <f>IF($O$228="Y",'Population Definitions'!$A$8,"...")</f>
        <v>...</v>
      </c>
      <c r="B335" s="4" t="str">
        <f>IF($O$228="Y","---&gt;","...")</f>
        <v>...</v>
      </c>
      <c r="C335" s="1" t="str">
        <f>IF($O$228="Y",'Population Definitions'!$A$15,"...")</f>
        <v>...</v>
      </c>
      <c r="E335" s="2"/>
      <c r="F335" s="3"/>
      <c r="G335" s="2"/>
      <c r="H335" s="4" t="str">
        <f>IF($O$228="Y","OR","...")</f>
        <v>...</v>
      </c>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row>
    <row r="336" spans="1:59" x14ac:dyDescent="0.25">
      <c r="A336" s="1" t="str">
        <f>IF($B$229="Y",'Population Definitions'!$A$9,"...")</f>
        <v>...</v>
      </c>
      <c r="B336" s="4" t="str">
        <f>IF($B$229="Y","---&gt;","...")</f>
        <v>...</v>
      </c>
      <c r="C336" s="1" t="str">
        <f>IF($B$229="Y",'Population Definitions'!$A$2,"...")</f>
        <v>...</v>
      </c>
      <c r="E336" s="2"/>
      <c r="F336" s="3"/>
      <c r="G336" s="2"/>
      <c r="H336" s="4" t="str">
        <f>IF($B$229="Y","OR","...")</f>
        <v>...</v>
      </c>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row>
    <row r="337" spans="1:59" x14ac:dyDescent="0.25">
      <c r="A337" s="1" t="str">
        <f>IF($C$229="Y",'Population Definitions'!$A$9,"...")</f>
        <v>...</v>
      </c>
      <c r="B337" s="4" t="str">
        <f>IF($C$229="Y","---&gt;","...")</f>
        <v>...</v>
      </c>
      <c r="C337" s="1" t="str">
        <f>IF($C$229="Y",'Population Definitions'!$A$3,"...")</f>
        <v>...</v>
      </c>
      <c r="E337" s="2"/>
      <c r="F337" s="3"/>
      <c r="G337" s="2"/>
      <c r="H337" s="4" t="str">
        <f>IF($C$229="Y","OR","...")</f>
        <v>...</v>
      </c>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row>
    <row r="338" spans="1:59" x14ac:dyDescent="0.25">
      <c r="A338" s="1" t="str">
        <f>IF($D$229="Y",'Population Definitions'!$A$9,"...")</f>
        <v>...</v>
      </c>
      <c r="B338" s="4" t="str">
        <f>IF($D$229="Y","---&gt;","...")</f>
        <v>...</v>
      </c>
      <c r="C338" s="1" t="str">
        <f>IF($D$229="Y",'Population Definitions'!$A$4,"...")</f>
        <v>...</v>
      </c>
      <c r="E338" s="2"/>
      <c r="F338" s="3"/>
      <c r="G338" s="2"/>
      <c r="H338" s="4" t="str">
        <f>IF($D$229="Y","OR","...")</f>
        <v>...</v>
      </c>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row>
    <row r="339" spans="1:59" x14ac:dyDescent="0.25">
      <c r="A339" s="1" t="str">
        <f>IF($E$229="Y",'Population Definitions'!$A$9,"...")</f>
        <v>...</v>
      </c>
      <c r="B339" s="4" t="str">
        <f>IF($E$229="Y","---&gt;","...")</f>
        <v>...</v>
      </c>
      <c r="C339" s="1" t="str">
        <f>IF($E$229="Y",'Population Definitions'!$A$5,"...")</f>
        <v>...</v>
      </c>
      <c r="E339" s="2"/>
      <c r="F339" s="3"/>
      <c r="G339" s="2"/>
      <c r="H339" s="4" t="str">
        <f>IF($E$229="Y","OR","...")</f>
        <v>...</v>
      </c>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row>
    <row r="340" spans="1:59" x14ac:dyDescent="0.25">
      <c r="A340" s="1" t="str">
        <f>IF($F$229="Y",'Population Definitions'!$A$9,"...")</f>
        <v>...</v>
      </c>
      <c r="B340" s="4" t="str">
        <f>IF($F$229="Y","---&gt;","...")</f>
        <v>...</v>
      </c>
      <c r="C340" s="1" t="str">
        <f>IF($F$229="Y",'Population Definitions'!$A$6,"...")</f>
        <v>...</v>
      </c>
      <c r="E340" s="2"/>
      <c r="F340" s="3"/>
      <c r="G340" s="2"/>
      <c r="H340" s="4" t="str">
        <f>IF($F$229="Y","OR","...")</f>
        <v>...</v>
      </c>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row>
    <row r="341" spans="1:59" x14ac:dyDescent="0.25">
      <c r="A341" s="1" t="str">
        <f>IF($G$229="Y",'Population Definitions'!$A$9,"...")</f>
        <v>...</v>
      </c>
      <c r="B341" s="4" t="str">
        <f>IF($G$229="Y","---&gt;","...")</f>
        <v>...</v>
      </c>
      <c r="C341" s="1" t="str">
        <f>IF($G$229="Y",'Population Definitions'!$A$7,"...")</f>
        <v>...</v>
      </c>
      <c r="E341" s="2"/>
      <c r="F341" s="3"/>
      <c r="G341" s="2"/>
      <c r="H341" s="4" t="str">
        <f>IF($G$229="Y","OR","...")</f>
        <v>...</v>
      </c>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row>
    <row r="342" spans="1:59" x14ac:dyDescent="0.25">
      <c r="A342" s="1" t="str">
        <f>IF($H$229="Y",'Population Definitions'!$A$9,"...")</f>
        <v>18-64_females</v>
      </c>
      <c r="B342" s="4" t="str">
        <f>IF($H$229="Y","---&gt;","...")</f>
        <v>---&gt;</v>
      </c>
      <c r="C342" s="1" t="str">
        <f>IF($H$229="Y",'Population Definitions'!$A$8,"...")</f>
        <v>18-64_males</v>
      </c>
      <c r="D342" t="s">
        <v>62</v>
      </c>
      <c r="E342" s="3" t="s">
        <v>58</v>
      </c>
      <c r="F342" s="3"/>
      <c r="G342" s="3">
        <v>1</v>
      </c>
      <c r="H342" s="4" t="str">
        <f>IF($H$229="Y","OR","...")</f>
        <v>OR</v>
      </c>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row>
    <row r="343" spans="1:59" x14ac:dyDescent="0.25">
      <c r="A343" s="1" t="str">
        <f>IF($I$229="Y",'Population Definitions'!$A$9,"...")</f>
        <v>18-64_females</v>
      </c>
      <c r="B343" s="4" t="str">
        <f>IF($I$229="Y","---&gt;","...")</f>
        <v>---&gt;</v>
      </c>
      <c r="C343" s="1" t="str">
        <f>IF($I$229="Y",'Population Definitions'!$A$9,"...")</f>
        <v>18-64_females</v>
      </c>
      <c r="D343" t="s">
        <v>62</v>
      </c>
      <c r="E343" s="3" t="s">
        <v>58</v>
      </c>
      <c r="F343" s="3"/>
      <c r="G343" s="3">
        <v>1</v>
      </c>
      <c r="H343" s="4" t="str">
        <f>IF($I$229="Y","OR","...")</f>
        <v>OR</v>
      </c>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row>
    <row r="344" spans="1:59" x14ac:dyDescent="0.25">
      <c r="A344" s="1" t="str">
        <f>IF($J$229="Y",'Population Definitions'!$A$9,"...")</f>
        <v>18-64_females</v>
      </c>
      <c r="B344" s="4" t="str">
        <f>IF($J$229="Y","---&gt;","...")</f>
        <v>---&gt;</v>
      </c>
      <c r="C344" s="1" t="str">
        <f>IF($J$229="Y",'Population Definitions'!$A$10,"...")</f>
        <v>65+_males</v>
      </c>
      <c r="D344" t="s">
        <v>62</v>
      </c>
      <c r="E344" s="3" t="s">
        <v>58</v>
      </c>
      <c r="F344" s="3"/>
      <c r="G344" s="3">
        <v>1</v>
      </c>
      <c r="H344" s="4" t="str">
        <f>IF($J$229="Y","OR","...")</f>
        <v>OR</v>
      </c>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row>
    <row r="345" spans="1:59" x14ac:dyDescent="0.25">
      <c r="A345" s="1" t="str">
        <f>IF($K$229="Y",'Population Definitions'!$A$9,"...")</f>
        <v>18-64_females</v>
      </c>
      <c r="B345" s="4" t="str">
        <f>IF($K$229="Y","---&gt;","...")</f>
        <v>---&gt;</v>
      </c>
      <c r="C345" s="1" t="str">
        <f>IF($K$229="Y",'Population Definitions'!$A$11,"...")</f>
        <v>65+_females</v>
      </c>
      <c r="D345" t="s">
        <v>62</v>
      </c>
      <c r="E345" s="3" t="s">
        <v>58</v>
      </c>
      <c r="F345" s="3"/>
      <c r="G345" s="3">
        <v>1</v>
      </c>
      <c r="H345" s="4" t="str">
        <f>IF($K$229="Y","OR","...")</f>
        <v>OR</v>
      </c>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row>
    <row r="346" spans="1:59" x14ac:dyDescent="0.25">
      <c r="A346" s="1" t="str">
        <f>IF($L$229="Y",'Population Definitions'!$A$9,"...")</f>
        <v>...</v>
      </c>
      <c r="B346" s="4" t="str">
        <f>IF($L$229="Y","---&gt;","...")</f>
        <v>...</v>
      </c>
      <c r="C346" s="1" t="str">
        <f>IF($L$229="Y",'Population Definitions'!$A$12,"...")</f>
        <v>...</v>
      </c>
      <c r="E346" s="2"/>
      <c r="F346" s="3"/>
      <c r="G346" s="2"/>
      <c r="H346" s="4" t="str">
        <f>IF($L$229="Y","OR","...")</f>
        <v>...</v>
      </c>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row>
    <row r="347" spans="1:59" x14ac:dyDescent="0.25">
      <c r="A347" s="1" t="str">
        <f>IF($M$229="Y",'Population Definitions'!$A$9,"...")</f>
        <v>...</v>
      </c>
      <c r="B347" s="4" t="str">
        <f>IF($M$229="Y","---&gt;","...")</f>
        <v>...</v>
      </c>
      <c r="C347" s="1" t="str">
        <f>IF($M$229="Y",'Population Definitions'!$A$13,"...")</f>
        <v>...</v>
      </c>
      <c r="E347" s="2"/>
      <c r="F347" s="3"/>
      <c r="G347" s="2"/>
      <c r="H347" s="4" t="str">
        <f>IF($M$229="Y","OR","...")</f>
        <v>...</v>
      </c>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row>
    <row r="348" spans="1:59" x14ac:dyDescent="0.25">
      <c r="A348" s="1" t="str">
        <f>IF($N$229="Y",'Population Definitions'!$A$9,"...")</f>
        <v>...</v>
      </c>
      <c r="B348" s="4" t="str">
        <f>IF($N$229="Y","---&gt;","...")</f>
        <v>...</v>
      </c>
      <c r="C348" s="1" t="str">
        <f>IF($N$229="Y",'Population Definitions'!$A$14,"...")</f>
        <v>...</v>
      </c>
      <c r="E348" s="2"/>
      <c r="F348" s="3"/>
      <c r="G348" s="2"/>
      <c r="H348" s="4" t="str">
        <f>IF($N$229="Y","OR","...")</f>
        <v>...</v>
      </c>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row>
    <row r="349" spans="1:59" x14ac:dyDescent="0.25">
      <c r="A349" s="1" t="str">
        <f>IF($O$229="Y",'Population Definitions'!$A$9,"...")</f>
        <v>...</v>
      </c>
      <c r="B349" s="4" t="str">
        <f>IF($O$229="Y","---&gt;","...")</f>
        <v>...</v>
      </c>
      <c r="C349" s="1" t="str">
        <f>IF($O$229="Y",'Population Definitions'!$A$15,"...")</f>
        <v>...</v>
      </c>
      <c r="E349" s="2"/>
      <c r="F349" s="3"/>
      <c r="G349" s="2"/>
      <c r="H349" s="4" t="str">
        <f>IF($O$229="Y","OR","...")</f>
        <v>...</v>
      </c>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row>
    <row r="350" spans="1:59" x14ac:dyDescent="0.25">
      <c r="A350" s="1" t="str">
        <f>IF($B$230="Y",'Population Definitions'!$A$10,"...")</f>
        <v>...</v>
      </c>
      <c r="B350" s="4" t="str">
        <f>IF($B$230="Y","---&gt;","...")</f>
        <v>...</v>
      </c>
      <c r="C350" s="1" t="str">
        <f>IF($B$230="Y",'Population Definitions'!$A$2,"...")</f>
        <v>...</v>
      </c>
      <c r="E350" s="2"/>
      <c r="F350" s="3"/>
      <c r="G350" s="2"/>
      <c r="H350" s="4" t="str">
        <f>IF($B$230="Y","OR","...")</f>
        <v>...</v>
      </c>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row>
    <row r="351" spans="1:59" x14ac:dyDescent="0.25">
      <c r="A351" s="1" t="str">
        <f>IF($C$230="Y",'Population Definitions'!$A$10,"...")</f>
        <v>...</v>
      </c>
      <c r="B351" s="4" t="str">
        <f>IF($C$230="Y","---&gt;","...")</f>
        <v>...</v>
      </c>
      <c r="C351" s="1" t="str">
        <f>IF($C$230="Y",'Population Definitions'!$A$3,"...")</f>
        <v>...</v>
      </c>
      <c r="E351" s="2"/>
      <c r="F351" s="3"/>
      <c r="G351" s="2"/>
      <c r="H351" s="4" t="str">
        <f>IF($C$230="Y","OR","...")</f>
        <v>...</v>
      </c>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row>
    <row r="352" spans="1:59" x14ac:dyDescent="0.25">
      <c r="A352" s="1" t="str">
        <f>IF($D$230="Y",'Population Definitions'!$A$10,"...")</f>
        <v>...</v>
      </c>
      <c r="B352" s="4" t="str">
        <f>IF($D$230="Y","---&gt;","...")</f>
        <v>...</v>
      </c>
      <c r="C352" s="1" t="str">
        <f>IF($D$230="Y",'Population Definitions'!$A$4,"...")</f>
        <v>...</v>
      </c>
      <c r="E352" s="2"/>
      <c r="F352" s="3"/>
      <c r="G352" s="2"/>
      <c r="H352" s="4" t="str">
        <f>IF($D$230="Y","OR","...")</f>
        <v>...</v>
      </c>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row>
    <row r="353" spans="1:59" x14ac:dyDescent="0.25">
      <c r="A353" s="1" t="str">
        <f>IF($E$230="Y",'Population Definitions'!$A$10,"...")</f>
        <v>...</v>
      </c>
      <c r="B353" s="4" t="str">
        <f>IF($E$230="Y","---&gt;","...")</f>
        <v>...</v>
      </c>
      <c r="C353" s="1" t="str">
        <f>IF($E$230="Y",'Population Definitions'!$A$5,"...")</f>
        <v>...</v>
      </c>
      <c r="E353" s="2"/>
      <c r="F353" s="3"/>
      <c r="G353" s="2"/>
      <c r="H353" s="4" t="str">
        <f>IF($E$230="Y","OR","...")</f>
        <v>...</v>
      </c>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row>
    <row r="354" spans="1:59" x14ac:dyDescent="0.25">
      <c r="A354" s="1" t="str">
        <f>IF($F$230="Y",'Population Definitions'!$A$10,"...")</f>
        <v>...</v>
      </c>
      <c r="B354" s="4" t="str">
        <f>IF($F$230="Y","---&gt;","...")</f>
        <v>...</v>
      </c>
      <c r="C354" s="1" t="str">
        <f>IF($F$230="Y",'Population Definitions'!$A$6,"...")</f>
        <v>...</v>
      </c>
      <c r="E354" s="2"/>
      <c r="F354" s="3"/>
      <c r="G354" s="2"/>
      <c r="H354" s="4" t="str">
        <f>IF($F$230="Y","OR","...")</f>
        <v>...</v>
      </c>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row>
    <row r="355" spans="1:59" x14ac:dyDescent="0.25">
      <c r="A355" s="1" t="str">
        <f>IF($G$230="Y",'Population Definitions'!$A$10,"...")</f>
        <v>...</v>
      </c>
      <c r="B355" s="4" t="str">
        <f>IF($G$230="Y","---&gt;","...")</f>
        <v>...</v>
      </c>
      <c r="C355" s="1" t="str">
        <f>IF($G$230="Y",'Population Definitions'!$A$7,"...")</f>
        <v>...</v>
      </c>
      <c r="E355" s="2"/>
      <c r="F355" s="3"/>
      <c r="G355" s="2"/>
      <c r="H355" s="4" t="str">
        <f>IF($G$230="Y","OR","...")</f>
        <v>...</v>
      </c>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row>
    <row r="356" spans="1:59" x14ac:dyDescent="0.25">
      <c r="A356" s="1" t="str">
        <f>IF($H$230="Y",'Population Definitions'!$A$10,"...")</f>
        <v>65+_males</v>
      </c>
      <c r="B356" s="4" t="str">
        <f>IF($H$230="Y","---&gt;","...")</f>
        <v>---&gt;</v>
      </c>
      <c r="C356" s="1" t="str">
        <f>IF($H$230="Y",'Population Definitions'!$A$8,"...")</f>
        <v>18-64_males</v>
      </c>
      <c r="D356" t="s">
        <v>62</v>
      </c>
      <c r="E356" s="3" t="s">
        <v>58</v>
      </c>
      <c r="F356" s="3"/>
      <c r="G356" s="3">
        <v>1</v>
      </c>
      <c r="H356" s="4" t="str">
        <f>IF($H$230="Y","OR","...")</f>
        <v>OR</v>
      </c>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row>
    <row r="357" spans="1:59" x14ac:dyDescent="0.25">
      <c r="A357" s="1" t="str">
        <f>IF($I$230="Y",'Population Definitions'!$A$10,"...")</f>
        <v>65+_males</v>
      </c>
      <c r="B357" s="4" t="str">
        <f>IF($I$230="Y","---&gt;","...")</f>
        <v>---&gt;</v>
      </c>
      <c r="C357" s="1" t="str">
        <f>IF($I$230="Y",'Population Definitions'!$A$9,"...")</f>
        <v>18-64_females</v>
      </c>
      <c r="D357" t="s">
        <v>62</v>
      </c>
      <c r="E357" s="3" t="s">
        <v>58</v>
      </c>
      <c r="F357" s="3"/>
      <c r="G357" s="3">
        <v>1</v>
      </c>
      <c r="H357" s="4" t="str">
        <f>IF($I$230="Y","OR","...")</f>
        <v>OR</v>
      </c>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row>
    <row r="358" spans="1:59" x14ac:dyDescent="0.25">
      <c r="A358" s="1" t="str">
        <f>IF($J$230="Y",'Population Definitions'!$A$10,"...")</f>
        <v>65+_males</v>
      </c>
      <c r="B358" s="4" t="str">
        <f>IF($J$230="Y","---&gt;","...")</f>
        <v>---&gt;</v>
      </c>
      <c r="C358" s="1" t="str">
        <f>IF($J$230="Y",'Population Definitions'!$A$10,"...")</f>
        <v>65+_males</v>
      </c>
      <c r="D358" t="s">
        <v>62</v>
      </c>
      <c r="E358" s="3" t="s">
        <v>58</v>
      </c>
      <c r="F358" s="3"/>
      <c r="G358" s="3">
        <v>1</v>
      </c>
      <c r="H358" s="4" t="str">
        <f>IF($J$230="Y","OR","...")</f>
        <v>OR</v>
      </c>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row>
    <row r="359" spans="1:59" x14ac:dyDescent="0.25">
      <c r="A359" s="1" t="str">
        <f>IF($K$230="Y",'Population Definitions'!$A$10,"...")</f>
        <v>65+_males</v>
      </c>
      <c r="B359" s="4" t="str">
        <f>IF($K$230="Y","---&gt;","...")</f>
        <v>---&gt;</v>
      </c>
      <c r="C359" s="1" t="str">
        <f>IF($K$230="Y",'Population Definitions'!$A$11,"...")</f>
        <v>65+_females</v>
      </c>
      <c r="D359" t="s">
        <v>62</v>
      </c>
      <c r="E359" s="3" t="s">
        <v>58</v>
      </c>
      <c r="F359" s="3"/>
      <c r="G359" s="3">
        <v>1</v>
      </c>
      <c r="H359" s="4" t="str">
        <f>IF($K$230="Y","OR","...")</f>
        <v>OR</v>
      </c>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row>
    <row r="360" spans="1:59" x14ac:dyDescent="0.25">
      <c r="A360" s="1" t="str">
        <f>IF($L$230="Y",'Population Definitions'!$A$10,"...")</f>
        <v>...</v>
      </c>
      <c r="B360" s="4" t="str">
        <f>IF($L$230="Y","---&gt;","...")</f>
        <v>...</v>
      </c>
      <c r="C360" s="1" t="str">
        <f>IF($L$230="Y",'Population Definitions'!$A$12,"...")</f>
        <v>...</v>
      </c>
      <c r="E360" s="2"/>
      <c r="F360" s="3"/>
      <c r="G360" s="2"/>
      <c r="H360" s="4" t="str">
        <f>IF($L$230="Y","OR","...")</f>
        <v>...</v>
      </c>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row>
    <row r="361" spans="1:59" x14ac:dyDescent="0.25">
      <c r="A361" s="1" t="str">
        <f>IF($M$230="Y",'Population Definitions'!$A$10,"...")</f>
        <v>...</v>
      </c>
      <c r="B361" s="4" t="str">
        <f>IF($M$230="Y","---&gt;","...")</f>
        <v>...</v>
      </c>
      <c r="C361" s="1" t="str">
        <f>IF($M$230="Y",'Population Definitions'!$A$13,"...")</f>
        <v>...</v>
      </c>
      <c r="E361" s="2"/>
      <c r="F361" s="3"/>
      <c r="G361" s="2"/>
      <c r="H361" s="4" t="str">
        <f>IF($M$230="Y","OR","...")</f>
        <v>...</v>
      </c>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row>
    <row r="362" spans="1:59" x14ac:dyDescent="0.25">
      <c r="A362" s="1" t="str">
        <f>IF($N$230="Y",'Population Definitions'!$A$10,"...")</f>
        <v>...</v>
      </c>
      <c r="B362" s="4" t="str">
        <f>IF($N$230="Y","---&gt;","...")</f>
        <v>...</v>
      </c>
      <c r="C362" s="1" t="str">
        <f>IF($N$230="Y",'Population Definitions'!$A$14,"...")</f>
        <v>...</v>
      </c>
      <c r="E362" s="2"/>
      <c r="F362" s="3"/>
      <c r="G362" s="2"/>
      <c r="H362" s="4" t="str">
        <f>IF($N$230="Y","OR","...")</f>
        <v>...</v>
      </c>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row>
    <row r="363" spans="1:59" x14ac:dyDescent="0.25">
      <c r="A363" s="1" t="str">
        <f>IF($O$230="Y",'Population Definitions'!$A$10,"...")</f>
        <v>...</v>
      </c>
      <c r="B363" s="4" t="str">
        <f>IF($O$230="Y","---&gt;","...")</f>
        <v>...</v>
      </c>
      <c r="C363" s="1" t="str">
        <f>IF($O$230="Y",'Population Definitions'!$A$15,"...")</f>
        <v>...</v>
      </c>
      <c r="E363" s="2"/>
      <c r="F363" s="3"/>
      <c r="G363" s="2"/>
      <c r="H363" s="4" t="str">
        <f>IF($O$230="Y","OR","...")</f>
        <v>...</v>
      </c>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row>
    <row r="364" spans="1:59" x14ac:dyDescent="0.25">
      <c r="A364" s="1" t="str">
        <f>IF($B$231="Y",'Population Definitions'!$A$11,"...")</f>
        <v>...</v>
      </c>
      <c r="B364" s="4" t="str">
        <f>IF($B$231="Y","---&gt;","...")</f>
        <v>...</v>
      </c>
      <c r="C364" s="1" t="str">
        <f>IF($B$231="Y",'Population Definitions'!$A$2,"...")</f>
        <v>...</v>
      </c>
      <c r="E364" s="2"/>
      <c r="F364" s="3"/>
      <c r="G364" s="2"/>
      <c r="H364" s="4" t="str">
        <f>IF($B$231="Y","OR","...")</f>
        <v>...</v>
      </c>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row>
    <row r="365" spans="1:59" x14ac:dyDescent="0.25">
      <c r="A365" s="1" t="str">
        <f>IF($C$231="Y",'Population Definitions'!$A$11,"...")</f>
        <v>...</v>
      </c>
      <c r="B365" s="4" t="str">
        <f>IF($C$231="Y","---&gt;","...")</f>
        <v>...</v>
      </c>
      <c r="C365" s="1" t="str">
        <f>IF($C$231="Y",'Population Definitions'!$A$3,"...")</f>
        <v>...</v>
      </c>
      <c r="E365" s="2"/>
      <c r="F365" s="3"/>
      <c r="G365" s="2"/>
      <c r="H365" s="4" t="str">
        <f>IF($C$231="Y","OR","...")</f>
        <v>...</v>
      </c>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row>
    <row r="366" spans="1:59" x14ac:dyDescent="0.25">
      <c r="A366" s="1" t="str">
        <f>IF($D$231="Y",'Population Definitions'!$A$11,"...")</f>
        <v>...</v>
      </c>
      <c r="B366" s="4" t="str">
        <f>IF($D$231="Y","---&gt;","...")</f>
        <v>...</v>
      </c>
      <c r="C366" s="1" t="str">
        <f>IF($D$231="Y",'Population Definitions'!$A$4,"...")</f>
        <v>...</v>
      </c>
      <c r="E366" s="2"/>
      <c r="F366" s="3"/>
      <c r="G366" s="2"/>
      <c r="H366" s="4" t="str">
        <f>IF($D$231="Y","OR","...")</f>
        <v>...</v>
      </c>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row>
    <row r="367" spans="1:59" x14ac:dyDescent="0.25">
      <c r="A367" s="1" t="str">
        <f>IF($E$231="Y",'Population Definitions'!$A$11,"...")</f>
        <v>...</v>
      </c>
      <c r="B367" s="4" t="str">
        <f>IF($E$231="Y","---&gt;","...")</f>
        <v>...</v>
      </c>
      <c r="C367" s="1" t="str">
        <f>IF($E$231="Y",'Population Definitions'!$A$5,"...")</f>
        <v>...</v>
      </c>
      <c r="E367" s="2"/>
      <c r="F367" s="3"/>
      <c r="G367" s="2"/>
      <c r="H367" s="4" t="str">
        <f>IF($E$231="Y","OR","...")</f>
        <v>...</v>
      </c>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row>
    <row r="368" spans="1:59" x14ac:dyDescent="0.25">
      <c r="A368" s="1" t="str">
        <f>IF($F$231="Y",'Population Definitions'!$A$11,"...")</f>
        <v>...</v>
      </c>
      <c r="B368" s="4" t="str">
        <f>IF($F$231="Y","---&gt;","...")</f>
        <v>...</v>
      </c>
      <c r="C368" s="1" t="str">
        <f>IF($F$231="Y",'Population Definitions'!$A$6,"...")</f>
        <v>...</v>
      </c>
      <c r="E368" s="2"/>
      <c r="F368" s="3"/>
      <c r="G368" s="2"/>
      <c r="H368" s="4" t="str">
        <f>IF($F$231="Y","OR","...")</f>
        <v>...</v>
      </c>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row>
    <row r="369" spans="1:59" x14ac:dyDescent="0.25">
      <c r="A369" s="1" t="str">
        <f>IF($G$231="Y",'Population Definitions'!$A$11,"...")</f>
        <v>...</v>
      </c>
      <c r="B369" s="4" t="str">
        <f>IF($G$231="Y","---&gt;","...")</f>
        <v>...</v>
      </c>
      <c r="C369" s="1" t="str">
        <f>IF($G$231="Y",'Population Definitions'!$A$7,"...")</f>
        <v>...</v>
      </c>
      <c r="E369" s="2"/>
      <c r="F369" s="3"/>
      <c r="G369" s="2"/>
      <c r="H369" s="4" t="str">
        <f>IF($G$231="Y","OR","...")</f>
        <v>...</v>
      </c>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row>
    <row r="370" spans="1:59" x14ac:dyDescent="0.25">
      <c r="A370" s="1" t="str">
        <f>IF($H$231="Y",'Population Definitions'!$A$11,"...")</f>
        <v>65+_females</v>
      </c>
      <c r="B370" s="4" t="str">
        <f>IF($H$231="Y","---&gt;","...")</f>
        <v>---&gt;</v>
      </c>
      <c r="C370" s="1" t="str">
        <f>IF($H$231="Y",'Population Definitions'!$A$8,"...")</f>
        <v>18-64_males</v>
      </c>
      <c r="D370" t="s">
        <v>62</v>
      </c>
      <c r="E370" s="3" t="s">
        <v>58</v>
      </c>
      <c r="F370" s="3"/>
      <c r="G370" s="3">
        <v>1</v>
      </c>
      <c r="H370" s="4" t="str">
        <f>IF($H$231="Y","OR","...")</f>
        <v>OR</v>
      </c>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row>
    <row r="371" spans="1:59" x14ac:dyDescent="0.25">
      <c r="A371" s="1" t="str">
        <f>IF($I$231="Y",'Population Definitions'!$A$11,"...")</f>
        <v>65+_females</v>
      </c>
      <c r="B371" s="4" t="str">
        <f>IF($I$231="Y","---&gt;","...")</f>
        <v>---&gt;</v>
      </c>
      <c r="C371" s="1" t="str">
        <f>IF($I$231="Y",'Population Definitions'!$A$9,"...")</f>
        <v>18-64_females</v>
      </c>
      <c r="D371" t="s">
        <v>62</v>
      </c>
      <c r="E371" s="3" t="s">
        <v>58</v>
      </c>
      <c r="F371" s="3"/>
      <c r="G371" s="3">
        <v>1</v>
      </c>
      <c r="H371" s="4" t="str">
        <f>IF($I$231="Y","OR","...")</f>
        <v>OR</v>
      </c>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row>
    <row r="372" spans="1:59" x14ac:dyDescent="0.25">
      <c r="A372" s="1" t="str">
        <f>IF($J$231="Y",'Population Definitions'!$A$11,"...")</f>
        <v>65+_females</v>
      </c>
      <c r="B372" s="4" t="str">
        <f>IF($J$231="Y","---&gt;","...")</f>
        <v>---&gt;</v>
      </c>
      <c r="C372" s="1" t="str">
        <f>IF($J$231="Y",'Population Definitions'!$A$10,"...")</f>
        <v>65+_males</v>
      </c>
      <c r="D372" t="s">
        <v>62</v>
      </c>
      <c r="E372" s="3" t="s">
        <v>58</v>
      </c>
      <c r="F372" s="3"/>
      <c r="G372" s="3">
        <v>1</v>
      </c>
      <c r="H372" s="4" t="str">
        <f>IF($J$231="Y","OR","...")</f>
        <v>OR</v>
      </c>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row>
    <row r="373" spans="1:59" x14ac:dyDescent="0.25">
      <c r="A373" s="1" t="str">
        <f>IF($K$231="Y",'Population Definitions'!$A$11,"...")</f>
        <v>65+_females</v>
      </c>
      <c r="B373" s="4" t="str">
        <f>IF($K$231="Y","---&gt;","...")</f>
        <v>---&gt;</v>
      </c>
      <c r="C373" s="1" t="str">
        <f>IF($K$231="Y",'Population Definitions'!$A$11,"...")</f>
        <v>65+_females</v>
      </c>
      <c r="D373" t="s">
        <v>62</v>
      </c>
      <c r="E373" s="3" t="s">
        <v>58</v>
      </c>
      <c r="F373" s="3"/>
      <c r="G373" s="3">
        <v>1</v>
      </c>
      <c r="H373" s="4" t="str">
        <f>IF($K$231="Y","OR","...")</f>
        <v>OR</v>
      </c>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row>
    <row r="374" spans="1:59" x14ac:dyDescent="0.25">
      <c r="A374" s="1" t="str">
        <f>IF($L$231="Y",'Population Definitions'!$A$11,"...")</f>
        <v>...</v>
      </c>
      <c r="B374" s="4" t="str">
        <f>IF($L$231="Y","---&gt;","...")</f>
        <v>...</v>
      </c>
      <c r="C374" s="1" t="str">
        <f>IF($L$231="Y",'Population Definitions'!$A$12,"...")</f>
        <v>...</v>
      </c>
      <c r="E374" s="2"/>
      <c r="F374" s="3"/>
      <c r="G374" s="2"/>
      <c r="H374" s="4" t="str">
        <f>IF($L$231="Y","OR","...")</f>
        <v>...</v>
      </c>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row>
    <row r="375" spans="1:59" x14ac:dyDescent="0.25">
      <c r="A375" s="1" t="str">
        <f>IF($M$231="Y",'Population Definitions'!$A$11,"...")</f>
        <v>...</v>
      </c>
      <c r="B375" s="4" t="str">
        <f>IF($M$231="Y","---&gt;","...")</f>
        <v>...</v>
      </c>
      <c r="C375" s="1" t="str">
        <f>IF($M$231="Y",'Population Definitions'!$A$13,"...")</f>
        <v>...</v>
      </c>
      <c r="E375" s="2"/>
      <c r="F375" s="3"/>
      <c r="G375" s="2"/>
      <c r="H375" s="4" t="str">
        <f>IF($M$231="Y","OR","...")</f>
        <v>...</v>
      </c>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row>
    <row r="376" spans="1:59" x14ac:dyDescent="0.25">
      <c r="A376" s="1" t="str">
        <f>IF($N$231="Y",'Population Definitions'!$A$11,"...")</f>
        <v>...</v>
      </c>
      <c r="B376" s="4" t="str">
        <f>IF($N$231="Y","---&gt;","...")</f>
        <v>...</v>
      </c>
      <c r="C376" s="1" t="str">
        <f>IF($N$231="Y",'Population Definitions'!$A$14,"...")</f>
        <v>...</v>
      </c>
      <c r="E376" s="2"/>
      <c r="F376" s="3"/>
      <c r="G376" s="2"/>
      <c r="H376" s="4" t="str">
        <f>IF($N$231="Y","OR","...")</f>
        <v>...</v>
      </c>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row>
    <row r="377" spans="1:59" x14ac:dyDescent="0.25">
      <c r="A377" s="1" t="str">
        <f>IF($O$231="Y",'Population Definitions'!$A$11,"...")</f>
        <v>...</v>
      </c>
      <c r="B377" s="4" t="str">
        <f>IF($O$231="Y","---&gt;","...")</f>
        <v>...</v>
      </c>
      <c r="C377" s="1" t="str">
        <f>IF($O$231="Y",'Population Definitions'!$A$15,"...")</f>
        <v>...</v>
      </c>
      <c r="E377" s="2"/>
      <c r="F377" s="3"/>
      <c r="G377" s="2"/>
      <c r="H377" s="4" t="str">
        <f>IF($O$231="Y","OR","...")</f>
        <v>...</v>
      </c>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row>
    <row r="378" spans="1:59" x14ac:dyDescent="0.25">
      <c r="A378" s="1" t="str">
        <f>IF($B$232="Y",'Population Definitions'!$A$12,"...")</f>
        <v>...</v>
      </c>
      <c r="B378" s="4" t="str">
        <f>IF($B$232="Y","---&gt;","...")</f>
        <v>...</v>
      </c>
      <c r="C378" s="1" t="str">
        <f>IF($B$232="Y",'Population Definitions'!$A$2,"...")</f>
        <v>...</v>
      </c>
      <c r="E378" s="2"/>
      <c r="F378" s="3"/>
      <c r="G378" s="2"/>
      <c r="H378" s="4" t="str">
        <f>IF($B$232="Y","OR","...")</f>
        <v>...</v>
      </c>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row>
    <row r="379" spans="1:59" x14ac:dyDescent="0.25">
      <c r="A379" s="1" t="str">
        <f>IF($C$232="Y",'Population Definitions'!$A$12,"...")</f>
        <v>...</v>
      </c>
      <c r="B379" s="4" t="str">
        <f>IF($C$232="Y","---&gt;","...")</f>
        <v>...</v>
      </c>
      <c r="C379" s="1" t="str">
        <f>IF($C$232="Y",'Population Definitions'!$A$3,"...")</f>
        <v>...</v>
      </c>
      <c r="E379" s="2"/>
      <c r="F379" s="3"/>
      <c r="G379" s="2"/>
      <c r="H379" s="4" t="str">
        <f>IF($C$232="Y","OR","...")</f>
        <v>...</v>
      </c>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row>
    <row r="380" spans="1:59" x14ac:dyDescent="0.25">
      <c r="A380" s="1" t="str">
        <f>IF($D$232="Y",'Population Definitions'!$A$12,"...")</f>
        <v>...</v>
      </c>
      <c r="B380" s="4" t="str">
        <f>IF($D$232="Y","---&gt;","...")</f>
        <v>...</v>
      </c>
      <c r="C380" s="1" t="str">
        <f>IF($D$232="Y",'Population Definitions'!$A$4,"...")</f>
        <v>...</v>
      </c>
      <c r="E380" s="2"/>
      <c r="F380" s="3"/>
      <c r="G380" s="2"/>
      <c r="H380" s="4" t="str">
        <f>IF($D$232="Y","OR","...")</f>
        <v>...</v>
      </c>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row>
    <row r="381" spans="1:59" x14ac:dyDescent="0.25">
      <c r="A381" s="1" t="str">
        <f>IF($E$232="Y",'Population Definitions'!$A$12,"...")</f>
        <v>...</v>
      </c>
      <c r="B381" s="4" t="str">
        <f>IF($E$232="Y","---&gt;","...")</f>
        <v>...</v>
      </c>
      <c r="C381" s="1" t="str">
        <f>IF($E$232="Y",'Population Definitions'!$A$5,"...")</f>
        <v>...</v>
      </c>
      <c r="E381" s="2"/>
      <c r="F381" s="3"/>
      <c r="G381" s="2"/>
      <c r="H381" s="4" t="str">
        <f>IF($E$232="Y","OR","...")</f>
        <v>...</v>
      </c>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row>
    <row r="382" spans="1:59" x14ac:dyDescent="0.25">
      <c r="A382" s="1" t="str">
        <f>IF($F$232="Y",'Population Definitions'!$A$12,"...")</f>
        <v>...</v>
      </c>
      <c r="B382" s="4" t="str">
        <f>IF($F$232="Y","---&gt;","...")</f>
        <v>...</v>
      </c>
      <c r="C382" s="1" t="str">
        <f>IF($F$232="Y",'Population Definitions'!$A$6,"...")</f>
        <v>...</v>
      </c>
      <c r="E382" s="2"/>
      <c r="F382" s="3"/>
      <c r="G382" s="2"/>
      <c r="H382" s="4" t="str">
        <f>IF($F$232="Y","OR","...")</f>
        <v>...</v>
      </c>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row>
    <row r="383" spans="1:59" x14ac:dyDescent="0.25">
      <c r="A383" s="1" t="str">
        <f>IF($G$232="Y",'Population Definitions'!$A$12,"...")</f>
        <v>...</v>
      </c>
      <c r="B383" s="4" t="str">
        <f>IF($G$232="Y","---&gt;","...")</f>
        <v>...</v>
      </c>
      <c r="C383" s="1" t="str">
        <f>IF($G$232="Y",'Population Definitions'!$A$7,"...")</f>
        <v>...</v>
      </c>
      <c r="E383" s="2"/>
      <c r="F383" s="3"/>
      <c r="G383" s="2"/>
      <c r="H383" s="4" t="str">
        <f>IF($G$232="Y","OR","...")</f>
        <v>...</v>
      </c>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row>
    <row r="384" spans="1:59" x14ac:dyDescent="0.25">
      <c r="A384" s="1" t="str">
        <f>IF($H$232="Y",'Population Definitions'!$A$12,"...")</f>
        <v>...</v>
      </c>
      <c r="B384" s="4" t="str">
        <f>IF($H$232="Y","---&gt;","...")</f>
        <v>...</v>
      </c>
      <c r="C384" s="1" t="str">
        <f>IF($H$232="Y",'Population Definitions'!$A$8,"...")</f>
        <v>...</v>
      </c>
      <c r="E384" s="2"/>
      <c r="F384" s="3"/>
      <c r="G384" s="2"/>
      <c r="H384" s="4" t="str">
        <f>IF($H$232="Y","OR","...")</f>
        <v>...</v>
      </c>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row>
    <row r="385" spans="1:59" x14ac:dyDescent="0.25">
      <c r="A385" s="1" t="str">
        <f>IF($I$232="Y",'Population Definitions'!$A$12,"...")</f>
        <v>...</v>
      </c>
      <c r="B385" s="4" t="str">
        <f>IF($I$232="Y","---&gt;","...")</f>
        <v>...</v>
      </c>
      <c r="C385" s="1" t="str">
        <f>IF($I$232="Y",'Population Definitions'!$A$9,"...")</f>
        <v>...</v>
      </c>
      <c r="E385" s="2"/>
      <c r="F385" s="3"/>
      <c r="G385" s="2"/>
      <c r="H385" s="4" t="str">
        <f>IF($I$232="Y","OR","...")</f>
        <v>...</v>
      </c>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row>
    <row r="386" spans="1:59" x14ac:dyDescent="0.25">
      <c r="A386" s="1" t="str">
        <f>IF($J$232="Y",'Population Definitions'!$A$12,"...")</f>
        <v>...</v>
      </c>
      <c r="B386" s="4" t="str">
        <f>IF($J$232="Y","---&gt;","...")</f>
        <v>...</v>
      </c>
      <c r="C386" s="1" t="str">
        <f>IF($J$232="Y",'Population Definitions'!$A$10,"...")</f>
        <v>...</v>
      </c>
      <c r="E386" s="2"/>
      <c r="F386" s="3"/>
      <c r="G386" s="2"/>
      <c r="H386" s="4" t="str">
        <f>IF($J$232="Y","OR","...")</f>
        <v>...</v>
      </c>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row>
    <row r="387" spans="1:59" x14ac:dyDescent="0.25">
      <c r="A387" s="1" t="str">
        <f>IF($K$232="Y",'Population Definitions'!$A$12,"...")</f>
        <v>...</v>
      </c>
      <c r="B387" s="4" t="str">
        <f>IF($K$232="Y","---&gt;","...")</f>
        <v>...</v>
      </c>
      <c r="C387" s="1" t="str">
        <f>IF($K$232="Y",'Population Definitions'!$A$11,"...")</f>
        <v>...</v>
      </c>
      <c r="E387" s="2"/>
      <c r="F387" s="3"/>
      <c r="G387" s="2"/>
      <c r="H387" s="4" t="str">
        <f>IF($K$232="Y","OR","...")</f>
        <v>...</v>
      </c>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row>
    <row r="388" spans="1:59" x14ac:dyDescent="0.25">
      <c r="A388" s="1" t="str">
        <f>IF($L$232="Y",'Population Definitions'!$A$12,"...")</f>
        <v>...</v>
      </c>
      <c r="B388" s="4" t="str">
        <f>IF($L$232="Y","---&gt;","...")</f>
        <v>...</v>
      </c>
      <c r="C388" s="1" t="str">
        <f>IF($L$232="Y",'Population Definitions'!$A$12,"...")</f>
        <v>...</v>
      </c>
      <c r="E388" s="2"/>
      <c r="F388" s="3"/>
      <c r="G388" s="2"/>
      <c r="H388" s="4" t="str">
        <f>IF($L$232="Y","OR","...")</f>
        <v>...</v>
      </c>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row>
    <row r="389" spans="1:59" x14ac:dyDescent="0.25">
      <c r="A389" s="1" t="str">
        <f>IF($M$232="Y",'Population Definitions'!$A$12,"...")</f>
        <v>...</v>
      </c>
      <c r="B389" s="4" t="str">
        <f>IF($M$232="Y","---&gt;","...")</f>
        <v>...</v>
      </c>
      <c r="C389" s="1" t="str">
        <f>IF($M$232="Y",'Population Definitions'!$A$13,"...")</f>
        <v>...</v>
      </c>
      <c r="E389" s="2"/>
      <c r="F389" s="3"/>
      <c r="G389" s="2"/>
      <c r="H389" s="4" t="str">
        <f>IF($M$232="Y","OR","...")</f>
        <v>...</v>
      </c>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row>
    <row r="390" spans="1:59" x14ac:dyDescent="0.25">
      <c r="A390" s="1" t="str">
        <f>IF($N$232="Y",'Population Definitions'!$A$12,"...")</f>
        <v>...</v>
      </c>
      <c r="B390" s="4" t="str">
        <f>IF($N$232="Y","---&gt;","...")</f>
        <v>...</v>
      </c>
      <c r="C390" s="1" t="str">
        <f>IF($N$232="Y",'Population Definitions'!$A$14,"...")</f>
        <v>...</v>
      </c>
      <c r="E390" s="2"/>
      <c r="F390" s="3"/>
      <c r="G390" s="2"/>
      <c r="H390" s="4" t="str">
        <f>IF($N$232="Y","OR","...")</f>
        <v>...</v>
      </c>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row>
    <row r="391" spans="1:59" x14ac:dyDescent="0.25">
      <c r="A391" s="1" t="str">
        <f>IF($O$232="Y",'Population Definitions'!$A$12,"...")</f>
        <v>...</v>
      </c>
      <c r="B391" s="4" t="str">
        <f>IF($O$232="Y","---&gt;","...")</f>
        <v>...</v>
      </c>
      <c r="C391" s="1" t="str">
        <f>IF($O$232="Y",'Population Definitions'!$A$15,"...")</f>
        <v>...</v>
      </c>
      <c r="E391" s="2"/>
      <c r="F391" s="3"/>
      <c r="G391" s="2"/>
      <c r="H391" s="4" t="str">
        <f>IF($O$232="Y","OR","...")</f>
        <v>...</v>
      </c>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row>
    <row r="392" spans="1:59" x14ac:dyDescent="0.25">
      <c r="A392" s="1" t="str">
        <f>IF($B$233="Y",'Population Definitions'!$A$13,"...")</f>
        <v>...</v>
      </c>
      <c r="B392" s="4" t="str">
        <f>IF($B$233="Y","---&gt;","...")</f>
        <v>...</v>
      </c>
      <c r="C392" s="1" t="str">
        <f>IF($B$233="Y",'Population Definitions'!$A$2,"...")</f>
        <v>...</v>
      </c>
      <c r="E392" s="2"/>
      <c r="F392" s="3"/>
      <c r="G392" s="2"/>
      <c r="H392" s="4" t="str">
        <f>IF($B$233="Y","OR","...")</f>
        <v>...</v>
      </c>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row>
    <row r="393" spans="1:59" x14ac:dyDescent="0.25">
      <c r="A393" s="1" t="str">
        <f>IF($C$233="Y",'Population Definitions'!$A$13,"...")</f>
        <v>...</v>
      </c>
      <c r="B393" s="4" t="str">
        <f>IF($C$233="Y","---&gt;","...")</f>
        <v>...</v>
      </c>
      <c r="C393" s="1" t="str">
        <f>IF($C$233="Y",'Population Definitions'!$A$3,"...")</f>
        <v>...</v>
      </c>
      <c r="E393" s="2"/>
      <c r="F393" s="3"/>
      <c r="G393" s="2"/>
      <c r="H393" s="4" t="str">
        <f>IF($C$233="Y","OR","...")</f>
        <v>...</v>
      </c>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row>
    <row r="394" spans="1:59" x14ac:dyDescent="0.25">
      <c r="A394" s="1" t="str">
        <f>IF($D$233="Y",'Population Definitions'!$A$13,"...")</f>
        <v>...</v>
      </c>
      <c r="B394" s="4" t="str">
        <f>IF($D$233="Y","---&gt;","...")</f>
        <v>...</v>
      </c>
      <c r="C394" s="1" t="str">
        <f>IF($D$233="Y",'Population Definitions'!$A$4,"...")</f>
        <v>...</v>
      </c>
      <c r="E394" s="2"/>
      <c r="F394" s="3"/>
      <c r="G394" s="2"/>
      <c r="H394" s="4" t="str">
        <f>IF($D$233="Y","OR","...")</f>
        <v>...</v>
      </c>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row>
    <row r="395" spans="1:59" x14ac:dyDescent="0.25">
      <c r="A395" s="1" t="str">
        <f>IF($E$233="Y",'Population Definitions'!$A$13,"...")</f>
        <v>...</v>
      </c>
      <c r="B395" s="4" t="str">
        <f>IF($E$233="Y","---&gt;","...")</f>
        <v>...</v>
      </c>
      <c r="C395" s="1" t="str">
        <f>IF($E$233="Y",'Population Definitions'!$A$5,"...")</f>
        <v>...</v>
      </c>
      <c r="E395" s="2"/>
      <c r="F395" s="3"/>
      <c r="G395" s="2"/>
      <c r="H395" s="4" t="str">
        <f>IF($E$233="Y","OR","...")</f>
        <v>...</v>
      </c>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row>
    <row r="396" spans="1:59" x14ac:dyDescent="0.25">
      <c r="A396" s="1" t="str">
        <f>IF($F$233="Y",'Population Definitions'!$A$13,"...")</f>
        <v>...</v>
      </c>
      <c r="B396" s="4" t="str">
        <f>IF($F$233="Y","---&gt;","...")</f>
        <v>...</v>
      </c>
      <c r="C396" s="1" t="str">
        <f>IF($F$233="Y",'Population Definitions'!$A$6,"...")</f>
        <v>...</v>
      </c>
      <c r="E396" s="2"/>
      <c r="F396" s="3"/>
      <c r="G396" s="2"/>
      <c r="H396" s="4" t="str">
        <f>IF($F$233="Y","OR","...")</f>
        <v>...</v>
      </c>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row>
    <row r="397" spans="1:59" x14ac:dyDescent="0.25">
      <c r="A397" s="1" t="str">
        <f>IF($G$233="Y",'Population Definitions'!$A$13,"...")</f>
        <v>...</v>
      </c>
      <c r="B397" s="4" t="str">
        <f>IF($G$233="Y","---&gt;","...")</f>
        <v>...</v>
      </c>
      <c r="C397" s="1" t="str">
        <f>IF($G$233="Y",'Population Definitions'!$A$7,"...")</f>
        <v>...</v>
      </c>
      <c r="E397" s="2"/>
      <c r="F397" s="3"/>
      <c r="G397" s="2"/>
      <c r="H397" s="4" t="str">
        <f>IF($G$233="Y","OR","...")</f>
        <v>...</v>
      </c>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row>
    <row r="398" spans="1:59" x14ac:dyDescent="0.25">
      <c r="A398" s="1" t="str">
        <f>IF($H$233="Y",'Population Definitions'!$A$13,"...")</f>
        <v>...</v>
      </c>
      <c r="B398" s="4" t="str">
        <f>IF($H$233="Y","---&gt;","...")</f>
        <v>...</v>
      </c>
      <c r="C398" s="1" t="str">
        <f>IF($H$233="Y",'Population Definitions'!$A$8,"...")</f>
        <v>...</v>
      </c>
      <c r="E398" s="2"/>
      <c r="F398" s="3"/>
      <c r="G398" s="2"/>
      <c r="H398" s="4" t="str">
        <f>IF($H$233="Y","OR","...")</f>
        <v>...</v>
      </c>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row>
    <row r="399" spans="1:59" x14ac:dyDescent="0.25">
      <c r="A399" s="1" t="str">
        <f>IF($I$233="Y",'Population Definitions'!$A$13,"...")</f>
        <v>...</v>
      </c>
      <c r="B399" s="4" t="str">
        <f>IF($I$233="Y","---&gt;","...")</f>
        <v>...</v>
      </c>
      <c r="C399" s="1" t="str">
        <f>IF($I$233="Y",'Population Definitions'!$A$9,"...")</f>
        <v>...</v>
      </c>
      <c r="E399" s="2"/>
      <c r="F399" s="3"/>
      <c r="G399" s="2"/>
      <c r="H399" s="4" t="str">
        <f>IF($I$233="Y","OR","...")</f>
        <v>...</v>
      </c>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row>
    <row r="400" spans="1:59" x14ac:dyDescent="0.25">
      <c r="A400" s="1" t="str">
        <f>IF($J$233="Y",'Population Definitions'!$A$13,"...")</f>
        <v>...</v>
      </c>
      <c r="B400" s="4" t="str">
        <f>IF($J$233="Y","---&gt;","...")</f>
        <v>...</v>
      </c>
      <c r="C400" s="1" t="str">
        <f>IF($J$233="Y",'Population Definitions'!$A$10,"...")</f>
        <v>...</v>
      </c>
      <c r="E400" s="2"/>
      <c r="F400" s="3"/>
      <c r="G400" s="2"/>
      <c r="H400" s="4" t="str">
        <f>IF($J$233="Y","OR","...")</f>
        <v>...</v>
      </c>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row>
    <row r="401" spans="1:59" x14ac:dyDescent="0.25">
      <c r="A401" s="1" t="str">
        <f>IF($K$233="Y",'Population Definitions'!$A$13,"...")</f>
        <v>...</v>
      </c>
      <c r="B401" s="4" t="str">
        <f>IF($K$233="Y","---&gt;","...")</f>
        <v>...</v>
      </c>
      <c r="C401" s="1" t="str">
        <f>IF($K$233="Y",'Population Definitions'!$A$11,"...")</f>
        <v>...</v>
      </c>
      <c r="E401" s="2"/>
      <c r="F401" s="3"/>
      <c r="G401" s="2"/>
      <c r="H401" s="4" t="str">
        <f>IF($K$233="Y","OR","...")</f>
        <v>...</v>
      </c>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row>
    <row r="402" spans="1:59" x14ac:dyDescent="0.25">
      <c r="A402" s="1" t="str">
        <f>IF($L$233="Y",'Population Definitions'!$A$13,"...")</f>
        <v>...</v>
      </c>
      <c r="B402" s="4" t="str">
        <f>IF($L$233="Y","---&gt;","...")</f>
        <v>...</v>
      </c>
      <c r="C402" s="1" t="str">
        <f>IF($L$233="Y",'Population Definitions'!$A$12,"...")</f>
        <v>...</v>
      </c>
      <c r="E402" s="2"/>
      <c r="F402" s="3"/>
      <c r="G402" s="2"/>
      <c r="H402" s="4" t="str">
        <f>IF($L$233="Y","OR","...")</f>
        <v>...</v>
      </c>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row>
    <row r="403" spans="1:59" x14ac:dyDescent="0.25">
      <c r="A403" s="1" t="str">
        <f>IF($M$233="Y",'Population Definitions'!$A$13,"...")</f>
        <v>...</v>
      </c>
      <c r="B403" s="4" t="str">
        <f>IF($M$233="Y","---&gt;","...")</f>
        <v>...</v>
      </c>
      <c r="C403" s="1" t="str">
        <f>IF($M$233="Y",'Population Definitions'!$A$13,"...")</f>
        <v>...</v>
      </c>
      <c r="E403" s="2"/>
      <c r="F403" s="3"/>
      <c r="G403" s="2"/>
      <c r="H403" s="4" t="str">
        <f>IF($M$233="Y","OR","...")</f>
        <v>...</v>
      </c>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row>
    <row r="404" spans="1:59" x14ac:dyDescent="0.25">
      <c r="A404" s="1" t="str">
        <f>IF($N$233="Y",'Population Definitions'!$A$13,"...")</f>
        <v>...</v>
      </c>
      <c r="B404" s="4" t="str">
        <f>IF($N$233="Y","---&gt;","...")</f>
        <v>...</v>
      </c>
      <c r="C404" s="1" t="str">
        <f>IF($N$233="Y",'Population Definitions'!$A$14,"...")</f>
        <v>...</v>
      </c>
      <c r="E404" s="2"/>
      <c r="F404" s="3"/>
      <c r="G404" s="2"/>
      <c r="H404" s="4" t="str">
        <f>IF($N$233="Y","OR","...")</f>
        <v>...</v>
      </c>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row>
    <row r="405" spans="1:59" x14ac:dyDescent="0.25">
      <c r="A405" s="1" t="str">
        <f>IF($O$233="Y",'Population Definitions'!$A$13,"...")</f>
        <v>...</v>
      </c>
      <c r="B405" s="4" t="str">
        <f>IF($O$233="Y","---&gt;","...")</f>
        <v>...</v>
      </c>
      <c r="C405" s="1" t="str">
        <f>IF($O$233="Y",'Population Definitions'!$A$15,"...")</f>
        <v>...</v>
      </c>
      <c r="E405" s="2"/>
      <c r="F405" s="3"/>
      <c r="G405" s="2"/>
      <c r="H405" s="4" t="str">
        <f>IF($O$233="Y","OR","...")</f>
        <v>...</v>
      </c>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row>
    <row r="406" spans="1:59" x14ac:dyDescent="0.25">
      <c r="A406" s="1" t="str">
        <f>IF($B$234="Y",'Population Definitions'!$A$14,"...")</f>
        <v>...</v>
      </c>
      <c r="B406" s="4" t="str">
        <f>IF($B$234="Y","---&gt;","...")</f>
        <v>...</v>
      </c>
      <c r="C406" s="1" t="str">
        <f>IF($B$234="Y",'Population Definitions'!$A$2,"...")</f>
        <v>...</v>
      </c>
      <c r="E406" s="2"/>
      <c r="F406" s="3"/>
      <c r="G406" s="2"/>
      <c r="H406" s="4" t="str">
        <f>IF($B$234="Y","OR","...")</f>
        <v>...</v>
      </c>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row>
    <row r="407" spans="1:59" x14ac:dyDescent="0.25">
      <c r="A407" s="1" t="str">
        <f>IF($C$234="Y",'Population Definitions'!$A$14,"...")</f>
        <v>...</v>
      </c>
      <c r="B407" s="4" t="str">
        <f>IF($C$234="Y","---&gt;","...")</f>
        <v>...</v>
      </c>
      <c r="C407" s="1" t="str">
        <f>IF($C$234="Y",'Population Definitions'!$A$3,"...")</f>
        <v>...</v>
      </c>
      <c r="E407" s="2"/>
      <c r="F407" s="3"/>
      <c r="G407" s="2"/>
      <c r="H407" s="4" t="str">
        <f>IF($C$234="Y","OR","...")</f>
        <v>...</v>
      </c>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row>
    <row r="408" spans="1:59" x14ac:dyDescent="0.25">
      <c r="A408" s="1" t="str">
        <f>IF($D$234="Y",'Population Definitions'!$A$14,"...")</f>
        <v>...</v>
      </c>
      <c r="B408" s="4" t="str">
        <f>IF($D$234="Y","---&gt;","...")</f>
        <v>...</v>
      </c>
      <c r="C408" s="1" t="str">
        <f>IF($D$234="Y",'Population Definitions'!$A$4,"...")</f>
        <v>...</v>
      </c>
      <c r="E408" s="2"/>
      <c r="F408" s="3"/>
      <c r="G408" s="2"/>
      <c r="H408" s="4" t="str">
        <f>IF($D$234="Y","OR","...")</f>
        <v>...</v>
      </c>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row>
    <row r="409" spans="1:59" x14ac:dyDescent="0.25">
      <c r="A409" s="1" t="str">
        <f>IF($E$234="Y",'Population Definitions'!$A$14,"...")</f>
        <v>...</v>
      </c>
      <c r="B409" s="4" t="str">
        <f>IF($E$234="Y","---&gt;","...")</f>
        <v>...</v>
      </c>
      <c r="C409" s="1" t="str">
        <f>IF($E$234="Y",'Population Definitions'!$A$5,"...")</f>
        <v>...</v>
      </c>
      <c r="E409" s="2"/>
      <c r="F409" s="3"/>
      <c r="G409" s="2"/>
      <c r="H409" s="4" t="str">
        <f>IF($E$234="Y","OR","...")</f>
        <v>...</v>
      </c>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row>
    <row r="410" spans="1:59" x14ac:dyDescent="0.25">
      <c r="A410" s="1" t="str">
        <f>IF($F$234="Y",'Population Definitions'!$A$14,"...")</f>
        <v>...</v>
      </c>
      <c r="B410" s="4" t="str">
        <f>IF($F$234="Y","---&gt;","...")</f>
        <v>...</v>
      </c>
      <c r="C410" s="1" t="str">
        <f>IF($F$234="Y",'Population Definitions'!$A$6,"...")</f>
        <v>...</v>
      </c>
      <c r="E410" s="2"/>
      <c r="F410" s="3"/>
      <c r="G410" s="2"/>
      <c r="H410" s="4" t="str">
        <f>IF($F$234="Y","OR","...")</f>
        <v>...</v>
      </c>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row>
    <row r="411" spans="1:59" x14ac:dyDescent="0.25">
      <c r="A411" s="1" t="str">
        <f>IF($G$234="Y",'Population Definitions'!$A$14,"...")</f>
        <v>...</v>
      </c>
      <c r="B411" s="4" t="str">
        <f>IF($G$234="Y","---&gt;","...")</f>
        <v>...</v>
      </c>
      <c r="C411" s="1" t="str">
        <f>IF($G$234="Y",'Population Definitions'!$A$7,"...")</f>
        <v>...</v>
      </c>
      <c r="E411" s="2"/>
      <c r="F411" s="3"/>
      <c r="G411" s="2"/>
      <c r="H411" s="4" t="str">
        <f>IF($G$234="Y","OR","...")</f>
        <v>...</v>
      </c>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row>
    <row r="412" spans="1:59" x14ac:dyDescent="0.25">
      <c r="A412" s="1" t="str">
        <f>IF($H$234="Y",'Population Definitions'!$A$14,"...")</f>
        <v>...</v>
      </c>
      <c r="B412" s="4" t="str">
        <f>IF($H$234="Y","---&gt;","...")</f>
        <v>...</v>
      </c>
      <c r="C412" s="1" t="str">
        <f>IF($H$234="Y",'Population Definitions'!$A$8,"...")</f>
        <v>...</v>
      </c>
      <c r="E412" s="2"/>
      <c r="F412" s="3"/>
      <c r="G412" s="2"/>
      <c r="H412" s="4" t="str">
        <f>IF($H$234="Y","OR","...")</f>
        <v>...</v>
      </c>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row>
    <row r="413" spans="1:59" x14ac:dyDescent="0.25">
      <c r="A413" s="1" t="str">
        <f>IF($I$234="Y",'Population Definitions'!$A$14,"...")</f>
        <v>...</v>
      </c>
      <c r="B413" s="4" t="str">
        <f>IF($I$234="Y","---&gt;","...")</f>
        <v>...</v>
      </c>
      <c r="C413" s="1" t="str">
        <f>IF($I$234="Y",'Population Definitions'!$A$9,"...")</f>
        <v>...</v>
      </c>
      <c r="E413" s="2"/>
      <c r="F413" s="3"/>
      <c r="G413" s="2"/>
      <c r="H413" s="4" t="str">
        <f>IF($I$234="Y","OR","...")</f>
        <v>...</v>
      </c>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row>
    <row r="414" spans="1:59" x14ac:dyDescent="0.25">
      <c r="A414" s="1" t="str">
        <f>IF($J$234="Y",'Population Definitions'!$A$14,"...")</f>
        <v>...</v>
      </c>
      <c r="B414" s="4" t="str">
        <f>IF($J$234="Y","---&gt;","...")</f>
        <v>...</v>
      </c>
      <c r="C414" s="1" t="str">
        <f>IF($J$234="Y",'Population Definitions'!$A$10,"...")</f>
        <v>...</v>
      </c>
      <c r="E414" s="2"/>
      <c r="F414" s="3"/>
      <c r="G414" s="2"/>
      <c r="H414" s="4" t="str">
        <f>IF($J$234="Y","OR","...")</f>
        <v>...</v>
      </c>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row>
    <row r="415" spans="1:59" x14ac:dyDescent="0.25">
      <c r="A415" s="1" t="str">
        <f>IF($K$234="Y",'Population Definitions'!$A$14,"...")</f>
        <v>...</v>
      </c>
      <c r="B415" s="4" t="str">
        <f>IF($K$234="Y","---&gt;","...")</f>
        <v>...</v>
      </c>
      <c r="C415" s="1" t="str">
        <f>IF($K$234="Y",'Population Definitions'!$A$11,"...")</f>
        <v>...</v>
      </c>
      <c r="E415" s="2"/>
      <c r="F415" s="3"/>
      <c r="G415" s="2"/>
      <c r="H415" s="4" t="str">
        <f>IF($K$234="Y","OR","...")</f>
        <v>...</v>
      </c>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row>
    <row r="416" spans="1:59" x14ac:dyDescent="0.25">
      <c r="A416" s="1" t="str">
        <f>IF($L$234="Y",'Population Definitions'!$A$14,"...")</f>
        <v>...</v>
      </c>
      <c r="B416" s="4" t="str">
        <f>IF($L$234="Y","---&gt;","...")</f>
        <v>...</v>
      </c>
      <c r="C416" s="1" t="str">
        <f>IF($L$234="Y",'Population Definitions'!$A$12,"...")</f>
        <v>...</v>
      </c>
      <c r="E416" s="2"/>
      <c r="F416" s="3"/>
      <c r="G416" s="2"/>
      <c r="H416" s="4" t="str">
        <f>IF($L$234="Y","OR","...")</f>
        <v>...</v>
      </c>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row>
    <row r="417" spans="1:59" x14ac:dyDescent="0.25">
      <c r="A417" s="1" t="str">
        <f>IF($M$234="Y",'Population Definitions'!$A$14,"...")</f>
        <v>...</v>
      </c>
      <c r="B417" s="4" t="str">
        <f>IF($M$234="Y","---&gt;","...")</f>
        <v>...</v>
      </c>
      <c r="C417" s="1" t="str">
        <f>IF($M$234="Y",'Population Definitions'!$A$13,"...")</f>
        <v>...</v>
      </c>
      <c r="E417" s="2"/>
      <c r="F417" s="3"/>
      <c r="G417" s="2"/>
      <c r="H417" s="4" t="str">
        <f>IF($M$234="Y","OR","...")</f>
        <v>...</v>
      </c>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row>
    <row r="418" spans="1:59" x14ac:dyDescent="0.25">
      <c r="A418" s="1" t="str">
        <f>IF($N$234="Y",'Population Definitions'!$A$14,"...")</f>
        <v>...</v>
      </c>
      <c r="B418" s="4" t="str">
        <f>IF($N$234="Y","---&gt;","...")</f>
        <v>...</v>
      </c>
      <c r="C418" s="1" t="str">
        <f>IF($N$234="Y",'Population Definitions'!$A$14,"...")</f>
        <v>...</v>
      </c>
      <c r="E418" s="2"/>
      <c r="F418" s="3"/>
      <c r="G418" s="2"/>
      <c r="H418" s="4" t="str">
        <f>IF($N$234="Y","OR","...")</f>
        <v>...</v>
      </c>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row>
    <row r="419" spans="1:59" x14ac:dyDescent="0.25">
      <c r="A419" s="1" t="str">
        <f>IF($O$234="Y",'Population Definitions'!$A$14,"...")</f>
        <v>...</v>
      </c>
      <c r="B419" s="4" t="str">
        <f>IF($O$234="Y","---&gt;","...")</f>
        <v>...</v>
      </c>
      <c r="C419" s="1" t="str">
        <f>IF($O$234="Y",'Population Definitions'!$A$15,"...")</f>
        <v>...</v>
      </c>
      <c r="E419" s="2"/>
      <c r="F419" s="3"/>
      <c r="G419" s="2"/>
      <c r="H419" s="4" t="str">
        <f>IF($O$234="Y","OR","...")</f>
        <v>...</v>
      </c>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row>
    <row r="420" spans="1:59" x14ac:dyDescent="0.25">
      <c r="A420" s="1" t="str">
        <f>IF($B$235="Y",'Population Definitions'!$A$15,"...")</f>
        <v>...</v>
      </c>
      <c r="B420" s="4" t="str">
        <f>IF($B$235="Y","---&gt;","...")</f>
        <v>...</v>
      </c>
      <c r="C420" s="1" t="str">
        <f>IF($B$235="Y",'Population Definitions'!$A$2,"...")</f>
        <v>...</v>
      </c>
      <c r="E420" s="2"/>
      <c r="F420" s="3"/>
      <c r="G420" s="2"/>
      <c r="H420" s="4" t="str">
        <f>IF($B$235="Y","OR","...")</f>
        <v>...</v>
      </c>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row>
    <row r="421" spans="1:59" x14ac:dyDescent="0.25">
      <c r="A421" s="1" t="str">
        <f>IF($C$235="Y",'Population Definitions'!$A$15,"...")</f>
        <v>...</v>
      </c>
      <c r="B421" s="4" t="str">
        <f>IF($C$235="Y","---&gt;","...")</f>
        <v>...</v>
      </c>
      <c r="C421" s="1" t="str">
        <f>IF($C$235="Y",'Population Definitions'!$A$3,"...")</f>
        <v>...</v>
      </c>
      <c r="E421" s="2"/>
      <c r="F421" s="3"/>
      <c r="G421" s="2"/>
      <c r="H421" s="4" t="str">
        <f>IF($C$235="Y","OR","...")</f>
        <v>...</v>
      </c>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row>
    <row r="422" spans="1:59" x14ac:dyDescent="0.25">
      <c r="A422" s="1" t="str">
        <f>IF($D$235="Y",'Population Definitions'!$A$15,"...")</f>
        <v>...</v>
      </c>
      <c r="B422" s="4" t="str">
        <f>IF($D$235="Y","---&gt;","...")</f>
        <v>...</v>
      </c>
      <c r="C422" s="1" t="str">
        <f>IF($D$235="Y",'Population Definitions'!$A$4,"...")</f>
        <v>...</v>
      </c>
      <c r="E422" s="2"/>
      <c r="F422" s="3"/>
      <c r="G422" s="2"/>
      <c r="H422" s="4" t="str">
        <f>IF($D$235="Y","OR","...")</f>
        <v>...</v>
      </c>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row>
    <row r="423" spans="1:59" x14ac:dyDescent="0.25">
      <c r="A423" s="1" t="str">
        <f>IF($E$235="Y",'Population Definitions'!$A$15,"...")</f>
        <v>...</v>
      </c>
      <c r="B423" s="4" t="str">
        <f>IF($E$235="Y","---&gt;","...")</f>
        <v>...</v>
      </c>
      <c r="C423" s="1" t="str">
        <f>IF($E$235="Y",'Population Definitions'!$A$5,"...")</f>
        <v>...</v>
      </c>
      <c r="E423" s="2"/>
      <c r="F423" s="3"/>
      <c r="G423" s="2"/>
      <c r="H423" s="4" t="str">
        <f>IF($E$235="Y","OR","...")</f>
        <v>...</v>
      </c>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row>
    <row r="424" spans="1:59" x14ac:dyDescent="0.25">
      <c r="A424" s="1" t="str">
        <f>IF($F$235="Y",'Population Definitions'!$A$15,"...")</f>
        <v>...</v>
      </c>
      <c r="B424" s="4" t="str">
        <f>IF($F$235="Y","---&gt;","...")</f>
        <v>...</v>
      </c>
      <c r="C424" s="1" t="str">
        <f>IF($F$235="Y",'Population Definitions'!$A$6,"...")</f>
        <v>...</v>
      </c>
      <c r="E424" s="2"/>
      <c r="F424" s="3"/>
      <c r="G424" s="2"/>
      <c r="H424" s="4" t="str">
        <f>IF($F$235="Y","OR","...")</f>
        <v>...</v>
      </c>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row>
    <row r="425" spans="1:59" x14ac:dyDescent="0.25">
      <c r="A425" s="1" t="str">
        <f>IF($G$235="Y",'Population Definitions'!$A$15,"...")</f>
        <v>...</v>
      </c>
      <c r="B425" s="4" t="str">
        <f>IF($G$235="Y","---&gt;","...")</f>
        <v>...</v>
      </c>
      <c r="C425" s="1" t="str">
        <f>IF($G$235="Y",'Population Definitions'!$A$7,"...")</f>
        <v>...</v>
      </c>
      <c r="E425" s="2"/>
      <c r="F425" s="3"/>
      <c r="G425" s="2"/>
      <c r="H425" s="4" t="str">
        <f>IF($G$235="Y","OR","...")</f>
        <v>...</v>
      </c>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row>
    <row r="426" spans="1:59" x14ac:dyDescent="0.25">
      <c r="A426" s="1" t="str">
        <f>IF($H$235="Y",'Population Definitions'!$A$15,"...")</f>
        <v>...</v>
      </c>
      <c r="B426" s="4" t="str">
        <f>IF($H$235="Y","---&gt;","...")</f>
        <v>...</v>
      </c>
      <c r="C426" s="1" t="str">
        <f>IF($H$235="Y",'Population Definitions'!$A$8,"...")</f>
        <v>...</v>
      </c>
      <c r="E426" s="2"/>
      <c r="F426" s="3"/>
      <c r="G426" s="2"/>
      <c r="H426" s="4" t="str">
        <f>IF($H$235="Y","OR","...")</f>
        <v>...</v>
      </c>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row>
    <row r="427" spans="1:59" x14ac:dyDescent="0.25">
      <c r="A427" s="1" t="str">
        <f>IF($I$235="Y",'Population Definitions'!$A$15,"...")</f>
        <v>...</v>
      </c>
      <c r="B427" s="4" t="str">
        <f>IF($I$235="Y","---&gt;","...")</f>
        <v>...</v>
      </c>
      <c r="C427" s="1" t="str">
        <f>IF($I$235="Y",'Population Definitions'!$A$9,"...")</f>
        <v>...</v>
      </c>
      <c r="E427" s="2"/>
      <c r="F427" s="3"/>
      <c r="G427" s="2"/>
      <c r="H427" s="4" t="str">
        <f>IF($I$235="Y","OR","...")</f>
        <v>...</v>
      </c>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row>
    <row r="428" spans="1:59" x14ac:dyDescent="0.25">
      <c r="A428" s="1" t="str">
        <f>IF($J$235="Y",'Population Definitions'!$A$15,"...")</f>
        <v>...</v>
      </c>
      <c r="B428" s="4" t="str">
        <f>IF($J$235="Y","---&gt;","...")</f>
        <v>...</v>
      </c>
      <c r="C428" s="1" t="str">
        <f>IF($J$235="Y",'Population Definitions'!$A$10,"...")</f>
        <v>...</v>
      </c>
      <c r="E428" s="2"/>
      <c r="F428" s="3"/>
      <c r="G428" s="2"/>
      <c r="H428" s="4" t="str">
        <f>IF($J$235="Y","OR","...")</f>
        <v>...</v>
      </c>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row>
    <row r="429" spans="1:59" x14ac:dyDescent="0.25">
      <c r="A429" s="1" t="str">
        <f>IF($K$235="Y",'Population Definitions'!$A$15,"...")</f>
        <v>...</v>
      </c>
      <c r="B429" s="4" t="str">
        <f>IF($K$235="Y","---&gt;","...")</f>
        <v>...</v>
      </c>
      <c r="C429" s="1" t="str">
        <f>IF($K$235="Y",'Population Definitions'!$A$11,"...")</f>
        <v>...</v>
      </c>
      <c r="E429" s="2"/>
      <c r="F429" s="3"/>
      <c r="G429" s="2"/>
      <c r="H429" s="4" t="str">
        <f>IF($K$235="Y","OR","...")</f>
        <v>...</v>
      </c>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row>
    <row r="430" spans="1:59" x14ac:dyDescent="0.25">
      <c r="A430" s="1" t="str">
        <f>IF($L$235="Y",'Population Definitions'!$A$15,"...")</f>
        <v>...</v>
      </c>
      <c r="B430" s="4" t="str">
        <f>IF($L$235="Y","---&gt;","...")</f>
        <v>...</v>
      </c>
      <c r="C430" s="1" t="str">
        <f>IF($L$235="Y",'Population Definitions'!$A$12,"...")</f>
        <v>...</v>
      </c>
      <c r="E430" s="2"/>
      <c r="F430" s="3"/>
      <c r="G430" s="2"/>
      <c r="H430" s="4" t="str">
        <f>IF($L$235="Y","OR","...")</f>
        <v>...</v>
      </c>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row>
    <row r="431" spans="1:59" x14ac:dyDescent="0.25">
      <c r="A431" s="1" t="str">
        <f>IF($M$235="Y",'Population Definitions'!$A$15,"...")</f>
        <v>...</v>
      </c>
      <c r="B431" s="4" t="str">
        <f>IF($M$235="Y","---&gt;","...")</f>
        <v>...</v>
      </c>
      <c r="C431" s="1" t="str">
        <f>IF($M$235="Y",'Population Definitions'!$A$13,"...")</f>
        <v>...</v>
      </c>
      <c r="E431" s="2"/>
      <c r="F431" s="3"/>
      <c r="G431" s="2"/>
      <c r="H431" s="4" t="str">
        <f>IF($M$235="Y","OR","...")</f>
        <v>...</v>
      </c>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row>
    <row r="432" spans="1:59" x14ac:dyDescent="0.25">
      <c r="A432" s="1" t="str">
        <f>IF($N$235="Y",'Population Definitions'!$A$15,"...")</f>
        <v>...</v>
      </c>
      <c r="B432" s="4" t="str">
        <f>IF($N$235="Y","---&gt;","...")</f>
        <v>...</v>
      </c>
      <c r="C432" s="1" t="str">
        <f>IF($N$235="Y",'Population Definitions'!$A$14,"...")</f>
        <v>...</v>
      </c>
      <c r="E432" s="2"/>
      <c r="F432" s="3"/>
      <c r="G432" s="2"/>
      <c r="H432" s="4" t="str">
        <f>IF($N$235="Y","OR","...")</f>
        <v>...</v>
      </c>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row>
    <row r="433" spans="1:59" x14ac:dyDescent="0.25">
      <c r="A433" s="1" t="str">
        <f>IF($O$235="Y",'Population Definitions'!$A$15,"...")</f>
        <v>...</v>
      </c>
      <c r="B433" s="4" t="str">
        <f>IF($O$235="Y","---&gt;","...")</f>
        <v>...</v>
      </c>
      <c r="C433" s="1" t="str">
        <f>IF($O$235="Y",'Population Definitions'!$A$15,"...")</f>
        <v>...</v>
      </c>
      <c r="E433" s="2"/>
      <c r="F433" s="3"/>
      <c r="G433" s="2"/>
      <c r="H433" s="4" t="str">
        <f>IF($O$235="Y","OR","...")</f>
        <v>...</v>
      </c>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row>
  </sheetData>
  <conditionalFormatting sqref="B5:O18">
    <cfRule type="cellIs" dxfId="1149" priority="1" operator="equal">
      <formula>"Y"</formula>
    </cfRule>
    <cfRule type="cellIs" dxfId="1148" priority="2" operator="equal">
      <formula>"N"</formula>
    </cfRule>
  </conditionalFormatting>
  <conditionalFormatting sqref="B222:O235">
    <cfRule type="cellIs" dxfId="1147" priority="981" operator="equal">
      <formula>"Y"</formula>
    </cfRule>
    <cfRule type="cellIs" dxfId="1146" priority="982" operator="equal">
      <formula>"N"</formula>
    </cfRule>
  </conditionalFormatting>
  <conditionalFormatting sqref="D21:BG21">
    <cfRule type="expression" dxfId="1145" priority="395">
      <formula>$B$5&lt;&gt;"Y"</formula>
    </cfRule>
  </conditionalFormatting>
  <conditionalFormatting sqref="D22:BG22">
    <cfRule type="expression" dxfId="1144" priority="398">
      <formula>$C$5&lt;&gt;"Y"</formula>
    </cfRule>
  </conditionalFormatting>
  <conditionalFormatting sqref="D23:BG23">
    <cfRule type="expression" dxfId="1143" priority="401">
      <formula>$D$5&lt;&gt;"Y"</formula>
    </cfRule>
  </conditionalFormatting>
  <conditionalFormatting sqref="D24:BG24">
    <cfRule type="expression" dxfId="1142" priority="404">
      <formula>$E$5&lt;&gt;"Y"</formula>
    </cfRule>
  </conditionalFormatting>
  <conditionalFormatting sqref="D25:BG25">
    <cfRule type="expression" dxfId="1141" priority="407">
      <formula>$F$5&lt;&gt;"Y"</formula>
    </cfRule>
  </conditionalFormatting>
  <conditionalFormatting sqref="D26:BG26">
    <cfRule type="expression" dxfId="1140" priority="410">
      <formula>$G$5&lt;&gt;"Y"</formula>
    </cfRule>
  </conditionalFormatting>
  <conditionalFormatting sqref="D27:BG27">
    <cfRule type="expression" dxfId="1139" priority="413">
      <formula>$H$5&lt;&gt;"Y"</formula>
    </cfRule>
  </conditionalFormatting>
  <conditionalFormatting sqref="D28:BG28">
    <cfRule type="expression" dxfId="1138" priority="416">
      <formula>$I$5&lt;&gt;"Y"</formula>
    </cfRule>
  </conditionalFormatting>
  <conditionalFormatting sqref="D29:BG29">
    <cfRule type="expression" dxfId="1137" priority="419">
      <formula>$J$5&lt;&gt;"Y"</formula>
    </cfRule>
  </conditionalFormatting>
  <conditionalFormatting sqref="D30:BG30">
    <cfRule type="expression" dxfId="1136" priority="422">
      <formula>$K$5&lt;&gt;"Y"</formula>
    </cfRule>
  </conditionalFormatting>
  <conditionalFormatting sqref="D31:BG31">
    <cfRule type="expression" dxfId="1135" priority="425">
      <formula>$L$5&lt;&gt;"Y"</formula>
    </cfRule>
  </conditionalFormatting>
  <conditionalFormatting sqref="D32:BG32">
    <cfRule type="expression" dxfId="1134" priority="428">
      <formula>$M$5&lt;&gt;"Y"</formula>
    </cfRule>
  </conditionalFormatting>
  <conditionalFormatting sqref="D33:BG33">
    <cfRule type="expression" dxfId="1133" priority="431">
      <formula>$N$5&lt;&gt;"Y"</formula>
    </cfRule>
  </conditionalFormatting>
  <conditionalFormatting sqref="D34:BG34">
    <cfRule type="expression" dxfId="1132" priority="434">
      <formula>$O$5&lt;&gt;"Y"</formula>
    </cfRule>
  </conditionalFormatting>
  <conditionalFormatting sqref="D35:BG35">
    <cfRule type="expression" dxfId="1131" priority="437">
      <formula>$B$6&lt;&gt;"Y"</formula>
    </cfRule>
  </conditionalFormatting>
  <conditionalFormatting sqref="D36:BG36">
    <cfRule type="expression" dxfId="1130" priority="440">
      <formula>$C$6&lt;&gt;"Y"</formula>
    </cfRule>
  </conditionalFormatting>
  <conditionalFormatting sqref="D37:BG37">
    <cfRule type="expression" dxfId="1129" priority="443">
      <formula>$D$6&lt;&gt;"Y"</formula>
    </cfRule>
  </conditionalFormatting>
  <conditionalFormatting sqref="D38:BG38">
    <cfRule type="expression" dxfId="1128" priority="446">
      <formula>$E$6&lt;&gt;"Y"</formula>
    </cfRule>
  </conditionalFormatting>
  <conditionalFormatting sqref="D39:BG39">
    <cfRule type="expression" dxfId="1127" priority="449">
      <formula>$F$6&lt;&gt;"Y"</formula>
    </cfRule>
  </conditionalFormatting>
  <conditionalFormatting sqref="D40:BG40">
    <cfRule type="expression" dxfId="1126" priority="452">
      <formula>$G$6&lt;&gt;"Y"</formula>
    </cfRule>
  </conditionalFormatting>
  <conditionalFormatting sqref="D41:BG41">
    <cfRule type="expression" dxfId="1125" priority="455">
      <formula>$H$6&lt;&gt;"Y"</formula>
    </cfRule>
  </conditionalFormatting>
  <conditionalFormatting sqref="D42:BG42">
    <cfRule type="expression" dxfId="1124" priority="458">
      <formula>$I$6&lt;&gt;"Y"</formula>
    </cfRule>
  </conditionalFormatting>
  <conditionalFormatting sqref="D43:BG43">
    <cfRule type="expression" dxfId="1123" priority="461">
      <formula>$J$6&lt;&gt;"Y"</formula>
    </cfRule>
  </conditionalFormatting>
  <conditionalFormatting sqref="D44:BG44">
    <cfRule type="expression" dxfId="1122" priority="464">
      <formula>$K$6&lt;&gt;"Y"</formula>
    </cfRule>
  </conditionalFormatting>
  <conditionalFormatting sqref="D45:BG45">
    <cfRule type="expression" dxfId="1121" priority="467">
      <formula>$L$6&lt;&gt;"Y"</formula>
    </cfRule>
  </conditionalFormatting>
  <conditionalFormatting sqref="D46:BG46">
    <cfRule type="expression" dxfId="1120" priority="470">
      <formula>$M$6&lt;&gt;"Y"</formula>
    </cfRule>
  </conditionalFormatting>
  <conditionalFormatting sqref="D47:BG47">
    <cfRule type="expression" dxfId="1119" priority="473">
      <formula>$N$6&lt;&gt;"Y"</formula>
    </cfRule>
  </conditionalFormatting>
  <conditionalFormatting sqref="D48:BG48">
    <cfRule type="expression" dxfId="1118" priority="476">
      <formula>$O$6&lt;&gt;"Y"</formula>
    </cfRule>
  </conditionalFormatting>
  <conditionalFormatting sqref="D49:BG49">
    <cfRule type="expression" dxfId="1117" priority="479">
      <formula>$B$7&lt;&gt;"Y"</formula>
    </cfRule>
  </conditionalFormatting>
  <conditionalFormatting sqref="D50:BG50">
    <cfRule type="expression" dxfId="1116" priority="482">
      <formula>$C$7&lt;&gt;"Y"</formula>
    </cfRule>
  </conditionalFormatting>
  <conditionalFormatting sqref="D51:BG51">
    <cfRule type="expression" dxfId="1115" priority="485">
      <formula>$D$7&lt;&gt;"Y"</formula>
    </cfRule>
  </conditionalFormatting>
  <conditionalFormatting sqref="D52:BG52">
    <cfRule type="expression" dxfId="1114" priority="488">
      <formula>$E$7&lt;&gt;"Y"</formula>
    </cfRule>
  </conditionalFormatting>
  <conditionalFormatting sqref="D53:BG53">
    <cfRule type="expression" dxfId="1113" priority="491">
      <formula>$F$7&lt;&gt;"Y"</formula>
    </cfRule>
  </conditionalFormatting>
  <conditionalFormatting sqref="D54:BG54">
    <cfRule type="expression" dxfId="1112" priority="494">
      <formula>$G$7&lt;&gt;"Y"</formula>
    </cfRule>
  </conditionalFormatting>
  <conditionalFormatting sqref="D55:BG55">
    <cfRule type="expression" dxfId="1111" priority="497">
      <formula>$H$7&lt;&gt;"Y"</formula>
    </cfRule>
  </conditionalFormatting>
  <conditionalFormatting sqref="D56:BG56">
    <cfRule type="expression" dxfId="1110" priority="500">
      <formula>$I$7&lt;&gt;"Y"</formula>
    </cfRule>
  </conditionalFormatting>
  <conditionalFormatting sqref="D57:BG57">
    <cfRule type="expression" dxfId="1109" priority="503">
      <formula>$J$7&lt;&gt;"Y"</formula>
    </cfRule>
  </conditionalFormatting>
  <conditionalFormatting sqref="D58:BG58">
    <cfRule type="expression" dxfId="1108" priority="506">
      <formula>$K$7&lt;&gt;"Y"</formula>
    </cfRule>
  </conditionalFormatting>
  <conditionalFormatting sqref="D59:BG59">
    <cfRule type="expression" dxfId="1107" priority="509">
      <formula>$L$7&lt;&gt;"Y"</formula>
    </cfRule>
  </conditionalFormatting>
  <conditionalFormatting sqref="D60:BG60">
    <cfRule type="expression" dxfId="1106" priority="512">
      <formula>$M$7&lt;&gt;"Y"</formula>
    </cfRule>
  </conditionalFormatting>
  <conditionalFormatting sqref="D61:BG61">
    <cfRule type="expression" dxfId="1105" priority="515">
      <formula>$N$7&lt;&gt;"Y"</formula>
    </cfRule>
  </conditionalFormatting>
  <conditionalFormatting sqref="D62:BG62">
    <cfRule type="expression" dxfId="1104" priority="518">
      <formula>$O$7&lt;&gt;"Y"</formula>
    </cfRule>
  </conditionalFormatting>
  <conditionalFormatting sqref="D63:BG63">
    <cfRule type="expression" dxfId="1103" priority="521">
      <formula>$B$8&lt;&gt;"Y"</formula>
    </cfRule>
  </conditionalFormatting>
  <conditionalFormatting sqref="D64:BG64">
    <cfRule type="expression" dxfId="1102" priority="524">
      <formula>$C$8&lt;&gt;"Y"</formula>
    </cfRule>
  </conditionalFormatting>
  <conditionalFormatting sqref="D65:BG65">
    <cfRule type="expression" dxfId="1101" priority="527">
      <formula>$D$8&lt;&gt;"Y"</formula>
    </cfRule>
  </conditionalFormatting>
  <conditionalFormatting sqref="D66:BG66">
    <cfRule type="expression" dxfId="1100" priority="530">
      <formula>$E$8&lt;&gt;"Y"</formula>
    </cfRule>
  </conditionalFormatting>
  <conditionalFormatting sqref="D67:BG67">
    <cfRule type="expression" dxfId="1099" priority="533">
      <formula>$F$8&lt;&gt;"Y"</formula>
    </cfRule>
  </conditionalFormatting>
  <conditionalFormatting sqref="D68:BG68">
    <cfRule type="expression" dxfId="1098" priority="536">
      <formula>$G$8&lt;&gt;"Y"</formula>
    </cfRule>
  </conditionalFormatting>
  <conditionalFormatting sqref="D69:BG69">
    <cfRule type="expression" dxfId="1097" priority="539">
      <formula>$H$8&lt;&gt;"Y"</formula>
    </cfRule>
  </conditionalFormatting>
  <conditionalFormatting sqref="D70:BG70">
    <cfRule type="expression" dxfId="1096" priority="542">
      <formula>$I$8&lt;&gt;"Y"</formula>
    </cfRule>
  </conditionalFormatting>
  <conditionalFormatting sqref="D71:BG71">
    <cfRule type="expression" dxfId="1095" priority="545">
      <formula>$J$8&lt;&gt;"Y"</formula>
    </cfRule>
  </conditionalFormatting>
  <conditionalFormatting sqref="D72:BG72">
    <cfRule type="expression" dxfId="1094" priority="548">
      <formula>$K$8&lt;&gt;"Y"</formula>
    </cfRule>
  </conditionalFormatting>
  <conditionalFormatting sqref="D73:BG73">
    <cfRule type="expression" dxfId="1093" priority="551">
      <formula>$L$8&lt;&gt;"Y"</formula>
    </cfRule>
  </conditionalFormatting>
  <conditionalFormatting sqref="D74:BG74">
    <cfRule type="expression" dxfId="1092" priority="554">
      <formula>$M$8&lt;&gt;"Y"</formula>
    </cfRule>
  </conditionalFormatting>
  <conditionalFormatting sqref="D75:BG75">
    <cfRule type="expression" dxfId="1091" priority="557">
      <formula>$N$8&lt;&gt;"Y"</formula>
    </cfRule>
  </conditionalFormatting>
  <conditionalFormatting sqref="D76:BG76">
    <cfRule type="expression" dxfId="1090" priority="560">
      <formula>$O$8&lt;&gt;"Y"</formula>
    </cfRule>
  </conditionalFormatting>
  <conditionalFormatting sqref="D77:BG77">
    <cfRule type="expression" dxfId="1089" priority="563">
      <formula>$B$9&lt;&gt;"Y"</formula>
    </cfRule>
  </conditionalFormatting>
  <conditionalFormatting sqref="D78:BG78">
    <cfRule type="expression" dxfId="1088" priority="566">
      <formula>$C$9&lt;&gt;"Y"</formula>
    </cfRule>
  </conditionalFormatting>
  <conditionalFormatting sqref="D79:BG79">
    <cfRule type="expression" dxfId="1087" priority="569">
      <formula>$D$9&lt;&gt;"Y"</formula>
    </cfRule>
  </conditionalFormatting>
  <conditionalFormatting sqref="D80:BG80">
    <cfRule type="expression" dxfId="1086" priority="572">
      <formula>$E$9&lt;&gt;"Y"</formula>
    </cfRule>
  </conditionalFormatting>
  <conditionalFormatting sqref="D81:BG81">
    <cfRule type="expression" dxfId="1085" priority="575">
      <formula>$F$9&lt;&gt;"Y"</formula>
    </cfRule>
  </conditionalFormatting>
  <conditionalFormatting sqref="D82:BG82">
    <cfRule type="expression" dxfId="1084" priority="578">
      <formula>$G$9&lt;&gt;"Y"</formula>
    </cfRule>
  </conditionalFormatting>
  <conditionalFormatting sqref="D83:BG83">
    <cfRule type="expression" dxfId="1083" priority="581">
      <formula>$H$9&lt;&gt;"Y"</formula>
    </cfRule>
  </conditionalFormatting>
  <conditionalFormatting sqref="D84:BG84">
    <cfRule type="expression" dxfId="1082" priority="584">
      <formula>$I$9&lt;&gt;"Y"</formula>
    </cfRule>
  </conditionalFormatting>
  <conditionalFormatting sqref="D85:BG85">
    <cfRule type="expression" dxfId="1081" priority="587">
      <formula>$J$9&lt;&gt;"Y"</formula>
    </cfRule>
  </conditionalFormatting>
  <conditionalFormatting sqref="D86:BG86">
    <cfRule type="expression" dxfId="1080" priority="590">
      <formula>$K$9&lt;&gt;"Y"</formula>
    </cfRule>
  </conditionalFormatting>
  <conditionalFormatting sqref="D87:BG87">
    <cfRule type="expression" dxfId="1079" priority="593">
      <formula>$L$9&lt;&gt;"Y"</formula>
    </cfRule>
  </conditionalFormatting>
  <conditionalFormatting sqref="D88:BG88">
    <cfRule type="expression" dxfId="1078" priority="596">
      <formula>$M$9&lt;&gt;"Y"</formula>
    </cfRule>
  </conditionalFormatting>
  <conditionalFormatting sqref="D89:BG89">
    <cfRule type="expression" dxfId="1077" priority="599">
      <formula>$N$9&lt;&gt;"Y"</formula>
    </cfRule>
  </conditionalFormatting>
  <conditionalFormatting sqref="D90:BG90">
    <cfRule type="expression" dxfId="1076" priority="602">
      <formula>$O$9&lt;&gt;"Y"</formula>
    </cfRule>
  </conditionalFormatting>
  <conditionalFormatting sqref="D91:BG91">
    <cfRule type="expression" dxfId="1075" priority="605">
      <formula>$B$10&lt;&gt;"Y"</formula>
    </cfRule>
  </conditionalFormatting>
  <conditionalFormatting sqref="D92:BG92">
    <cfRule type="expression" dxfId="1074" priority="608">
      <formula>$C$10&lt;&gt;"Y"</formula>
    </cfRule>
  </conditionalFormatting>
  <conditionalFormatting sqref="D93:BG93">
    <cfRule type="expression" dxfId="1073" priority="611">
      <formula>$D$10&lt;&gt;"Y"</formula>
    </cfRule>
  </conditionalFormatting>
  <conditionalFormatting sqref="D94:BG94">
    <cfRule type="expression" dxfId="1072" priority="614">
      <formula>$E$10&lt;&gt;"Y"</formula>
    </cfRule>
  </conditionalFormatting>
  <conditionalFormatting sqref="D95:BG95">
    <cfRule type="expression" dxfId="1071" priority="617">
      <formula>$F$10&lt;&gt;"Y"</formula>
    </cfRule>
  </conditionalFormatting>
  <conditionalFormatting sqref="D96:BG96">
    <cfRule type="expression" dxfId="1070" priority="620">
      <formula>$G$10&lt;&gt;"Y"</formula>
    </cfRule>
  </conditionalFormatting>
  <conditionalFormatting sqref="D97:BG97">
    <cfRule type="expression" dxfId="1069" priority="623">
      <formula>$H$10&lt;&gt;"Y"</formula>
    </cfRule>
  </conditionalFormatting>
  <conditionalFormatting sqref="D98:BG98">
    <cfRule type="expression" dxfId="1068" priority="626">
      <formula>$I$10&lt;&gt;"Y"</formula>
    </cfRule>
  </conditionalFormatting>
  <conditionalFormatting sqref="D99:BG99">
    <cfRule type="expression" dxfId="1067" priority="629">
      <formula>$J$10&lt;&gt;"Y"</formula>
    </cfRule>
  </conditionalFormatting>
  <conditionalFormatting sqref="D100:BG100">
    <cfRule type="expression" dxfId="1066" priority="632">
      <formula>$K$10&lt;&gt;"Y"</formula>
    </cfRule>
  </conditionalFormatting>
  <conditionalFormatting sqref="D101:BG101">
    <cfRule type="expression" dxfId="1065" priority="635">
      <formula>$L$10&lt;&gt;"Y"</formula>
    </cfRule>
  </conditionalFormatting>
  <conditionalFormatting sqref="D102:BG102">
    <cfRule type="expression" dxfId="1064" priority="638">
      <formula>$M$10&lt;&gt;"Y"</formula>
    </cfRule>
  </conditionalFormatting>
  <conditionalFormatting sqref="D103:BG103">
    <cfRule type="expression" dxfId="1063" priority="641">
      <formula>$N$10&lt;&gt;"Y"</formula>
    </cfRule>
  </conditionalFormatting>
  <conditionalFormatting sqref="D104:BG104">
    <cfRule type="expression" dxfId="1062" priority="644">
      <formula>$O$10&lt;&gt;"Y"</formula>
    </cfRule>
  </conditionalFormatting>
  <conditionalFormatting sqref="D105:BG105">
    <cfRule type="expression" dxfId="1061" priority="647">
      <formula>$B$11&lt;&gt;"Y"</formula>
    </cfRule>
  </conditionalFormatting>
  <conditionalFormatting sqref="D106:BG106">
    <cfRule type="expression" dxfId="1060" priority="650">
      <formula>$C$11&lt;&gt;"Y"</formula>
    </cfRule>
  </conditionalFormatting>
  <conditionalFormatting sqref="D107:BG107">
    <cfRule type="expression" dxfId="1059" priority="653">
      <formula>$D$11&lt;&gt;"Y"</formula>
    </cfRule>
  </conditionalFormatting>
  <conditionalFormatting sqref="D108:BG108">
    <cfRule type="expression" dxfId="1058" priority="656">
      <formula>$E$11&lt;&gt;"Y"</formula>
    </cfRule>
  </conditionalFormatting>
  <conditionalFormatting sqref="D109:BG109">
    <cfRule type="expression" dxfId="1057" priority="659">
      <formula>$F$11&lt;&gt;"Y"</formula>
    </cfRule>
  </conditionalFormatting>
  <conditionalFormatting sqref="D110:BG110">
    <cfRule type="expression" dxfId="1056" priority="662">
      <formula>$G$11&lt;&gt;"Y"</formula>
    </cfRule>
  </conditionalFormatting>
  <conditionalFormatting sqref="D111:BG111">
    <cfRule type="expression" dxfId="1055" priority="665">
      <formula>$H$11&lt;&gt;"Y"</formula>
    </cfRule>
  </conditionalFormatting>
  <conditionalFormatting sqref="D112:BG112">
    <cfRule type="expression" dxfId="1054" priority="668">
      <formula>$I$11&lt;&gt;"Y"</formula>
    </cfRule>
  </conditionalFormatting>
  <conditionalFormatting sqref="D113:BG113">
    <cfRule type="expression" dxfId="1053" priority="671">
      <formula>$J$11&lt;&gt;"Y"</formula>
    </cfRule>
  </conditionalFormatting>
  <conditionalFormatting sqref="D114:BG114">
    <cfRule type="expression" dxfId="1052" priority="674">
      <formula>$K$11&lt;&gt;"Y"</formula>
    </cfRule>
  </conditionalFormatting>
  <conditionalFormatting sqref="D115:BG115">
    <cfRule type="expression" dxfId="1051" priority="677">
      <formula>$L$11&lt;&gt;"Y"</formula>
    </cfRule>
  </conditionalFormatting>
  <conditionalFormatting sqref="D116:BG116">
    <cfRule type="expression" dxfId="1050" priority="680">
      <formula>$M$11&lt;&gt;"Y"</formula>
    </cfRule>
  </conditionalFormatting>
  <conditionalFormatting sqref="D117:BG117">
    <cfRule type="expression" dxfId="1049" priority="683">
      <formula>$N$11&lt;&gt;"Y"</formula>
    </cfRule>
  </conditionalFormatting>
  <conditionalFormatting sqref="D118:BG118">
    <cfRule type="expression" dxfId="1048" priority="686">
      <formula>$O$11&lt;&gt;"Y"</formula>
    </cfRule>
  </conditionalFormatting>
  <conditionalFormatting sqref="D119:BG119">
    <cfRule type="expression" dxfId="1047" priority="689">
      <formula>$B$12&lt;&gt;"Y"</formula>
    </cfRule>
  </conditionalFormatting>
  <conditionalFormatting sqref="D120:BG120">
    <cfRule type="expression" dxfId="1046" priority="692">
      <formula>$C$12&lt;&gt;"Y"</formula>
    </cfRule>
  </conditionalFormatting>
  <conditionalFormatting sqref="D121:BG121">
    <cfRule type="expression" dxfId="1045" priority="695">
      <formula>$D$12&lt;&gt;"Y"</formula>
    </cfRule>
  </conditionalFormatting>
  <conditionalFormatting sqref="D122:BG122">
    <cfRule type="expression" dxfId="1044" priority="698">
      <formula>$E$12&lt;&gt;"Y"</formula>
    </cfRule>
  </conditionalFormatting>
  <conditionalFormatting sqref="D123:BG123">
    <cfRule type="expression" dxfId="1043" priority="701">
      <formula>$F$12&lt;&gt;"Y"</formula>
    </cfRule>
  </conditionalFormatting>
  <conditionalFormatting sqref="D124:BG124">
    <cfRule type="expression" dxfId="1042" priority="704">
      <formula>$G$12&lt;&gt;"Y"</formula>
    </cfRule>
  </conditionalFormatting>
  <conditionalFormatting sqref="D125:BG125">
    <cfRule type="expression" dxfId="1041" priority="707">
      <formula>$H$12&lt;&gt;"Y"</formula>
    </cfRule>
  </conditionalFormatting>
  <conditionalFormatting sqref="D126:BG126">
    <cfRule type="expression" dxfId="1040" priority="710">
      <formula>$I$12&lt;&gt;"Y"</formula>
    </cfRule>
  </conditionalFormatting>
  <conditionalFormatting sqref="D127:BG127">
    <cfRule type="expression" dxfId="1039" priority="713">
      <formula>$J$12&lt;&gt;"Y"</formula>
    </cfRule>
  </conditionalFormatting>
  <conditionalFormatting sqref="D128:BG128">
    <cfRule type="expression" dxfId="1038" priority="716">
      <formula>$K$12&lt;&gt;"Y"</formula>
    </cfRule>
  </conditionalFormatting>
  <conditionalFormatting sqref="D129:BG129">
    <cfRule type="expression" dxfId="1037" priority="719">
      <formula>$L$12&lt;&gt;"Y"</formula>
    </cfRule>
  </conditionalFormatting>
  <conditionalFormatting sqref="D130:BG130">
    <cfRule type="expression" dxfId="1036" priority="722">
      <formula>$M$12&lt;&gt;"Y"</formula>
    </cfRule>
  </conditionalFormatting>
  <conditionalFormatting sqref="D131:BG131">
    <cfRule type="expression" dxfId="1035" priority="725">
      <formula>$N$12&lt;&gt;"Y"</formula>
    </cfRule>
  </conditionalFormatting>
  <conditionalFormatting sqref="D132:BG132">
    <cfRule type="expression" dxfId="1034" priority="728">
      <formula>$O$12&lt;&gt;"Y"</formula>
    </cfRule>
  </conditionalFormatting>
  <conditionalFormatting sqref="D133:BG133">
    <cfRule type="expression" dxfId="1033" priority="731">
      <formula>$B$13&lt;&gt;"Y"</formula>
    </cfRule>
  </conditionalFormatting>
  <conditionalFormatting sqref="D134:BG134">
    <cfRule type="expression" dxfId="1032" priority="734">
      <formula>$C$13&lt;&gt;"Y"</formula>
    </cfRule>
  </conditionalFormatting>
  <conditionalFormatting sqref="D135:BG135">
    <cfRule type="expression" dxfId="1031" priority="737">
      <formula>$D$13&lt;&gt;"Y"</formula>
    </cfRule>
  </conditionalFormatting>
  <conditionalFormatting sqref="D136:BG136">
    <cfRule type="expression" dxfId="1030" priority="740">
      <formula>$E$13&lt;&gt;"Y"</formula>
    </cfRule>
  </conditionalFormatting>
  <conditionalFormatting sqref="D137:BG137">
    <cfRule type="expression" dxfId="1029" priority="743">
      <formula>$F$13&lt;&gt;"Y"</formula>
    </cfRule>
  </conditionalFormatting>
  <conditionalFormatting sqref="D138:BG138">
    <cfRule type="expression" dxfId="1028" priority="746">
      <formula>$G$13&lt;&gt;"Y"</formula>
    </cfRule>
  </conditionalFormatting>
  <conditionalFormatting sqref="D139:BG139">
    <cfRule type="expression" dxfId="1027" priority="749">
      <formula>$H$13&lt;&gt;"Y"</formula>
    </cfRule>
  </conditionalFormatting>
  <conditionalFormatting sqref="D140:BG140">
    <cfRule type="expression" dxfId="1026" priority="752">
      <formula>$I$13&lt;&gt;"Y"</formula>
    </cfRule>
  </conditionalFormatting>
  <conditionalFormatting sqref="D141:BG141">
    <cfRule type="expression" dxfId="1025" priority="755">
      <formula>$J$13&lt;&gt;"Y"</formula>
    </cfRule>
  </conditionalFormatting>
  <conditionalFormatting sqref="D142:BG142">
    <cfRule type="expression" dxfId="1024" priority="758">
      <formula>$K$13&lt;&gt;"Y"</formula>
    </cfRule>
  </conditionalFormatting>
  <conditionalFormatting sqref="D143:BG143">
    <cfRule type="expression" dxfId="1023" priority="761">
      <formula>$L$13&lt;&gt;"Y"</formula>
    </cfRule>
  </conditionalFormatting>
  <conditionalFormatting sqref="D144:BG144">
    <cfRule type="expression" dxfId="1022" priority="764">
      <formula>$M$13&lt;&gt;"Y"</formula>
    </cfRule>
  </conditionalFormatting>
  <conditionalFormatting sqref="D145:BG145">
    <cfRule type="expression" dxfId="1021" priority="767">
      <formula>$N$13&lt;&gt;"Y"</formula>
    </cfRule>
  </conditionalFormatting>
  <conditionalFormatting sqref="D146:BG146">
    <cfRule type="expression" dxfId="1020" priority="770">
      <formula>$O$13&lt;&gt;"Y"</formula>
    </cfRule>
  </conditionalFormatting>
  <conditionalFormatting sqref="D147:BG147">
    <cfRule type="expression" dxfId="1019" priority="773">
      <formula>$B$14&lt;&gt;"Y"</formula>
    </cfRule>
  </conditionalFormatting>
  <conditionalFormatting sqref="D148:BG148">
    <cfRule type="expression" dxfId="1018" priority="776">
      <formula>$C$14&lt;&gt;"Y"</formula>
    </cfRule>
  </conditionalFormatting>
  <conditionalFormatting sqref="D149:BG149">
    <cfRule type="expression" dxfId="1017" priority="779">
      <formula>$D$14&lt;&gt;"Y"</formula>
    </cfRule>
  </conditionalFormatting>
  <conditionalFormatting sqref="D150:BG150">
    <cfRule type="expression" dxfId="1016" priority="782">
      <formula>$E$14&lt;&gt;"Y"</formula>
    </cfRule>
  </conditionalFormatting>
  <conditionalFormatting sqref="D151:BG151">
    <cfRule type="expression" dxfId="1015" priority="785">
      <formula>$F$14&lt;&gt;"Y"</formula>
    </cfRule>
  </conditionalFormatting>
  <conditionalFormatting sqref="D152:BG152">
    <cfRule type="expression" dxfId="1014" priority="788">
      <formula>$G$14&lt;&gt;"Y"</formula>
    </cfRule>
  </conditionalFormatting>
  <conditionalFormatting sqref="D153:BG153">
    <cfRule type="expression" dxfId="1013" priority="791">
      <formula>$H$14&lt;&gt;"Y"</formula>
    </cfRule>
  </conditionalFormatting>
  <conditionalFormatting sqref="D154:BG154">
    <cfRule type="expression" dxfId="1012" priority="794">
      <formula>$I$14&lt;&gt;"Y"</formula>
    </cfRule>
  </conditionalFormatting>
  <conditionalFormatting sqref="D155:BG155">
    <cfRule type="expression" dxfId="1011" priority="797">
      <formula>$J$14&lt;&gt;"Y"</formula>
    </cfRule>
  </conditionalFormatting>
  <conditionalFormatting sqref="D156:BG156">
    <cfRule type="expression" dxfId="1010" priority="800">
      <formula>$K$14&lt;&gt;"Y"</formula>
    </cfRule>
  </conditionalFormatting>
  <conditionalFormatting sqref="D157:BG157">
    <cfRule type="expression" dxfId="1009" priority="803">
      <formula>$L$14&lt;&gt;"Y"</formula>
    </cfRule>
  </conditionalFormatting>
  <conditionalFormatting sqref="D158:BG158">
    <cfRule type="expression" dxfId="1008" priority="806">
      <formula>$M$14&lt;&gt;"Y"</formula>
    </cfRule>
  </conditionalFormatting>
  <conditionalFormatting sqref="D159:BG159">
    <cfRule type="expression" dxfId="1007" priority="809">
      <formula>$N$14&lt;&gt;"Y"</formula>
    </cfRule>
  </conditionalFormatting>
  <conditionalFormatting sqref="D160:BG160">
    <cfRule type="expression" dxfId="1006" priority="812">
      <formula>$O$14&lt;&gt;"Y"</formula>
    </cfRule>
  </conditionalFormatting>
  <conditionalFormatting sqref="D161:BG161">
    <cfRule type="expression" dxfId="1005" priority="815">
      <formula>$B$15&lt;&gt;"Y"</formula>
    </cfRule>
  </conditionalFormatting>
  <conditionalFormatting sqref="D162:BG162">
    <cfRule type="expression" dxfId="1004" priority="818">
      <formula>$C$15&lt;&gt;"Y"</formula>
    </cfRule>
  </conditionalFormatting>
  <conditionalFormatting sqref="D163:BG163">
    <cfRule type="expression" dxfId="1003" priority="821">
      <formula>$D$15&lt;&gt;"Y"</formula>
    </cfRule>
  </conditionalFormatting>
  <conditionalFormatting sqref="D164:BG164">
    <cfRule type="expression" dxfId="1002" priority="824">
      <formula>$E$15&lt;&gt;"Y"</formula>
    </cfRule>
  </conditionalFormatting>
  <conditionalFormatting sqref="D165:BG165">
    <cfRule type="expression" dxfId="1001" priority="827">
      <formula>$F$15&lt;&gt;"Y"</formula>
    </cfRule>
  </conditionalFormatting>
  <conditionalFormatting sqref="D166:BG166">
    <cfRule type="expression" dxfId="1000" priority="830">
      <formula>$G$15&lt;&gt;"Y"</formula>
    </cfRule>
  </conditionalFormatting>
  <conditionalFormatting sqref="D167:BG167">
    <cfRule type="expression" dxfId="999" priority="833">
      <formula>$H$15&lt;&gt;"Y"</formula>
    </cfRule>
  </conditionalFormatting>
  <conditionalFormatting sqref="D168:BG168">
    <cfRule type="expression" dxfId="998" priority="836">
      <formula>$I$15&lt;&gt;"Y"</formula>
    </cfRule>
  </conditionalFormatting>
  <conditionalFormatting sqref="D169:BG169">
    <cfRule type="expression" dxfId="997" priority="839">
      <formula>$J$15&lt;&gt;"Y"</formula>
    </cfRule>
  </conditionalFormatting>
  <conditionalFormatting sqref="D170:BG170">
    <cfRule type="expression" dxfId="996" priority="842">
      <formula>$K$15&lt;&gt;"Y"</formula>
    </cfRule>
  </conditionalFormatting>
  <conditionalFormatting sqref="D171:BG171">
    <cfRule type="expression" dxfId="995" priority="845">
      <formula>$L$15&lt;&gt;"Y"</formula>
    </cfRule>
  </conditionalFormatting>
  <conditionalFormatting sqref="D172:BG172">
    <cfRule type="expression" dxfId="994" priority="848">
      <formula>$M$15&lt;&gt;"Y"</formula>
    </cfRule>
  </conditionalFormatting>
  <conditionalFormatting sqref="D173:BG173">
    <cfRule type="expression" dxfId="993" priority="851">
      <formula>$N$15&lt;&gt;"Y"</formula>
    </cfRule>
  </conditionalFormatting>
  <conditionalFormatting sqref="D174:BG174">
    <cfRule type="expression" dxfId="992" priority="854">
      <formula>$O$15&lt;&gt;"Y"</formula>
    </cfRule>
  </conditionalFormatting>
  <conditionalFormatting sqref="D175:BG175">
    <cfRule type="expression" dxfId="991" priority="857">
      <formula>$B$16&lt;&gt;"Y"</formula>
    </cfRule>
  </conditionalFormatting>
  <conditionalFormatting sqref="D176:BG176">
    <cfRule type="expression" dxfId="990" priority="860">
      <formula>$C$16&lt;&gt;"Y"</formula>
    </cfRule>
  </conditionalFormatting>
  <conditionalFormatting sqref="D177:BG177">
    <cfRule type="expression" dxfId="989" priority="863">
      <formula>$D$16&lt;&gt;"Y"</formula>
    </cfRule>
  </conditionalFormatting>
  <conditionalFormatting sqref="D178:BG178">
    <cfRule type="expression" dxfId="988" priority="866">
      <formula>$E$16&lt;&gt;"Y"</formula>
    </cfRule>
  </conditionalFormatting>
  <conditionalFormatting sqref="D179:BG179">
    <cfRule type="expression" dxfId="987" priority="869">
      <formula>$F$16&lt;&gt;"Y"</formula>
    </cfRule>
  </conditionalFormatting>
  <conditionalFormatting sqref="D180:BG180">
    <cfRule type="expression" dxfId="986" priority="872">
      <formula>$G$16&lt;&gt;"Y"</formula>
    </cfRule>
  </conditionalFormatting>
  <conditionalFormatting sqref="D181:BG181">
    <cfRule type="expression" dxfId="985" priority="875">
      <formula>$H$16&lt;&gt;"Y"</formula>
    </cfRule>
  </conditionalFormatting>
  <conditionalFormatting sqref="D182:BG182">
    <cfRule type="expression" dxfId="984" priority="878">
      <formula>$I$16&lt;&gt;"Y"</formula>
    </cfRule>
  </conditionalFormatting>
  <conditionalFormatting sqref="D183:BG183">
    <cfRule type="expression" dxfId="983" priority="881">
      <formula>$J$16&lt;&gt;"Y"</formula>
    </cfRule>
  </conditionalFormatting>
  <conditionalFormatting sqref="D184:BG184">
    <cfRule type="expression" dxfId="982" priority="884">
      <formula>$K$16&lt;&gt;"Y"</formula>
    </cfRule>
  </conditionalFormatting>
  <conditionalFormatting sqref="D185:BG185">
    <cfRule type="expression" dxfId="981" priority="887">
      <formula>$L$16&lt;&gt;"Y"</formula>
    </cfRule>
  </conditionalFormatting>
  <conditionalFormatting sqref="D186:BG186">
    <cfRule type="expression" dxfId="980" priority="890">
      <formula>$M$16&lt;&gt;"Y"</formula>
    </cfRule>
  </conditionalFormatting>
  <conditionalFormatting sqref="D187:BG187">
    <cfRule type="expression" dxfId="979" priority="893">
      <formula>$N$16&lt;&gt;"Y"</formula>
    </cfRule>
  </conditionalFormatting>
  <conditionalFormatting sqref="D188:BG188">
    <cfRule type="expression" dxfId="978" priority="896">
      <formula>$O$16&lt;&gt;"Y"</formula>
    </cfRule>
  </conditionalFormatting>
  <conditionalFormatting sqref="D189:BG189">
    <cfRule type="expression" dxfId="977" priority="899">
      <formula>$B$17&lt;&gt;"Y"</formula>
    </cfRule>
  </conditionalFormatting>
  <conditionalFormatting sqref="D190:BG190">
    <cfRule type="expression" dxfId="976" priority="902">
      <formula>$C$17&lt;&gt;"Y"</formula>
    </cfRule>
  </conditionalFormatting>
  <conditionalFormatting sqref="D191:BG191">
    <cfRule type="expression" dxfId="975" priority="905">
      <formula>$D$17&lt;&gt;"Y"</formula>
    </cfRule>
  </conditionalFormatting>
  <conditionalFormatting sqref="D192:BG192">
    <cfRule type="expression" dxfId="974" priority="908">
      <formula>$E$17&lt;&gt;"Y"</formula>
    </cfRule>
  </conditionalFormatting>
  <conditionalFormatting sqref="D193:BG193">
    <cfRule type="expression" dxfId="973" priority="911">
      <formula>$F$17&lt;&gt;"Y"</formula>
    </cfRule>
  </conditionalFormatting>
  <conditionalFormatting sqref="D194:BG194">
    <cfRule type="expression" dxfId="972" priority="914">
      <formula>$G$17&lt;&gt;"Y"</formula>
    </cfRule>
  </conditionalFormatting>
  <conditionalFormatting sqref="D195:BG195">
    <cfRule type="expression" dxfId="971" priority="917">
      <formula>$H$17&lt;&gt;"Y"</formula>
    </cfRule>
  </conditionalFormatting>
  <conditionalFormatting sqref="D196:BG196">
    <cfRule type="expression" dxfId="970" priority="920">
      <formula>$I$17&lt;&gt;"Y"</formula>
    </cfRule>
  </conditionalFormatting>
  <conditionalFormatting sqref="D197:BG197">
    <cfRule type="expression" dxfId="969" priority="923">
      <formula>$J$17&lt;&gt;"Y"</formula>
    </cfRule>
  </conditionalFormatting>
  <conditionalFormatting sqref="D198:BG198">
    <cfRule type="expression" dxfId="968" priority="926">
      <formula>$K$17&lt;&gt;"Y"</formula>
    </cfRule>
  </conditionalFormatting>
  <conditionalFormatting sqref="D199:BG199">
    <cfRule type="expression" dxfId="967" priority="929">
      <formula>$L$17&lt;&gt;"Y"</formula>
    </cfRule>
  </conditionalFormatting>
  <conditionalFormatting sqref="D200:BG200">
    <cfRule type="expression" dxfId="966" priority="932">
      <formula>$M$17&lt;&gt;"Y"</formula>
    </cfRule>
  </conditionalFormatting>
  <conditionalFormatting sqref="D201:BG201">
    <cfRule type="expression" dxfId="965" priority="935">
      <formula>$N$17&lt;&gt;"Y"</formula>
    </cfRule>
  </conditionalFormatting>
  <conditionalFormatting sqref="D202:BG202">
    <cfRule type="expression" dxfId="964" priority="938">
      <formula>$O$17&lt;&gt;"Y"</formula>
    </cfRule>
  </conditionalFormatting>
  <conditionalFormatting sqref="D203:BG203">
    <cfRule type="expression" dxfId="963" priority="941">
      <formula>$B$18&lt;&gt;"Y"</formula>
    </cfRule>
  </conditionalFormatting>
  <conditionalFormatting sqref="D204:BG204">
    <cfRule type="expression" dxfId="962" priority="944">
      <formula>$C$18&lt;&gt;"Y"</formula>
    </cfRule>
  </conditionalFormatting>
  <conditionalFormatting sqref="D205:BG205">
    <cfRule type="expression" dxfId="961" priority="947">
      <formula>$D$18&lt;&gt;"Y"</formula>
    </cfRule>
  </conditionalFormatting>
  <conditionalFormatting sqref="D206:BG206">
    <cfRule type="expression" dxfId="960" priority="950">
      <formula>$E$18&lt;&gt;"Y"</formula>
    </cfRule>
  </conditionalFormatting>
  <conditionalFormatting sqref="D207:BG207">
    <cfRule type="expression" dxfId="959" priority="953">
      <formula>$F$18&lt;&gt;"Y"</formula>
    </cfRule>
  </conditionalFormatting>
  <conditionalFormatting sqref="D208:BG208">
    <cfRule type="expression" dxfId="958" priority="956">
      <formula>$G$18&lt;&gt;"Y"</formula>
    </cfRule>
  </conditionalFormatting>
  <conditionalFormatting sqref="D209:BG209">
    <cfRule type="expression" dxfId="957" priority="959">
      <formula>$H$18&lt;&gt;"Y"</formula>
    </cfRule>
  </conditionalFormatting>
  <conditionalFormatting sqref="D210:BG210">
    <cfRule type="expression" dxfId="956" priority="962">
      <formula>$I$18&lt;&gt;"Y"</formula>
    </cfRule>
  </conditionalFormatting>
  <conditionalFormatting sqref="D211:BG211">
    <cfRule type="expression" dxfId="955" priority="965">
      <formula>$J$18&lt;&gt;"Y"</formula>
    </cfRule>
  </conditionalFormatting>
  <conditionalFormatting sqref="D212:BG212">
    <cfRule type="expression" dxfId="954" priority="968">
      <formula>$K$18&lt;&gt;"Y"</formula>
    </cfRule>
  </conditionalFormatting>
  <conditionalFormatting sqref="D213:BG213">
    <cfRule type="expression" dxfId="953" priority="971">
      <formula>$L$18&lt;&gt;"Y"</formula>
    </cfRule>
  </conditionalFormatting>
  <conditionalFormatting sqref="D214:BG214">
    <cfRule type="expression" dxfId="952" priority="974">
      <formula>$M$18&lt;&gt;"Y"</formula>
    </cfRule>
  </conditionalFormatting>
  <conditionalFormatting sqref="D215:BG215">
    <cfRule type="expression" dxfId="951" priority="977">
      <formula>$N$18&lt;&gt;"Y"</formula>
    </cfRule>
  </conditionalFormatting>
  <conditionalFormatting sqref="D216:BG216">
    <cfRule type="expression" dxfId="950" priority="980">
      <formula>$O$18&lt;&gt;"Y"</formula>
    </cfRule>
  </conditionalFormatting>
  <conditionalFormatting sqref="D238:BG238">
    <cfRule type="expression" dxfId="949" priority="1375">
      <formula>$B$222&lt;&gt;"Y"</formula>
    </cfRule>
  </conditionalFormatting>
  <conditionalFormatting sqref="D239:BG239">
    <cfRule type="expression" dxfId="948" priority="1378">
      <formula>$C$222&lt;&gt;"Y"</formula>
    </cfRule>
  </conditionalFormatting>
  <conditionalFormatting sqref="D240:BG240">
    <cfRule type="expression" dxfId="947" priority="1381">
      <formula>$D$222&lt;&gt;"Y"</formula>
    </cfRule>
  </conditionalFormatting>
  <conditionalFormatting sqref="D241:BG241">
    <cfRule type="expression" dxfId="946" priority="1384">
      <formula>$E$222&lt;&gt;"Y"</formula>
    </cfRule>
  </conditionalFormatting>
  <conditionalFormatting sqref="D242:BG242">
    <cfRule type="expression" dxfId="945" priority="1387">
      <formula>$F$222&lt;&gt;"Y"</formula>
    </cfRule>
  </conditionalFormatting>
  <conditionalFormatting sqref="D243:BG243">
    <cfRule type="expression" dxfId="944" priority="1390">
      <formula>$G$222&lt;&gt;"Y"</formula>
    </cfRule>
  </conditionalFormatting>
  <conditionalFormatting sqref="D244:BG244">
    <cfRule type="expression" dxfId="943" priority="1393">
      <formula>$H$222&lt;&gt;"Y"</formula>
    </cfRule>
  </conditionalFormatting>
  <conditionalFormatting sqref="D245:BG245">
    <cfRule type="expression" dxfId="942" priority="1396">
      <formula>$I$222&lt;&gt;"Y"</formula>
    </cfRule>
  </conditionalFormatting>
  <conditionalFormatting sqref="D246:BG246">
    <cfRule type="expression" dxfId="941" priority="1399">
      <formula>$J$222&lt;&gt;"Y"</formula>
    </cfRule>
  </conditionalFormatting>
  <conditionalFormatting sqref="D247:BG247">
    <cfRule type="expression" dxfId="940" priority="1402">
      <formula>$K$222&lt;&gt;"Y"</formula>
    </cfRule>
  </conditionalFormatting>
  <conditionalFormatting sqref="D248:BG248">
    <cfRule type="expression" dxfId="939" priority="1405">
      <formula>$L$222&lt;&gt;"Y"</formula>
    </cfRule>
  </conditionalFormatting>
  <conditionalFormatting sqref="D249:BG249">
    <cfRule type="expression" dxfId="938" priority="1408">
      <formula>$M$222&lt;&gt;"Y"</formula>
    </cfRule>
  </conditionalFormatting>
  <conditionalFormatting sqref="D250:BG250">
    <cfRule type="expression" dxfId="937" priority="1411">
      <formula>$N$222&lt;&gt;"Y"</formula>
    </cfRule>
  </conditionalFormatting>
  <conditionalFormatting sqref="D251:BG251">
    <cfRule type="expression" dxfId="936" priority="1414">
      <formula>$O$222&lt;&gt;"Y"</formula>
    </cfRule>
  </conditionalFormatting>
  <conditionalFormatting sqref="D252:BG252">
    <cfRule type="expression" dxfId="935" priority="1417">
      <formula>$B$223&lt;&gt;"Y"</formula>
    </cfRule>
  </conditionalFormatting>
  <conditionalFormatting sqref="D253:BG253">
    <cfRule type="expression" dxfId="934" priority="1420">
      <formula>$C$223&lt;&gt;"Y"</formula>
    </cfRule>
  </conditionalFormatting>
  <conditionalFormatting sqref="D254:BG254">
    <cfRule type="expression" dxfId="933" priority="1423">
      <formula>$D$223&lt;&gt;"Y"</formula>
    </cfRule>
  </conditionalFormatting>
  <conditionalFormatting sqref="D255:BG255">
    <cfRule type="expression" dxfId="932" priority="1426">
      <formula>$E$223&lt;&gt;"Y"</formula>
    </cfRule>
  </conditionalFormatting>
  <conditionalFormatting sqref="D256:BG256">
    <cfRule type="expression" dxfId="931" priority="1429">
      <formula>$F$223&lt;&gt;"Y"</formula>
    </cfRule>
  </conditionalFormatting>
  <conditionalFormatting sqref="D257:BG257">
    <cfRule type="expression" dxfId="930" priority="1432">
      <formula>$G$223&lt;&gt;"Y"</formula>
    </cfRule>
  </conditionalFormatting>
  <conditionalFormatting sqref="D258:BG258">
    <cfRule type="expression" dxfId="929" priority="1435">
      <formula>$H$223&lt;&gt;"Y"</formula>
    </cfRule>
  </conditionalFormatting>
  <conditionalFormatting sqref="D259:BG259">
    <cfRule type="expression" dxfId="928" priority="1438">
      <formula>$I$223&lt;&gt;"Y"</formula>
    </cfRule>
  </conditionalFormatting>
  <conditionalFormatting sqref="D260:BG260">
    <cfRule type="expression" dxfId="927" priority="1441">
      <formula>$J$223&lt;&gt;"Y"</formula>
    </cfRule>
  </conditionalFormatting>
  <conditionalFormatting sqref="D261:BG261">
    <cfRule type="expression" dxfId="926" priority="1444">
      <formula>$K$223&lt;&gt;"Y"</formula>
    </cfRule>
  </conditionalFormatting>
  <conditionalFormatting sqref="D262:BG262">
    <cfRule type="expression" dxfId="925" priority="1447">
      <formula>$L$223&lt;&gt;"Y"</formula>
    </cfRule>
  </conditionalFormatting>
  <conditionalFormatting sqref="D263:BG263">
    <cfRule type="expression" dxfId="924" priority="1450">
      <formula>$M$223&lt;&gt;"Y"</formula>
    </cfRule>
  </conditionalFormatting>
  <conditionalFormatting sqref="D264:BG264">
    <cfRule type="expression" dxfId="923" priority="1453">
      <formula>$N$223&lt;&gt;"Y"</formula>
    </cfRule>
  </conditionalFormatting>
  <conditionalFormatting sqref="D265:BG265">
    <cfRule type="expression" dxfId="922" priority="1456">
      <formula>$O$223&lt;&gt;"Y"</formula>
    </cfRule>
  </conditionalFormatting>
  <conditionalFormatting sqref="D266:BG266">
    <cfRule type="expression" dxfId="921" priority="1459">
      <formula>$B$224&lt;&gt;"Y"</formula>
    </cfRule>
  </conditionalFormatting>
  <conditionalFormatting sqref="D267:BG267">
    <cfRule type="expression" dxfId="920" priority="1462">
      <formula>$C$224&lt;&gt;"Y"</formula>
    </cfRule>
  </conditionalFormatting>
  <conditionalFormatting sqref="D268:BG268">
    <cfRule type="expression" dxfId="919" priority="1465">
      <formula>$D$224&lt;&gt;"Y"</formula>
    </cfRule>
  </conditionalFormatting>
  <conditionalFormatting sqref="D269:BG269">
    <cfRule type="expression" dxfId="918" priority="1468">
      <formula>$E$224&lt;&gt;"Y"</formula>
    </cfRule>
  </conditionalFormatting>
  <conditionalFormatting sqref="D270:BG270">
    <cfRule type="expression" dxfId="917" priority="1471">
      <formula>$F$224&lt;&gt;"Y"</formula>
    </cfRule>
  </conditionalFormatting>
  <conditionalFormatting sqref="D271:BG271">
    <cfRule type="expression" dxfId="916" priority="1474">
      <formula>$G$224&lt;&gt;"Y"</formula>
    </cfRule>
  </conditionalFormatting>
  <conditionalFormatting sqref="D272:BG272">
    <cfRule type="expression" dxfId="915" priority="1477">
      <formula>$H$224&lt;&gt;"Y"</formula>
    </cfRule>
  </conditionalFormatting>
  <conditionalFormatting sqref="D273:BG273">
    <cfRule type="expression" dxfId="914" priority="1480">
      <formula>$I$224&lt;&gt;"Y"</formula>
    </cfRule>
  </conditionalFormatting>
  <conditionalFormatting sqref="D274:BG274">
    <cfRule type="expression" dxfId="913" priority="1483">
      <formula>$J$224&lt;&gt;"Y"</formula>
    </cfRule>
  </conditionalFormatting>
  <conditionalFormatting sqref="D275:BG275">
    <cfRule type="expression" dxfId="912" priority="1486">
      <formula>$K$224&lt;&gt;"Y"</formula>
    </cfRule>
  </conditionalFormatting>
  <conditionalFormatting sqref="D276:BG276">
    <cfRule type="expression" dxfId="911" priority="1489">
      <formula>$L$224&lt;&gt;"Y"</formula>
    </cfRule>
  </conditionalFormatting>
  <conditionalFormatting sqref="D277:BG277">
    <cfRule type="expression" dxfId="910" priority="1492">
      <formula>$M$224&lt;&gt;"Y"</formula>
    </cfRule>
  </conditionalFormatting>
  <conditionalFormatting sqref="D278:BG278">
    <cfRule type="expression" dxfId="909" priority="1495">
      <formula>$N$224&lt;&gt;"Y"</formula>
    </cfRule>
  </conditionalFormatting>
  <conditionalFormatting sqref="D279:BG279">
    <cfRule type="expression" dxfId="908" priority="1498">
      <formula>$O$224&lt;&gt;"Y"</formula>
    </cfRule>
  </conditionalFormatting>
  <conditionalFormatting sqref="D280:BG280">
    <cfRule type="expression" dxfId="907" priority="1501">
      <formula>$B$225&lt;&gt;"Y"</formula>
    </cfRule>
  </conditionalFormatting>
  <conditionalFormatting sqref="D281:BG281">
    <cfRule type="expression" dxfId="906" priority="1504">
      <formula>$C$225&lt;&gt;"Y"</formula>
    </cfRule>
  </conditionalFormatting>
  <conditionalFormatting sqref="D282:BG282">
    <cfRule type="expression" dxfId="905" priority="1507">
      <formula>$D$225&lt;&gt;"Y"</formula>
    </cfRule>
  </conditionalFormatting>
  <conditionalFormatting sqref="D283:BG283">
    <cfRule type="expression" dxfId="904" priority="1510">
      <formula>$E$225&lt;&gt;"Y"</formula>
    </cfRule>
  </conditionalFormatting>
  <conditionalFormatting sqref="D284:BG284">
    <cfRule type="expression" dxfId="903" priority="1513">
      <formula>$F$225&lt;&gt;"Y"</formula>
    </cfRule>
  </conditionalFormatting>
  <conditionalFormatting sqref="D285:BG285">
    <cfRule type="expression" dxfId="902" priority="1516">
      <formula>$G$225&lt;&gt;"Y"</formula>
    </cfRule>
  </conditionalFormatting>
  <conditionalFormatting sqref="D286:BG286">
    <cfRule type="expression" dxfId="901" priority="1519">
      <formula>$H$225&lt;&gt;"Y"</formula>
    </cfRule>
  </conditionalFormatting>
  <conditionalFormatting sqref="D287:BG287">
    <cfRule type="expression" dxfId="900" priority="1522">
      <formula>$I$225&lt;&gt;"Y"</formula>
    </cfRule>
  </conditionalFormatting>
  <conditionalFormatting sqref="D288:BG288">
    <cfRule type="expression" dxfId="899" priority="1525">
      <formula>$J$225&lt;&gt;"Y"</formula>
    </cfRule>
  </conditionalFormatting>
  <conditionalFormatting sqref="D289:BG289">
    <cfRule type="expression" dxfId="898" priority="1528">
      <formula>$K$225&lt;&gt;"Y"</formula>
    </cfRule>
  </conditionalFormatting>
  <conditionalFormatting sqref="D290:BG290">
    <cfRule type="expression" dxfId="897" priority="1531">
      <formula>$L$225&lt;&gt;"Y"</formula>
    </cfRule>
  </conditionalFormatting>
  <conditionalFormatting sqref="D291:BG291">
    <cfRule type="expression" dxfId="896" priority="1534">
      <formula>$M$225&lt;&gt;"Y"</formula>
    </cfRule>
  </conditionalFormatting>
  <conditionalFormatting sqref="D292:BG292">
    <cfRule type="expression" dxfId="895" priority="1537">
      <formula>$N$225&lt;&gt;"Y"</formula>
    </cfRule>
  </conditionalFormatting>
  <conditionalFormatting sqref="D293:BG293">
    <cfRule type="expression" dxfId="894" priority="1540">
      <formula>$O$225&lt;&gt;"Y"</formula>
    </cfRule>
  </conditionalFormatting>
  <conditionalFormatting sqref="D294:BG294">
    <cfRule type="expression" dxfId="893" priority="1543">
      <formula>$B$226&lt;&gt;"Y"</formula>
    </cfRule>
  </conditionalFormatting>
  <conditionalFormatting sqref="D295:BG295">
    <cfRule type="expression" dxfId="892" priority="1546">
      <formula>$C$226&lt;&gt;"Y"</formula>
    </cfRule>
  </conditionalFormatting>
  <conditionalFormatting sqref="D296:BG296">
    <cfRule type="expression" dxfId="891" priority="1549">
      <formula>$D$226&lt;&gt;"Y"</formula>
    </cfRule>
  </conditionalFormatting>
  <conditionalFormatting sqref="D297:BG297">
    <cfRule type="expression" dxfId="890" priority="1552">
      <formula>$E$226&lt;&gt;"Y"</formula>
    </cfRule>
  </conditionalFormatting>
  <conditionalFormatting sqref="D298:BG298">
    <cfRule type="expression" dxfId="889" priority="1555">
      <formula>$F$226&lt;&gt;"Y"</formula>
    </cfRule>
  </conditionalFormatting>
  <conditionalFormatting sqref="D299:BG299">
    <cfRule type="expression" dxfId="888" priority="1558">
      <formula>$G$226&lt;&gt;"Y"</formula>
    </cfRule>
  </conditionalFormatting>
  <conditionalFormatting sqref="D300:BG300">
    <cfRule type="expression" dxfId="887" priority="1561">
      <formula>$H$226&lt;&gt;"Y"</formula>
    </cfRule>
  </conditionalFormatting>
  <conditionalFormatting sqref="D301:BG301">
    <cfRule type="expression" dxfId="886" priority="1564">
      <formula>$I$226&lt;&gt;"Y"</formula>
    </cfRule>
  </conditionalFormatting>
  <conditionalFormatting sqref="D302:BG302">
    <cfRule type="expression" dxfId="885" priority="1567">
      <formula>$J$226&lt;&gt;"Y"</formula>
    </cfRule>
  </conditionalFormatting>
  <conditionalFormatting sqref="D303:BG303">
    <cfRule type="expression" dxfId="884" priority="1570">
      <formula>$K$226&lt;&gt;"Y"</formula>
    </cfRule>
  </conditionalFormatting>
  <conditionalFormatting sqref="D304:BG304">
    <cfRule type="expression" dxfId="883" priority="1573">
      <formula>$L$226&lt;&gt;"Y"</formula>
    </cfRule>
  </conditionalFormatting>
  <conditionalFormatting sqref="D305:BG305">
    <cfRule type="expression" dxfId="882" priority="1576">
      <formula>$M$226&lt;&gt;"Y"</formula>
    </cfRule>
  </conditionalFormatting>
  <conditionalFormatting sqref="D306:BG306">
    <cfRule type="expression" dxfId="881" priority="1579">
      <formula>$N$226&lt;&gt;"Y"</formula>
    </cfRule>
  </conditionalFormatting>
  <conditionalFormatting sqref="D307:BG307">
    <cfRule type="expression" dxfId="880" priority="1582">
      <formula>$O$226&lt;&gt;"Y"</formula>
    </cfRule>
  </conditionalFormatting>
  <conditionalFormatting sqref="D308:BG308">
    <cfRule type="expression" dxfId="879" priority="1585">
      <formula>$B$227&lt;&gt;"Y"</formula>
    </cfRule>
  </conditionalFormatting>
  <conditionalFormatting sqref="D309:BG309">
    <cfRule type="expression" dxfId="878" priority="1588">
      <formula>$C$227&lt;&gt;"Y"</formula>
    </cfRule>
  </conditionalFormatting>
  <conditionalFormatting sqref="D310:BG310">
    <cfRule type="expression" dxfId="877" priority="1591">
      <formula>$D$227&lt;&gt;"Y"</formula>
    </cfRule>
  </conditionalFormatting>
  <conditionalFormatting sqref="D311:BG311">
    <cfRule type="expression" dxfId="876" priority="1594">
      <formula>$E$227&lt;&gt;"Y"</formula>
    </cfRule>
  </conditionalFormatting>
  <conditionalFormatting sqref="D312:BG312">
    <cfRule type="expression" dxfId="875" priority="1597">
      <formula>$F$227&lt;&gt;"Y"</formula>
    </cfRule>
  </conditionalFormatting>
  <conditionalFormatting sqref="D313:BG313">
    <cfRule type="expression" dxfId="874" priority="1600">
      <formula>$G$227&lt;&gt;"Y"</formula>
    </cfRule>
  </conditionalFormatting>
  <conditionalFormatting sqref="D314:BG314">
    <cfRule type="expression" dxfId="873" priority="1603">
      <formula>$H$227&lt;&gt;"Y"</formula>
    </cfRule>
  </conditionalFormatting>
  <conditionalFormatting sqref="D315:BG315">
    <cfRule type="expression" dxfId="872" priority="1606">
      <formula>$I$227&lt;&gt;"Y"</formula>
    </cfRule>
  </conditionalFormatting>
  <conditionalFormatting sqref="D316:BG316">
    <cfRule type="expression" dxfId="871" priority="1609">
      <formula>$J$227&lt;&gt;"Y"</formula>
    </cfRule>
  </conditionalFormatting>
  <conditionalFormatting sqref="D317:BG317">
    <cfRule type="expression" dxfId="870" priority="1612">
      <formula>$K$227&lt;&gt;"Y"</formula>
    </cfRule>
  </conditionalFormatting>
  <conditionalFormatting sqref="D318:BG318">
    <cfRule type="expression" dxfId="869" priority="1615">
      <formula>$L$227&lt;&gt;"Y"</formula>
    </cfRule>
  </conditionalFormatting>
  <conditionalFormatting sqref="D319:BG319">
    <cfRule type="expression" dxfId="868" priority="1618">
      <formula>$M$227&lt;&gt;"Y"</formula>
    </cfRule>
  </conditionalFormatting>
  <conditionalFormatting sqref="D320:BG320">
    <cfRule type="expression" dxfId="867" priority="1621">
      <formula>$N$227&lt;&gt;"Y"</formula>
    </cfRule>
  </conditionalFormatting>
  <conditionalFormatting sqref="D321:BG321">
    <cfRule type="expression" dxfId="866" priority="1624">
      <formula>$O$227&lt;&gt;"Y"</formula>
    </cfRule>
  </conditionalFormatting>
  <conditionalFormatting sqref="D322:BG322">
    <cfRule type="expression" dxfId="865" priority="1627">
      <formula>$B$228&lt;&gt;"Y"</formula>
    </cfRule>
  </conditionalFormatting>
  <conditionalFormatting sqref="D323:BG323">
    <cfRule type="expression" dxfId="864" priority="1630">
      <formula>$C$228&lt;&gt;"Y"</formula>
    </cfRule>
  </conditionalFormatting>
  <conditionalFormatting sqref="D324:BG324">
    <cfRule type="expression" dxfId="863" priority="1633">
      <formula>$D$228&lt;&gt;"Y"</formula>
    </cfRule>
  </conditionalFormatting>
  <conditionalFormatting sqref="D325:BG325">
    <cfRule type="expression" dxfId="862" priority="1636">
      <formula>$E$228&lt;&gt;"Y"</formula>
    </cfRule>
  </conditionalFormatting>
  <conditionalFormatting sqref="D326:BG326">
    <cfRule type="expression" dxfId="861" priority="1639">
      <formula>$F$228&lt;&gt;"Y"</formula>
    </cfRule>
  </conditionalFormatting>
  <conditionalFormatting sqref="D327:BG327">
    <cfRule type="expression" dxfId="860" priority="1642">
      <formula>$G$228&lt;&gt;"Y"</formula>
    </cfRule>
  </conditionalFormatting>
  <conditionalFormatting sqref="D328:BG328">
    <cfRule type="expression" dxfId="859" priority="1645">
      <formula>$H$228&lt;&gt;"Y"</formula>
    </cfRule>
  </conditionalFormatting>
  <conditionalFormatting sqref="D329:BG329">
    <cfRule type="expression" dxfId="858" priority="1648">
      <formula>$I$228&lt;&gt;"Y"</formula>
    </cfRule>
  </conditionalFormatting>
  <conditionalFormatting sqref="D330:BG330">
    <cfRule type="expression" dxfId="857" priority="1651">
      <formula>$J$228&lt;&gt;"Y"</formula>
    </cfRule>
  </conditionalFormatting>
  <conditionalFormatting sqref="D331:BG331">
    <cfRule type="expression" dxfId="856" priority="1654">
      <formula>$K$228&lt;&gt;"Y"</formula>
    </cfRule>
  </conditionalFormatting>
  <conditionalFormatting sqref="D332:BG332">
    <cfRule type="expression" dxfId="855" priority="1657">
      <formula>$L$228&lt;&gt;"Y"</formula>
    </cfRule>
  </conditionalFormatting>
  <conditionalFormatting sqref="D333:BG333">
    <cfRule type="expression" dxfId="854" priority="1660">
      <formula>$M$228&lt;&gt;"Y"</formula>
    </cfRule>
  </conditionalFormatting>
  <conditionalFormatting sqref="D334:BG334">
    <cfRule type="expression" dxfId="853" priority="1663">
      <formula>$N$228&lt;&gt;"Y"</formula>
    </cfRule>
  </conditionalFormatting>
  <conditionalFormatting sqref="D335:BG335">
    <cfRule type="expression" dxfId="852" priority="1666">
      <formula>$O$228&lt;&gt;"Y"</formula>
    </cfRule>
  </conditionalFormatting>
  <conditionalFormatting sqref="D336:BG336">
    <cfRule type="expression" dxfId="851" priority="1669">
      <formula>$B$229&lt;&gt;"Y"</formula>
    </cfRule>
  </conditionalFormatting>
  <conditionalFormatting sqref="D337:BG337">
    <cfRule type="expression" dxfId="850" priority="1672">
      <formula>$C$229&lt;&gt;"Y"</formula>
    </cfRule>
  </conditionalFormatting>
  <conditionalFormatting sqref="D338:BG338">
    <cfRule type="expression" dxfId="849" priority="1675">
      <formula>$D$229&lt;&gt;"Y"</formula>
    </cfRule>
  </conditionalFormatting>
  <conditionalFormatting sqref="D339:BG339">
    <cfRule type="expression" dxfId="848" priority="1678">
      <formula>$E$229&lt;&gt;"Y"</formula>
    </cfRule>
  </conditionalFormatting>
  <conditionalFormatting sqref="D340:BG340">
    <cfRule type="expression" dxfId="847" priority="1681">
      <formula>$F$229&lt;&gt;"Y"</formula>
    </cfRule>
  </conditionalFormatting>
  <conditionalFormatting sqref="D341:BG341">
    <cfRule type="expression" dxfId="846" priority="1684">
      <formula>$G$229&lt;&gt;"Y"</formula>
    </cfRule>
  </conditionalFormatting>
  <conditionalFormatting sqref="D342:BG342">
    <cfRule type="expression" dxfId="845" priority="1687">
      <formula>$H$229&lt;&gt;"Y"</formula>
    </cfRule>
  </conditionalFormatting>
  <conditionalFormatting sqref="D343:BG343">
    <cfRule type="expression" dxfId="844" priority="1690">
      <formula>$I$229&lt;&gt;"Y"</formula>
    </cfRule>
  </conditionalFormatting>
  <conditionalFormatting sqref="D344:BG344">
    <cfRule type="expression" dxfId="843" priority="1693">
      <formula>$J$229&lt;&gt;"Y"</formula>
    </cfRule>
  </conditionalFormatting>
  <conditionalFormatting sqref="D345:BG345">
    <cfRule type="expression" dxfId="842" priority="1696">
      <formula>$K$229&lt;&gt;"Y"</formula>
    </cfRule>
  </conditionalFormatting>
  <conditionalFormatting sqref="D346:BG346">
    <cfRule type="expression" dxfId="841" priority="1699">
      <formula>$L$229&lt;&gt;"Y"</formula>
    </cfRule>
  </conditionalFormatting>
  <conditionalFormatting sqref="D347:BG347">
    <cfRule type="expression" dxfId="840" priority="1702">
      <formula>$M$229&lt;&gt;"Y"</formula>
    </cfRule>
  </conditionalFormatting>
  <conditionalFormatting sqref="D348:BG348">
    <cfRule type="expression" dxfId="839" priority="1705">
      <formula>$N$229&lt;&gt;"Y"</formula>
    </cfRule>
  </conditionalFormatting>
  <conditionalFormatting sqref="D349:BG349">
    <cfRule type="expression" dxfId="838" priority="1708">
      <formula>$O$229&lt;&gt;"Y"</formula>
    </cfRule>
  </conditionalFormatting>
  <conditionalFormatting sqref="D350:BG350">
    <cfRule type="expression" dxfId="837" priority="1711">
      <formula>$B$230&lt;&gt;"Y"</formula>
    </cfRule>
  </conditionalFormatting>
  <conditionalFormatting sqref="D351:BG351">
    <cfRule type="expression" dxfId="836" priority="1714">
      <formula>$C$230&lt;&gt;"Y"</formula>
    </cfRule>
  </conditionalFormatting>
  <conditionalFormatting sqref="D352:BG352">
    <cfRule type="expression" dxfId="835" priority="1717">
      <formula>$D$230&lt;&gt;"Y"</formula>
    </cfRule>
  </conditionalFormatting>
  <conditionalFormatting sqref="D353:BG353">
    <cfRule type="expression" dxfId="834" priority="1720">
      <formula>$E$230&lt;&gt;"Y"</formula>
    </cfRule>
  </conditionalFormatting>
  <conditionalFormatting sqref="D354:BG354">
    <cfRule type="expression" dxfId="833" priority="1723">
      <formula>$F$230&lt;&gt;"Y"</formula>
    </cfRule>
  </conditionalFormatting>
  <conditionalFormatting sqref="D355:BG355">
    <cfRule type="expression" dxfId="832" priority="1726">
      <formula>$G$230&lt;&gt;"Y"</formula>
    </cfRule>
  </conditionalFormatting>
  <conditionalFormatting sqref="D356:BG356">
    <cfRule type="expression" dxfId="831" priority="1729">
      <formula>$H$230&lt;&gt;"Y"</formula>
    </cfRule>
  </conditionalFormatting>
  <conditionalFormatting sqref="D357:BG357">
    <cfRule type="expression" dxfId="830" priority="1732">
      <formula>$I$230&lt;&gt;"Y"</formula>
    </cfRule>
  </conditionalFormatting>
  <conditionalFormatting sqref="D358:BG358">
    <cfRule type="expression" dxfId="829" priority="1735">
      <formula>$J$230&lt;&gt;"Y"</formula>
    </cfRule>
  </conditionalFormatting>
  <conditionalFormatting sqref="D359:BG359">
    <cfRule type="expression" dxfId="828" priority="1738">
      <formula>$K$230&lt;&gt;"Y"</formula>
    </cfRule>
  </conditionalFormatting>
  <conditionalFormatting sqref="D360:BG360">
    <cfRule type="expression" dxfId="827" priority="1741">
      <formula>$L$230&lt;&gt;"Y"</formula>
    </cfRule>
  </conditionalFormatting>
  <conditionalFormatting sqref="D361:BG361">
    <cfRule type="expression" dxfId="826" priority="1744">
      <formula>$M$230&lt;&gt;"Y"</formula>
    </cfRule>
  </conditionalFormatting>
  <conditionalFormatting sqref="D362:BG362">
    <cfRule type="expression" dxfId="825" priority="1747">
      <formula>$N$230&lt;&gt;"Y"</formula>
    </cfRule>
  </conditionalFormatting>
  <conditionalFormatting sqref="D363:BG363">
    <cfRule type="expression" dxfId="824" priority="1750">
      <formula>$O$230&lt;&gt;"Y"</formula>
    </cfRule>
  </conditionalFormatting>
  <conditionalFormatting sqref="D364:BG364">
    <cfRule type="expression" dxfId="823" priority="1753">
      <formula>$B$231&lt;&gt;"Y"</formula>
    </cfRule>
  </conditionalFormatting>
  <conditionalFormatting sqref="D365:BG365">
    <cfRule type="expression" dxfId="822" priority="1756">
      <formula>$C$231&lt;&gt;"Y"</formula>
    </cfRule>
  </conditionalFormatting>
  <conditionalFormatting sqref="D366:BG366">
    <cfRule type="expression" dxfId="821" priority="1759">
      <formula>$D$231&lt;&gt;"Y"</formula>
    </cfRule>
  </conditionalFormatting>
  <conditionalFormatting sqref="D367:BG367">
    <cfRule type="expression" dxfId="820" priority="1762">
      <formula>$E$231&lt;&gt;"Y"</formula>
    </cfRule>
  </conditionalFormatting>
  <conditionalFormatting sqref="D368:BG368">
    <cfRule type="expression" dxfId="819" priority="1765">
      <formula>$F$231&lt;&gt;"Y"</formula>
    </cfRule>
  </conditionalFormatting>
  <conditionalFormatting sqref="D369:BG369">
    <cfRule type="expression" dxfId="818" priority="1768">
      <formula>$G$231&lt;&gt;"Y"</formula>
    </cfRule>
  </conditionalFormatting>
  <conditionalFormatting sqref="D370:BG370">
    <cfRule type="expression" dxfId="817" priority="1771">
      <formula>$H$231&lt;&gt;"Y"</formula>
    </cfRule>
  </conditionalFormatting>
  <conditionalFormatting sqref="D371:BG371">
    <cfRule type="expression" dxfId="816" priority="1774">
      <formula>$I$231&lt;&gt;"Y"</formula>
    </cfRule>
  </conditionalFormatting>
  <conditionalFormatting sqref="D372:BG372">
    <cfRule type="expression" dxfId="815" priority="1777">
      <formula>$J$231&lt;&gt;"Y"</formula>
    </cfRule>
  </conditionalFormatting>
  <conditionalFormatting sqref="D373:BG373">
    <cfRule type="expression" dxfId="814" priority="1780">
      <formula>$K$231&lt;&gt;"Y"</formula>
    </cfRule>
  </conditionalFormatting>
  <conditionalFormatting sqref="D374:BG374">
    <cfRule type="expression" dxfId="813" priority="1783">
      <formula>$L$231&lt;&gt;"Y"</formula>
    </cfRule>
  </conditionalFormatting>
  <conditionalFormatting sqref="D375:BG375">
    <cfRule type="expression" dxfId="812" priority="1786">
      <formula>$M$231&lt;&gt;"Y"</formula>
    </cfRule>
  </conditionalFormatting>
  <conditionalFormatting sqref="D376:BG376">
    <cfRule type="expression" dxfId="811" priority="1789">
      <formula>$N$231&lt;&gt;"Y"</formula>
    </cfRule>
  </conditionalFormatting>
  <conditionalFormatting sqref="D377:BG377">
    <cfRule type="expression" dxfId="810" priority="1792">
      <formula>$O$231&lt;&gt;"Y"</formula>
    </cfRule>
  </conditionalFormatting>
  <conditionalFormatting sqref="D378:BG378">
    <cfRule type="expression" dxfId="809" priority="1795">
      <formula>$B$232&lt;&gt;"Y"</formula>
    </cfRule>
  </conditionalFormatting>
  <conditionalFormatting sqref="D379:BG379">
    <cfRule type="expression" dxfId="808" priority="1798">
      <formula>$C$232&lt;&gt;"Y"</formula>
    </cfRule>
  </conditionalFormatting>
  <conditionalFormatting sqref="D380:BG380">
    <cfRule type="expression" dxfId="807" priority="1801">
      <formula>$D$232&lt;&gt;"Y"</formula>
    </cfRule>
  </conditionalFormatting>
  <conditionalFormatting sqref="D381:BG381">
    <cfRule type="expression" dxfId="806" priority="1804">
      <formula>$E$232&lt;&gt;"Y"</formula>
    </cfRule>
  </conditionalFormatting>
  <conditionalFormatting sqref="D382:BG382">
    <cfRule type="expression" dxfId="805" priority="1807">
      <formula>$F$232&lt;&gt;"Y"</formula>
    </cfRule>
  </conditionalFormatting>
  <conditionalFormatting sqref="D383:BG383">
    <cfRule type="expression" dxfId="804" priority="1810">
      <formula>$G$232&lt;&gt;"Y"</formula>
    </cfRule>
  </conditionalFormatting>
  <conditionalFormatting sqref="D384:BG384">
    <cfRule type="expression" dxfId="803" priority="1813">
      <formula>$H$232&lt;&gt;"Y"</formula>
    </cfRule>
  </conditionalFormatting>
  <conditionalFormatting sqref="D385:BG385">
    <cfRule type="expression" dxfId="802" priority="1816">
      <formula>$I$232&lt;&gt;"Y"</formula>
    </cfRule>
  </conditionalFormatting>
  <conditionalFormatting sqref="D386:BG386">
    <cfRule type="expression" dxfId="801" priority="1819">
      <formula>$J$232&lt;&gt;"Y"</formula>
    </cfRule>
  </conditionalFormatting>
  <conditionalFormatting sqref="D387:BG387">
    <cfRule type="expression" dxfId="800" priority="1822">
      <formula>$K$232&lt;&gt;"Y"</formula>
    </cfRule>
  </conditionalFormatting>
  <conditionalFormatting sqref="D388:BG388">
    <cfRule type="expression" dxfId="799" priority="1825">
      <formula>$L$232&lt;&gt;"Y"</formula>
    </cfRule>
  </conditionalFormatting>
  <conditionalFormatting sqref="D389:BG389">
    <cfRule type="expression" dxfId="798" priority="1828">
      <formula>$M$232&lt;&gt;"Y"</formula>
    </cfRule>
  </conditionalFormatting>
  <conditionalFormatting sqref="D390:BG390">
    <cfRule type="expression" dxfId="797" priority="1831">
      <formula>$N$232&lt;&gt;"Y"</formula>
    </cfRule>
  </conditionalFormatting>
  <conditionalFormatting sqref="D391:BG391">
    <cfRule type="expression" dxfId="796" priority="1834">
      <formula>$O$232&lt;&gt;"Y"</formula>
    </cfRule>
  </conditionalFormatting>
  <conditionalFormatting sqref="D392:BG392">
    <cfRule type="expression" dxfId="795" priority="1837">
      <formula>$B$233&lt;&gt;"Y"</formula>
    </cfRule>
  </conditionalFormatting>
  <conditionalFormatting sqref="D393:BG393">
    <cfRule type="expression" dxfId="794" priority="1840">
      <formula>$C$233&lt;&gt;"Y"</formula>
    </cfRule>
  </conditionalFormatting>
  <conditionalFormatting sqref="D394:BG394">
    <cfRule type="expression" dxfId="793" priority="1843">
      <formula>$D$233&lt;&gt;"Y"</formula>
    </cfRule>
  </conditionalFormatting>
  <conditionalFormatting sqref="D395:BG395">
    <cfRule type="expression" dxfId="792" priority="1846">
      <formula>$E$233&lt;&gt;"Y"</formula>
    </cfRule>
  </conditionalFormatting>
  <conditionalFormatting sqref="D396:BG396">
    <cfRule type="expression" dxfId="791" priority="1849">
      <formula>$F$233&lt;&gt;"Y"</formula>
    </cfRule>
  </conditionalFormatting>
  <conditionalFormatting sqref="D397:BG397">
    <cfRule type="expression" dxfId="790" priority="1852">
      <formula>$G$233&lt;&gt;"Y"</formula>
    </cfRule>
  </conditionalFormatting>
  <conditionalFormatting sqref="D398:BG398">
    <cfRule type="expression" dxfId="789" priority="1855">
      <formula>$H$233&lt;&gt;"Y"</formula>
    </cfRule>
  </conditionalFormatting>
  <conditionalFormatting sqref="D399:BG399">
    <cfRule type="expression" dxfId="788" priority="1858">
      <formula>$I$233&lt;&gt;"Y"</formula>
    </cfRule>
  </conditionalFormatting>
  <conditionalFormatting sqref="D400:BG400">
    <cfRule type="expression" dxfId="787" priority="1861">
      <formula>$J$233&lt;&gt;"Y"</formula>
    </cfRule>
  </conditionalFormatting>
  <conditionalFormatting sqref="D401:BG401">
    <cfRule type="expression" dxfId="786" priority="1864">
      <formula>$K$233&lt;&gt;"Y"</formula>
    </cfRule>
  </conditionalFormatting>
  <conditionalFormatting sqref="D402:BG402">
    <cfRule type="expression" dxfId="785" priority="1867">
      <formula>$L$233&lt;&gt;"Y"</formula>
    </cfRule>
  </conditionalFormatting>
  <conditionalFormatting sqref="D403:BG403">
    <cfRule type="expression" dxfId="784" priority="1870">
      <formula>$M$233&lt;&gt;"Y"</formula>
    </cfRule>
  </conditionalFormatting>
  <conditionalFormatting sqref="D404:BG404">
    <cfRule type="expression" dxfId="783" priority="1873">
      <formula>$N$233&lt;&gt;"Y"</formula>
    </cfRule>
  </conditionalFormatting>
  <conditionalFormatting sqref="D405:BG405">
    <cfRule type="expression" dxfId="782" priority="1876">
      <formula>$O$233&lt;&gt;"Y"</formula>
    </cfRule>
  </conditionalFormatting>
  <conditionalFormatting sqref="D406:BG406">
    <cfRule type="expression" dxfId="781" priority="1879">
      <formula>$B$234&lt;&gt;"Y"</formula>
    </cfRule>
  </conditionalFormatting>
  <conditionalFormatting sqref="D407:BG407">
    <cfRule type="expression" dxfId="780" priority="1882">
      <formula>$C$234&lt;&gt;"Y"</formula>
    </cfRule>
  </conditionalFormatting>
  <conditionalFormatting sqref="D408:BG408">
    <cfRule type="expression" dxfId="779" priority="1885">
      <formula>$D$234&lt;&gt;"Y"</formula>
    </cfRule>
  </conditionalFormatting>
  <conditionalFormatting sqref="D409:BG409">
    <cfRule type="expression" dxfId="778" priority="1888">
      <formula>$E$234&lt;&gt;"Y"</formula>
    </cfRule>
  </conditionalFormatting>
  <conditionalFormatting sqref="D410:BG410">
    <cfRule type="expression" dxfId="777" priority="1891">
      <formula>$F$234&lt;&gt;"Y"</formula>
    </cfRule>
  </conditionalFormatting>
  <conditionalFormatting sqref="D411:BG411">
    <cfRule type="expression" dxfId="776" priority="1894">
      <formula>$G$234&lt;&gt;"Y"</formula>
    </cfRule>
  </conditionalFormatting>
  <conditionalFormatting sqref="D412:BG412">
    <cfRule type="expression" dxfId="775" priority="1897">
      <formula>$H$234&lt;&gt;"Y"</formula>
    </cfRule>
  </conditionalFormatting>
  <conditionalFormatting sqref="D413:BG413">
    <cfRule type="expression" dxfId="774" priority="1900">
      <formula>$I$234&lt;&gt;"Y"</formula>
    </cfRule>
  </conditionalFormatting>
  <conditionalFormatting sqref="D414:BG414">
    <cfRule type="expression" dxfId="773" priority="1903">
      <formula>$J$234&lt;&gt;"Y"</formula>
    </cfRule>
  </conditionalFormatting>
  <conditionalFormatting sqref="D415:BG415">
    <cfRule type="expression" dxfId="772" priority="1906">
      <formula>$K$234&lt;&gt;"Y"</formula>
    </cfRule>
  </conditionalFormatting>
  <conditionalFormatting sqref="D416:BG416">
    <cfRule type="expression" dxfId="771" priority="1909">
      <formula>$L$234&lt;&gt;"Y"</formula>
    </cfRule>
  </conditionalFormatting>
  <conditionalFormatting sqref="D417:BG417">
    <cfRule type="expression" dxfId="770" priority="1912">
      <formula>$M$234&lt;&gt;"Y"</formula>
    </cfRule>
  </conditionalFormatting>
  <conditionalFormatting sqref="D418:BG418">
    <cfRule type="expression" dxfId="769" priority="1915">
      <formula>$N$234&lt;&gt;"Y"</formula>
    </cfRule>
  </conditionalFormatting>
  <conditionalFormatting sqref="D419:BG419">
    <cfRule type="expression" dxfId="768" priority="1918">
      <formula>$O$234&lt;&gt;"Y"</formula>
    </cfRule>
  </conditionalFormatting>
  <conditionalFormatting sqref="D420:BG420">
    <cfRule type="expression" dxfId="767" priority="1921">
      <formula>$B$235&lt;&gt;"Y"</formula>
    </cfRule>
  </conditionalFormatting>
  <conditionalFormatting sqref="D421:BG421">
    <cfRule type="expression" dxfId="766" priority="1924">
      <formula>$C$235&lt;&gt;"Y"</formula>
    </cfRule>
  </conditionalFormatting>
  <conditionalFormatting sqref="D422:BG422">
    <cfRule type="expression" dxfId="765" priority="1927">
      <formula>$D$235&lt;&gt;"Y"</formula>
    </cfRule>
  </conditionalFormatting>
  <conditionalFormatting sqref="D423:BG423">
    <cfRule type="expression" dxfId="764" priority="1930">
      <formula>$E$235&lt;&gt;"Y"</formula>
    </cfRule>
  </conditionalFormatting>
  <conditionalFormatting sqref="D424:BG424">
    <cfRule type="expression" dxfId="763" priority="1933">
      <formula>$F$235&lt;&gt;"Y"</formula>
    </cfRule>
  </conditionalFormatting>
  <conditionalFormatting sqref="D425:BG425">
    <cfRule type="expression" dxfId="762" priority="1936">
      <formula>$G$235&lt;&gt;"Y"</formula>
    </cfRule>
  </conditionalFormatting>
  <conditionalFormatting sqref="D426:BG426">
    <cfRule type="expression" dxfId="761" priority="1939">
      <formula>$H$235&lt;&gt;"Y"</formula>
    </cfRule>
  </conditionalFormatting>
  <conditionalFormatting sqref="D427:BG427">
    <cfRule type="expression" dxfId="760" priority="1942">
      <formula>$I$235&lt;&gt;"Y"</formula>
    </cfRule>
  </conditionalFormatting>
  <conditionalFormatting sqref="D428:BG428">
    <cfRule type="expression" dxfId="759" priority="1945">
      <formula>$J$235&lt;&gt;"Y"</formula>
    </cfRule>
  </conditionalFormatting>
  <conditionalFormatting sqref="D429:BG429">
    <cfRule type="expression" dxfId="758" priority="1948">
      <formula>$K$235&lt;&gt;"Y"</formula>
    </cfRule>
  </conditionalFormatting>
  <conditionalFormatting sqref="D430:BG430">
    <cfRule type="expression" dxfId="757" priority="1951">
      <formula>$L$235&lt;&gt;"Y"</formula>
    </cfRule>
  </conditionalFormatting>
  <conditionalFormatting sqref="D431:BG431">
    <cfRule type="expression" dxfId="756" priority="1954">
      <formula>$M$235&lt;&gt;"Y"</formula>
    </cfRule>
  </conditionalFormatting>
  <conditionalFormatting sqref="D432:BG432">
    <cfRule type="expression" dxfId="755" priority="1957">
      <formula>$N$235&lt;&gt;"Y"</formula>
    </cfRule>
  </conditionalFormatting>
  <conditionalFormatting sqref="D433:BG433">
    <cfRule type="expression" dxfId="754" priority="1960">
      <formula>$O$235&lt;&gt;"Y"</formula>
    </cfRule>
  </conditionalFormatting>
  <conditionalFormatting sqref="G21:G216">
    <cfRule type="expression" dxfId="753" priority="393">
      <formula>COUNTIF(I21:BG21,"&lt;&gt;" &amp; "")&gt;0</formula>
    </cfRule>
    <cfRule type="expression" dxfId="752" priority="394">
      <formula>AND(COUNTIF(I21:BG21,"&lt;&gt;" &amp; "")&gt;0,NOT(ISBLANK(G21)))</formula>
    </cfRule>
  </conditionalFormatting>
  <conditionalFormatting sqref="G238:G433">
    <cfRule type="expression" dxfId="751" priority="1373">
      <formula>COUNTIF(I238:BG238,"&lt;&gt;" &amp; "")&gt;0</formula>
    </cfRule>
    <cfRule type="expression" dxfId="750" priority="1374">
      <formula>AND(COUNTIF(I238:BG238,"&lt;&gt;" &amp; "")&gt;0,NOT(ISBLANK(G238)))</formula>
    </cfRule>
  </conditionalFormatting>
  <dataValidations count="2">
    <dataValidation type="list" allowBlank="1" showInputMessage="1" showErrorMessage="1" sqref="B222:O235 B5:O18" xr:uid="{00000000-0002-0000-0F00-000000000000}">
      <formula1>"Y,N"</formula1>
    </dataValidation>
    <dataValidation type="list" allowBlank="1" showInputMessage="1" showErrorMessage="1" sqref="E238:E433 E21:E216" xr:uid="{00000000-0002-0000-0F00-0000C4000000}">
      <formula1>"N.A."</formula1>
    </dataValidation>
  </dataValidations>
  <hyperlinks>
    <hyperlink ref="B5" location="Interactions!B21" display="Y" xr:uid="{00000000-0004-0000-0F00-000000000000}"/>
    <hyperlink ref="C5" location="Interactions!B22" display="Y" xr:uid="{00000000-0004-0000-0F00-000001000000}"/>
    <hyperlink ref="D5" location="Interactions!B23" display="N" xr:uid="{00000000-0004-0000-0F00-000002000000}"/>
    <hyperlink ref="E5" location="Interactions!B24" display="N" xr:uid="{00000000-0004-0000-0F00-000003000000}"/>
    <hyperlink ref="F5" location="Interactions!B25" display="N" xr:uid="{00000000-0004-0000-0F00-000004000000}"/>
    <hyperlink ref="G5" location="Interactions!B26" display="N" xr:uid="{00000000-0004-0000-0F00-000005000000}"/>
    <hyperlink ref="H5" location="Interactions!B27" display="N" xr:uid="{00000000-0004-0000-0F00-000006000000}"/>
    <hyperlink ref="I5" location="Interactions!B28" display="N" xr:uid="{00000000-0004-0000-0F00-000007000000}"/>
    <hyperlink ref="J5" location="Interactions!B29" display="N" xr:uid="{00000000-0004-0000-0F00-000008000000}"/>
    <hyperlink ref="K5" location="Interactions!B30" display="N" xr:uid="{00000000-0004-0000-0F00-000009000000}"/>
    <hyperlink ref="L5" location="Interactions!B31" display="N" xr:uid="{00000000-0004-0000-0F00-00000A000000}"/>
    <hyperlink ref="M5" location="Interactions!B32" display="N" xr:uid="{00000000-0004-0000-0F00-00000B000000}"/>
    <hyperlink ref="N5" location="Interactions!B33" display="N" xr:uid="{00000000-0004-0000-0F00-00000C000000}"/>
    <hyperlink ref="O5" location="Interactions!B34" display="N" xr:uid="{00000000-0004-0000-0F00-00000D000000}"/>
    <hyperlink ref="B6" location="Interactions!B35" display="Y" xr:uid="{00000000-0004-0000-0F00-00000E000000}"/>
    <hyperlink ref="C6" location="Interactions!B36" display="Y" xr:uid="{00000000-0004-0000-0F00-00000F000000}"/>
    <hyperlink ref="D6" location="Interactions!B37" display="N" xr:uid="{00000000-0004-0000-0F00-000010000000}"/>
    <hyperlink ref="E6" location="Interactions!B38" display="N" xr:uid="{00000000-0004-0000-0F00-000011000000}"/>
    <hyperlink ref="F6" location="Interactions!B39" display="N" xr:uid="{00000000-0004-0000-0F00-000012000000}"/>
    <hyperlink ref="G6" location="Interactions!B40" display="N" xr:uid="{00000000-0004-0000-0F00-000013000000}"/>
    <hyperlink ref="H6" location="Interactions!B41" display="N" xr:uid="{00000000-0004-0000-0F00-000014000000}"/>
    <hyperlink ref="I6" location="Interactions!B42" display="N" xr:uid="{00000000-0004-0000-0F00-000015000000}"/>
    <hyperlink ref="J6" location="Interactions!B43" display="N" xr:uid="{00000000-0004-0000-0F00-000016000000}"/>
    <hyperlink ref="K6" location="Interactions!B44" display="N" xr:uid="{00000000-0004-0000-0F00-000017000000}"/>
    <hyperlink ref="L6" location="Interactions!B45" display="N" xr:uid="{00000000-0004-0000-0F00-000018000000}"/>
    <hyperlink ref="M6" location="Interactions!B46" display="N" xr:uid="{00000000-0004-0000-0F00-000019000000}"/>
    <hyperlink ref="N6" location="Interactions!B47" display="N" xr:uid="{00000000-0004-0000-0F00-00001A000000}"/>
    <hyperlink ref="O6" location="Interactions!B48" display="N" xr:uid="{00000000-0004-0000-0F00-00001B000000}"/>
    <hyperlink ref="B7" location="Interactions!B49" display="N" xr:uid="{00000000-0004-0000-0F00-00001C000000}"/>
    <hyperlink ref="C7" location="Interactions!B50" display="N" xr:uid="{00000000-0004-0000-0F00-00001D000000}"/>
    <hyperlink ref="D7" location="Interactions!B51" display="N" xr:uid="{00000000-0004-0000-0F00-00001E000000}"/>
    <hyperlink ref="E7" location="Interactions!B52" display="N" xr:uid="{00000000-0004-0000-0F00-00001F000000}"/>
    <hyperlink ref="F7" location="Interactions!B53" display="N" xr:uid="{00000000-0004-0000-0F00-000020000000}"/>
    <hyperlink ref="G7" location="Interactions!B54" display="N" xr:uid="{00000000-0004-0000-0F00-000021000000}"/>
    <hyperlink ref="H7" location="Interactions!B55" display="N" xr:uid="{00000000-0004-0000-0F00-000022000000}"/>
    <hyperlink ref="I7" location="Interactions!B56" display="N" xr:uid="{00000000-0004-0000-0F00-000023000000}"/>
    <hyperlink ref="J7" location="Interactions!B57" display="N" xr:uid="{00000000-0004-0000-0F00-000024000000}"/>
    <hyperlink ref="K7" location="Interactions!B58" display="N" xr:uid="{00000000-0004-0000-0F00-000025000000}"/>
    <hyperlink ref="L7" location="Interactions!B59" display="N" xr:uid="{00000000-0004-0000-0F00-000026000000}"/>
    <hyperlink ref="M7" location="Interactions!B60" display="N" xr:uid="{00000000-0004-0000-0F00-000027000000}"/>
    <hyperlink ref="N7" location="Interactions!B61" display="N" xr:uid="{00000000-0004-0000-0F00-000028000000}"/>
    <hyperlink ref="O7" location="Interactions!B62" display="N" xr:uid="{00000000-0004-0000-0F00-000029000000}"/>
    <hyperlink ref="B8" location="Interactions!B63" display="N" xr:uid="{00000000-0004-0000-0F00-00002A000000}"/>
    <hyperlink ref="C8" location="Interactions!B64" display="N" xr:uid="{00000000-0004-0000-0F00-00002B000000}"/>
    <hyperlink ref="D8" location="Interactions!B65" display="N" xr:uid="{00000000-0004-0000-0F00-00002C000000}"/>
    <hyperlink ref="E8" location="Interactions!B66" display="N" xr:uid="{00000000-0004-0000-0F00-00002D000000}"/>
    <hyperlink ref="F8" location="Interactions!B67" display="N" xr:uid="{00000000-0004-0000-0F00-00002E000000}"/>
    <hyperlink ref="G8" location="Interactions!B68" display="N" xr:uid="{00000000-0004-0000-0F00-00002F000000}"/>
    <hyperlink ref="H8" location="Interactions!B69" display="N" xr:uid="{00000000-0004-0000-0F00-000030000000}"/>
    <hyperlink ref="I8" location="Interactions!B70" display="N" xr:uid="{00000000-0004-0000-0F00-000031000000}"/>
    <hyperlink ref="J8" location="Interactions!B71" display="N" xr:uid="{00000000-0004-0000-0F00-000032000000}"/>
    <hyperlink ref="K8" location="Interactions!B72" display="N" xr:uid="{00000000-0004-0000-0F00-000033000000}"/>
    <hyperlink ref="L8" location="Interactions!B73" display="N" xr:uid="{00000000-0004-0000-0F00-000034000000}"/>
    <hyperlink ref="M8" location="Interactions!B74" display="N" xr:uid="{00000000-0004-0000-0F00-000035000000}"/>
    <hyperlink ref="N8" location="Interactions!B75" display="N" xr:uid="{00000000-0004-0000-0F00-000036000000}"/>
    <hyperlink ref="O8" location="Interactions!B76" display="N" xr:uid="{00000000-0004-0000-0F00-000037000000}"/>
    <hyperlink ref="B9" location="Interactions!B77" display="N" xr:uid="{00000000-0004-0000-0F00-000038000000}"/>
    <hyperlink ref="C9" location="Interactions!B78" display="N" xr:uid="{00000000-0004-0000-0F00-000039000000}"/>
    <hyperlink ref="D9" location="Interactions!B79" display="N" xr:uid="{00000000-0004-0000-0F00-00003A000000}"/>
    <hyperlink ref="E9" location="Interactions!B80" display="N" xr:uid="{00000000-0004-0000-0F00-00003B000000}"/>
    <hyperlink ref="F9" location="Interactions!B81" display="N" xr:uid="{00000000-0004-0000-0F00-00003C000000}"/>
    <hyperlink ref="G9" location="Interactions!B82" display="N" xr:uid="{00000000-0004-0000-0F00-00003D000000}"/>
    <hyperlink ref="H9" location="Interactions!B83" display="N" xr:uid="{00000000-0004-0000-0F00-00003E000000}"/>
    <hyperlink ref="I9" location="Interactions!B84" display="N" xr:uid="{00000000-0004-0000-0F00-00003F000000}"/>
    <hyperlink ref="J9" location="Interactions!B85" display="N" xr:uid="{00000000-0004-0000-0F00-000040000000}"/>
    <hyperlink ref="K9" location="Interactions!B86" display="N" xr:uid="{00000000-0004-0000-0F00-000041000000}"/>
    <hyperlink ref="L9" location="Interactions!B87" display="N" xr:uid="{00000000-0004-0000-0F00-000042000000}"/>
    <hyperlink ref="M9" location="Interactions!B88" display="N" xr:uid="{00000000-0004-0000-0F00-000043000000}"/>
    <hyperlink ref="N9" location="Interactions!B89" display="N" xr:uid="{00000000-0004-0000-0F00-000044000000}"/>
    <hyperlink ref="O9" location="Interactions!B90" display="N" xr:uid="{00000000-0004-0000-0F00-000045000000}"/>
    <hyperlink ref="B10" location="Interactions!B91" display="N" xr:uid="{00000000-0004-0000-0F00-000046000000}"/>
    <hyperlink ref="C10" location="Interactions!B92" display="N" xr:uid="{00000000-0004-0000-0F00-000047000000}"/>
    <hyperlink ref="D10" location="Interactions!B93" display="N" xr:uid="{00000000-0004-0000-0F00-000048000000}"/>
    <hyperlink ref="E10" location="Interactions!B94" display="N" xr:uid="{00000000-0004-0000-0F00-000049000000}"/>
    <hyperlink ref="F10" location="Interactions!B95" display="N" xr:uid="{00000000-0004-0000-0F00-00004A000000}"/>
    <hyperlink ref="G10" location="Interactions!B96" display="N" xr:uid="{00000000-0004-0000-0F00-00004B000000}"/>
    <hyperlink ref="H10" location="Interactions!B97" display="N" xr:uid="{00000000-0004-0000-0F00-00004C000000}"/>
    <hyperlink ref="I10" location="Interactions!B98" display="N" xr:uid="{00000000-0004-0000-0F00-00004D000000}"/>
    <hyperlink ref="J10" location="Interactions!B99" display="N" xr:uid="{00000000-0004-0000-0F00-00004E000000}"/>
    <hyperlink ref="K10" location="Interactions!B100" display="N" xr:uid="{00000000-0004-0000-0F00-00004F000000}"/>
    <hyperlink ref="L10" location="Interactions!B101" display="N" xr:uid="{00000000-0004-0000-0F00-000050000000}"/>
    <hyperlink ref="M10" location="Interactions!B102" display="N" xr:uid="{00000000-0004-0000-0F00-000051000000}"/>
    <hyperlink ref="N10" location="Interactions!B103" display="N" xr:uid="{00000000-0004-0000-0F00-000052000000}"/>
    <hyperlink ref="O10" location="Interactions!B104" display="N" xr:uid="{00000000-0004-0000-0F00-000053000000}"/>
    <hyperlink ref="B11" location="Interactions!B105" display="N" xr:uid="{00000000-0004-0000-0F00-000054000000}"/>
    <hyperlink ref="C11" location="Interactions!B106" display="N" xr:uid="{00000000-0004-0000-0F00-000055000000}"/>
    <hyperlink ref="D11" location="Interactions!B107" display="N" xr:uid="{00000000-0004-0000-0F00-000056000000}"/>
    <hyperlink ref="E11" location="Interactions!B108" display="N" xr:uid="{00000000-0004-0000-0F00-000057000000}"/>
    <hyperlink ref="F11" location="Interactions!B109" display="N" xr:uid="{00000000-0004-0000-0F00-000058000000}"/>
    <hyperlink ref="G11" location="Interactions!B110" display="N" xr:uid="{00000000-0004-0000-0F00-000059000000}"/>
    <hyperlink ref="H11" location="Interactions!B111" display="N" xr:uid="{00000000-0004-0000-0F00-00005A000000}"/>
    <hyperlink ref="I11" location="Interactions!B112" display="N" xr:uid="{00000000-0004-0000-0F00-00005B000000}"/>
    <hyperlink ref="J11" location="Interactions!B113" display="N" xr:uid="{00000000-0004-0000-0F00-00005C000000}"/>
    <hyperlink ref="K11" location="Interactions!B114" display="N" xr:uid="{00000000-0004-0000-0F00-00005D000000}"/>
    <hyperlink ref="L11" location="Interactions!B115" display="N" xr:uid="{00000000-0004-0000-0F00-00005E000000}"/>
    <hyperlink ref="M11" location="Interactions!B116" display="N" xr:uid="{00000000-0004-0000-0F00-00005F000000}"/>
    <hyperlink ref="N11" location="Interactions!B117" display="N" xr:uid="{00000000-0004-0000-0F00-000060000000}"/>
    <hyperlink ref="O11" location="Interactions!B118" display="N" xr:uid="{00000000-0004-0000-0F00-000061000000}"/>
    <hyperlink ref="B12" location="Interactions!B119" display="N" xr:uid="{00000000-0004-0000-0F00-000062000000}"/>
    <hyperlink ref="C12" location="Interactions!B120" display="N" xr:uid="{00000000-0004-0000-0F00-000063000000}"/>
    <hyperlink ref="D12" location="Interactions!B121" display="N" xr:uid="{00000000-0004-0000-0F00-000064000000}"/>
    <hyperlink ref="E12" location="Interactions!B122" display="N" xr:uid="{00000000-0004-0000-0F00-000065000000}"/>
    <hyperlink ref="F12" location="Interactions!B123" display="N" xr:uid="{00000000-0004-0000-0F00-000066000000}"/>
    <hyperlink ref="G12" location="Interactions!B124" display="N" xr:uid="{00000000-0004-0000-0F00-000067000000}"/>
    <hyperlink ref="H12" location="Interactions!B125" display="N" xr:uid="{00000000-0004-0000-0F00-000068000000}"/>
    <hyperlink ref="I12" location="Interactions!B126" display="N" xr:uid="{00000000-0004-0000-0F00-000069000000}"/>
    <hyperlink ref="J12" location="Interactions!B127" display="N" xr:uid="{00000000-0004-0000-0F00-00006A000000}"/>
    <hyperlink ref="K12" location="Interactions!B128" display="N" xr:uid="{00000000-0004-0000-0F00-00006B000000}"/>
    <hyperlink ref="L12" location="Interactions!B129" display="N" xr:uid="{00000000-0004-0000-0F00-00006C000000}"/>
    <hyperlink ref="M12" location="Interactions!B130" display="N" xr:uid="{00000000-0004-0000-0F00-00006D000000}"/>
    <hyperlink ref="N12" location="Interactions!B131" display="N" xr:uid="{00000000-0004-0000-0F00-00006E000000}"/>
    <hyperlink ref="O12" location="Interactions!B132" display="N" xr:uid="{00000000-0004-0000-0F00-00006F000000}"/>
    <hyperlink ref="B13" location="Interactions!B133" display="N" xr:uid="{00000000-0004-0000-0F00-000070000000}"/>
    <hyperlink ref="C13" location="Interactions!B134" display="N" xr:uid="{00000000-0004-0000-0F00-000071000000}"/>
    <hyperlink ref="D13" location="Interactions!B135" display="N" xr:uid="{00000000-0004-0000-0F00-000072000000}"/>
    <hyperlink ref="E13" location="Interactions!B136" display="N" xr:uid="{00000000-0004-0000-0F00-000073000000}"/>
    <hyperlink ref="F13" location="Interactions!B137" display="N" xr:uid="{00000000-0004-0000-0F00-000074000000}"/>
    <hyperlink ref="G13" location="Interactions!B138" display="N" xr:uid="{00000000-0004-0000-0F00-000075000000}"/>
    <hyperlink ref="H13" location="Interactions!B139" display="N" xr:uid="{00000000-0004-0000-0F00-000076000000}"/>
    <hyperlink ref="I13" location="Interactions!B140" display="N" xr:uid="{00000000-0004-0000-0F00-000077000000}"/>
    <hyperlink ref="J13" location="Interactions!B141" display="N" xr:uid="{00000000-0004-0000-0F00-000078000000}"/>
    <hyperlink ref="K13" location="Interactions!B142" display="N" xr:uid="{00000000-0004-0000-0F00-000079000000}"/>
    <hyperlink ref="L13" location="Interactions!B143" display="N" xr:uid="{00000000-0004-0000-0F00-00007A000000}"/>
    <hyperlink ref="M13" location="Interactions!B144" display="N" xr:uid="{00000000-0004-0000-0F00-00007B000000}"/>
    <hyperlink ref="N13" location="Interactions!B145" display="N" xr:uid="{00000000-0004-0000-0F00-00007C000000}"/>
    <hyperlink ref="O13" location="Interactions!B146" display="N" xr:uid="{00000000-0004-0000-0F00-00007D000000}"/>
    <hyperlink ref="B14" location="Interactions!B147" display="N" xr:uid="{00000000-0004-0000-0F00-00007E000000}"/>
    <hyperlink ref="C14" location="Interactions!B148" display="N" xr:uid="{00000000-0004-0000-0F00-00007F000000}"/>
    <hyperlink ref="D14" location="Interactions!B149" display="N" xr:uid="{00000000-0004-0000-0F00-000080000000}"/>
    <hyperlink ref="E14" location="Interactions!B150" display="N" xr:uid="{00000000-0004-0000-0F00-000081000000}"/>
    <hyperlink ref="F14" location="Interactions!B151" display="N" xr:uid="{00000000-0004-0000-0F00-000082000000}"/>
    <hyperlink ref="G14" location="Interactions!B152" display="N" xr:uid="{00000000-0004-0000-0F00-000083000000}"/>
    <hyperlink ref="H14" location="Interactions!B153" display="N" xr:uid="{00000000-0004-0000-0F00-000084000000}"/>
    <hyperlink ref="I14" location="Interactions!B154" display="N" xr:uid="{00000000-0004-0000-0F00-000085000000}"/>
    <hyperlink ref="J14" location="Interactions!B155" display="N" xr:uid="{00000000-0004-0000-0F00-000086000000}"/>
    <hyperlink ref="K14" location="Interactions!B156" display="N" xr:uid="{00000000-0004-0000-0F00-000087000000}"/>
    <hyperlink ref="L14" location="Interactions!B157" display="N" xr:uid="{00000000-0004-0000-0F00-000088000000}"/>
    <hyperlink ref="M14" location="Interactions!B158" display="N" xr:uid="{00000000-0004-0000-0F00-000089000000}"/>
    <hyperlink ref="N14" location="Interactions!B159" display="N" xr:uid="{00000000-0004-0000-0F00-00008A000000}"/>
    <hyperlink ref="O14" location="Interactions!B160" display="N" xr:uid="{00000000-0004-0000-0F00-00008B000000}"/>
    <hyperlink ref="B15" location="Interactions!B161" display="N" xr:uid="{00000000-0004-0000-0F00-00008C000000}"/>
    <hyperlink ref="C15" location="Interactions!B162" display="N" xr:uid="{00000000-0004-0000-0F00-00008D000000}"/>
    <hyperlink ref="D15" location="Interactions!B163" display="N" xr:uid="{00000000-0004-0000-0F00-00008E000000}"/>
    <hyperlink ref="E15" location="Interactions!B164" display="N" xr:uid="{00000000-0004-0000-0F00-00008F000000}"/>
    <hyperlink ref="F15" location="Interactions!B165" display="N" xr:uid="{00000000-0004-0000-0F00-000090000000}"/>
    <hyperlink ref="G15" location="Interactions!B166" display="N" xr:uid="{00000000-0004-0000-0F00-000091000000}"/>
    <hyperlink ref="H15" location="Interactions!B167" display="N" xr:uid="{00000000-0004-0000-0F00-000092000000}"/>
    <hyperlink ref="I15" location="Interactions!B168" display="N" xr:uid="{00000000-0004-0000-0F00-000093000000}"/>
    <hyperlink ref="J15" location="Interactions!B169" display="N" xr:uid="{00000000-0004-0000-0F00-000094000000}"/>
    <hyperlink ref="K15" location="Interactions!B170" display="N" xr:uid="{00000000-0004-0000-0F00-000095000000}"/>
    <hyperlink ref="L15" location="Interactions!B171" display="N" xr:uid="{00000000-0004-0000-0F00-000096000000}"/>
    <hyperlink ref="M15" location="Interactions!B172" display="N" xr:uid="{00000000-0004-0000-0F00-000097000000}"/>
    <hyperlink ref="N15" location="Interactions!B173" display="N" xr:uid="{00000000-0004-0000-0F00-000098000000}"/>
    <hyperlink ref="O15" location="Interactions!B174" display="N" xr:uid="{00000000-0004-0000-0F00-000099000000}"/>
    <hyperlink ref="B16" location="Interactions!B175" display="N" xr:uid="{00000000-0004-0000-0F00-00009A000000}"/>
    <hyperlink ref="C16" location="Interactions!B176" display="N" xr:uid="{00000000-0004-0000-0F00-00009B000000}"/>
    <hyperlink ref="D16" location="Interactions!B177" display="N" xr:uid="{00000000-0004-0000-0F00-00009C000000}"/>
    <hyperlink ref="E16" location="Interactions!B178" display="N" xr:uid="{00000000-0004-0000-0F00-00009D000000}"/>
    <hyperlink ref="F16" location="Interactions!B179" display="N" xr:uid="{00000000-0004-0000-0F00-00009E000000}"/>
    <hyperlink ref="G16" location="Interactions!B180" display="N" xr:uid="{00000000-0004-0000-0F00-00009F000000}"/>
    <hyperlink ref="H16" location="Interactions!B181" display="N" xr:uid="{00000000-0004-0000-0F00-0000A0000000}"/>
    <hyperlink ref="I16" location="Interactions!B182" display="N" xr:uid="{00000000-0004-0000-0F00-0000A1000000}"/>
    <hyperlink ref="J16" location="Interactions!B183" display="N" xr:uid="{00000000-0004-0000-0F00-0000A2000000}"/>
    <hyperlink ref="K16" location="Interactions!B184" display="N" xr:uid="{00000000-0004-0000-0F00-0000A3000000}"/>
    <hyperlink ref="L16" location="Interactions!B185" display="N" xr:uid="{00000000-0004-0000-0F00-0000A4000000}"/>
    <hyperlink ref="M16" location="Interactions!B186" display="N" xr:uid="{00000000-0004-0000-0F00-0000A5000000}"/>
    <hyperlink ref="N16" location="Interactions!B187" display="N" xr:uid="{00000000-0004-0000-0F00-0000A6000000}"/>
    <hyperlink ref="O16" location="Interactions!B188" display="N" xr:uid="{00000000-0004-0000-0F00-0000A7000000}"/>
    <hyperlink ref="B17" location="Interactions!B189" display="N" xr:uid="{00000000-0004-0000-0F00-0000A8000000}"/>
    <hyperlink ref="C17" location="Interactions!B190" display="N" xr:uid="{00000000-0004-0000-0F00-0000A9000000}"/>
    <hyperlink ref="D17" location="Interactions!B191" display="N" xr:uid="{00000000-0004-0000-0F00-0000AA000000}"/>
    <hyperlink ref="E17" location="Interactions!B192" display="N" xr:uid="{00000000-0004-0000-0F00-0000AB000000}"/>
    <hyperlink ref="F17" location="Interactions!B193" display="N" xr:uid="{00000000-0004-0000-0F00-0000AC000000}"/>
    <hyperlink ref="G17" location="Interactions!B194" display="N" xr:uid="{00000000-0004-0000-0F00-0000AD000000}"/>
    <hyperlink ref="H17" location="Interactions!B195" display="N" xr:uid="{00000000-0004-0000-0F00-0000AE000000}"/>
    <hyperlink ref="I17" location="Interactions!B196" display="N" xr:uid="{00000000-0004-0000-0F00-0000AF000000}"/>
    <hyperlink ref="J17" location="Interactions!B197" display="N" xr:uid="{00000000-0004-0000-0F00-0000B0000000}"/>
    <hyperlink ref="K17" location="Interactions!B198" display="N" xr:uid="{00000000-0004-0000-0F00-0000B1000000}"/>
    <hyperlink ref="L17" location="Interactions!B199" display="N" xr:uid="{00000000-0004-0000-0F00-0000B2000000}"/>
    <hyperlink ref="M17" location="Interactions!B200" display="N" xr:uid="{00000000-0004-0000-0F00-0000B3000000}"/>
    <hyperlink ref="N17" location="Interactions!B201" display="Y" xr:uid="{00000000-0004-0000-0F00-0000B4000000}"/>
    <hyperlink ref="O17" location="Interactions!B202" display="N" xr:uid="{00000000-0004-0000-0F00-0000B5000000}"/>
    <hyperlink ref="B18" location="Interactions!B203" display="N" xr:uid="{00000000-0004-0000-0F00-0000B6000000}"/>
    <hyperlink ref="C18" location="Interactions!B204" display="N" xr:uid="{00000000-0004-0000-0F00-0000B7000000}"/>
    <hyperlink ref="D18" location="Interactions!B205" display="N" xr:uid="{00000000-0004-0000-0F00-0000B8000000}"/>
    <hyperlink ref="E18" location="Interactions!B206" display="N" xr:uid="{00000000-0004-0000-0F00-0000B9000000}"/>
    <hyperlink ref="F18" location="Interactions!B207" display="N" xr:uid="{00000000-0004-0000-0F00-0000BA000000}"/>
    <hyperlink ref="G18" location="Interactions!B208" display="N" xr:uid="{00000000-0004-0000-0F00-0000BB000000}"/>
    <hyperlink ref="H18" location="Interactions!B209" display="N" xr:uid="{00000000-0004-0000-0F00-0000BC000000}"/>
    <hyperlink ref="I18" location="Interactions!B210" display="N" xr:uid="{00000000-0004-0000-0F00-0000BD000000}"/>
    <hyperlink ref="J18" location="Interactions!B211" display="N" xr:uid="{00000000-0004-0000-0F00-0000BE000000}"/>
    <hyperlink ref="K18" location="Interactions!B212" display="N" xr:uid="{00000000-0004-0000-0F00-0000BF000000}"/>
    <hyperlink ref="L18" location="Interactions!B213" display="N" xr:uid="{00000000-0004-0000-0F00-0000C0000000}"/>
    <hyperlink ref="M18" location="Interactions!B214" display="N" xr:uid="{00000000-0004-0000-0F00-0000C1000000}"/>
    <hyperlink ref="N18" location="Interactions!B215" display="N" xr:uid="{00000000-0004-0000-0F00-0000C2000000}"/>
    <hyperlink ref="O18" location="Interactions!B216" display="Y" xr:uid="{00000000-0004-0000-0F00-0000C3000000}"/>
    <hyperlink ref="B21" location="Interactions!$B$5" display="Interactions!$B$5" xr:uid="{00000000-0004-0000-0F00-0000C4000000}"/>
    <hyperlink ref="B22" location="Interactions!$C$5" display="Interactions!$C$5" xr:uid="{00000000-0004-0000-0F00-0000C5000000}"/>
    <hyperlink ref="B23" location="Interactions!$D$5" display="Interactions!$D$5" xr:uid="{00000000-0004-0000-0F00-0000C6000000}"/>
    <hyperlink ref="B24" location="Interactions!$E$5" display="Interactions!$E$5" xr:uid="{00000000-0004-0000-0F00-0000C7000000}"/>
    <hyperlink ref="B25" location="Interactions!$F$5" display="Interactions!$F$5" xr:uid="{00000000-0004-0000-0F00-0000C8000000}"/>
    <hyperlink ref="B26" location="Interactions!$G$5" display="Interactions!$G$5" xr:uid="{00000000-0004-0000-0F00-0000C9000000}"/>
    <hyperlink ref="B27" location="Interactions!$H$5" display="Interactions!$H$5" xr:uid="{00000000-0004-0000-0F00-0000CA000000}"/>
    <hyperlink ref="B28" location="Interactions!$I$5" display="Interactions!$I$5" xr:uid="{00000000-0004-0000-0F00-0000CB000000}"/>
    <hyperlink ref="B29" location="Interactions!$J$5" display="Interactions!$J$5" xr:uid="{00000000-0004-0000-0F00-0000CC000000}"/>
    <hyperlink ref="B30" location="Interactions!$K$5" display="Interactions!$K$5" xr:uid="{00000000-0004-0000-0F00-0000CD000000}"/>
    <hyperlink ref="B31" location="Interactions!$L$5" display="Interactions!$L$5" xr:uid="{00000000-0004-0000-0F00-0000CE000000}"/>
    <hyperlink ref="B32" location="Interactions!$M$5" display="Interactions!$M$5" xr:uid="{00000000-0004-0000-0F00-0000CF000000}"/>
    <hyperlink ref="B33" location="Interactions!$N$5" display="Interactions!$N$5" xr:uid="{00000000-0004-0000-0F00-0000D0000000}"/>
    <hyperlink ref="B34" location="Interactions!$O$5" display="Interactions!$O$5" xr:uid="{00000000-0004-0000-0F00-0000D1000000}"/>
    <hyperlink ref="B35" location="Interactions!$B$6" display="Interactions!$B$6" xr:uid="{00000000-0004-0000-0F00-0000D2000000}"/>
    <hyperlink ref="B36" location="Interactions!$C$6" display="Interactions!$C$6" xr:uid="{00000000-0004-0000-0F00-0000D3000000}"/>
    <hyperlink ref="B37" location="Interactions!$D$6" display="Interactions!$D$6" xr:uid="{00000000-0004-0000-0F00-0000D4000000}"/>
    <hyperlink ref="B38" location="Interactions!$E$6" display="Interactions!$E$6" xr:uid="{00000000-0004-0000-0F00-0000D5000000}"/>
    <hyperlink ref="B39" location="Interactions!$F$6" display="Interactions!$F$6" xr:uid="{00000000-0004-0000-0F00-0000D6000000}"/>
    <hyperlink ref="B40" location="Interactions!$G$6" display="Interactions!$G$6" xr:uid="{00000000-0004-0000-0F00-0000D7000000}"/>
    <hyperlink ref="B41" location="Interactions!$H$6" display="Interactions!$H$6" xr:uid="{00000000-0004-0000-0F00-0000D8000000}"/>
    <hyperlink ref="B42" location="Interactions!$I$6" display="Interactions!$I$6" xr:uid="{00000000-0004-0000-0F00-0000D9000000}"/>
    <hyperlink ref="B43" location="Interactions!$J$6" display="Interactions!$J$6" xr:uid="{00000000-0004-0000-0F00-0000DA000000}"/>
    <hyperlink ref="B44" location="Interactions!$K$6" display="Interactions!$K$6" xr:uid="{00000000-0004-0000-0F00-0000DB000000}"/>
    <hyperlink ref="B45" location="Interactions!$L$6" display="Interactions!$L$6" xr:uid="{00000000-0004-0000-0F00-0000DC000000}"/>
    <hyperlink ref="B46" location="Interactions!$M$6" display="Interactions!$M$6" xr:uid="{00000000-0004-0000-0F00-0000DD000000}"/>
    <hyperlink ref="B47" location="Interactions!$N$6" display="Interactions!$N$6" xr:uid="{00000000-0004-0000-0F00-0000DE000000}"/>
    <hyperlink ref="B48" location="Interactions!$O$6" display="Interactions!$O$6" xr:uid="{00000000-0004-0000-0F00-0000DF000000}"/>
    <hyperlink ref="B49" location="Interactions!$B$7" display="Interactions!$B$7" xr:uid="{00000000-0004-0000-0F00-0000E0000000}"/>
    <hyperlink ref="B50" location="Interactions!$C$7" display="Interactions!$C$7" xr:uid="{00000000-0004-0000-0F00-0000E1000000}"/>
    <hyperlink ref="B51" location="Interactions!$D$7" display="Interactions!$D$7" xr:uid="{00000000-0004-0000-0F00-0000E2000000}"/>
    <hyperlink ref="B52" location="Interactions!$E$7" display="Interactions!$E$7" xr:uid="{00000000-0004-0000-0F00-0000E3000000}"/>
    <hyperlink ref="B53" location="Interactions!$F$7" display="Interactions!$F$7" xr:uid="{00000000-0004-0000-0F00-0000E4000000}"/>
    <hyperlink ref="B54" location="Interactions!$G$7" display="Interactions!$G$7" xr:uid="{00000000-0004-0000-0F00-0000E5000000}"/>
    <hyperlink ref="B55" location="Interactions!$H$7" display="Interactions!$H$7" xr:uid="{00000000-0004-0000-0F00-0000E6000000}"/>
    <hyperlink ref="B56" location="Interactions!$I$7" display="Interactions!$I$7" xr:uid="{00000000-0004-0000-0F00-0000E7000000}"/>
    <hyperlink ref="B57" location="Interactions!$J$7" display="Interactions!$J$7" xr:uid="{00000000-0004-0000-0F00-0000E8000000}"/>
    <hyperlink ref="B58" location="Interactions!$K$7" display="Interactions!$K$7" xr:uid="{00000000-0004-0000-0F00-0000E9000000}"/>
    <hyperlink ref="B59" location="Interactions!$L$7" display="Interactions!$L$7" xr:uid="{00000000-0004-0000-0F00-0000EA000000}"/>
    <hyperlink ref="B60" location="Interactions!$M$7" display="Interactions!$M$7" xr:uid="{00000000-0004-0000-0F00-0000EB000000}"/>
    <hyperlink ref="B61" location="Interactions!$N$7" display="Interactions!$N$7" xr:uid="{00000000-0004-0000-0F00-0000EC000000}"/>
    <hyperlink ref="B62" location="Interactions!$O$7" display="Interactions!$O$7" xr:uid="{00000000-0004-0000-0F00-0000ED000000}"/>
    <hyperlink ref="B63" location="Interactions!$B$8" display="Interactions!$B$8" xr:uid="{00000000-0004-0000-0F00-0000EE000000}"/>
    <hyperlink ref="B64" location="Interactions!$C$8" display="Interactions!$C$8" xr:uid="{00000000-0004-0000-0F00-0000EF000000}"/>
    <hyperlink ref="B65" location="Interactions!$D$8" display="Interactions!$D$8" xr:uid="{00000000-0004-0000-0F00-0000F0000000}"/>
    <hyperlink ref="B66" location="Interactions!$E$8" display="Interactions!$E$8" xr:uid="{00000000-0004-0000-0F00-0000F1000000}"/>
    <hyperlink ref="B67" location="Interactions!$F$8" display="Interactions!$F$8" xr:uid="{00000000-0004-0000-0F00-0000F2000000}"/>
    <hyperlink ref="B68" location="Interactions!$G$8" display="Interactions!$G$8" xr:uid="{00000000-0004-0000-0F00-0000F3000000}"/>
    <hyperlink ref="B69" location="Interactions!$H$8" display="Interactions!$H$8" xr:uid="{00000000-0004-0000-0F00-0000F4000000}"/>
    <hyperlink ref="B70" location="Interactions!$I$8" display="Interactions!$I$8" xr:uid="{00000000-0004-0000-0F00-0000F5000000}"/>
    <hyperlink ref="B71" location="Interactions!$J$8" display="Interactions!$J$8" xr:uid="{00000000-0004-0000-0F00-0000F6000000}"/>
    <hyperlink ref="B72" location="Interactions!$K$8" display="Interactions!$K$8" xr:uid="{00000000-0004-0000-0F00-0000F7000000}"/>
    <hyperlink ref="B73" location="Interactions!$L$8" display="Interactions!$L$8" xr:uid="{00000000-0004-0000-0F00-0000F8000000}"/>
    <hyperlink ref="B74" location="Interactions!$M$8" display="Interactions!$M$8" xr:uid="{00000000-0004-0000-0F00-0000F9000000}"/>
    <hyperlink ref="B75" location="Interactions!$N$8" display="Interactions!$N$8" xr:uid="{00000000-0004-0000-0F00-0000FA000000}"/>
    <hyperlink ref="B76" location="Interactions!$O$8" display="Interactions!$O$8" xr:uid="{00000000-0004-0000-0F00-0000FB000000}"/>
    <hyperlink ref="B77" location="Interactions!$B$9" display="Interactions!$B$9" xr:uid="{00000000-0004-0000-0F00-0000FC000000}"/>
    <hyperlink ref="B78" location="Interactions!$C$9" display="Interactions!$C$9" xr:uid="{00000000-0004-0000-0F00-0000FD000000}"/>
    <hyperlink ref="B79" location="Interactions!$D$9" display="Interactions!$D$9" xr:uid="{00000000-0004-0000-0F00-0000FE000000}"/>
    <hyperlink ref="B80" location="Interactions!$E$9" display="Interactions!$E$9" xr:uid="{00000000-0004-0000-0F00-0000FF000000}"/>
    <hyperlink ref="B81" location="Interactions!$F$9" display="Interactions!$F$9" xr:uid="{00000000-0004-0000-0F00-000000010000}"/>
    <hyperlink ref="B82" location="Interactions!$G$9" display="Interactions!$G$9" xr:uid="{00000000-0004-0000-0F00-000001010000}"/>
    <hyperlink ref="B83" location="Interactions!$H$9" display="Interactions!$H$9" xr:uid="{00000000-0004-0000-0F00-000002010000}"/>
    <hyperlink ref="B84" location="Interactions!$I$9" display="Interactions!$I$9" xr:uid="{00000000-0004-0000-0F00-000003010000}"/>
    <hyperlink ref="B85" location="Interactions!$J$9" display="Interactions!$J$9" xr:uid="{00000000-0004-0000-0F00-000004010000}"/>
    <hyperlink ref="B86" location="Interactions!$K$9" display="Interactions!$K$9" xr:uid="{00000000-0004-0000-0F00-000005010000}"/>
    <hyperlink ref="B87" location="Interactions!$L$9" display="Interactions!$L$9" xr:uid="{00000000-0004-0000-0F00-000006010000}"/>
    <hyperlink ref="B88" location="Interactions!$M$9" display="Interactions!$M$9" xr:uid="{00000000-0004-0000-0F00-000007010000}"/>
    <hyperlink ref="B89" location="Interactions!$N$9" display="Interactions!$N$9" xr:uid="{00000000-0004-0000-0F00-000008010000}"/>
    <hyperlink ref="B90" location="Interactions!$O$9" display="Interactions!$O$9" xr:uid="{00000000-0004-0000-0F00-000009010000}"/>
    <hyperlink ref="B91" location="Interactions!$B$10" display="Interactions!$B$10" xr:uid="{00000000-0004-0000-0F00-00000A010000}"/>
    <hyperlink ref="B92" location="Interactions!$C$10" display="Interactions!$C$10" xr:uid="{00000000-0004-0000-0F00-00000B010000}"/>
    <hyperlink ref="B93" location="Interactions!$D$10" display="Interactions!$D$10" xr:uid="{00000000-0004-0000-0F00-00000C010000}"/>
    <hyperlink ref="B94" location="Interactions!$E$10" display="Interactions!$E$10" xr:uid="{00000000-0004-0000-0F00-00000D010000}"/>
    <hyperlink ref="B95" location="Interactions!$F$10" display="Interactions!$F$10" xr:uid="{00000000-0004-0000-0F00-00000E010000}"/>
    <hyperlink ref="B96" location="Interactions!$G$10" display="Interactions!$G$10" xr:uid="{00000000-0004-0000-0F00-00000F010000}"/>
    <hyperlink ref="B97" location="Interactions!$H$10" display="Interactions!$H$10" xr:uid="{00000000-0004-0000-0F00-000010010000}"/>
    <hyperlink ref="B98" location="Interactions!$I$10" display="Interactions!$I$10" xr:uid="{00000000-0004-0000-0F00-000011010000}"/>
    <hyperlink ref="B99" location="Interactions!$J$10" display="Interactions!$J$10" xr:uid="{00000000-0004-0000-0F00-000012010000}"/>
    <hyperlink ref="B100" location="Interactions!$K$10" display="Interactions!$K$10" xr:uid="{00000000-0004-0000-0F00-000013010000}"/>
    <hyperlink ref="B101" location="Interactions!$L$10" display="Interactions!$L$10" xr:uid="{00000000-0004-0000-0F00-000014010000}"/>
    <hyperlink ref="B102" location="Interactions!$M$10" display="Interactions!$M$10" xr:uid="{00000000-0004-0000-0F00-000015010000}"/>
    <hyperlink ref="B103" location="Interactions!$N$10" display="Interactions!$N$10" xr:uid="{00000000-0004-0000-0F00-000016010000}"/>
    <hyperlink ref="B104" location="Interactions!$O$10" display="Interactions!$O$10" xr:uid="{00000000-0004-0000-0F00-000017010000}"/>
    <hyperlink ref="B105" location="Interactions!$B$11" display="Interactions!$B$11" xr:uid="{00000000-0004-0000-0F00-000018010000}"/>
    <hyperlink ref="B106" location="Interactions!$C$11" display="Interactions!$C$11" xr:uid="{00000000-0004-0000-0F00-000019010000}"/>
    <hyperlink ref="B107" location="Interactions!$D$11" display="Interactions!$D$11" xr:uid="{00000000-0004-0000-0F00-00001A010000}"/>
    <hyperlink ref="B108" location="Interactions!$E$11" display="Interactions!$E$11" xr:uid="{00000000-0004-0000-0F00-00001B010000}"/>
    <hyperlink ref="B109" location="Interactions!$F$11" display="Interactions!$F$11" xr:uid="{00000000-0004-0000-0F00-00001C010000}"/>
    <hyperlink ref="B110" location="Interactions!$G$11" display="Interactions!$G$11" xr:uid="{00000000-0004-0000-0F00-00001D010000}"/>
    <hyperlink ref="B111" location="Interactions!$H$11" display="Interactions!$H$11" xr:uid="{00000000-0004-0000-0F00-00001E010000}"/>
    <hyperlink ref="B112" location="Interactions!$I$11" display="Interactions!$I$11" xr:uid="{00000000-0004-0000-0F00-00001F010000}"/>
    <hyperlink ref="B113" location="Interactions!$J$11" display="Interactions!$J$11" xr:uid="{00000000-0004-0000-0F00-000020010000}"/>
    <hyperlink ref="B114" location="Interactions!$K$11" display="Interactions!$K$11" xr:uid="{00000000-0004-0000-0F00-000021010000}"/>
    <hyperlink ref="B115" location="Interactions!$L$11" display="Interactions!$L$11" xr:uid="{00000000-0004-0000-0F00-000022010000}"/>
    <hyperlink ref="B116" location="Interactions!$M$11" display="Interactions!$M$11" xr:uid="{00000000-0004-0000-0F00-000023010000}"/>
    <hyperlink ref="B117" location="Interactions!$N$11" display="Interactions!$N$11" xr:uid="{00000000-0004-0000-0F00-000024010000}"/>
    <hyperlink ref="B118" location="Interactions!$O$11" display="Interactions!$O$11" xr:uid="{00000000-0004-0000-0F00-000025010000}"/>
    <hyperlink ref="B119" location="Interactions!$B$12" display="Interactions!$B$12" xr:uid="{00000000-0004-0000-0F00-000026010000}"/>
    <hyperlink ref="B120" location="Interactions!$C$12" display="Interactions!$C$12" xr:uid="{00000000-0004-0000-0F00-000027010000}"/>
    <hyperlink ref="B121" location="Interactions!$D$12" display="Interactions!$D$12" xr:uid="{00000000-0004-0000-0F00-000028010000}"/>
    <hyperlink ref="B122" location="Interactions!$E$12" display="Interactions!$E$12" xr:uid="{00000000-0004-0000-0F00-000029010000}"/>
    <hyperlink ref="B123" location="Interactions!$F$12" display="Interactions!$F$12" xr:uid="{00000000-0004-0000-0F00-00002A010000}"/>
    <hyperlink ref="B124" location="Interactions!$G$12" display="Interactions!$G$12" xr:uid="{00000000-0004-0000-0F00-00002B010000}"/>
    <hyperlink ref="B125" location="Interactions!$H$12" display="Interactions!$H$12" xr:uid="{00000000-0004-0000-0F00-00002C010000}"/>
    <hyperlink ref="B126" location="Interactions!$I$12" display="Interactions!$I$12" xr:uid="{00000000-0004-0000-0F00-00002D010000}"/>
    <hyperlink ref="B127" location="Interactions!$J$12" display="Interactions!$J$12" xr:uid="{00000000-0004-0000-0F00-00002E010000}"/>
    <hyperlink ref="B128" location="Interactions!$K$12" display="Interactions!$K$12" xr:uid="{00000000-0004-0000-0F00-00002F010000}"/>
    <hyperlink ref="B129" location="Interactions!$L$12" display="Interactions!$L$12" xr:uid="{00000000-0004-0000-0F00-000030010000}"/>
    <hyperlink ref="B130" location="Interactions!$M$12" display="Interactions!$M$12" xr:uid="{00000000-0004-0000-0F00-000031010000}"/>
    <hyperlink ref="B131" location="Interactions!$N$12" display="Interactions!$N$12" xr:uid="{00000000-0004-0000-0F00-000032010000}"/>
    <hyperlink ref="B132" location="Interactions!$O$12" display="Interactions!$O$12" xr:uid="{00000000-0004-0000-0F00-000033010000}"/>
    <hyperlink ref="B133" location="Interactions!$B$13" display="Interactions!$B$13" xr:uid="{00000000-0004-0000-0F00-000034010000}"/>
    <hyperlink ref="B134" location="Interactions!$C$13" display="Interactions!$C$13" xr:uid="{00000000-0004-0000-0F00-000035010000}"/>
    <hyperlink ref="B135" location="Interactions!$D$13" display="Interactions!$D$13" xr:uid="{00000000-0004-0000-0F00-000036010000}"/>
    <hyperlink ref="B136" location="Interactions!$E$13" display="Interactions!$E$13" xr:uid="{00000000-0004-0000-0F00-000037010000}"/>
    <hyperlink ref="B137" location="Interactions!$F$13" display="Interactions!$F$13" xr:uid="{00000000-0004-0000-0F00-000038010000}"/>
    <hyperlink ref="B138" location="Interactions!$G$13" display="Interactions!$G$13" xr:uid="{00000000-0004-0000-0F00-000039010000}"/>
    <hyperlink ref="B139" location="Interactions!$H$13" display="Interactions!$H$13" xr:uid="{00000000-0004-0000-0F00-00003A010000}"/>
    <hyperlink ref="B140" location="Interactions!$I$13" display="Interactions!$I$13" xr:uid="{00000000-0004-0000-0F00-00003B010000}"/>
    <hyperlink ref="B141" location="Interactions!$J$13" display="Interactions!$J$13" xr:uid="{00000000-0004-0000-0F00-00003C010000}"/>
    <hyperlink ref="B142" location="Interactions!$K$13" display="Interactions!$K$13" xr:uid="{00000000-0004-0000-0F00-00003D010000}"/>
    <hyperlink ref="B143" location="Interactions!$L$13" display="Interactions!$L$13" xr:uid="{00000000-0004-0000-0F00-00003E010000}"/>
    <hyperlink ref="B144" location="Interactions!$M$13" display="Interactions!$M$13" xr:uid="{00000000-0004-0000-0F00-00003F010000}"/>
    <hyperlink ref="B145" location="Interactions!$N$13" display="Interactions!$N$13" xr:uid="{00000000-0004-0000-0F00-000040010000}"/>
    <hyperlink ref="B146" location="Interactions!$O$13" display="Interactions!$O$13" xr:uid="{00000000-0004-0000-0F00-000041010000}"/>
    <hyperlink ref="B147" location="Interactions!$B$14" display="Interactions!$B$14" xr:uid="{00000000-0004-0000-0F00-000042010000}"/>
    <hyperlink ref="B148" location="Interactions!$C$14" display="Interactions!$C$14" xr:uid="{00000000-0004-0000-0F00-000043010000}"/>
    <hyperlink ref="B149" location="Interactions!$D$14" display="Interactions!$D$14" xr:uid="{00000000-0004-0000-0F00-000044010000}"/>
    <hyperlink ref="B150" location="Interactions!$E$14" display="Interactions!$E$14" xr:uid="{00000000-0004-0000-0F00-000045010000}"/>
    <hyperlink ref="B151" location="Interactions!$F$14" display="Interactions!$F$14" xr:uid="{00000000-0004-0000-0F00-000046010000}"/>
    <hyperlink ref="B152" location="Interactions!$G$14" display="Interactions!$G$14" xr:uid="{00000000-0004-0000-0F00-000047010000}"/>
    <hyperlink ref="B153" location="Interactions!$H$14" display="Interactions!$H$14" xr:uid="{00000000-0004-0000-0F00-000048010000}"/>
    <hyperlink ref="B154" location="Interactions!$I$14" display="Interactions!$I$14" xr:uid="{00000000-0004-0000-0F00-000049010000}"/>
    <hyperlink ref="B155" location="Interactions!$J$14" display="Interactions!$J$14" xr:uid="{00000000-0004-0000-0F00-00004A010000}"/>
    <hyperlink ref="B156" location="Interactions!$K$14" display="Interactions!$K$14" xr:uid="{00000000-0004-0000-0F00-00004B010000}"/>
    <hyperlink ref="B157" location="Interactions!$L$14" display="Interactions!$L$14" xr:uid="{00000000-0004-0000-0F00-00004C010000}"/>
    <hyperlink ref="B158" location="Interactions!$M$14" display="Interactions!$M$14" xr:uid="{00000000-0004-0000-0F00-00004D010000}"/>
    <hyperlink ref="B159" location="Interactions!$N$14" display="Interactions!$N$14" xr:uid="{00000000-0004-0000-0F00-00004E010000}"/>
    <hyperlink ref="B160" location="Interactions!$O$14" display="Interactions!$O$14" xr:uid="{00000000-0004-0000-0F00-00004F010000}"/>
    <hyperlink ref="B161" location="Interactions!$B$15" display="Interactions!$B$15" xr:uid="{00000000-0004-0000-0F00-000050010000}"/>
    <hyperlink ref="B162" location="Interactions!$C$15" display="Interactions!$C$15" xr:uid="{00000000-0004-0000-0F00-000051010000}"/>
    <hyperlink ref="B163" location="Interactions!$D$15" display="Interactions!$D$15" xr:uid="{00000000-0004-0000-0F00-000052010000}"/>
    <hyperlink ref="B164" location="Interactions!$E$15" display="Interactions!$E$15" xr:uid="{00000000-0004-0000-0F00-000053010000}"/>
    <hyperlink ref="B165" location="Interactions!$F$15" display="Interactions!$F$15" xr:uid="{00000000-0004-0000-0F00-000054010000}"/>
    <hyperlink ref="B166" location="Interactions!$G$15" display="Interactions!$G$15" xr:uid="{00000000-0004-0000-0F00-000055010000}"/>
    <hyperlink ref="B167" location="Interactions!$H$15" display="Interactions!$H$15" xr:uid="{00000000-0004-0000-0F00-000056010000}"/>
    <hyperlink ref="B168" location="Interactions!$I$15" display="Interactions!$I$15" xr:uid="{00000000-0004-0000-0F00-000057010000}"/>
    <hyperlink ref="B169" location="Interactions!$J$15" display="Interactions!$J$15" xr:uid="{00000000-0004-0000-0F00-000058010000}"/>
    <hyperlink ref="B170" location="Interactions!$K$15" display="Interactions!$K$15" xr:uid="{00000000-0004-0000-0F00-000059010000}"/>
    <hyperlink ref="B171" location="Interactions!$L$15" display="Interactions!$L$15" xr:uid="{00000000-0004-0000-0F00-00005A010000}"/>
    <hyperlink ref="B172" location="Interactions!$M$15" display="Interactions!$M$15" xr:uid="{00000000-0004-0000-0F00-00005B010000}"/>
    <hyperlink ref="B173" location="Interactions!$N$15" display="Interactions!$N$15" xr:uid="{00000000-0004-0000-0F00-00005C010000}"/>
    <hyperlink ref="B174" location="Interactions!$O$15" display="Interactions!$O$15" xr:uid="{00000000-0004-0000-0F00-00005D010000}"/>
    <hyperlink ref="B175" location="Interactions!$B$16" display="Interactions!$B$16" xr:uid="{00000000-0004-0000-0F00-00005E010000}"/>
    <hyperlink ref="B176" location="Interactions!$C$16" display="Interactions!$C$16" xr:uid="{00000000-0004-0000-0F00-00005F010000}"/>
    <hyperlink ref="B177" location="Interactions!$D$16" display="Interactions!$D$16" xr:uid="{00000000-0004-0000-0F00-000060010000}"/>
    <hyperlink ref="B178" location="Interactions!$E$16" display="Interactions!$E$16" xr:uid="{00000000-0004-0000-0F00-000061010000}"/>
    <hyperlink ref="B179" location="Interactions!$F$16" display="Interactions!$F$16" xr:uid="{00000000-0004-0000-0F00-000062010000}"/>
    <hyperlink ref="B180" location="Interactions!$G$16" display="Interactions!$G$16" xr:uid="{00000000-0004-0000-0F00-000063010000}"/>
    <hyperlink ref="B181" location="Interactions!$H$16" display="Interactions!$H$16" xr:uid="{00000000-0004-0000-0F00-000064010000}"/>
    <hyperlink ref="B182" location="Interactions!$I$16" display="Interactions!$I$16" xr:uid="{00000000-0004-0000-0F00-000065010000}"/>
    <hyperlink ref="B183" location="Interactions!$J$16" display="Interactions!$J$16" xr:uid="{00000000-0004-0000-0F00-000066010000}"/>
    <hyperlink ref="B184" location="Interactions!$K$16" display="Interactions!$K$16" xr:uid="{00000000-0004-0000-0F00-000067010000}"/>
    <hyperlink ref="B185" location="Interactions!$L$16" display="Interactions!$L$16" xr:uid="{00000000-0004-0000-0F00-000068010000}"/>
    <hyperlink ref="B186" location="Interactions!$M$16" display="Interactions!$M$16" xr:uid="{00000000-0004-0000-0F00-000069010000}"/>
    <hyperlink ref="B187" location="Interactions!$N$16" display="Interactions!$N$16" xr:uid="{00000000-0004-0000-0F00-00006A010000}"/>
    <hyperlink ref="B188" location="Interactions!$O$16" display="Interactions!$O$16" xr:uid="{00000000-0004-0000-0F00-00006B010000}"/>
    <hyperlink ref="B189" location="Interactions!$B$17" display="Interactions!$B$17" xr:uid="{00000000-0004-0000-0F00-00006C010000}"/>
    <hyperlink ref="B190" location="Interactions!$C$17" display="Interactions!$C$17" xr:uid="{00000000-0004-0000-0F00-00006D010000}"/>
    <hyperlink ref="B191" location="Interactions!$D$17" display="Interactions!$D$17" xr:uid="{00000000-0004-0000-0F00-00006E010000}"/>
    <hyperlink ref="B192" location="Interactions!$E$17" display="Interactions!$E$17" xr:uid="{00000000-0004-0000-0F00-00006F010000}"/>
    <hyperlink ref="B193" location="Interactions!$F$17" display="Interactions!$F$17" xr:uid="{00000000-0004-0000-0F00-000070010000}"/>
    <hyperlink ref="B194" location="Interactions!$G$17" display="Interactions!$G$17" xr:uid="{00000000-0004-0000-0F00-000071010000}"/>
    <hyperlink ref="B195" location="Interactions!$H$17" display="Interactions!$H$17" xr:uid="{00000000-0004-0000-0F00-000072010000}"/>
    <hyperlink ref="B196" location="Interactions!$I$17" display="Interactions!$I$17" xr:uid="{00000000-0004-0000-0F00-000073010000}"/>
    <hyperlink ref="B197" location="Interactions!$J$17" display="Interactions!$J$17" xr:uid="{00000000-0004-0000-0F00-000074010000}"/>
    <hyperlink ref="B198" location="Interactions!$K$17" display="Interactions!$K$17" xr:uid="{00000000-0004-0000-0F00-000075010000}"/>
    <hyperlink ref="B199" location="Interactions!$L$17" display="Interactions!$L$17" xr:uid="{00000000-0004-0000-0F00-000076010000}"/>
    <hyperlink ref="B200" location="Interactions!$M$17" display="Interactions!$M$17" xr:uid="{00000000-0004-0000-0F00-000077010000}"/>
    <hyperlink ref="B201" location="Interactions!$N$17" display="Interactions!$N$17" xr:uid="{00000000-0004-0000-0F00-000078010000}"/>
    <hyperlink ref="B202" location="Interactions!$O$17" display="Interactions!$O$17" xr:uid="{00000000-0004-0000-0F00-000079010000}"/>
    <hyperlink ref="B203" location="Interactions!$B$18" display="Interactions!$B$18" xr:uid="{00000000-0004-0000-0F00-00007A010000}"/>
    <hyperlink ref="B204" location="Interactions!$C$18" display="Interactions!$C$18" xr:uid="{00000000-0004-0000-0F00-00007B010000}"/>
    <hyperlink ref="B205" location="Interactions!$D$18" display="Interactions!$D$18" xr:uid="{00000000-0004-0000-0F00-00007C010000}"/>
    <hyperlink ref="B206" location="Interactions!$E$18" display="Interactions!$E$18" xr:uid="{00000000-0004-0000-0F00-00007D010000}"/>
    <hyperlink ref="B207" location="Interactions!$F$18" display="Interactions!$F$18" xr:uid="{00000000-0004-0000-0F00-00007E010000}"/>
    <hyperlink ref="B208" location="Interactions!$G$18" display="Interactions!$G$18" xr:uid="{00000000-0004-0000-0F00-00007F010000}"/>
    <hyperlink ref="B209" location="Interactions!$H$18" display="Interactions!$H$18" xr:uid="{00000000-0004-0000-0F00-000080010000}"/>
    <hyperlink ref="B210" location="Interactions!$I$18" display="Interactions!$I$18" xr:uid="{00000000-0004-0000-0F00-000081010000}"/>
    <hyperlink ref="B211" location="Interactions!$J$18" display="Interactions!$J$18" xr:uid="{00000000-0004-0000-0F00-000082010000}"/>
    <hyperlink ref="B212" location="Interactions!$K$18" display="Interactions!$K$18" xr:uid="{00000000-0004-0000-0F00-000083010000}"/>
    <hyperlink ref="B213" location="Interactions!$L$18" display="Interactions!$L$18" xr:uid="{00000000-0004-0000-0F00-000084010000}"/>
    <hyperlink ref="B214" location="Interactions!$M$18" display="Interactions!$M$18" xr:uid="{00000000-0004-0000-0F00-000085010000}"/>
    <hyperlink ref="B215" location="Interactions!$N$18" display="Interactions!$N$18" xr:uid="{00000000-0004-0000-0F00-000086010000}"/>
    <hyperlink ref="B216" location="Interactions!$O$18" display="Interactions!$O$18" xr:uid="{00000000-0004-0000-0F00-000087010000}"/>
    <hyperlink ref="B222" location="Interactions!B238" display="N" xr:uid="{00000000-0004-0000-0F00-000088010000}"/>
    <hyperlink ref="C222" location="Interactions!B239" display="N" xr:uid="{00000000-0004-0000-0F00-000089010000}"/>
    <hyperlink ref="D222" location="Interactions!B240" display="N" xr:uid="{00000000-0004-0000-0F00-00008A010000}"/>
    <hyperlink ref="E222" location="Interactions!B241" display="N" xr:uid="{00000000-0004-0000-0F00-00008B010000}"/>
    <hyperlink ref="F222" location="Interactions!B242" display="N" xr:uid="{00000000-0004-0000-0F00-00008C010000}"/>
    <hyperlink ref="G222" location="Interactions!B243" display="N" xr:uid="{00000000-0004-0000-0F00-00008D010000}"/>
    <hyperlink ref="H222" location="Interactions!B244" display="N" xr:uid="{00000000-0004-0000-0F00-00008E010000}"/>
    <hyperlink ref="I222" location="Interactions!B245" display="N" xr:uid="{00000000-0004-0000-0F00-00008F010000}"/>
    <hyperlink ref="J222" location="Interactions!B246" display="N" xr:uid="{00000000-0004-0000-0F00-000090010000}"/>
    <hyperlink ref="K222" location="Interactions!B247" display="N" xr:uid="{00000000-0004-0000-0F00-000091010000}"/>
    <hyperlink ref="L222" location="Interactions!B248" display="N" xr:uid="{00000000-0004-0000-0F00-000092010000}"/>
    <hyperlink ref="M222" location="Interactions!B249" display="N" xr:uid="{00000000-0004-0000-0F00-000093010000}"/>
    <hyperlink ref="N222" location="Interactions!B250" display="N" xr:uid="{00000000-0004-0000-0F00-000094010000}"/>
    <hyperlink ref="O222" location="Interactions!B251" display="N" xr:uid="{00000000-0004-0000-0F00-000095010000}"/>
    <hyperlink ref="B223" location="Interactions!B252" display="N" xr:uid="{00000000-0004-0000-0F00-000096010000}"/>
    <hyperlink ref="C223" location="Interactions!B253" display="N" xr:uid="{00000000-0004-0000-0F00-000097010000}"/>
    <hyperlink ref="D223" location="Interactions!B254" display="N" xr:uid="{00000000-0004-0000-0F00-000098010000}"/>
    <hyperlink ref="E223" location="Interactions!B255" display="N" xr:uid="{00000000-0004-0000-0F00-000099010000}"/>
    <hyperlink ref="F223" location="Interactions!B256" display="N" xr:uid="{00000000-0004-0000-0F00-00009A010000}"/>
    <hyperlink ref="G223" location="Interactions!B257" display="N" xr:uid="{00000000-0004-0000-0F00-00009B010000}"/>
    <hyperlink ref="H223" location="Interactions!B258" display="N" xr:uid="{00000000-0004-0000-0F00-00009C010000}"/>
    <hyperlink ref="I223" location="Interactions!B259" display="N" xr:uid="{00000000-0004-0000-0F00-00009D010000}"/>
    <hyperlink ref="J223" location="Interactions!B260" display="N" xr:uid="{00000000-0004-0000-0F00-00009E010000}"/>
    <hyperlink ref="K223" location="Interactions!B261" display="N" xr:uid="{00000000-0004-0000-0F00-00009F010000}"/>
    <hyperlink ref="L223" location="Interactions!B262" display="N" xr:uid="{00000000-0004-0000-0F00-0000A0010000}"/>
    <hyperlink ref="M223" location="Interactions!B263" display="N" xr:uid="{00000000-0004-0000-0F00-0000A1010000}"/>
    <hyperlink ref="N223" location="Interactions!B264" display="N" xr:uid="{00000000-0004-0000-0F00-0000A2010000}"/>
    <hyperlink ref="O223" location="Interactions!B265" display="N" xr:uid="{00000000-0004-0000-0F00-0000A3010000}"/>
    <hyperlink ref="B224" location="Interactions!B266" display="N" xr:uid="{00000000-0004-0000-0F00-0000A4010000}"/>
    <hyperlink ref="C224" location="Interactions!B267" display="N" xr:uid="{00000000-0004-0000-0F00-0000A5010000}"/>
    <hyperlink ref="D224" location="Interactions!B268" display="N" xr:uid="{00000000-0004-0000-0F00-0000A6010000}"/>
    <hyperlink ref="E224" location="Interactions!B269" display="N" xr:uid="{00000000-0004-0000-0F00-0000A7010000}"/>
    <hyperlink ref="F224" location="Interactions!B270" display="N" xr:uid="{00000000-0004-0000-0F00-0000A8010000}"/>
    <hyperlink ref="G224" location="Interactions!B271" display="N" xr:uid="{00000000-0004-0000-0F00-0000A9010000}"/>
    <hyperlink ref="H224" location="Interactions!B272" display="N" xr:uid="{00000000-0004-0000-0F00-0000AA010000}"/>
    <hyperlink ref="I224" location="Interactions!B273" display="N" xr:uid="{00000000-0004-0000-0F00-0000AB010000}"/>
    <hyperlink ref="J224" location="Interactions!B274" display="N" xr:uid="{00000000-0004-0000-0F00-0000AC010000}"/>
    <hyperlink ref="K224" location="Interactions!B275" display="N" xr:uid="{00000000-0004-0000-0F00-0000AD010000}"/>
    <hyperlink ref="L224" location="Interactions!B276" display="N" xr:uid="{00000000-0004-0000-0F00-0000AE010000}"/>
    <hyperlink ref="M224" location="Interactions!B277" display="N" xr:uid="{00000000-0004-0000-0F00-0000AF010000}"/>
    <hyperlink ref="N224" location="Interactions!B278" display="N" xr:uid="{00000000-0004-0000-0F00-0000B0010000}"/>
    <hyperlink ref="O224" location="Interactions!B279" display="N" xr:uid="{00000000-0004-0000-0F00-0000B1010000}"/>
    <hyperlink ref="B225" location="Interactions!B280" display="N" xr:uid="{00000000-0004-0000-0F00-0000B2010000}"/>
    <hyperlink ref="C225" location="Interactions!B281" display="N" xr:uid="{00000000-0004-0000-0F00-0000B3010000}"/>
    <hyperlink ref="D225" location="Interactions!B282" display="N" xr:uid="{00000000-0004-0000-0F00-0000B4010000}"/>
    <hyperlink ref="E225" location="Interactions!B283" display="N" xr:uid="{00000000-0004-0000-0F00-0000B5010000}"/>
    <hyperlink ref="F225" location="Interactions!B284" display="N" xr:uid="{00000000-0004-0000-0F00-0000B6010000}"/>
    <hyperlink ref="G225" location="Interactions!B285" display="N" xr:uid="{00000000-0004-0000-0F00-0000B7010000}"/>
    <hyperlink ref="H225" location="Interactions!B286" display="N" xr:uid="{00000000-0004-0000-0F00-0000B8010000}"/>
    <hyperlink ref="I225" location="Interactions!B287" display="N" xr:uid="{00000000-0004-0000-0F00-0000B9010000}"/>
    <hyperlink ref="J225" location="Interactions!B288" display="N" xr:uid="{00000000-0004-0000-0F00-0000BA010000}"/>
    <hyperlink ref="K225" location="Interactions!B289" display="N" xr:uid="{00000000-0004-0000-0F00-0000BB010000}"/>
    <hyperlink ref="L225" location="Interactions!B290" display="N" xr:uid="{00000000-0004-0000-0F00-0000BC010000}"/>
    <hyperlink ref="M225" location="Interactions!B291" display="N" xr:uid="{00000000-0004-0000-0F00-0000BD010000}"/>
    <hyperlink ref="N225" location="Interactions!B292" display="N" xr:uid="{00000000-0004-0000-0F00-0000BE010000}"/>
    <hyperlink ref="O225" location="Interactions!B293" display="N" xr:uid="{00000000-0004-0000-0F00-0000BF010000}"/>
    <hyperlink ref="B226" location="Interactions!B294" display="N" xr:uid="{00000000-0004-0000-0F00-0000C0010000}"/>
    <hyperlink ref="C226" location="Interactions!B295" display="N" xr:uid="{00000000-0004-0000-0F00-0000C1010000}"/>
    <hyperlink ref="D226" location="Interactions!B296" display="N" xr:uid="{00000000-0004-0000-0F00-0000C2010000}"/>
    <hyperlink ref="E226" location="Interactions!B297" display="N" xr:uid="{00000000-0004-0000-0F00-0000C3010000}"/>
    <hyperlink ref="F226" location="Interactions!B298" display="N" xr:uid="{00000000-0004-0000-0F00-0000C4010000}"/>
    <hyperlink ref="G226" location="Interactions!B299" display="N" xr:uid="{00000000-0004-0000-0F00-0000C5010000}"/>
    <hyperlink ref="H226" location="Interactions!B300" display="N" xr:uid="{00000000-0004-0000-0F00-0000C6010000}"/>
    <hyperlink ref="I226" location="Interactions!B301" display="N" xr:uid="{00000000-0004-0000-0F00-0000C7010000}"/>
    <hyperlink ref="J226" location="Interactions!B302" display="N" xr:uid="{00000000-0004-0000-0F00-0000C8010000}"/>
    <hyperlink ref="K226" location="Interactions!B303" display="N" xr:uid="{00000000-0004-0000-0F00-0000C9010000}"/>
    <hyperlink ref="L226" location="Interactions!B304" display="N" xr:uid="{00000000-0004-0000-0F00-0000CA010000}"/>
    <hyperlink ref="M226" location="Interactions!B305" display="N" xr:uid="{00000000-0004-0000-0F00-0000CB010000}"/>
    <hyperlink ref="N226" location="Interactions!B306" display="N" xr:uid="{00000000-0004-0000-0F00-0000CC010000}"/>
    <hyperlink ref="O226" location="Interactions!B307" display="N" xr:uid="{00000000-0004-0000-0F00-0000CD010000}"/>
    <hyperlink ref="B227" location="Interactions!B308" display="N" xr:uid="{00000000-0004-0000-0F00-0000CE010000}"/>
    <hyperlink ref="C227" location="Interactions!B309" display="N" xr:uid="{00000000-0004-0000-0F00-0000CF010000}"/>
    <hyperlink ref="D227" location="Interactions!B310" display="N" xr:uid="{00000000-0004-0000-0F00-0000D0010000}"/>
    <hyperlink ref="E227" location="Interactions!B311" display="N" xr:uid="{00000000-0004-0000-0F00-0000D1010000}"/>
    <hyperlink ref="F227" location="Interactions!B312" display="N" xr:uid="{00000000-0004-0000-0F00-0000D2010000}"/>
    <hyperlink ref="G227" location="Interactions!B313" display="N" xr:uid="{00000000-0004-0000-0F00-0000D3010000}"/>
    <hyperlink ref="H227" location="Interactions!B314" display="N" xr:uid="{00000000-0004-0000-0F00-0000D4010000}"/>
    <hyperlink ref="I227" location="Interactions!B315" display="N" xr:uid="{00000000-0004-0000-0F00-0000D5010000}"/>
    <hyperlink ref="J227" location="Interactions!B316" display="N" xr:uid="{00000000-0004-0000-0F00-0000D6010000}"/>
    <hyperlink ref="K227" location="Interactions!B317" display="N" xr:uid="{00000000-0004-0000-0F00-0000D7010000}"/>
    <hyperlink ref="L227" location="Interactions!B318" display="N" xr:uid="{00000000-0004-0000-0F00-0000D8010000}"/>
    <hyperlink ref="M227" location="Interactions!B319" display="N" xr:uid="{00000000-0004-0000-0F00-0000D9010000}"/>
    <hyperlink ref="N227" location="Interactions!B320" display="N" xr:uid="{00000000-0004-0000-0F00-0000DA010000}"/>
    <hyperlink ref="O227" location="Interactions!B321" display="N" xr:uid="{00000000-0004-0000-0F00-0000DB010000}"/>
    <hyperlink ref="B228" location="Interactions!B322" display="N" xr:uid="{00000000-0004-0000-0F00-0000DC010000}"/>
    <hyperlink ref="C228" location="Interactions!B323" display="N" xr:uid="{00000000-0004-0000-0F00-0000DD010000}"/>
    <hyperlink ref="D228" location="Interactions!B324" display="N" xr:uid="{00000000-0004-0000-0F00-0000DE010000}"/>
    <hyperlink ref="E228" location="Interactions!B325" display="N" xr:uid="{00000000-0004-0000-0F00-0000DF010000}"/>
    <hyperlink ref="F228" location="Interactions!B326" display="N" xr:uid="{00000000-0004-0000-0F00-0000E0010000}"/>
    <hyperlink ref="G228" location="Interactions!B327" display="N" xr:uid="{00000000-0004-0000-0F00-0000E1010000}"/>
    <hyperlink ref="H228" location="Interactions!B328" display="Y" xr:uid="{00000000-0004-0000-0F00-0000E2010000}"/>
    <hyperlink ref="I228" location="Interactions!B329" display="Y" xr:uid="{00000000-0004-0000-0F00-0000E3010000}"/>
    <hyperlink ref="J228" location="Interactions!B330" display="Y" xr:uid="{00000000-0004-0000-0F00-0000E4010000}"/>
    <hyperlink ref="K228" location="Interactions!B331" display="Y" xr:uid="{00000000-0004-0000-0F00-0000E5010000}"/>
    <hyperlink ref="L228" location="Interactions!B332" display="N" xr:uid="{00000000-0004-0000-0F00-0000E6010000}"/>
    <hyperlink ref="M228" location="Interactions!B333" display="N" xr:uid="{00000000-0004-0000-0F00-0000E7010000}"/>
    <hyperlink ref="N228" location="Interactions!B334" display="N" xr:uid="{00000000-0004-0000-0F00-0000E8010000}"/>
    <hyperlink ref="O228" location="Interactions!B335" display="N" xr:uid="{00000000-0004-0000-0F00-0000E9010000}"/>
    <hyperlink ref="B229" location="Interactions!B336" display="N" xr:uid="{00000000-0004-0000-0F00-0000EA010000}"/>
    <hyperlink ref="C229" location="Interactions!B337" display="N" xr:uid="{00000000-0004-0000-0F00-0000EB010000}"/>
    <hyperlink ref="D229" location="Interactions!B338" display="N" xr:uid="{00000000-0004-0000-0F00-0000EC010000}"/>
    <hyperlink ref="E229" location="Interactions!B339" display="N" xr:uid="{00000000-0004-0000-0F00-0000ED010000}"/>
    <hyperlink ref="F229" location="Interactions!B340" display="N" xr:uid="{00000000-0004-0000-0F00-0000EE010000}"/>
    <hyperlink ref="G229" location="Interactions!B341" display="N" xr:uid="{00000000-0004-0000-0F00-0000EF010000}"/>
    <hyperlink ref="H229" location="Interactions!B342" display="Y" xr:uid="{00000000-0004-0000-0F00-0000F0010000}"/>
    <hyperlink ref="I229" location="Interactions!B343" display="Y" xr:uid="{00000000-0004-0000-0F00-0000F1010000}"/>
    <hyperlink ref="J229" location="Interactions!B344" display="Y" xr:uid="{00000000-0004-0000-0F00-0000F2010000}"/>
    <hyperlink ref="K229" location="Interactions!B345" display="Y" xr:uid="{00000000-0004-0000-0F00-0000F3010000}"/>
    <hyperlink ref="L229" location="Interactions!B346" display="N" xr:uid="{00000000-0004-0000-0F00-0000F4010000}"/>
    <hyperlink ref="M229" location="Interactions!B347" display="N" xr:uid="{00000000-0004-0000-0F00-0000F5010000}"/>
    <hyperlink ref="N229" location="Interactions!B348" display="N" xr:uid="{00000000-0004-0000-0F00-0000F6010000}"/>
    <hyperlink ref="O229" location="Interactions!B349" display="N" xr:uid="{00000000-0004-0000-0F00-0000F7010000}"/>
    <hyperlink ref="B230" location="Interactions!B350" display="N" xr:uid="{00000000-0004-0000-0F00-0000F8010000}"/>
    <hyperlink ref="C230" location="Interactions!B351" display="N" xr:uid="{00000000-0004-0000-0F00-0000F9010000}"/>
    <hyperlink ref="D230" location="Interactions!B352" display="N" xr:uid="{00000000-0004-0000-0F00-0000FA010000}"/>
    <hyperlink ref="E230" location="Interactions!B353" display="N" xr:uid="{00000000-0004-0000-0F00-0000FB010000}"/>
    <hyperlink ref="F230" location="Interactions!B354" display="N" xr:uid="{00000000-0004-0000-0F00-0000FC010000}"/>
    <hyperlink ref="G230" location="Interactions!B355" display="N" xr:uid="{00000000-0004-0000-0F00-0000FD010000}"/>
    <hyperlink ref="H230" location="Interactions!B356" display="Y" xr:uid="{00000000-0004-0000-0F00-0000FE010000}"/>
    <hyperlink ref="I230" location="Interactions!B357" display="Y" xr:uid="{00000000-0004-0000-0F00-0000FF010000}"/>
    <hyperlink ref="J230" location="Interactions!B358" display="Y" xr:uid="{00000000-0004-0000-0F00-000000020000}"/>
    <hyperlink ref="K230" location="Interactions!B359" display="Y" xr:uid="{00000000-0004-0000-0F00-000001020000}"/>
    <hyperlink ref="L230" location="Interactions!B360" display="N" xr:uid="{00000000-0004-0000-0F00-000002020000}"/>
    <hyperlink ref="M230" location="Interactions!B361" display="N" xr:uid="{00000000-0004-0000-0F00-000003020000}"/>
    <hyperlink ref="N230" location="Interactions!B362" display="N" xr:uid="{00000000-0004-0000-0F00-000004020000}"/>
    <hyperlink ref="O230" location="Interactions!B363" display="N" xr:uid="{00000000-0004-0000-0F00-000005020000}"/>
    <hyperlink ref="B231" location="Interactions!B364" display="N" xr:uid="{00000000-0004-0000-0F00-000006020000}"/>
    <hyperlink ref="C231" location="Interactions!B365" display="N" xr:uid="{00000000-0004-0000-0F00-000007020000}"/>
    <hyperlink ref="D231" location="Interactions!B366" display="N" xr:uid="{00000000-0004-0000-0F00-000008020000}"/>
    <hyperlink ref="E231" location="Interactions!B367" display="N" xr:uid="{00000000-0004-0000-0F00-000009020000}"/>
    <hyperlink ref="F231" location="Interactions!B368" display="N" xr:uid="{00000000-0004-0000-0F00-00000A020000}"/>
    <hyperlink ref="G231" location="Interactions!B369" display="N" xr:uid="{00000000-0004-0000-0F00-00000B020000}"/>
    <hyperlink ref="H231" location="Interactions!B370" display="Y" xr:uid="{00000000-0004-0000-0F00-00000C020000}"/>
    <hyperlink ref="I231" location="Interactions!B371" display="Y" xr:uid="{00000000-0004-0000-0F00-00000D020000}"/>
    <hyperlink ref="J231" location="Interactions!B372" display="Y" xr:uid="{00000000-0004-0000-0F00-00000E020000}"/>
    <hyperlink ref="K231" location="Interactions!B373" display="Y" xr:uid="{00000000-0004-0000-0F00-00000F020000}"/>
    <hyperlink ref="L231" location="Interactions!B374" display="N" xr:uid="{00000000-0004-0000-0F00-000010020000}"/>
    <hyperlink ref="M231" location="Interactions!B375" display="N" xr:uid="{00000000-0004-0000-0F00-000011020000}"/>
    <hyperlink ref="N231" location="Interactions!B376" display="N" xr:uid="{00000000-0004-0000-0F00-000012020000}"/>
    <hyperlink ref="O231" location="Interactions!B377" display="N" xr:uid="{00000000-0004-0000-0F00-000013020000}"/>
    <hyperlink ref="B232" location="Interactions!B378" display="N" xr:uid="{00000000-0004-0000-0F00-000014020000}"/>
    <hyperlink ref="C232" location="Interactions!B379" display="N" xr:uid="{00000000-0004-0000-0F00-000015020000}"/>
    <hyperlink ref="D232" location="Interactions!B380" display="N" xr:uid="{00000000-0004-0000-0F00-000016020000}"/>
    <hyperlink ref="E232" location="Interactions!B381" display="N" xr:uid="{00000000-0004-0000-0F00-000017020000}"/>
    <hyperlink ref="F232" location="Interactions!B382" display="N" xr:uid="{00000000-0004-0000-0F00-000018020000}"/>
    <hyperlink ref="G232" location="Interactions!B383" display="N" xr:uid="{00000000-0004-0000-0F00-000019020000}"/>
    <hyperlink ref="H232" location="Interactions!B384" display="N" xr:uid="{00000000-0004-0000-0F00-00001A020000}"/>
    <hyperlink ref="I232" location="Interactions!B385" display="N" xr:uid="{00000000-0004-0000-0F00-00001B020000}"/>
    <hyperlink ref="J232" location="Interactions!B386" display="N" xr:uid="{00000000-0004-0000-0F00-00001C020000}"/>
    <hyperlink ref="K232" location="Interactions!B387" display="N" xr:uid="{00000000-0004-0000-0F00-00001D020000}"/>
    <hyperlink ref="L232" location="Interactions!B388" display="N" xr:uid="{00000000-0004-0000-0F00-00001E020000}"/>
    <hyperlink ref="M232" location="Interactions!B389" display="N" xr:uid="{00000000-0004-0000-0F00-00001F020000}"/>
    <hyperlink ref="N232" location="Interactions!B390" display="N" xr:uid="{00000000-0004-0000-0F00-000020020000}"/>
    <hyperlink ref="O232" location="Interactions!B391" display="N" xr:uid="{00000000-0004-0000-0F00-000021020000}"/>
    <hyperlink ref="B233" location="Interactions!B392" display="N" xr:uid="{00000000-0004-0000-0F00-000022020000}"/>
    <hyperlink ref="C233" location="Interactions!B393" display="N" xr:uid="{00000000-0004-0000-0F00-000023020000}"/>
    <hyperlink ref="D233" location="Interactions!B394" display="N" xr:uid="{00000000-0004-0000-0F00-000024020000}"/>
    <hyperlink ref="E233" location="Interactions!B395" display="N" xr:uid="{00000000-0004-0000-0F00-000025020000}"/>
    <hyperlink ref="F233" location="Interactions!B396" display="N" xr:uid="{00000000-0004-0000-0F00-000026020000}"/>
    <hyperlink ref="G233" location="Interactions!B397" display="N" xr:uid="{00000000-0004-0000-0F00-000027020000}"/>
    <hyperlink ref="H233" location="Interactions!B398" display="N" xr:uid="{00000000-0004-0000-0F00-000028020000}"/>
    <hyperlink ref="I233" location="Interactions!B399" display="N" xr:uid="{00000000-0004-0000-0F00-000029020000}"/>
    <hyperlink ref="J233" location="Interactions!B400" display="N" xr:uid="{00000000-0004-0000-0F00-00002A020000}"/>
    <hyperlink ref="K233" location="Interactions!B401" display="N" xr:uid="{00000000-0004-0000-0F00-00002B020000}"/>
    <hyperlink ref="L233" location="Interactions!B402" display="N" xr:uid="{00000000-0004-0000-0F00-00002C020000}"/>
    <hyperlink ref="M233" location="Interactions!B403" display="N" xr:uid="{00000000-0004-0000-0F00-00002D020000}"/>
    <hyperlink ref="N233" location="Interactions!B404" display="N" xr:uid="{00000000-0004-0000-0F00-00002E020000}"/>
    <hyperlink ref="O233" location="Interactions!B405" display="N" xr:uid="{00000000-0004-0000-0F00-00002F020000}"/>
    <hyperlink ref="B234" location="Interactions!B406" display="N" xr:uid="{00000000-0004-0000-0F00-000030020000}"/>
    <hyperlink ref="C234" location="Interactions!B407" display="N" xr:uid="{00000000-0004-0000-0F00-000031020000}"/>
    <hyperlink ref="D234" location="Interactions!B408" display="N" xr:uid="{00000000-0004-0000-0F00-000032020000}"/>
    <hyperlink ref="E234" location="Interactions!B409" display="N" xr:uid="{00000000-0004-0000-0F00-000033020000}"/>
    <hyperlink ref="F234" location="Interactions!B410" display="N" xr:uid="{00000000-0004-0000-0F00-000034020000}"/>
    <hyperlink ref="G234" location="Interactions!B411" display="N" xr:uid="{00000000-0004-0000-0F00-000035020000}"/>
    <hyperlink ref="H234" location="Interactions!B412" display="N" xr:uid="{00000000-0004-0000-0F00-000036020000}"/>
    <hyperlink ref="I234" location="Interactions!B413" display="N" xr:uid="{00000000-0004-0000-0F00-000037020000}"/>
    <hyperlink ref="J234" location="Interactions!B414" display="N" xr:uid="{00000000-0004-0000-0F00-000038020000}"/>
    <hyperlink ref="K234" location="Interactions!B415" display="N" xr:uid="{00000000-0004-0000-0F00-000039020000}"/>
    <hyperlink ref="L234" location="Interactions!B416" display="N" xr:uid="{00000000-0004-0000-0F00-00003A020000}"/>
    <hyperlink ref="M234" location="Interactions!B417" display="N" xr:uid="{00000000-0004-0000-0F00-00003B020000}"/>
    <hyperlink ref="N234" location="Interactions!B418" display="N" xr:uid="{00000000-0004-0000-0F00-00003C020000}"/>
    <hyperlink ref="O234" location="Interactions!B419" display="N" xr:uid="{00000000-0004-0000-0F00-00003D020000}"/>
    <hyperlink ref="B235" location="Interactions!B420" display="N" xr:uid="{00000000-0004-0000-0F00-00003E020000}"/>
    <hyperlink ref="C235" location="Interactions!B421" display="N" xr:uid="{00000000-0004-0000-0F00-00003F020000}"/>
    <hyperlink ref="D235" location="Interactions!B422" display="N" xr:uid="{00000000-0004-0000-0F00-000040020000}"/>
    <hyperlink ref="E235" location="Interactions!B423" display="N" xr:uid="{00000000-0004-0000-0F00-000041020000}"/>
    <hyperlink ref="F235" location="Interactions!B424" display="N" xr:uid="{00000000-0004-0000-0F00-000042020000}"/>
    <hyperlink ref="G235" location="Interactions!B425" display="N" xr:uid="{00000000-0004-0000-0F00-000043020000}"/>
    <hyperlink ref="H235" location="Interactions!B426" display="N" xr:uid="{00000000-0004-0000-0F00-000044020000}"/>
    <hyperlink ref="I235" location="Interactions!B427" display="N" xr:uid="{00000000-0004-0000-0F00-000045020000}"/>
    <hyperlink ref="J235" location="Interactions!B428" display="N" xr:uid="{00000000-0004-0000-0F00-000046020000}"/>
    <hyperlink ref="K235" location="Interactions!B429" display="N" xr:uid="{00000000-0004-0000-0F00-000047020000}"/>
    <hyperlink ref="L235" location="Interactions!B430" display="N" xr:uid="{00000000-0004-0000-0F00-000048020000}"/>
    <hyperlink ref="M235" location="Interactions!B431" display="N" xr:uid="{00000000-0004-0000-0F00-000049020000}"/>
    <hyperlink ref="N235" location="Interactions!B432" display="N" xr:uid="{00000000-0004-0000-0F00-00004A020000}"/>
    <hyperlink ref="O235" location="Interactions!B433" display="N" xr:uid="{00000000-0004-0000-0F00-00004B020000}"/>
    <hyperlink ref="B238" location="Interactions!$B$222" display="Interactions!$B$222" xr:uid="{00000000-0004-0000-0F00-00004C020000}"/>
    <hyperlink ref="B239" location="Interactions!$C$222" display="Interactions!$C$222" xr:uid="{00000000-0004-0000-0F00-00004D020000}"/>
    <hyperlink ref="B240" location="Interactions!$D$222" display="Interactions!$D$222" xr:uid="{00000000-0004-0000-0F00-00004E020000}"/>
    <hyperlink ref="B241" location="Interactions!$E$222" display="Interactions!$E$222" xr:uid="{00000000-0004-0000-0F00-00004F020000}"/>
    <hyperlink ref="B242" location="Interactions!$F$222" display="Interactions!$F$222" xr:uid="{00000000-0004-0000-0F00-000050020000}"/>
    <hyperlink ref="B243" location="Interactions!$G$222" display="Interactions!$G$222" xr:uid="{00000000-0004-0000-0F00-000051020000}"/>
    <hyperlink ref="B244" location="Interactions!$H$222" display="Interactions!$H$222" xr:uid="{00000000-0004-0000-0F00-000052020000}"/>
    <hyperlink ref="B245" location="Interactions!$I$222" display="Interactions!$I$222" xr:uid="{00000000-0004-0000-0F00-000053020000}"/>
    <hyperlink ref="B246" location="Interactions!$J$222" display="Interactions!$J$222" xr:uid="{00000000-0004-0000-0F00-000054020000}"/>
    <hyperlink ref="B247" location="Interactions!$K$222" display="Interactions!$K$222" xr:uid="{00000000-0004-0000-0F00-000055020000}"/>
    <hyperlink ref="B248" location="Interactions!$L$222" display="Interactions!$L$222" xr:uid="{00000000-0004-0000-0F00-000056020000}"/>
    <hyperlink ref="B249" location="Interactions!$M$222" display="Interactions!$M$222" xr:uid="{00000000-0004-0000-0F00-000057020000}"/>
    <hyperlink ref="B250" location="Interactions!$N$222" display="Interactions!$N$222" xr:uid="{00000000-0004-0000-0F00-000058020000}"/>
    <hyperlink ref="B251" location="Interactions!$O$222" display="Interactions!$O$222" xr:uid="{00000000-0004-0000-0F00-000059020000}"/>
    <hyperlink ref="B252" location="Interactions!$B$223" display="Interactions!$B$223" xr:uid="{00000000-0004-0000-0F00-00005A020000}"/>
    <hyperlink ref="B253" location="Interactions!$C$223" display="Interactions!$C$223" xr:uid="{00000000-0004-0000-0F00-00005B020000}"/>
    <hyperlink ref="B254" location="Interactions!$D$223" display="Interactions!$D$223" xr:uid="{00000000-0004-0000-0F00-00005C020000}"/>
    <hyperlink ref="B255" location="Interactions!$E$223" display="Interactions!$E$223" xr:uid="{00000000-0004-0000-0F00-00005D020000}"/>
    <hyperlink ref="B256" location="Interactions!$F$223" display="Interactions!$F$223" xr:uid="{00000000-0004-0000-0F00-00005E020000}"/>
    <hyperlink ref="B257" location="Interactions!$G$223" display="Interactions!$G$223" xr:uid="{00000000-0004-0000-0F00-00005F020000}"/>
    <hyperlink ref="B258" location="Interactions!$H$223" display="Interactions!$H$223" xr:uid="{00000000-0004-0000-0F00-000060020000}"/>
    <hyperlink ref="B259" location="Interactions!$I$223" display="Interactions!$I$223" xr:uid="{00000000-0004-0000-0F00-000061020000}"/>
    <hyperlink ref="B260" location="Interactions!$J$223" display="Interactions!$J$223" xr:uid="{00000000-0004-0000-0F00-000062020000}"/>
    <hyperlink ref="B261" location="Interactions!$K$223" display="Interactions!$K$223" xr:uid="{00000000-0004-0000-0F00-000063020000}"/>
    <hyperlink ref="B262" location="Interactions!$L$223" display="Interactions!$L$223" xr:uid="{00000000-0004-0000-0F00-000064020000}"/>
    <hyperlink ref="B263" location="Interactions!$M$223" display="Interactions!$M$223" xr:uid="{00000000-0004-0000-0F00-000065020000}"/>
    <hyperlink ref="B264" location="Interactions!$N$223" display="Interactions!$N$223" xr:uid="{00000000-0004-0000-0F00-000066020000}"/>
    <hyperlink ref="B265" location="Interactions!$O$223" display="Interactions!$O$223" xr:uid="{00000000-0004-0000-0F00-000067020000}"/>
    <hyperlink ref="B266" location="Interactions!$B$224" display="Interactions!$B$224" xr:uid="{00000000-0004-0000-0F00-000068020000}"/>
    <hyperlink ref="B267" location="Interactions!$C$224" display="Interactions!$C$224" xr:uid="{00000000-0004-0000-0F00-000069020000}"/>
    <hyperlink ref="B268" location="Interactions!$D$224" display="Interactions!$D$224" xr:uid="{00000000-0004-0000-0F00-00006A020000}"/>
    <hyperlink ref="B269" location="Interactions!$E$224" display="Interactions!$E$224" xr:uid="{00000000-0004-0000-0F00-00006B020000}"/>
    <hyperlink ref="B270" location="Interactions!$F$224" display="Interactions!$F$224" xr:uid="{00000000-0004-0000-0F00-00006C020000}"/>
    <hyperlink ref="B271" location="Interactions!$G$224" display="Interactions!$G$224" xr:uid="{00000000-0004-0000-0F00-00006D020000}"/>
    <hyperlink ref="B272" location="Interactions!$H$224" display="Interactions!$H$224" xr:uid="{00000000-0004-0000-0F00-00006E020000}"/>
    <hyperlink ref="B273" location="Interactions!$I$224" display="Interactions!$I$224" xr:uid="{00000000-0004-0000-0F00-00006F020000}"/>
    <hyperlink ref="B274" location="Interactions!$J$224" display="Interactions!$J$224" xr:uid="{00000000-0004-0000-0F00-000070020000}"/>
    <hyperlink ref="B275" location="Interactions!$K$224" display="Interactions!$K$224" xr:uid="{00000000-0004-0000-0F00-000071020000}"/>
    <hyperlink ref="B276" location="Interactions!$L$224" display="Interactions!$L$224" xr:uid="{00000000-0004-0000-0F00-000072020000}"/>
    <hyperlink ref="B277" location="Interactions!$M$224" display="Interactions!$M$224" xr:uid="{00000000-0004-0000-0F00-000073020000}"/>
    <hyperlink ref="B278" location="Interactions!$N$224" display="Interactions!$N$224" xr:uid="{00000000-0004-0000-0F00-000074020000}"/>
    <hyperlink ref="B279" location="Interactions!$O$224" display="Interactions!$O$224" xr:uid="{00000000-0004-0000-0F00-000075020000}"/>
    <hyperlink ref="B280" location="Interactions!$B$225" display="Interactions!$B$225" xr:uid="{00000000-0004-0000-0F00-000076020000}"/>
    <hyperlink ref="B281" location="Interactions!$C$225" display="Interactions!$C$225" xr:uid="{00000000-0004-0000-0F00-000077020000}"/>
    <hyperlink ref="B282" location="Interactions!$D$225" display="Interactions!$D$225" xr:uid="{00000000-0004-0000-0F00-000078020000}"/>
    <hyperlink ref="B283" location="Interactions!$E$225" display="Interactions!$E$225" xr:uid="{00000000-0004-0000-0F00-000079020000}"/>
    <hyperlink ref="B284" location="Interactions!$F$225" display="Interactions!$F$225" xr:uid="{00000000-0004-0000-0F00-00007A020000}"/>
    <hyperlink ref="B285" location="Interactions!$G$225" display="Interactions!$G$225" xr:uid="{00000000-0004-0000-0F00-00007B020000}"/>
    <hyperlink ref="B286" location="Interactions!$H$225" display="Interactions!$H$225" xr:uid="{00000000-0004-0000-0F00-00007C020000}"/>
    <hyperlink ref="B287" location="Interactions!$I$225" display="Interactions!$I$225" xr:uid="{00000000-0004-0000-0F00-00007D020000}"/>
    <hyperlink ref="B288" location="Interactions!$J$225" display="Interactions!$J$225" xr:uid="{00000000-0004-0000-0F00-00007E020000}"/>
    <hyperlink ref="B289" location="Interactions!$K$225" display="Interactions!$K$225" xr:uid="{00000000-0004-0000-0F00-00007F020000}"/>
    <hyperlink ref="B290" location="Interactions!$L$225" display="Interactions!$L$225" xr:uid="{00000000-0004-0000-0F00-000080020000}"/>
    <hyperlink ref="B291" location="Interactions!$M$225" display="Interactions!$M$225" xr:uid="{00000000-0004-0000-0F00-000081020000}"/>
    <hyperlink ref="B292" location="Interactions!$N$225" display="Interactions!$N$225" xr:uid="{00000000-0004-0000-0F00-000082020000}"/>
    <hyperlink ref="B293" location="Interactions!$O$225" display="Interactions!$O$225" xr:uid="{00000000-0004-0000-0F00-000083020000}"/>
    <hyperlink ref="B294" location="Interactions!$B$226" display="Interactions!$B$226" xr:uid="{00000000-0004-0000-0F00-000084020000}"/>
    <hyperlink ref="B295" location="Interactions!$C$226" display="Interactions!$C$226" xr:uid="{00000000-0004-0000-0F00-000085020000}"/>
    <hyperlink ref="B296" location="Interactions!$D$226" display="Interactions!$D$226" xr:uid="{00000000-0004-0000-0F00-000086020000}"/>
    <hyperlink ref="B297" location="Interactions!$E$226" display="Interactions!$E$226" xr:uid="{00000000-0004-0000-0F00-000087020000}"/>
    <hyperlink ref="B298" location="Interactions!$F$226" display="Interactions!$F$226" xr:uid="{00000000-0004-0000-0F00-000088020000}"/>
    <hyperlink ref="B299" location="Interactions!$G$226" display="Interactions!$G$226" xr:uid="{00000000-0004-0000-0F00-000089020000}"/>
    <hyperlink ref="B300" location="Interactions!$H$226" display="Interactions!$H$226" xr:uid="{00000000-0004-0000-0F00-00008A020000}"/>
    <hyperlink ref="B301" location="Interactions!$I$226" display="Interactions!$I$226" xr:uid="{00000000-0004-0000-0F00-00008B020000}"/>
    <hyperlink ref="B302" location="Interactions!$J$226" display="Interactions!$J$226" xr:uid="{00000000-0004-0000-0F00-00008C020000}"/>
    <hyperlink ref="B303" location="Interactions!$K$226" display="Interactions!$K$226" xr:uid="{00000000-0004-0000-0F00-00008D020000}"/>
    <hyperlink ref="B304" location="Interactions!$L$226" display="Interactions!$L$226" xr:uid="{00000000-0004-0000-0F00-00008E020000}"/>
    <hyperlink ref="B305" location="Interactions!$M$226" display="Interactions!$M$226" xr:uid="{00000000-0004-0000-0F00-00008F020000}"/>
    <hyperlink ref="B306" location="Interactions!$N$226" display="Interactions!$N$226" xr:uid="{00000000-0004-0000-0F00-000090020000}"/>
    <hyperlink ref="B307" location="Interactions!$O$226" display="Interactions!$O$226" xr:uid="{00000000-0004-0000-0F00-000091020000}"/>
    <hyperlink ref="B308" location="Interactions!$B$227" display="Interactions!$B$227" xr:uid="{00000000-0004-0000-0F00-000092020000}"/>
    <hyperlink ref="B309" location="Interactions!$C$227" display="Interactions!$C$227" xr:uid="{00000000-0004-0000-0F00-000093020000}"/>
    <hyperlink ref="B310" location="Interactions!$D$227" display="Interactions!$D$227" xr:uid="{00000000-0004-0000-0F00-000094020000}"/>
    <hyperlink ref="B311" location="Interactions!$E$227" display="Interactions!$E$227" xr:uid="{00000000-0004-0000-0F00-000095020000}"/>
    <hyperlink ref="B312" location="Interactions!$F$227" display="Interactions!$F$227" xr:uid="{00000000-0004-0000-0F00-000096020000}"/>
    <hyperlink ref="B313" location="Interactions!$G$227" display="Interactions!$G$227" xr:uid="{00000000-0004-0000-0F00-000097020000}"/>
    <hyperlink ref="B314" location="Interactions!$H$227" display="Interactions!$H$227" xr:uid="{00000000-0004-0000-0F00-000098020000}"/>
    <hyperlink ref="B315" location="Interactions!$I$227" display="Interactions!$I$227" xr:uid="{00000000-0004-0000-0F00-000099020000}"/>
    <hyperlink ref="B316" location="Interactions!$J$227" display="Interactions!$J$227" xr:uid="{00000000-0004-0000-0F00-00009A020000}"/>
    <hyperlink ref="B317" location="Interactions!$K$227" display="Interactions!$K$227" xr:uid="{00000000-0004-0000-0F00-00009B020000}"/>
    <hyperlink ref="B318" location="Interactions!$L$227" display="Interactions!$L$227" xr:uid="{00000000-0004-0000-0F00-00009C020000}"/>
    <hyperlink ref="B319" location="Interactions!$M$227" display="Interactions!$M$227" xr:uid="{00000000-0004-0000-0F00-00009D020000}"/>
    <hyperlink ref="B320" location="Interactions!$N$227" display="Interactions!$N$227" xr:uid="{00000000-0004-0000-0F00-00009E020000}"/>
    <hyperlink ref="B321" location="Interactions!$O$227" display="Interactions!$O$227" xr:uid="{00000000-0004-0000-0F00-00009F020000}"/>
    <hyperlink ref="B322" location="Interactions!$B$228" display="Interactions!$B$228" xr:uid="{00000000-0004-0000-0F00-0000A0020000}"/>
    <hyperlink ref="B323" location="Interactions!$C$228" display="Interactions!$C$228" xr:uid="{00000000-0004-0000-0F00-0000A1020000}"/>
    <hyperlink ref="B324" location="Interactions!$D$228" display="Interactions!$D$228" xr:uid="{00000000-0004-0000-0F00-0000A2020000}"/>
    <hyperlink ref="B325" location="Interactions!$E$228" display="Interactions!$E$228" xr:uid="{00000000-0004-0000-0F00-0000A3020000}"/>
    <hyperlink ref="B326" location="Interactions!$F$228" display="Interactions!$F$228" xr:uid="{00000000-0004-0000-0F00-0000A4020000}"/>
    <hyperlink ref="B327" location="Interactions!$G$228" display="Interactions!$G$228" xr:uid="{00000000-0004-0000-0F00-0000A5020000}"/>
    <hyperlink ref="B328" location="Interactions!$H$228" display="Interactions!$H$228" xr:uid="{00000000-0004-0000-0F00-0000A6020000}"/>
    <hyperlink ref="B329" location="Interactions!$I$228" display="Interactions!$I$228" xr:uid="{00000000-0004-0000-0F00-0000A7020000}"/>
    <hyperlink ref="B330" location="Interactions!$J$228" display="Interactions!$J$228" xr:uid="{00000000-0004-0000-0F00-0000A8020000}"/>
    <hyperlink ref="B331" location="Interactions!$K$228" display="Interactions!$K$228" xr:uid="{00000000-0004-0000-0F00-0000A9020000}"/>
    <hyperlink ref="B332" location="Interactions!$L$228" display="Interactions!$L$228" xr:uid="{00000000-0004-0000-0F00-0000AA020000}"/>
    <hyperlink ref="B333" location="Interactions!$M$228" display="Interactions!$M$228" xr:uid="{00000000-0004-0000-0F00-0000AB020000}"/>
    <hyperlink ref="B334" location="Interactions!$N$228" display="Interactions!$N$228" xr:uid="{00000000-0004-0000-0F00-0000AC020000}"/>
    <hyperlink ref="B335" location="Interactions!$O$228" display="Interactions!$O$228" xr:uid="{00000000-0004-0000-0F00-0000AD020000}"/>
    <hyperlink ref="B336" location="Interactions!$B$229" display="Interactions!$B$229" xr:uid="{00000000-0004-0000-0F00-0000AE020000}"/>
    <hyperlink ref="B337" location="Interactions!$C$229" display="Interactions!$C$229" xr:uid="{00000000-0004-0000-0F00-0000AF020000}"/>
    <hyperlink ref="B338" location="Interactions!$D$229" display="Interactions!$D$229" xr:uid="{00000000-0004-0000-0F00-0000B0020000}"/>
    <hyperlink ref="B339" location="Interactions!$E$229" display="Interactions!$E$229" xr:uid="{00000000-0004-0000-0F00-0000B1020000}"/>
    <hyperlink ref="B340" location="Interactions!$F$229" display="Interactions!$F$229" xr:uid="{00000000-0004-0000-0F00-0000B2020000}"/>
    <hyperlink ref="B341" location="Interactions!$G$229" display="Interactions!$G$229" xr:uid="{00000000-0004-0000-0F00-0000B3020000}"/>
    <hyperlink ref="B342" location="Interactions!$H$229" display="Interactions!$H$229" xr:uid="{00000000-0004-0000-0F00-0000B4020000}"/>
    <hyperlink ref="B343" location="Interactions!$I$229" display="Interactions!$I$229" xr:uid="{00000000-0004-0000-0F00-0000B5020000}"/>
    <hyperlink ref="B344" location="Interactions!$J$229" display="Interactions!$J$229" xr:uid="{00000000-0004-0000-0F00-0000B6020000}"/>
    <hyperlink ref="B345" location="Interactions!$K$229" display="Interactions!$K$229" xr:uid="{00000000-0004-0000-0F00-0000B7020000}"/>
    <hyperlink ref="B346" location="Interactions!$L$229" display="Interactions!$L$229" xr:uid="{00000000-0004-0000-0F00-0000B8020000}"/>
    <hyperlink ref="B347" location="Interactions!$M$229" display="Interactions!$M$229" xr:uid="{00000000-0004-0000-0F00-0000B9020000}"/>
    <hyperlink ref="B348" location="Interactions!$N$229" display="Interactions!$N$229" xr:uid="{00000000-0004-0000-0F00-0000BA020000}"/>
    <hyperlink ref="B349" location="Interactions!$O$229" display="Interactions!$O$229" xr:uid="{00000000-0004-0000-0F00-0000BB020000}"/>
    <hyperlink ref="B350" location="Interactions!$B$230" display="Interactions!$B$230" xr:uid="{00000000-0004-0000-0F00-0000BC020000}"/>
    <hyperlink ref="B351" location="Interactions!$C$230" display="Interactions!$C$230" xr:uid="{00000000-0004-0000-0F00-0000BD020000}"/>
    <hyperlink ref="B352" location="Interactions!$D$230" display="Interactions!$D$230" xr:uid="{00000000-0004-0000-0F00-0000BE020000}"/>
    <hyperlink ref="B353" location="Interactions!$E$230" display="Interactions!$E$230" xr:uid="{00000000-0004-0000-0F00-0000BF020000}"/>
    <hyperlink ref="B354" location="Interactions!$F$230" display="Interactions!$F$230" xr:uid="{00000000-0004-0000-0F00-0000C0020000}"/>
    <hyperlink ref="B355" location="Interactions!$G$230" display="Interactions!$G$230" xr:uid="{00000000-0004-0000-0F00-0000C1020000}"/>
    <hyperlink ref="B356" location="Interactions!$H$230" display="Interactions!$H$230" xr:uid="{00000000-0004-0000-0F00-0000C2020000}"/>
    <hyperlink ref="B357" location="Interactions!$I$230" display="Interactions!$I$230" xr:uid="{00000000-0004-0000-0F00-0000C3020000}"/>
    <hyperlink ref="B358" location="Interactions!$J$230" display="Interactions!$J$230" xr:uid="{00000000-0004-0000-0F00-0000C4020000}"/>
    <hyperlink ref="B359" location="Interactions!$K$230" display="Interactions!$K$230" xr:uid="{00000000-0004-0000-0F00-0000C5020000}"/>
    <hyperlink ref="B360" location="Interactions!$L$230" display="Interactions!$L$230" xr:uid="{00000000-0004-0000-0F00-0000C6020000}"/>
    <hyperlink ref="B361" location="Interactions!$M$230" display="Interactions!$M$230" xr:uid="{00000000-0004-0000-0F00-0000C7020000}"/>
    <hyperlink ref="B362" location="Interactions!$N$230" display="Interactions!$N$230" xr:uid="{00000000-0004-0000-0F00-0000C8020000}"/>
    <hyperlink ref="B363" location="Interactions!$O$230" display="Interactions!$O$230" xr:uid="{00000000-0004-0000-0F00-0000C9020000}"/>
    <hyperlink ref="B364" location="Interactions!$B$231" display="Interactions!$B$231" xr:uid="{00000000-0004-0000-0F00-0000CA020000}"/>
    <hyperlink ref="B365" location="Interactions!$C$231" display="Interactions!$C$231" xr:uid="{00000000-0004-0000-0F00-0000CB020000}"/>
    <hyperlink ref="B366" location="Interactions!$D$231" display="Interactions!$D$231" xr:uid="{00000000-0004-0000-0F00-0000CC020000}"/>
    <hyperlink ref="B367" location="Interactions!$E$231" display="Interactions!$E$231" xr:uid="{00000000-0004-0000-0F00-0000CD020000}"/>
    <hyperlink ref="B368" location="Interactions!$F$231" display="Interactions!$F$231" xr:uid="{00000000-0004-0000-0F00-0000CE020000}"/>
    <hyperlink ref="B369" location="Interactions!$G$231" display="Interactions!$G$231" xr:uid="{00000000-0004-0000-0F00-0000CF020000}"/>
    <hyperlink ref="B370" location="Interactions!$H$231" display="Interactions!$H$231" xr:uid="{00000000-0004-0000-0F00-0000D0020000}"/>
    <hyperlink ref="B371" location="Interactions!$I$231" display="Interactions!$I$231" xr:uid="{00000000-0004-0000-0F00-0000D1020000}"/>
    <hyperlink ref="B372" location="Interactions!$J$231" display="Interactions!$J$231" xr:uid="{00000000-0004-0000-0F00-0000D2020000}"/>
    <hyperlink ref="B373" location="Interactions!$K$231" display="Interactions!$K$231" xr:uid="{00000000-0004-0000-0F00-0000D3020000}"/>
    <hyperlink ref="B374" location="Interactions!$L$231" display="Interactions!$L$231" xr:uid="{00000000-0004-0000-0F00-0000D4020000}"/>
    <hyperlink ref="B375" location="Interactions!$M$231" display="Interactions!$M$231" xr:uid="{00000000-0004-0000-0F00-0000D5020000}"/>
    <hyperlink ref="B376" location="Interactions!$N$231" display="Interactions!$N$231" xr:uid="{00000000-0004-0000-0F00-0000D6020000}"/>
    <hyperlink ref="B377" location="Interactions!$O$231" display="Interactions!$O$231" xr:uid="{00000000-0004-0000-0F00-0000D7020000}"/>
    <hyperlink ref="B378" location="Interactions!$B$232" display="Interactions!$B$232" xr:uid="{00000000-0004-0000-0F00-0000D8020000}"/>
    <hyperlink ref="B379" location="Interactions!$C$232" display="Interactions!$C$232" xr:uid="{00000000-0004-0000-0F00-0000D9020000}"/>
    <hyperlink ref="B380" location="Interactions!$D$232" display="Interactions!$D$232" xr:uid="{00000000-0004-0000-0F00-0000DA020000}"/>
    <hyperlink ref="B381" location="Interactions!$E$232" display="Interactions!$E$232" xr:uid="{00000000-0004-0000-0F00-0000DB020000}"/>
    <hyperlink ref="B382" location="Interactions!$F$232" display="Interactions!$F$232" xr:uid="{00000000-0004-0000-0F00-0000DC020000}"/>
    <hyperlink ref="B383" location="Interactions!$G$232" display="Interactions!$G$232" xr:uid="{00000000-0004-0000-0F00-0000DD020000}"/>
    <hyperlink ref="B384" location="Interactions!$H$232" display="Interactions!$H$232" xr:uid="{00000000-0004-0000-0F00-0000DE020000}"/>
    <hyperlink ref="B385" location="Interactions!$I$232" display="Interactions!$I$232" xr:uid="{00000000-0004-0000-0F00-0000DF020000}"/>
    <hyperlink ref="B386" location="Interactions!$J$232" display="Interactions!$J$232" xr:uid="{00000000-0004-0000-0F00-0000E0020000}"/>
    <hyperlink ref="B387" location="Interactions!$K$232" display="Interactions!$K$232" xr:uid="{00000000-0004-0000-0F00-0000E1020000}"/>
    <hyperlink ref="B388" location="Interactions!$L$232" display="Interactions!$L$232" xr:uid="{00000000-0004-0000-0F00-0000E2020000}"/>
    <hyperlink ref="B389" location="Interactions!$M$232" display="Interactions!$M$232" xr:uid="{00000000-0004-0000-0F00-0000E3020000}"/>
    <hyperlink ref="B390" location="Interactions!$N$232" display="Interactions!$N$232" xr:uid="{00000000-0004-0000-0F00-0000E4020000}"/>
    <hyperlink ref="B391" location="Interactions!$O$232" display="Interactions!$O$232" xr:uid="{00000000-0004-0000-0F00-0000E5020000}"/>
    <hyperlink ref="B392" location="Interactions!$B$233" display="Interactions!$B$233" xr:uid="{00000000-0004-0000-0F00-0000E6020000}"/>
    <hyperlink ref="B393" location="Interactions!$C$233" display="Interactions!$C$233" xr:uid="{00000000-0004-0000-0F00-0000E7020000}"/>
    <hyperlink ref="B394" location="Interactions!$D$233" display="Interactions!$D$233" xr:uid="{00000000-0004-0000-0F00-0000E8020000}"/>
    <hyperlink ref="B395" location="Interactions!$E$233" display="Interactions!$E$233" xr:uid="{00000000-0004-0000-0F00-0000E9020000}"/>
    <hyperlink ref="B396" location="Interactions!$F$233" display="Interactions!$F$233" xr:uid="{00000000-0004-0000-0F00-0000EA020000}"/>
    <hyperlink ref="B397" location="Interactions!$G$233" display="Interactions!$G$233" xr:uid="{00000000-0004-0000-0F00-0000EB020000}"/>
    <hyperlink ref="B398" location="Interactions!$H$233" display="Interactions!$H$233" xr:uid="{00000000-0004-0000-0F00-0000EC020000}"/>
    <hyperlink ref="B399" location="Interactions!$I$233" display="Interactions!$I$233" xr:uid="{00000000-0004-0000-0F00-0000ED020000}"/>
    <hyperlink ref="B400" location="Interactions!$J$233" display="Interactions!$J$233" xr:uid="{00000000-0004-0000-0F00-0000EE020000}"/>
    <hyperlink ref="B401" location="Interactions!$K$233" display="Interactions!$K$233" xr:uid="{00000000-0004-0000-0F00-0000EF020000}"/>
    <hyperlink ref="B402" location="Interactions!$L$233" display="Interactions!$L$233" xr:uid="{00000000-0004-0000-0F00-0000F0020000}"/>
    <hyperlink ref="B403" location="Interactions!$M$233" display="Interactions!$M$233" xr:uid="{00000000-0004-0000-0F00-0000F1020000}"/>
    <hyperlink ref="B404" location="Interactions!$N$233" display="Interactions!$N$233" xr:uid="{00000000-0004-0000-0F00-0000F2020000}"/>
    <hyperlink ref="B405" location="Interactions!$O$233" display="Interactions!$O$233" xr:uid="{00000000-0004-0000-0F00-0000F3020000}"/>
    <hyperlink ref="B406" location="Interactions!$B$234" display="Interactions!$B$234" xr:uid="{00000000-0004-0000-0F00-0000F4020000}"/>
    <hyperlink ref="B407" location="Interactions!$C$234" display="Interactions!$C$234" xr:uid="{00000000-0004-0000-0F00-0000F5020000}"/>
    <hyperlink ref="B408" location="Interactions!$D$234" display="Interactions!$D$234" xr:uid="{00000000-0004-0000-0F00-0000F6020000}"/>
    <hyperlink ref="B409" location="Interactions!$E$234" display="Interactions!$E$234" xr:uid="{00000000-0004-0000-0F00-0000F7020000}"/>
    <hyperlink ref="B410" location="Interactions!$F$234" display="Interactions!$F$234" xr:uid="{00000000-0004-0000-0F00-0000F8020000}"/>
    <hyperlink ref="B411" location="Interactions!$G$234" display="Interactions!$G$234" xr:uid="{00000000-0004-0000-0F00-0000F9020000}"/>
    <hyperlink ref="B412" location="Interactions!$H$234" display="Interactions!$H$234" xr:uid="{00000000-0004-0000-0F00-0000FA020000}"/>
    <hyperlink ref="B413" location="Interactions!$I$234" display="Interactions!$I$234" xr:uid="{00000000-0004-0000-0F00-0000FB020000}"/>
    <hyperlink ref="B414" location="Interactions!$J$234" display="Interactions!$J$234" xr:uid="{00000000-0004-0000-0F00-0000FC020000}"/>
    <hyperlink ref="B415" location="Interactions!$K$234" display="Interactions!$K$234" xr:uid="{00000000-0004-0000-0F00-0000FD020000}"/>
    <hyperlink ref="B416" location="Interactions!$L$234" display="Interactions!$L$234" xr:uid="{00000000-0004-0000-0F00-0000FE020000}"/>
    <hyperlink ref="B417" location="Interactions!$M$234" display="Interactions!$M$234" xr:uid="{00000000-0004-0000-0F00-0000FF020000}"/>
    <hyperlink ref="B418" location="Interactions!$N$234" display="Interactions!$N$234" xr:uid="{00000000-0004-0000-0F00-000000030000}"/>
    <hyperlink ref="B419" location="Interactions!$O$234" display="Interactions!$O$234" xr:uid="{00000000-0004-0000-0F00-000001030000}"/>
    <hyperlink ref="B420" location="Interactions!$B$235" display="Interactions!$B$235" xr:uid="{00000000-0004-0000-0F00-000002030000}"/>
    <hyperlink ref="B421" location="Interactions!$C$235" display="Interactions!$C$235" xr:uid="{00000000-0004-0000-0F00-000003030000}"/>
    <hyperlink ref="B422" location="Interactions!$D$235" display="Interactions!$D$235" xr:uid="{00000000-0004-0000-0F00-000004030000}"/>
    <hyperlink ref="B423" location="Interactions!$E$235" display="Interactions!$E$235" xr:uid="{00000000-0004-0000-0F00-000005030000}"/>
    <hyperlink ref="B424" location="Interactions!$F$235" display="Interactions!$F$235" xr:uid="{00000000-0004-0000-0F00-000006030000}"/>
    <hyperlink ref="B425" location="Interactions!$G$235" display="Interactions!$G$235" xr:uid="{00000000-0004-0000-0F00-000007030000}"/>
    <hyperlink ref="B426" location="Interactions!$H$235" display="Interactions!$H$235" xr:uid="{00000000-0004-0000-0F00-000008030000}"/>
    <hyperlink ref="B427" location="Interactions!$I$235" display="Interactions!$I$235" xr:uid="{00000000-0004-0000-0F00-000009030000}"/>
    <hyperlink ref="B428" location="Interactions!$J$235" display="Interactions!$J$235" xr:uid="{00000000-0004-0000-0F00-00000A030000}"/>
    <hyperlink ref="B429" location="Interactions!$K$235" display="Interactions!$K$235" xr:uid="{00000000-0004-0000-0F00-00000B030000}"/>
    <hyperlink ref="B430" location="Interactions!$L$235" display="Interactions!$L$235" xr:uid="{00000000-0004-0000-0F00-00000C030000}"/>
    <hyperlink ref="B431" location="Interactions!$M$235" display="Interactions!$M$235" xr:uid="{00000000-0004-0000-0F00-00000D030000}"/>
    <hyperlink ref="B432" location="Interactions!$N$235" display="Interactions!$N$235" xr:uid="{00000000-0004-0000-0F00-00000E030000}"/>
    <hyperlink ref="B433" location="Interactions!$O$235" display="Interactions!$O$235" xr:uid="{00000000-0004-0000-0F00-00000F03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08080"/>
  </sheetPr>
  <dimension ref="A1:BG650"/>
  <sheetViews>
    <sheetView workbookViewId="0"/>
  </sheetViews>
  <sheetFormatPr defaultRowHeight="15" x14ac:dyDescent="0.25"/>
  <cols>
    <col min="1" max="1" width="25.85546875" customWidth="1"/>
    <col min="2" max="2" width="44.5703125" customWidth="1"/>
    <col min="3" max="3" width="25.85546875" customWidth="1"/>
    <col min="4" max="4" width="21.5703125" customWidth="1"/>
    <col min="5" max="5" width="18.28515625" customWidth="1"/>
    <col min="6" max="6" width="13.85546875" customWidth="1"/>
    <col min="7" max="7" width="16" customWidth="1"/>
    <col min="8" max="8" width="13.85546875" customWidth="1"/>
    <col min="9" max="9" width="16" customWidth="1"/>
    <col min="10" max="10" width="11.5703125" customWidth="1"/>
    <col min="11" max="11" width="13.85546875" customWidth="1"/>
    <col min="12" max="12" width="18.28515625" customWidth="1"/>
    <col min="13" max="13" width="20.42578125" customWidth="1"/>
    <col min="14" max="14" width="23.7109375" customWidth="1"/>
    <col min="15" max="15" width="25.85546875" customWidth="1"/>
    <col min="16" max="59" width="9.42578125" customWidth="1"/>
  </cols>
  <sheetData>
    <row r="1" spans="1:15" x14ac:dyDescent="0.25">
      <c r="A1" s="1" t="s">
        <v>0</v>
      </c>
      <c r="B1" s="1" t="s">
        <v>1</v>
      </c>
      <c r="C1" s="1" t="s">
        <v>226</v>
      </c>
      <c r="D1" s="1" t="s">
        <v>227</v>
      </c>
    </row>
    <row r="2" spans="1:15" x14ac:dyDescent="0.25">
      <c r="A2" t="s">
        <v>234</v>
      </c>
      <c r="B2" t="s">
        <v>235</v>
      </c>
      <c r="C2" t="s">
        <v>5</v>
      </c>
      <c r="D2" t="s">
        <v>5</v>
      </c>
    </row>
    <row r="4" spans="1:15" x14ac:dyDescent="0.25">
      <c r="B4" s="1" t="str">
        <f>'Population Definitions'!$A$2</f>
        <v>PWID_males</v>
      </c>
      <c r="C4" s="1" t="str">
        <f>'Population Definitions'!$A$3</f>
        <v>PWID_females</v>
      </c>
      <c r="D4" s="1" t="str">
        <f>'Population Definitions'!$A$4</f>
        <v>0-9_males</v>
      </c>
      <c r="E4" s="1" t="str">
        <f>'Population Definitions'!$A$5</f>
        <v>0-9_females</v>
      </c>
      <c r="F4" s="1" t="str">
        <f>'Population Definitions'!$A$6</f>
        <v>10-17_males</v>
      </c>
      <c r="G4" s="1" t="str">
        <f>'Population Definitions'!$A$7</f>
        <v>10-17_females</v>
      </c>
      <c r="H4" s="1" t="str">
        <f>'Population Definitions'!$A$8</f>
        <v>18-64_males</v>
      </c>
      <c r="I4" s="1" t="str">
        <f>'Population Definitions'!$A$9</f>
        <v>18-64_females</v>
      </c>
      <c r="J4" s="1" t="str">
        <f>'Population Definitions'!$A$10</f>
        <v>65+_males</v>
      </c>
      <c r="K4" s="1" t="str">
        <f>'Population Definitions'!$A$11</f>
        <v>65+_females</v>
      </c>
      <c r="L4" s="1" t="str">
        <f>'Population Definitions'!$A$12</f>
        <v>Prisoners_males</v>
      </c>
      <c r="M4" s="1" t="str">
        <f>'Population Definitions'!$A$13</f>
        <v>Prisoners_females</v>
      </c>
      <c r="N4" s="1" t="str">
        <f>'Population Definitions'!$A$14</f>
        <v>Prisoners_PWID_males</v>
      </c>
      <c r="O4" s="1" t="str">
        <f>'Population Definitions'!$A$15</f>
        <v>Prisoners_PWID_females</v>
      </c>
    </row>
    <row r="5" spans="1:15" x14ac:dyDescent="0.25">
      <c r="A5" s="1" t="str">
        <f>'Population Definitions'!$A$2</f>
        <v>PWID_males</v>
      </c>
      <c r="B5" s="4" t="s">
        <v>58</v>
      </c>
      <c r="C5" s="5" t="s">
        <v>229</v>
      </c>
      <c r="D5" s="5" t="s">
        <v>229</v>
      </c>
      <c r="E5" s="5" t="s">
        <v>229</v>
      </c>
      <c r="F5" s="5" t="s">
        <v>229</v>
      </c>
      <c r="G5" s="5" t="s">
        <v>229</v>
      </c>
      <c r="H5" s="5" t="s">
        <v>229</v>
      </c>
      <c r="I5" s="5" t="s">
        <v>229</v>
      </c>
      <c r="J5" s="5" t="s">
        <v>229</v>
      </c>
      <c r="K5" s="5" t="s">
        <v>229</v>
      </c>
      <c r="L5" s="5" t="s">
        <v>229</v>
      </c>
      <c r="M5" s="5" t="s">
        <v>229</v>
      </c>
      <c r="N5" s="5" t="s">
        <v>229</v>
      </c>
      <c r="O5" s="5" t="s">
        <v>229</v>
      </c>
    </row>
    <row r="6" spans="1:15" x14ac:dyDescent="0.25">
      <c r="A6" s="1" t="str">
        <f>'Population Definitions'!$A$3</f>
        <v>PWID_females</v>
      </c>
      <c r="B6" s="5" t="s">
        <v>229</v>
      </c>
      <c r="C6" s="4" t="s">
        <v>58</v>
      </c>
      <c r="D6" s="5" t="s">
        <v>229</v>
      </c>
      <c r="E6" s="5" t="s">
        <v>229</v>
      </c>
      <c r="F6" s="5" t="s">
        <v>229</v>
      </c>
      <c r="G6" s="5" t="s">
        <v>229</v>
      </c>
      <c r="H6" s="5" t="s">
        <v>229</v>
      </c>
      <c r="I6" s="5" t="s">
        <v>229</v>
      </c>
      <c r="J6" s="5" t="s">
        <v>229</v>
      </c>
      <c r="K6" s="5" t="s">
        <v>229</v>
      </c>
      <c r="L6" s="5" t="s">
        <v>229</v>
      </c>
      <c r="M6" s="5" t="s">
        <v>229</v>
      </c>
      <c r="N6" s="5" t="s">
        <v>229</v>
      </c>
      <c r="O6" s="5" t="s">
        <v>229</v>
      </c>
    </row>
    <row r="7" spans="1:15" x14ac:dyDescent="0.25">
      <c r="A7" s="1" t="str">
        <f>'Population Definitions'!$A$4</f>
        <v>0-9_males</v>
      </c>
      <c r="B7" s="5" t="s">
        <v>229</v>
      </c>
      <c r="C7" s="5" t="s">
        <v>229</v>
      </c>
      <c r="D7" s="4" t="s">
        <v>58</v>
      </c>
      <c r="E7" s="5" t="s">
        <v>229</v>
      </c>
      <c r="F7" s="5" t="s">
        <v>228</v>
      </c>
      <c r="G7" s="5" t="s">
        <v>229</v>
      </c>
      <c r="H7" s="5" t="s">
        <v>229</v>
      </c>
      <c r="I7" s="5" t="s">
        <v>229</v>
      </c>
      <c r="J7" s="5" t="s">
        <v>229</v>
      </c>
      <c r="K7" s="5" t="s">
        <v>229</v>
      </c>
      <c r="L7" s="5" t="s">
        <v>229</v>
      </c>
      <c r="M7" s="5" t="s">
        <v>229</v>
      </c>
      <c r="N7" s="5" t="s">
        <v>229</v>
      </c>
      <c r="O7" s="5" t="s">
        <v>229</v>
      </c>
    </row>
    <row r="8" spans="1:15" x14ac:dyDescent="0.25">
      <c r="A8" s="1" t="str">
        <f>'Population Definitions'!$A$5</f>
        <v>0-9_females</v>
      </c>
      <c r="B8" s="5" t="s">
        <v>229</v>
      </c>
      <c r="C8" s="5" t="s">
        <v>229</v>
      </c>
      <c r="D8" s="5" t="s">
        <v>229</v>
      </c>
      <c r="E8" s="4" t="s">
        <v>58</v>
      </c>
      <c r="F8" s="5" t="s">
        <v>229</v>
      </c>
      <c r="G8" s="5" t="s">
        <v>228</v>
      </c>
      <c r="H8" s="5" t="s">
        <v>229</v>
      </c>
      <c r="I8" s="5" t="s">
        <v>229</v>
      </c>
      <c r="J8" s="5" t="s">
        <v>229</v>
      </c>
      <c r="K8" s="5" t="s">
        <v>229</v>
      </c>
      <c r="L8" s="5" t="s">
        <v>229</v>
      </c>
      <c r="M8" s="5" t="s">
        <v>229</v>
      </c>
      <c r="N8" s="5" t="s">
        <v>229</v>
      </c>
      <c r="O8" s="5" t="s">
        <v>229</v>
      </c>
    </row>
    <row r="9" spans="1:15" x14ac:dyDescent="0.25">
      <c r="A9" s="1" t="str">
        <f>'Population Definitions'!$A$6</f>
        <v>10-17_males</v>
      </c>
      <c r="B9" s="5" t="s">
        <v>229</v>
      </c>
      <c r="C9" s="5" t="s">
        <v>229</v>
      </c>
      <c r="D9" s="5" t="s">
        <v>229</v>
      </c>
      <c r="E9" s="5" t="s">
        <v>229</v>
      </c>
      <c r="F9" s="4" t="s">
        <v>58</v>
      </c>
      <c r="G9" s="5" t="s">
        <v>229</v>
      </c>
      <c r="H9" s="5" t="s">
        <v>228</v>
      </c>
      <c r="I9" s="5" t="s">
        <v>229</v>
      </c>
      <c r="J9" s="5" t="s">
        <v>229</v>
      </c>
      <c r="K9" s="5" t="s">
        <v>229</v>
      </c>
      <c r="L9" s="5" t="s">
        <v>229</v>
      </c>
      <c r="M9" s="5" t="s">
        <v>229</v>
      </c>
      <c r="N9" s="5" t="s">
        <v>229</v>
      </c>
      <c r="O9" s="5" t="s">
        <v>229</v>
      </c>
    </row>
    <row r="10" spans="1:15" x14ac:dyDescent="0.25">
      <c r="A10" s="1" t="str">
        <f>'Population Definitions'!$A$7</f>
        <v>10-17_females</v>
      </c>
      <c r="B10" s="5" t="s">
        <v>229</v>
      </c>
      <c r="C10" s="5" t="s">
        <v>229</v>
      </c>
      <c r="D10" s="5" t="s">
        <v>229</v>
      </c>
      <c r="E10" s="5" t="s">
        <v>229</v>
      </c>
      <c r="F10" s="5" t="s">
        <v>229</v>
      </c>
      <c r="G10" s="4" t="s">
        <v>58</v>
      </c>
      <c r="H10" s="5" t="s">
        <v>229</v>
      </c>
      <c r="I10" s="5" t="s">
        <v>228</v>
      </c>
      <c r="J10" s="5" t="s">
        <v>229</v>
      </c>
      <c r="K10" s="5" t="s">
        <v>229</v>
      </c>
      <c r="L10" s="5" t="s">
        <v>229</v>
      </c>
      <c r="M10" s="5" t="s">
        <v>229</v>
      </c>
      <c r="N10" s="5" t="s">
        <v>229</v>
      </c>
      <c r="O10" s="5" t="s">
        <v>229</v>
      </c>
    </row>
    <row r="11" spans="1:15" x14ac:dyDescent="0.25">
      <c r="A11" s="1" t="str">
        <f>'Population Definitions'!$A$8</f>
        <v>18-64_males</v>
      </c>
      <c r="B11" s="5" t="s">
        <v>229</v>
      </c>
      <c r="C11" s="5" t="s">
        <v>229</v>
      </c>
      <c r="D11" s="5" t="s">
        <v>229</v>
      </c>
      <c r="E11" s="5" t="s">
        <v>229</v>
      </c>
      <c r="F11" s="5" t="s">
        <v>229</v>
      </c>
      <c r="G11" s="5" t="s">
        <v>229</v>
      </c>
      <c r="H11" s="4" t="s">
        <v>58</v>
      </c>
      <c r="I11" s="5" t="s">
        <v>229</v>
      </c>
      <c r="J11" s="5" t="s">
        <v>228</v>
      </c>
      <c r="K11" s="5" t="s">
        <v>229</v>
      </c>
      <c r="L11" s="5" t="s">
        <v>229</v>
      </c>
      <c r="M11" s="5" t="s">
        <v>229</v>
      </c>
      <c r="N11" s="5" t="s">
        <v>229</v>
      </c>
      <c r="O11" s="5" t="s">
        <v>229</v>
      </c>
    </row>
    <row r="12" spans="1:15" x14ac:dyDescent="0.25">
      <c r="A12" s="1" t="str">
        <f>'Population Definitions'!$A$9</f>
        <v>18-64_females</v>
      </c>
      <c r="B12" s="5" t="s">
        <v>229</v>
      </c>
      <c r="C12" s="5" t="s">
        <v>229</v>
      </c>
      <c r="D12" s="5" t="s">
        <v>229</v>
      </c>
      <c r="E12" s="5" t="s">
        <v>229</v>
      </c>
      <c r="F12" s="5" t="s">
        <v>229</v>
      </c>
      <c r="G12" s="5" t="s">
        <v>229</v>
      </c>
      <c r="H12" s="5" t="s">
        <v>229</v>
      </c>
      <c r="I12" s="4" t="s">
        <v>58</v>
      </c>
      <c r="J12" s="5" t="s">
        <v>229</v>
      </c>
      <c r="K12" s="5" t="s">
        <v>228</v>
      </c>
      <c r="L12" s="5" t="s">
        <v>229</v>
      </c>
      <c r="M12" s="5" t="s">
        <v>229</v>
      </c>
      <c r="N12" s="5" t="s">
        <v>229</v>
      </c>
      <c r="O12" s="5" t="s">
        <v>229</v>
      </c>
    </row>
    <row r="13" spans="1:15" x14ac:dyDescent="0.25">
      <c r="A13" s="1" t="str">
        <f>'Population Definitions'!$A$10</f>
        <v>65+_males</v>
      </c>
      <c r="B13" s="5" t="s">
        <v>229</v>
      </c>
      <c r="C13" s="5" t="s">
        <v>229</v>
      </c>
      <c r="D13" s="5" t="s">
        <v>229</v>
      </c>
      <c r="E13" s="5" t="s">
        <v>229</v>
      </c>
      <c r="F13" s="5" t="s">
        <v>229</v>
      </c>
      <c r="G13" s="5" t="s">
        <v>229</v>
      </c>
      <c r="H13" s="5" t="s">
        <v>229</v>
      </c>
      <c r="I13" s="5" t="s">
        <v>229</v>
      </c>
      <c r="J13" s="4" t="s">
        <v>58</v>
      </c>
      <c r="K13" s="5" t="s">
        <v>229</v>
      </c>
      <c r="L13" s="5" t="s">
        <v>229</v>
      </c>
      <c r="M13" s="5" t="s">
        <v>229</v>
      </c>
      <c r="N13" s="5" t="s">
        <v>229</v>
      </c>
      <c r="O13" s="5" t="s">
        <v>229</v>
      </c>
    </row>
    <row r="14" spans="1:15" x14ac:dyDescent="0.25">
      <c r="A14" s="1" t="str">
        <f>'Population Definitions'!$A$11</f>
        <v>65+_females</v>
      </c>
      <c r="B14" s="5" t="s">
        <v>229</v>
      </c>
      <c r="C14" s="5" t="s">
        <v>229</v>
      </c>
      <c r="D14" s="5" t="s">
        <v>229</v>
      </c>
      <c r="E14" s="5" t="s">
        <v>229</v>
      </c>
      <c r="F14" s="5" t="s">
        <v>229</v>
      </c>
      <c r="G14" s="5" t="s">
        <v>229</v>
      </c>
      <c r="H14" s="5" t="s">
        <v>229</v>
      </c>
      <c r="I14" s="5" t="s">
        <v>229</v>
      </c>
      <c r="J14" s="5" t="s">
        <v>229</v>
      </c>
      <c r="K14" s="4" t="s">
        <v>58</v>
      </c>
      <c r="L14" s="5" t="s">
        <v>229</v>
      </c>
      <c r="M14" s="5" t="s">
        <v>229</v>
      </c>
      <c r="N14" s="5" t="s">
        <v>229</v>
      </c>
      <c r="O14" s="5" t="s">
        <v>229</v>
      </c>
    </row>
    <row r="15" spans="1:15" x14ac:dyDescent="0.25">
      <c r="A15" s="1" t="str">
        <f>'Population Definitions'!$A$12</f>
        <v>Prisoners_males</v>
      </c>
      <c r="B15" s="5" t="s">
        <v>229</v>
      </c>
      <c r="C15" s="5" t="s">
        <v>229</v>
      </c>
      <c r="D15" s="5" t="s">
        <v>229</v>
      </c>
      <c r="E15" s="5" t="s">
        <v>229</v>
      </c>
      <c r="F15" s="5" t="s">
        <v>229</v>
      </c>
      <c r="G15" s="5" t="s">
        <v>229</v>
      </c>
      <c r="H15" s="5" t="s">
        <v>229</v>
      </c>
      <c r="I15" s="5" t="s">
        <v>229</v>
      </c>
      <c r="J15" s="5" t="s">
        <v>229</v>
      </c>
      <c r="K15" s="5" t="s">
        <v>229</v>
      </c>
      <c r="L15" s="4" t="s">
        <v>58</v>
      </c>
      <c r="M15" s="5" t="s">
        <v>229</v>
      </c>
      <c r="N15" s="5" t="s">
        <v>229</v>
      </c>
      <c r="O15" s="5" t="s">
        <v>229</v>
      </c>
    </row>
    <row r="16" spans="1:15" x14ac:dyDescent="0.25">
      <c r="A16" s="1" t="str">
        <f>'Population Definitions'!$A$13</f>
        <v>Prisoners_females</v>
      </c>
      <c r="B16" s="5" t="s">
        <v>229</v>
      </c>
      <c r="C16" s="5" t="s">
        <v>229</v>
      </c>
      <c r="D16" s="5" t="s">
        <v>229</v>
      </c>
      <c r="E16" s="5" t="s">
        <v>229</v>
      </c>
      <c r="F16" s="5" t="s">
        <v>229</v>
      </c>
      <c r="G16" s="5" t="s">
        <v>229</v>
      </c>
      <c r="H16" s="5" t="s">
        <v>229</v>
      </c>
      <c r="I16" s="5" t="s">
        <v>229</v>
      </c>
      <c r="J16" s="5" t="s">
        <v>229</v>
      </c>
      <c r="K16" s="5" t="s">
        <v>229</v>
      </c>
      <c r="L16" s="5" t="s">
        <v>229</v>
      </c>
      <c r="M16" s="4" t="s">
        <v>58</v>
      </c>
      <c r="N16" s="5" t="s">
        <v>229</v>
      </c>
      <c r="O16" s="5" t="s">
        <v>229</v>
      </c>
    </row>
    <row r="17" spans="1:59" x14ac:dyDescent="0.25">
      <c r="A17" s="1" t="str">
        <f>'Population Definitions'!$A$14</f>
        <v>Prisoners_PWID_males</v>
      </c>
      <c r="B17" s="5" t="s">
        <v>229</v>
      </c>
      <c r="C17" s="5" t="s">
        <v>229</v>
      </c>
      <c r="D17" s="5" t="s">
        <v>229</v>
      </c>
      <c r="E17" s="5" t="s">
        <v>229</v>
      </c>
      <c r="F17" s="5" t="s">
        <v>229</v>
      </c>
      <c r="G17" s="5" t="s">
        <v>229</v>
      </c>
      <c r="H17" s="5" t="s">
        <v>229</v>
      </c>
      <c r="I17" s="5" t="s">
        <v>229</v>
      </c>
      <c r="J17" s="5" t="s">
        <v>229</v>
      </c>
      <c r="K17" s="5" t="s">
        <v>229</v>
      </c>
      <c r="L17" s="5" t="s">
        <v>229</v>
      </c>
      <c r="M17" s="5" t="s">
        <v>229</v>
      </c>
      <c r="N17" s="4" t="s">
        <v>58</v>
      </c>
      <c r="O17" s="5" t="s">
        <v>229</v>
      </c>
    </row>
    <row r="18" spans="1:59" x14ac:dyDescent="0.25">
      <c r="A18" s="1" t="str">
        <f>'Population Definitions'!$A$15</f>
        <v>Prisoners_PWID_females</v>
      </c>
      <c r="B18" s="5" t="s">
        <v>229</v>
      </c>
      <c r="C18" s="5" t="s">
        <v>229</v>
      </c>
      <c r="D18" s="5" t="s">
        <v>229</v>
      </c>
      <c r="E18" s="5" t="s">
        <v>229</v>
      </c>
      <c r="F18" s="5" t="s">
        <v>229</v>
      </c>
      <c r="G18" s="5" t="s">
        <v>229</v>
      </c>
      <c r="H18" s="5" t="s">
        <v>229</v>
      </c>
      <c r="I18" s="5" t="s">
        <v>229</v>
      </c>
      <c r="J18" s="5" t="s">
        <v>229</v>
      </c>
      <c r="K18" s="5" t="s">
        <v>229</v>
      </c>
      <c r="L18" s="5" t="s">
        <v>229</v>
      </c>
      <c r="M18" s="5" t="s">
        <v>229</v>
      </c>
      <c r="N18" s="5" t="s">
        <v>229</v>
      </c>
      <c r="O18" s="4" t="s">
        <v>58</v>
      </c>
    </row>
    <row r="20" spans="1:59" x14ac:dyDescent="0.25">
      <c r="A20" s="1" t="s">
        <v>230</v>
      </c>
      <c r="B20" s="1"/>
      <c r="C20" s="1" t="s">
        <v>231</v>
      </c>
      <c r="D20" s="1" t="s">
        <v>31</v>
      </c>
      <c r="E20" s="1" t="s">
        <v>32</v>
      </c>
      <c r="F20" s="1" t="s">
        <v>33</v>
      </c>
      <c r="G20" s="1" t="s">
        <v>38</v>
      </c>
      <c r="H20" s="1"/>
      <c r="I20" s="1">
        <v>2000</v>
      </c>
      <c r="J20" s="1">
        <v>2001</v>
      </c>
      <c r="K20" s="1">
        <v>2002</v>
      </c>
      <c r="L20" s="1">
        <v>2003</v>
      </c>
      <c r="M20" s="1">
        <v>2004</v>
      </c>
      <c r="N20" s="1">
        <v>2005</v>
      </c>
      <c r="O20" s="1">
        <v>2006</v>
      </c>
      <c r="P20" s="1">
        <v>2007</v>
      </c>
      <c r="Q20" s="1">
        <v>2008</v>
      </c>
      <c r="R20" s="1">
        <v>2009</v>
      </c>
      <c r="S20" s="1">
        <v>2010</v>
      </c>
      <c r="T20" s="1">
        <v>2011</v>
      </c>
      <c r="U20" s="1">
        <v>2012</v>
      </c>
      <c r="V20" s="1">
        <v>2013</v>
      </c>
      <c r="W20" s="1">
        <v>2014</v>
      </c>
      <c r="X20" s="1">
        <v>2015</v>
      </c>
      <c r="Y20" s="1">
        <v>2016</v>
      </c>
      <c r="Z20" s="1">
        <v>2017</v>
      </c>
      <c r="AA20" s="1">
        <v>2018</v>
      </c>
      <c r="AB20" s="1">
        <v>2019</v>
      </c>
      <c r="AC20" s="1">
        <v>2020</v>
      </c>
      <c r="AD20" s="1">
        <v>2021</v>
      </c>
      <c r="AE20" s="1">
        <v>2022</v>
      </c>
      <c r="AF20" s="1">
        <v>2023</v>
      </c>
      <c r="AG20" s="1">
        <v>2024</v>
      </c>
      <c r="AH20" s="1">
        <v>2025</v>
      </c>
      <c r="AI20" s="1">
        <v>2026</v>
      </c>
      <c r="AJ20" s="1">
        <v>2027</v>
      </c>
      <c r="AK20" s="1">
        <v>2028</v>
      </c>
      <c r="AL20" s="1">
        <v>2029</v>
      </c>
      <c r="AM20" s="1">
        <v>2030</v>
      </c>
      <c r="AN20" s="1">
        <v>2031</v>
      </c>
      <c r="AO20" s="1">
        <v>2032</v>
      </c>
      <c r="AP20" s="1">
        <v>2033</v>
      </c>
      <c r="AQ20" s="1">
        <v>2034</v>
      </c>
      <c r="AR20" s="1">
        <v>2035</v>
      </c>
      <c r="AS20" s="1">
        <v>2036</v>
      </c>
      <c r="AT20" s="1">
        <v>2037</v>
      </c>
      <c r="AU20" s="1">
        <v>2038</v>
      </c>
      <c r="AV20" s="1">
        <v>2039</v>
      </c>
      <c r="AW20" s="1">
        <v>2040</v>
      </c>
      <c r="AX20" s="1">
        <v>2041</v>
      </c>
      <c r="AY20" s="1">
        <v>2042</v>
      </c>
      <c r="AZ20" s="1">
        <v>2043</v>
      </c>
      <c r="BA20" s="1">
        <v>2044</v>
      </c>
      <c r="BB20" s="1">
        <v>2045</v>
      </c>
      <c r="BC20" s="1">
        <v>2046</v>
      </c>
      <c r="BD20" s="1">
        <v>2047</v>
      </c>
      <c r="BE20" s="1">
        <v>2048</v>
      </c>
      <c r="BF20" s="1">
        <v>2049</v>
      </c>
      <c r="BG20" s="1">
        <v>2050</v>
      </c>
    </row>
    <row r="21" spans="1:59" x14ac:dyDescent="0.25">
      <c r="A21" s="1" t="str">
        <f>IF($B$5="Y",'Population Definitions'!$A$2,"...")</f>
        <v>...</v>
      </c>
      <c r="B21" s="4" t="str">
        <f>IF($B$5="Y","---&gt;","...")</f>
        <v>...</v>
      </c>
      <c r="C21" s="1" t="str">
        <f>IF($B$5="Y",'Population Definitions'!$A$2,"...")</f>
        <v>...</v>
      </c>
      <c r="E21" s="2"/>
      <c r="F21" s="3"/>
      <c r="G21" s="2"/>
      <c r="H21" s="4" t="str">
        <f>IF($B$5="Y","OR","...")</f>
        <v>...</v>
      </c>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row>
    <row r="22" spans="1:59" x14ac:dyDescent="0.25">
      <c r="A22" s="1" t="str">
        <f>IF($C$5="Y",'Population Definitions'!$A$2,"...")</f>
        <v>...</v>
      </c>
      <c r="B22" s="4" t="str">
        <f>IF($C$5="Y","---&gt;","...")</f>
        <v>...</v>
      </c>
      <c r="C22" s="1" t="str">
        <f>IF($C$5="Y",'Population Definitions'!$A$3,"...")</f>
        <v>...</v>
      </c>
      <c r="E22" s="2"/>
      <c r="F22" s="3"/>
      <c r="G22" s="2"/>
      <c r="H22" s="4" t="str">
        <f>IF($C$5="Y","OR","...")</f>
        <v>...</v>
      </c>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row>
    <row r="23" spans="1:59" x14ac:dyDescent="0.25">
      <c r="A23" s="1" t="str">
        <f>IF($D$5="Y",'Population Definitions'!$A$2,"...")</f>
        <v>...</v>
      </c>
      <c r="B23" s="4" t="str">
        <f>IF($D$5="Y","---&gt;","...")</f>
        <v>...</v>
      </c>
      <c r="C23" s="1" t="str">
        <f>IF($D$5="Y",'Population Definitions'!$A$4,"...")</f>
        <v>...</v>
      </c>
      <c r="E23" s="2"/>
      <c r="F23" s="3"/>
      <c r="G23" s="2"/>
      <c r="H23" s="4" t="str">
        <f>IF($D$5="Y","OR","...")</f>
        <v>...</v>
      </c>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row>
    <row r="24" spans="1:59" x14ac:dyDescent="0.25">
      <c r="A24" s="1" t="str">
        <f>IF($E$5="Y",'Population Definitions'!$A$2,"...")</f>
        <v>...</v>
      </c>
      <c r="B24" s="4" t="str">
        <f>IF($E$5="Y","---&gt;","...")</f>
        <v>...</v>
      </c>
      <c r="C24" s="1" t="str">
        <f>IF($E$5="Y",'Population Definitions'!$A$5,"...")</f>
        <v>...</v>
      </c>
      <c r="E24" s="2"/>
      <c r="F24" s="3"/>
      <c r="G24" s="2"/>
      <c r="H24" s="4" t="str">
        <f>IF($E$5="Y","OR","...")</f>
        <v>...</v>
      </c>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row>
    <row r="25" spans="1:59" x14ac:dyDescent="0.25">
      <c r="A25" s="1" t="str">
        <f>IF($F$5="Y",'Population Definitions'!$A$2,"...")</f>
        <v>...</v>
      </c>
      <c r="B25" s="4" t="str">
        <f>IF($F$5="Y","---&gt;","...")</f>
        <v>...</v>
      </c>
      <c r="C25" s="1" t="str">
        <f>IF($F$5="Y",'Population Definitions'!$A$6,"...")</f>
        <v>...</v>
      </c>
      <c r="E25" s="2"/>
      <c r="F25" s="3"/>
      <c r="G25" s="2"/>
      <c r="H25" s="4" t="str">
        <f>IF($F$5="Y","OR","...")</f>
        <v>...</v>
      </c>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row>
    <row r="26" spans="1:59" x14ac:dyDescent="0.25">
      <c r="A26" s="1" t="str">
        <f>IF($G$5="Y",'Population Definitions'!$A$2,"...")</f>
        <v>...</v>
      </c>
      <c r="B26" s="4" t="str">
        <f>IF($G$5="Y","---&gt;","...")</f>
        <v>...</v>
      </c>
      <c r="C26" s="1" t="str">
        <f>IF($G$5="Y",'Population Definitions'!$A$7,"...")</f>
        <v>...</v>
      </c>
      <c r="E26" s="2"/>
      <c r="F26" s="3"/>
      <c r="G26" s="2"/>
      <c r="H26" s="4" t="str">
        <f>IF($G$5="Y","OR","...")</f>
        <v>...</v>
      </c>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row>
    <row r="27" spans="1:59" x14ac:dyDescent="0.25">
      <c r="A27" s="1" t="str">
        <f>IF($H$5="Y",'Population Definitions'!$A$2,"...")</f>
        <v>...</v>
      </c>
      <c r="B27" s="4" t="str">
        <f>IF($H$5="Y","---&gt;","...")</f>
        <v>...</v>
      </c>
      <c r="C27" s="1" t="str">
        <f>IF($H$5="Y",'Population Definitions'!$A$8,"...")</f>
        <v>...</v>
      </c>
      <c r="E27" s="2"/>
      <c r="F27" s="3"/>
      <c r="G27" s="2"/>
      <c r="H27" s="4" t="str">
        <f>IF($H$5="Y","OR","...")</f>
        <v>...</v>
      </c>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row>
    <row r="28" spans="1:59" x14ac:dyDescent="0.25">
      <c r="A28" s="1" t="str">
        <f>IF($I$5="Y",'Population Definitions'!$A$2,"...")</f>
        <v>...</v>
      </c>
      <c r="B28" s="4" t="str">
        <f>IF($I$5="Y","---&gt;","...")</f>
        <v>...</v>
      </c>
      <c r="C28" s="1" t="str">
        <f>IF($I$5="Y",'Population Definitions'!$A$9,"...")</f>
        <v>...</v>
      </c>
      <c r="E28" s="2"/>
      <c r="F28" s="3"/>
      <c r="G28" s="2"/>
      <c r="H28" s="4" t="str">
        <f>IF($I$5="Y","OR","...")</f>
        <v>...</v>
      </c>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row>
    <row r="29" spans="1:59" x14ac:dyDescent="0.25">
      <c r="A29" s="1" t="str">
        <f>IF($J$5="Y",'Population Definitions'!$A$2,"...")</f>
        <v>...</v>
      </c>
      <c r="B29" s="4" t="str">
        <f>IF($J$5="Y","---&gt;","...")</f>
        <v>...</v>
      </c>
      <c r="C29" s="1" t="str">
        <f>IF($J$5="Y",'Population Definitions'!$A$10,"...")</f>
        <v>...</v>
      </c>
      <c r="E29" s="2"/>
      <c r="F29" s="3"/>
      <c r="G29" s="2"/>
      <c r="H29" s="4" t="str">
        <f>IF($J$5="Y","OR","...")</f>
        <v>...</v>
      </c>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row>
    <row r="30" spans="1:59" x14ac:dyDescent="0.25">
      <c r="A30" s="1" t="str">
        <f>IF($K$5="Y",'Population Definitions'!$A$2,"...")</f>
        <v>...</v>
      </c>
      <c r="B30" s="4" t="str">
        <f>IF($K$5="Y","---&gt;","...")</f>
        <v>...</v>
      </c>
      <c r="C30" s="1" t="str">
        <f>IF($K$5="Y",'Population Definitions'!$A$11,"...")</f>
        <v>...</v>
      </c>
      <c r="E30" s="2"/>
      <c r="F30" s="3"/>
      <c r="G30" s="2"/>
      <c r="H30" s="4" t="str">
        <f>IF($K$5="Y","OR","...")</f>
        <v>...</v>
      </c>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row>
    <row r="31" spans="1:59" x14ac:dyDescent="0.25">
      <c r="A31" s="1" t="str">
        <f>IF($L$5="Y",'Population Definitions'!$A$2,"...")</f>
        <v>...</v>
      </c>
      <c r="B31" s="4" t="str">
        <f>IF($L$5="Y","---&gt;","...")</f>
        <v>...</v>
      </c>
      <c r="C31" s="1" t="str">
        <f>IF($L$5="Y",'Population Definitions'!$A$12,"...")</f>
        <v>...</v>
      </c>
      <c r="E31" s="2"/>
      <c r="F31" s="3"/>
      <c r="G31" s="2"/>
      <c r="H31" s="4" t="str">
        <f>IF($L$5="Y","OR","...")</f>
        <v>...</v>
      </c>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row>
    <row r="32" spans="1:59" x14ac:dyDescent="0.25">
      <c r="A32" s="1" t="str">
        <f>IF($M$5="Y",'Population Definitions'!$A$2,"...")</f>
        <v>...</v>
      </c>
      <c r="B32" s="4" t="str">
        <f>IF($M$5="Y","---&gt;","...")</f>
        <v>...</v>
      </c>
      <c r="C32" s="1" t="str">
        <f>IF($M$5="Y",'Population Definitions'!$A$13,"...")</f>
        <v>...</v>
      </c>
      <c r="E32" s="2"/>
      <c r="F32" s="3"/>
      <c r="G32" s="2"/>
      <c r="H32" s="4" t="str">
        <f>IF($M$5="Y","OR","...")</f>
        <v>...</v>
      </c>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row>
    <row r="33" spans="1:59" x14ac:dyDescent="0.25">
      <c r="A33" s="1" t="str">
        <f>IF($N$5="Y",'Population Definitions'!$A$2,"...")</f>
        <v>...</v>
      </c>
      <c r="B33" s="4" t="str">
        <f>IF($N$5="Y","---&gt;","...")</f>
        <v>...</v>
      </c>
      <c r="C33" s="1" t="str">
        <f>IF($N$5="Y",'Population Definitions'!$A$14,"...")</f>
        <v>...</v>
      </c>
      <c r="E33" s="2"/>
      <c r="F33" s="3"/>
      <c r="G33" s="2"/>
      <c r="H33" s="4" t="str">
        <f>IF($N$5="Y","OR","...")</f>
        <v>...</v>
      </c>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row>
    <row r="34" spans="1:59" x14ac:dyDescent="0.25">
      <c r="A34" s="1" t="str">
        <f>IF($O$5="Y",'Population Definitions'!$A$2,"...")</f>
        <v>...</v>
      </c>
      <c r="B34" s="4" t="str">
        <f>IF($O$5="Y","---&gt;","...")</f>
        <v>...</v>
      </c>
      <c r="C34" s="1" t="str">
        <f>IF($O$5="Y",'Population Definitions'!$A$15,"...")</f>
        <v>...</v>
      </c>
      <c r="E34" s="2"/>
      <c r="F34" s="3"/>
      <c r="G34" s="2"/>
      <c r="H34" s="4" t="str">
        <f>IF($O$5="Y","OR","...")</f>
        <v>...</v>
      </c>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row>
    <row r="35" spans="1:59" x14ac:dyDescent="0.25">
      <c r="A35" s="1" t="str">
        <f>IF($B$6="Y",'Population Definitions'!$A$3,"...")</f>
        <v>...</v>
      </c>
      <c r="B35" s="4" t="str">
        <f>IF($B$6="Y","---&gt;","...")</f>
        <v>...</v>
      </c>
      <c r="C35" s="1" t="str">
        <f>IF($B$6="Y",'Population Definitions'!$A$2,"...")</f>
        <v>...</v>
      </c>
      <c r="E35" s="2"/>
      <c r="F35" s="3"/>
      <c r="G35" s="2"/>
      <c r="H35" s="4" t="str">
        <f>IF($B$6="Y","OR","...")</f>
        <v>...</v>
      </c>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row>
    <row r="36" spans="1:59" x14ac:dyDescent="0.25">
      <c r="A36" s="1" t="str">
        <f>IF($C$6="Y",'Population Definitions'!$A$3,"...")</f>
        <v>...</v>
      </c>
      <c r="B36" s="4" t="str">
        <f>IF($C$6="Y","---&gt;","...")</f>
        <v>...</v>
      </c>
      <c r="C36" s="1" t="str">
        <f>IF($C$6="Y",'Population Definitions'!$A$3,"...")</f>
        <v>...</v>
      </c>
      <c r="E36" s="2"/>
      <c r="F36" s="3"/>
      <c r="G36" s="2"/>
      <c r="H36" s="4" t="str">
        <f>IF($C$6="Y","OR","...")</f>
        <v>...</v>
      </c>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row>
    <row r="37" spans="1:59" x14ac:dyDescent="0.25">
      <c r="A37" s="1" t="str">
        <f>IF($D$6="Y",'Population Definitions'!$A$3,"...")</f>
        <v>...</v>
      </c>
      <c r="B37" s="4" t="str">
        <f>IF($D$6="Y","---&gt;","...")</f>
        <v>...</v>
      </c>
      <c r="C37" s="1" t="str">
        <f>IF($D$6="Y",'Population Definitions'!$A$4,"...")</f>
        <v>...</v>
      </c>
      <c r="E37" s="2"/>
      <c r="F37" s="3"/>
      <c r="G37" s="2"/>
      <c r="H37" s="4" t="str">
        <f>IF($D$6="Y","OR","...")</f>
        <v>...</v>
      </c>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row>
    <row r="38" spans="1:59" x14ac:dyDescent="0.25">
      <c r="A38" s="1" t="str">
        <f>IF($E$6="Y",'Population Definitions'!$A$3,"...")</f>
        <v>...</v>
      </c>
      <c r="B38" s="4" t="str">
        <f>IF($E$6="Y","---&gt;","...")</f>
        <v>...</v>
      </c>
      <c r="C38" s="1" t="str">
        <f>IF($E$6="Y",'Population Definitions'!$A$5,"...")</f>
        <v>...</v>
      </c>
      <c r="E38" s="2"/>
      <c r="F38" s="3"/>
      <c r="G38" s="2"/>
      <c r="H38" s="4" t="str">
        <f>IF($E$6="Y","OR","...")</f>
        <v>...</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row>
    <row r="39" spans="1:59" x14ac:dyDescent="0.25">
      <c r="A39" s="1" t="str">
        <f>IF($F$6="Y",'Population Definitions'!$A$3,"...")</f>
        <v>...</v>
      </c>
      <c r="B39" s="4" t="str">
        <f>IF($F$6="Y","---&gt;","...")</f>
        <v>...</v>
      </c>
      <c r="C39" s="1" t="str">
        <f>IF($F$6="Y",'Population Definitions'!$A$6,"...")</f>
        <v>...</v>
      </c>
      <c r="E39" s="2"/>
      <c r="F39" s="3"/>
      <c r="G39" s="2"/>
      <c r="H39" s="4" t="str">
        <f>IF($F$6="Y","OR","...")</f>
        <v>...</v>
      </c>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row>
    <row r="40" spans="1:59" x14ac:dyDescent="0.25">
      <c r="A40" s="1" t="str">
        <f>IF($G$6="Y",'Population Definitions'!$A$3,"...")</f>
        <v>...</v>
      </c>
      <c r="B40" s="4" t="str">
        <f>IF($G$6="Y","---&gt;","...")</f>
        <v>...</v>
      </c>
      <c r="C40" s="1" t="str">
        <f>IF($G$6="Y",'Population Definitions'!$A$7,"...")</f>
        <v>...</v>
      </c>
      <c r="E40" s="2"/>
      <c r="F40" s="3"/>
      <c r="G40" s="2"/>
      <c r="H40" s="4" t="str">
        <f>IF($G$6="Y","OR","...")</f>
        <v>...</v>
      </c>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row>
    <row r="41" spans="1:59" x14ac:dyDescent="0.25">
      <c r="A41" s="1" t="str">
        <f>IF($H$6="Y",'Population Definitions'!$A$3,"...")</f>
        <v>...</v>
      </c>
      <c r="B41" s="4" t="str">
        <f>IF($H$6="Y","---&gt;","...")</f>
        <v>...</v>
      </c>
      <c r="C41" s="1" t="str">
        <f>IF($H$6="Y",'Population Definitions'!$A$8,"...")</f>
        <v>...</v>
      </c>
      <c r="E41" s="2"/>
      <c r="F41" s="3"/>
      <c r="G41" s="2"/>
      <c r="H41" s="4" t="str">
        <f>IF($H$6="Y","OR","...")</f>
        <v>...</v>
      </c>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row>
    <row r="42" spans="1:59" x14ac:dyDescent="0.25">
      <c r="A42" s="1" t="str">
        <f>IF($I$6="Y",'Population Definitions'!$A$3,"...")</f>
        <v>...</v>
      </c>
      <c r="B42" s="4" t="str">
        <f>IF($I$6="Y","---&gt;","...")</f>
        <v>...</v>
      </c>
      <c r="C42" s="1" t="str">
        <f>IF($I$6="Y",'Population Definitions'!$A$9,"...")</f>
        <v>...</v>
      </c>
      <c r="E42" s="2"/>
      <c r="F42" s="3"/>
      <c r="G42" s="2"/>
      <c r="H42" s="4" t="str">
        <f>IF($I$6="Y","OR","...")</f>
        <v>...</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row>
    <row r="43" spans="1:59" x14ac:dyDescent="0.25">
      <c r="A43" s="1" t="str">
        <f>IF($J$6="Y",'Population Definitions'!$A$3,"...")</f>
        <v>...</v>
      </c>
      <c r="B43" s="4" t="str">
        <f>IF($J$6="Y","---&gt;","...")</f>
        <v>...</v>
      </c>
      <c r="C43" s="1" t="str">
        <f>IF($J$6="Y",'Population Definitions'!$A$10,"...")</f>
        <v>...</v>
      </c>
      <c r="E43" s="2"/>
      <c r="F43" s="3"/>
      <c r="G43" s="2"/>
      <c r="H43" s="4" t="str">
        <f>IF($J$6="Y","OR","...")</f>
        <v>...</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row>
    <row r="44" spans="1:59" x14ac:dyDescent="0.25">
      <c r="A44" s="1" t="str">
        <f>IF($K$6="Y",'Population Definitions'!$A$3,"...")</f>
        <v>...</v>
      </c>
      <c r="B44" s="4" t="str">
        <f>IF($K$6="Y","---&gt;","...")</f>
        <v>...</v>
      </c>
      <c r="C44" s="1" t="str">
        <f>IF($K$6="Y",'Population Definitions'!$A$11,"...")</f>
        <v>...</v>
      </c>
      <c r="E44" s="2"/>
      <c r="F44" s="3"/>
      <c r="G44" s="2"/>
      <c r="H44" s="4" t="str">
        <f>IF($K$6="Y","OR","...")</f>
        <v>...</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row>
    <row r="45" spans="1:59" x14ac:dyDescent="0.25">
      <c r="A45" s="1" t="str">
        <f>IF($L$6="Y",'Population Definitions'!$A$3,"...")</f>
        <v>...</v>
      </c>
      <c r="B45" s="4" t="str">
        <f>IF($L$6="Y","---&gt;","...")</f>
        <v>...</v>
      </c>
      <c r="C45" s="1" t="str">
        <f>IF($L$6="Y",'Population Definitions'!$A$12,"...")</f>
        <v>...</v>
      </c>
      <c r="E45" s="2"/>
      <c r="F45" s="3"/>
      <c r="G45" s="2"/>
      <c r="H45" s="4" t="str">
        <f>IF($L$6="Y","OR","...")</f>
        <v>...</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row>
    <row r="46" spans="1:59" x14ac:dyDescent="0.25">
      <c r="A46" s="1" t="str">
        <f>IF($M$6="Y",'Population Definitions'!$A$3,"...")</f>
        <v>...</v>
      </c>
      <c r="B46" s="4" t="str">
        <f>IF($M$6="Y","---&gt;","...")</f>
        <v>...</v>
      </c>
      <c r="C46" s="1" t="str">
        <f>IF($M$6="Y",'Population Definitions'!$A$13,"...")</f>
        <v>...</v>
      </c>
      <c r="E46" s="2"/>
      <c r="F46" s="3"/>
      <c r="G46" s="2"/>
      <c r="H46" s="4" t="str">
        <f>IF($M$6="Y","OR","...")</f>
        <v>...</v>
      </c>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row>
    <row r="47" spans="1:59" x14ac:dyDescent="0.25">
      <c r="A47" s="1" t="str">
        <f>IF($N$6="Y",'Population Definitions'!$A$3,"...")</f>
        <v>...</v>
      </c>
      <c r="B47" s="4" t="str">
        <f>IF($N$6="Y","---&gt;","...")</f>
        <v>...</v>
      </c>
      <c r="C47" s="1" t="str">
        <f>IF($N$6="Y",'Population Definitions'!$A$14,"...")</f>
        <v>...</v>
      </c>
      <c r="E47" s="2"/>
      <c r="F47" s="3"/>
      <c r="G47" s="2"/>
      <c r="H47" s="4" t="str">
        <f>IF($N$6="Y","OR","...")</f>
        <v>...</v>
      </c>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row>
    <row r="48" spans="1:59" x14ac:dyDescent="0.25">
      <c r="A48" s="1" t="str">
        <f>IF($O$6="Y",'Population Definitions'!$A$3,"...")</f>
        <v>...</v>
      </c>
      <c r="B48" s="4" t="str">
        <f>IF($O$6="Y","---&gt;","...")</f>
        <v>...</v>
      </c>
      <c r="C48" s="1" t="str">
        <f>IF($O$6="Y",'Population Definitions'!$A$15,"...")</f>
        <v>...</v>
      </c>
      <c r="E48" s="2"/>
      <c r="F48" s="3"/>
      <c r="G48" s="2"/>
      <c r="H48" s="4" t="str">
        <f>IF($O$6="Y","OR","...")</f>
        <v>...</v>
      </c>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row>
    <row r="49" spans="1:59" x14ac:dyDescent="0.25">
      <c r="A49" s="1" t="str">
        <f>IF($B$7="Y",'Population Definitions'!$A$4,"...")</f>
        <v>...</v>
      </c>
      <c r="B49" s="4" t="str">
        <f>IF($B$7="Y","---&gt;","...")</f>
        <v>...</v>
      </c>
      <c r="C49" s="1" t="str">
        <f>IF($B$7="Y",'Population Definitions'!$A$2,"...")</f>
        <v>...</v>
      </c>
      <c r="E49" s="2"/>
      <c r="F49" s="3"/>
      <c r="G49" s="2"/>
      <c r="H49" s="4" t="str">
        <f>IF($B$7="Y","OR","...")</f>
        <v>...</v>
      </c>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row>
    <row r="50" spans="1:59" x14ac:dyDescent="0.25">
      <c r="A50" s="1" t="str">
        <f>IF($C$7="Y",'Population Definitions'!$A$4,"...")</f>
        <v>...</v>
      </c>
      <c r="B50" s="4" t="str">
        <f>IF($C$7="Y","---&gt;","...")</f>
        <v>...</v>
      </c>
      <c r="C50" s="1" t="str">
        <f>IF($C$7="Y",'Population Definitions'!$A$3,"...")</f>
        <v>...</v>
      </c>
      <c r="E50" s="2"/>
      <c r="F50" s="3"/>
      <c r="G50" s="2"/>
      <c r="H50" s="4" t="str">
        <f>IF($C$7="Y","OR","...")</f>
        <v>...</v>
      </c>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row>
    <row r="51" spans="1:59" x14ac:dyDescent="0.25">
      <c r="A51" s="1" t="str">
        <f>IF($D$7="Y",'Population Definitions'!$A$4,"...")</f>
        <v>...</v>
      </c>
      <c r="B51" s="4" t="str">
        <f>IF($D$7="Y","---&gt;","...")</f>
        <v>...</v>
      </c>
      <c r="C51" s="1" t="str">
        <f>IF($D$7="Y",'Population Definitions'!$A$4,"...")</f>
        <v>...</v>
      </c>
      <c r="E51" s="2"/>
      <c r="F51" s="3"/>
      <c r="G51" s="2"/>
      <c r="H51" s="4" t="str">
        <f>IF($D$7="Y","OR","...")</f>
        <v>...</v>
      </c>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row>
    <row r="52" spans="1:59" x14ac:dyDescent="0.25">
      <c r="A52" s="1" t="str">
        <f>IF($E$7="Y",'Population Definitions'!$A$4,"...")</f>
        <v>...</v>
      </c>
      <c r="B52" s="4" t="str">
        <f>IF($E$7="Y","---&gt;","...")</f>
        <v>...</v>
      </c>
      <c r="C52" s="1" t="str">
        <f>IF($E$7="Y",'Population Definitions'!$A$5,"...")</f>
        <v>...</v>
      </c>
      <c r="E52" s="2"/>
      <c r="F52" s="3"/>
      <c r="G52" s="2"/>
      <c r="H52" s="4" t="str">
        <f>IF($E$7="Y","OR","...")</f>
        <v>...</v>
      </c>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row>
    <row r="53" spans="1:59" x14ac:dyDescent="0.25">
      <c r="A53" s="1" t="str">
        <f>IF($F$7="Y",'Population Definitions'!$A$4,"...")</f>
        <v>0-9_males</v>
      </c>
      <c r="B53" s="4" t="str">
        <f>IF($F$7="Y","---&gt;","...")</f>
        <v>---&gt;</v>
      </c>
      <c r="C53" s="1" t="str">
        <f>IF($F$7="Y",'Population Definitions'!$A$6,"...")</f>
        <v>10-17_males</v>
      </c>
      <c r="E53" s="3" t="s">
        <v>236</v>
      </c>
      <c r="F53" s="3"/>
      <c r="G53" s="3"/>
      <c r="H53" s="4" t="str">
        <f>IF($F$7="Y","OR","...")</f>
        <v>OR</v>
      </c>
      <c r="I53" s="3">
        <v>926853</v>
      </c>
      <c r="J53" s="3">
        <v>923619.5</v>
      </c>
      <c r="K53" s="3">
        <v>917672</v>
      </c>
      <c r="L53" s="3">
        <v>910784</v>
      </c>
      <c r="M53" s="3">
        <v>905878</v>
      </c>
      <c r="N53" s="3">
        <v>904606</v>
      </c>
      <c r="O53" s="3">
        <v>909989</v>
      </c>
      <c r="P53" s="3">
        <v>925439.5</v>
      </c>
      <c r="Q53" s="3">
        <v>949620.5</v>
      </c>
      <c r="R53" s="3">
        <v>967620</v>
      </c>
      <c r="S53" s="3">
        <v>974956</v>
      </c>
      <c r="T53" s="3">
        <v>985902.5</v>
      </c>
      <c r="U53" s="3">
        <v>1001469</v>
      </c>
      <c r="V53" s="3">
        <v>1015178</v>
      </c>
      <c r="W53" s="3">
        <v>1027245.5</v>
      </c>
      <c r="X53" s="3">
        <v>1044632.5</v>
      </c>
      <c r="Y53" s="3">
        <v>1068151</v>
      </c>
      <c r="Z53" s="3">
        <v>1097878</v>
      </c>
      <c r="AA53" s="3">
        <v>1130705.5</v>
      </c>
      <c r="AB53" s="3">
        <v>1163336.5</v>
      </c>
      <c r="AC53" s="3">
        <v>1199568</v>
      </c>
      <c r="AD53" s="3">
        <v>1231601.5</v>
      </c>
      <c r="AE53" s="3">
        <v>1273670</v>
      </c>
      <c r="AF53" s="3">
        <v>1329105.5</v>
      </c>
      <c r="AG53" s="3">
        <v>1367327.5</v>
      </c>
      <c r="AH53" s="3">
        <v>1389180</v>
      </c>
      <c r="AI53" s="3">
        <v>1376956</v>
      </c>
      <c r="AJ53" s="3">
        <v>1353558</v>
      </c>
      <c r="AK53" s="3">
        <v>1300934</v>
      </c>
      <c r="AL53" s="3">
        <v>1225298</v>
      </c>
      <c r="AM53" s="3">
        <v>1205147</v>
      </c>
      <c r="AN53" s="3">
        <v>1194615</v>
      </c>
      <c r="AO53" s="3">
        <v>1188036</v>
      </c>
      <c r="AP53" s="3">
        <v>1203655</v>
      </c>
      <c r="AQ53" s="3">
        <v>1219519</v>
      </c>
      <c r="AR53" s="3">
        <v>1229889</v>
      </c>
      <c r="AS53" s="3">
        <v>1235574</v>
      </c>
      <c r="AT53" s="3">
        <v>1242083</v>
      </c>
      <c r="AU53" s="3">
        <v>1249613</v>
      </c>
      <c r="AV53" s="3">
        <v>1258809</v>
      </c>
      <c r="AW53" s="3">
        <v>1269848</v>
      </c>
      <c r="AX53" s="3">
        <v>1282166</v>
      </c>
      <c r="AY53" s="3">
        <v>1295784</v>
      </c>
      <c r="AZ53" s="3">
        <v>1310334</v>
      </c>
      <c r="BA53" s="3">
        <v>1324781</v>
      </c>
      <c r="BB53" s="3">
        <v>1338646</v>
      </c>
      <c r="BC53" s="3">
        <v>1351880</v>
      </c>
      <c r="BD53" s="3">
        <v>1364066</v>
      </c>
      <c r="BE53" s="3">
        <v>1375179</v>
      </c>
      <c r="BF53" s="3">
        <v>1385059</v>
      </c>
      <c r="BG53" s="3">
        <v>1392137</v>
      </c>
    </row>
    <row r="54" spans="1:59" x14ac:dyDescent="0.25">
      <c r="A54" s="1" t="str">
        <f>IF($G$7="Y",'Population Definitions'!$A$4,"...")</f>
        <v>...</v>
      </c>
      <c r="B54" s="4" t="str">
        <f>IF($G$7="Y","---&gt;","...")</f>
        <v>...</v>
      </c>
      <c r="C54" s="1" t="str">
        <f>IF($G$7="Y",'Population Definitions'!$A$7,"...")</f>
        <v>...</v>
      </c>
      <c r="E54" s="2"/>
      <c r="F54" s="3"/>
      <c r="G54" s="2"/>
      <c r="H54" s="4" t="str">
        <f>IF($G$7="Y","OR","...")</f>
        <v>...</v>
      </c>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row>
    <row r="55" spans="1:59" x14ac:dyDescent="0.25">
      <c r="A55" s="1" t="str">
        <f>IF($H$7="Y",'Population Definitions'!$A$4,"...")</f>
        <v>...</v>
      </c>
      <c r="B55" s="4" t="str">
        <f>IF($H$7="Y","---&gt;","...")</f>
        <v>...</v>
      </c>
      <c r="C55" s="1" t="str">
        <f>IF($H$7="Y",'Population Definitions'!$A$8,"...")</f>
        <v>...</v>
      </c>
      <c r="E55" s="2"/>
      <c r="F55" s="3"/>
      <c r="G55" s="2"/>
      <c r="H55" s="4" t="str">
        <f>IF($H$7="Y","OR","...")</f>
        <v>...</v>
      </c>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row>
    <row r="56" spans="1:59" x14ac:dyDescent="0.25">
      <c r="A56" s="1" t="str">
        <f>IF($I$7="Y",'Population Definitions'!$A$4,"...")</f>
        <v>...</v>
      </c>
      <c r="B56" s="4" t="str">
        <f>IF($I$7="Y","---&gt;","...")</f>
        <v>...</v>
      </c>
      <c r="C56" s="1" t="str">
        <f>IF($I$7="Y",'Population Definitions'!$A$9,"...")</f>
        <v>...</v>
      </c>
      <c r="E56" s="2"/>
      <c r="F56" s="3"/>
      <c r="G56" s="2"/>
      <c r="H56" s="4" t="str">
        <f>IF($I$7="Y","OR","...")</f>
        <v>...</v>
      </c>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row>
    <row r="57" spans="1:59" x14ac:dyDescent="0.25">
      <c r="A57" s="1" t="str">
        <f>IF($J$7="Y",'Population Definitions'!$A$4,"...")</f>
        <v>...</v>
      </c>
      <c r="B57" s="4" t="str">
        <f>IF($J$7="Y","---&gt;","...")</f>
        <v>...</v>
      </c>
      <c r="C57" s="1" t="str">
        <f>IF($J$7="Y",'Population Definitions'!$A$10,"...")</f>
        <v>...</v>
      </c>
      <c r="E57" s="2"/>
      <c r="F57" s="3"/>
      <c r="G57" s="2"/>
      <c r="H57" s="4" t="str">
        <f>IF($J$7="Y","OR","...")</f>
        <v>...</v>
      </c>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row>
    <row r="58" spans="1:59" x14ac:dyDescent="0.25">
      <c r="A58" s="1" t="str">
        <f>IF($K$7="Y",'Population Definitions'!$A$4,"...")</f>
        <v>...</v>
      </c>
      <c r="B58" s="4" t="str">
        <f>IF($K$7="Y","---&gt;","...")</f>
        <v>...</v>
      </c>
      <c r="C58" s="1" t="str">
        <f>IF($K$7="Y",'Population Definitions'!$A$11,"...")</f>
        <v>...</v>
      </c>
      <c r="E58" s="2"/>
      <c r="F58" s="3"/>
      <c r="G58" s="2"/>
      <c r="H58" s="4" t="str">
        <f>IF($K$7="Y","OR","...")</f>
        <v>...</v>
      </c>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row>
    <row r="59" spans="1:59" x14ac:dyDescent="0.25">
      <c r="A59" s="1" t="str">
        <f>IF($L$7="Y",'Population Definitions'!$A$4,"...")</f>
        <v>...</v>
      </c>
      <c r="B59" s="4" t="str">
        <f>IF($L$7="Y","---&gt;","...")</f>
        <v>...</v>
      </c>
      <c r="C59" s="1" t="str">
        <f>IF($L$7="Y",'Population Definitions'!$A$12,"...")</f>
        <v>...</v>
      </c>
      <c r="E59" s="2"/>
      <c r="F59" s="3"/>
      <c r="G59" s="2"/>
      <c r="H59" s="4" t="str">
        <f>IF($L$7="Y","OR","...")</f>
        <v>...</v>
      </c>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row>
    <row r="60" spans="1:59" x14ac:dyDescent="0.25">
      <c r="A60" s="1" t="str">
        <f>IF($M$7="Y",'Population Definitions'!$A$4,"...")</f>
        <v>...</v>
      </c>
      <c r="B60" s="4" t="str">
        <f>IF($M$7="Y","---&gt;","...")</f>
        <v>...</v>
      </c>
      <c r="C60" s="1" t="str">
        <f>IF($M$7="Y",'Population Definitions'!$A$13,"...")</f>
        <v>...</v>
      </c>
      <c r="E60" s="2"/>
      <c r="F60" s="3"/>
      <c r="G60" s="2"/>
      <c r="H60" s="4" t="str">
        <f>IF($M$7="Y","OR","...")</f>
        <v>...</v>
      </c>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row>
    <row r="61" spans="1:59" x14ac:dyDescent="0.25">
      <c r="A61" s="1" t="str">
        <f>IF($N$7="Y",'Population Definitions'!$A$4,"...")</f>
        <v>...</v>
      </c>
      <c r="B61" s="4" t="str">
        <f>IF($N$7="Y","---&gt;","...")</f>
        <v>...</v>
      </c>
      <c r="C61" s="1" t="str">
        <f>IF($N$7="Y",'Population Definitions'!$A$14,"...")</f>
        <v>...</v>
      </c>
      <c r="E61" s="2"/>
      <c r="F61" s="3"/>
      <c r="G61" s="2"/>
      <c r="H61" s="4" t="str">
        <f>IF($N$7="Y","OR","...")</f>
        <v>...</v>
      </c>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row>
    <row r="62" spans="1:59" x14ac:dyDescent="0.25">
      <c r="A62" s="1" t="str">
        <f>IF($O$7="Y",'Population Definitions'!$A$4,"...")</f>
        <v>...</v>
      </c>
      <c r="B62" s="4" t="str">
        <f>IF($O$7="Y","---&gt;","...")</f>
        <v>...</v>
      </c>
      <c r="C62" s="1" t="str">
        <f>IF($O$7="Y",'Population Definitions'!$A$15,"...")</f>
        <v>...</v>
      </c>
      <c r="E62" s="2"/>
      <c r="F62" s="3"/>
      <c r="G62" s="2"/>
      <c r="H62" s="4" t="str">
        <f>IF($O$7="Y","OR","...")</f>
        <v>...</v>
      </c>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row>
    <row r="63" spans="1:59" x14ac:dyDescent="0.25">
      <c r="A63" s="1" t="str">
        <f>IF($B$8="Y",'Population Definitions'!$A$5,"...")</f>
        <v>...</v>
      </c>
      <c r="B63" s="4" t="str">
        <f>IF($B$8="Y","---&gt;","...")</f>
        <v>...</v>
      </c>
      <c r="C63" s="1" t="str">
        <f>IF($B$8="Y",'Population Definitions'!$A$2,"...")</f>
        <v>...</v>
      </c>
      <c r="E63" s="2"/>
      <c r="F63" s="3"/>
      <c r="G63" s="2"/>
      <c r="H63" s="4" t="str">
        <f>IF($B$8="Y","OR","...")</f>
        <v>...</v>
      </c>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row>
    <row r="64" spans="1:59" x14ac:dyDescent="0.25">
      <c r="A64" s="1" t="str">
        <f>IF($C$8="Y",'Population Definitions'!$A$5,"...")</f>
        <v>...</v>
      </c>
      <c r="B64" s="4" t="str">
        <f>IF($C$8="Y","---&gt;","...")</f>
        <v>...</v>
      </c>
      <c r="C64" s="1" t="str">
        <f>IF($C$8="Y",'Population Definitions'!$A$3,"...")</f>
        <v>...</v>
      </c>
      <c r="E64" s="2"/>
      <c r="F64" s="3"/>
      <c r="G64" s="2"/>
      <c r="H64" s="4" t="str">
        <f>IF($C$8="Y","OR","...")</f>
        <v>...</v>
      </c>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row>
    <row r="65" spans="1:59" x14ac:dyDescent="0.25">
      <c r="A65" s="1" t="str">
        <f>IF($D$8="Y",'Population Definitions'!$A$5,"...")</f>
        <v>...</v>
      </c>
      <c r="B65" s="4" t="str">
        <f>IF($D$8="Y","---&gt;","...")</f>
        <v>...</v>
      </c>
      <c r="C65" s="1" t="str">
        <f>IF($D$8="Y",'Population Definitions'!$A$4,"...")</f>
        <v>...</v>
      </c>
      <c r="E65" s="2"/>
      <c r="F65" s="3"/>
      <c r="G65" s="2"/>
      <c r="H65" s="4" t="str">
        <f>IF($D$8="Y","OR","...")</f>
        <v>...</v>
      </c>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row>
    <row r="66" spans="1:59" x14ac:dyDescent="0.25">
      <c r="A66" s="1" t="str">
        <f>IF($E$8="Y",'Population Definitions'!$A$5,"...")</f>
        <v>...</v>
      </c>
      <c r="B66" s="4" t="str">
        <f>IF($E$8="Y","---&gt;","...")</f>
        <v>...</v>
      </c>
      <c r="C66" s="1" t="str">
        <f>IF($E$8="Y",'Population Definitions'!$A$5,"...")</f>
        <v>...</v>
      </c>
      <c r="E66" s="2"/>
      <c r="F66" s="3"/>
      <c r="G66" s="2"/>
      <c r="H66" s="4" t="str">
        <f>IF($E$8="Y","OR","...")</f>
        <v>...</v>
      </c>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row>
    <row r="67" spans="1:59" x14ac:dyDescent="0.25">
      <c r="A67" s="1" t="str">
        <f>IF($F$8="Y",'Population Definitions'!$A$5,"...")</f>
        <v>...</v>
      </c>
      <c r="B67" s="4" t="str">
        <f>IF($F$8="Y","---&gt;","...")</f>
        <v>...</v>
      </c>
      <c r="C67" s="1" t="str">
        <f>IF($F$8="Y",'Population Definitions'!$A$6,"...")</f>
        <v>...</v>
      </c>
      <c r="E67" s="2"/>
      <c r="F67" s="3"/>
      <c r="G67" s="2"/>
      <c r="H67" s="4" t="str">
        <f>IF($F$8="Y","OR","...")</f>
        <v>...</v>
      </c>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row>
    <row r="68" spans="1:59" x14ac:dyDescent="0.25">
      <c r="A68" s="1" t="str">
        <f>IF($G$8="Y",'Population Definitions'!$A$5,"...")</f>
        <v>0-9_females</v>
      </c>
      <c r="B68" s="4" t="str">
        <f>IF($G$8="Y","---&gt;","...")</f>
        <v>---&gt;</v>
      </c>
      <c r="C68" s="1" t="str">
        <f>IF($G$8="Y",'Population Definitions'!$A$7,"...")</f>
        <v>10-17_females</v>
      </c>
      <c r="E68" s="3" t="s">
        <v>236</v>
      </c>
      <c r="F68" s="3"/>
      <c r="G68" s="3"/>
      <c r="H68" s="4" t="str">
        <f>IF($G$8="Y","OR","...")</f>
        <v>OR</v>
      </c>
      <c r="I68" s="3">
        <v>873697</v>
      </c>
      <c r="J68" s="3">
        <v>868208</v>
      </c>
      <c r="K68" s="3">
        <v>860528</v>
      </c>
      <c r="L68" s="3">
        <v>852725.5</v>
      </c>
      <c r="M68" s="3">
        <v>848889</v>
      </c>
      <c r="N68" s="3">
        <v>849645.5</v>
      </c>
      <c r="O68" s="3">
        <v>856810.5</v>
      </c>
      <c r="P68" s="3">
        <v>874055</v>
      </c>
      <c r="Q68" s="3">
        <v>898404.5</v>
      </c>
      <c r="R68" s="3">
        <v>916232</v>
      </c>
      <c r="S68" s="3">
        <v>923974</v>
      </c>
      <c r="T68" s="3">
        <v>936020.5</v>
      </c>
      <c r="U68" s="3">
        <v>954426.5</v>
      </c>
      <c r="V68" s="3">
        <v>972111.5</v>
      </c>
      <c r="W68" s="3">
        <v>986305</v>
      </c>
      <c r="X68" s="3">
        <v>1002316</v>
      </c>
      <c r="Y68" s="3">
        <v>1022363.5</v>
      </c>
      <c r="Z68" s="3">
        <v>1047909.5</v>
      </c>
      <c r="AA68" s="3">
        <v>1076753.5</v>
      </c>
      <c r="AB68" s="3">
        <v>1105734</v>
      </c>
      <c r="AC68" s="3">
        <v>1140120</v>
      </c>
      <c r="AD68" s="3">
        <v>1172364.5</v>
      </c>
      <c r="AE68" s="3">
        <v>1214670.5</v>
      </c>
      <c r="AF68" s="3">
        <v>1269467</v>
      </c>
      <c r="AG68" s="3">
        <v>1306456.5</v>
      </c>
      <c r="AH68" s="3">
        <v>1327562</v>
      </c>
      <c r="AI68" s="3">
        <v>1316009</v>
      </c>
      <c r="AJ68" s="3">
        <v>1292986</v>
      </c>
      <c r="AK68" s="3">
        <v>1241608</v>
      </c>
      <c r="AL68" s="3">
        <v>1168260</v>
      </c>
      <c r="AM68" s="3">
        <v>1148158</v>
      </c>
      <c r="AN68" s="3">
        <v>1137480</v>
      </c>
      <c r="AO68" s="3">
        <v>1130688</v>
      </c>
      <c r="AP68" s="3">
        <v>1145126</v>
      </c>
      <c r="AQ68" s="3">
        <v>1159668</v>
      </c>
      <c r="AR68" s="3">
        <v>1169218</v>
      </c>
      <c r="AS68" s="3">
        <v>1174583</v>
      </c>
      <c r="AT68" s="3">
        <v>1180618</v>
      </c>
      <c r="AU68" s="3">
        <v>1187578</v>
      </c>
      <c r="AV68" s="3">
        <v>1196213</v>
      </c>
      <c r="AW68" s="3">
        <v>1206570</v>
      </c>
      <c r="AX68" s="3">
        <v>1217998</v>
      </c>
      <c r="AY68" s="3">
        <v>1230836</v>
      </c>
      <c r="AZ68" s="3">
        <v>1244519</v>
      </c>
      <c r="BA68" s="3">
        <v>1258117</v>
      </c>
      <c r="BB68" s="3">
        <v>1271303</v>
      </c>
      <c r="BC68" s="3">
        <v>1283754</v>
      </c>
      <c r="BD68" s="3">
        <v>1295213</v>
      </c>
      <c r="BE68" s="3">
        <v>1305575</v>
      </c>
      <c r="BF68" s="3">
        <v>1314743</v>
      </c>
      <c r="BG68" s="3">
        <v>1321412</v>
      </c>
    </row>
    <row r="69" spans="1:59" x14ac:dyDescent="0.25">
      <c r="A69" s="1" t="str">
        <f>IF($H$8="Y",'Population Definitions'!$A$5,"...")</f>
        <v>...</v>
      </c>
      <c r="B69" s="4" t="str">
        <f>IF($H$8="Y","---&gt;","...")</f>
        <v>...</v>
      </c>
      <c r="C69" s="1" t="str">
        <f>IF($H$8="Y",'Population Definitions'!$A$8,"...")</f>
        <v>...</v>
      </c>
      <c r="E69" s="2"/>
      <c r="F69" s="3"/>
      <c r="G69" s="2"/>
      <c r="H69" s="4" t="str">
        <f>IF($H$8="Y","OR","...")</f>
        <v>...</v>
      </c>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row>
    <row r="70" spans="1:59" x14ac:dyDescent="0.25">
      <c r="A70" s="1" t="str">
        <f>IF($I$8="Y",'Population Definitions'!$A$5,"...")</f>
        <v>...</v>
      </c>
      <c r="B70" s="4" t="str">
        <f>IF($I$8="Y","---&gt;","...")</f>
        <v>...</v>
      </c>
      <c r="C70" s="1" t="str">
        <f>IF($I$8="Y",'Population Definitions'!$A$9,"...")</f>
        <v>...</v>
      </c>
      <c r="E70" s="2"/>
      <c r="F70" s="3"/>
      <c r="G70" s="2"/>
      <c r="H70" s="4" t="str">
        <f>IF($I$8="Y","OR","...")</f>
        <v>...</v>
      </c>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row>
    <row r="71" spans="1:59" x14ac:dyDescent="0.25">
      <c r="A71" s="1" t="str">
        <f>IF($J$8="Y",'Population Definitions'!$A$5,"...")</f>
        <v>...</v>
      </c>
      <c r="B71" s="4" t="str">
        <f>IF($J$8="Y","---&gt;","...")</f>
        <v>...</v>
      </c>
      <c r="C71" s="1" t="str">
        <f>IF($J$8="Y",'Population Definitions'!$A$10,"...")</f>
        <v>...</v>
      </c>
      <c r="E71" s="2"/>
      <c r="F71" s="3"/>
      <c r="G71" s="2"/>
      <c r="H71" s="4" t="str">
        <f>IF($J$8="Y","OR","...")</f>
        <v>...</v>
      </c>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row>
    <row r="72" spans="1:59" x14ac:dyDescent="0.25">
      <c r="A72" s="1" t="str">
        <f>IF($K$8="Y",'Population Definitions'!$A$5,"...")</f>
        <v>...</v>
      </c>
      <c r="B72" s="4" t="str">
        <f>IF($K$8="Y","---&gt;","...")</f>
        <v>...</v>
      </c>
      <c r="C72" s="1" t="str">
        <f>IF($K$8="Y",'Population Definitions'!$A$11,"...")</f>
        <v>...</v>
      </c>
      <c r="E72" s="2"/>
      <c r="F72" s="3"/>
      <c r="G72" s="2"/>
      <c r="H72" s="4" t="str">
        <f>IF($K$8="Y","OR","...")</f>
        <v>...</v>
      </c>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row>
    <row r="73" spans="1:59" x14ac:dyDescent="0.25">
      <c r="A73" s="1" t="str">
        <f>IF($L$8="Y",'Population Definitions'!$A$5,"...")</f>
        <v>...</v>
      </c>
      <c r="B73" s="4" t="str">
        <f>IF($L$8="Y","---&gt;","...")</f>
        <v>...</v>
      </c>
      <c r="C73" s="1" t="str">
        <f>IF($L$8="Y",'Population Definitions'!$A$12,"...")</f>
        <v>...</v>
      </c>
      <c r="E73" s="2"/>
      <c r="F73" s="3"/>
      <c r="G73" s="2"/>
      <c r="H73" s="4" t="str">
        <f>IF($L$8="Y","OR","...")</f>
        <v>...</v>
      </c>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row>
    <row r="74" spans="1:59" x14ac:dyDescent="0.25">
      <c r="A74" s="1" t="str">
        <f>IF($M$8="Y",'Population Definitions'!$A$5,"...")</f>
        <v>...</v>
      </c>
      <c r="B74" s="4" t="str">
        <f>IF($M$8="Y","---&gt;","...")</f>
        <v>...</v>
      </c>
      <c r="C74" s="1" t="str">
        <f>IF($M$8="Y",'Population Definitions'!$A$13,"...")</f>
        <v>...</v>
      </c>
      <c r="E74" s="2"/>
      <c r="F74" s="3"/>
      <c r="G74" s="2"/>
      <c r="H74" s="4" t="str">
        <f>IF($M$8="Y","OR","...")</f>
        <v>...</v>
      </c>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row>
    <row r="75" spans="1:59" x14ac:dyDescent="0.25">
      <c r="A75" s="1" t="str">
        <f>IF($N$8="Y",'Population Definitions'!$A$5,"...")</f>
        <v>...</v>
      </c>
      <c r="B75" s="4" t="str">
        <f>IF($N$8="Y","---&gt;","...")</f>
        <v>...</v>
      </c>
      <c r="C75" s="1" t="str">
        <f>IF($N$8="Y",'Population Definitions'!$A$14,"...")</f>
        <v>...</v>
      </c>
      <c r="E75" s="2"/>
      <c r="F75" s="3"/>
      <c r="G75" s="2"/>
      <c r="H75" s="4" t="str">
        <f>IF($N$8="Y","OR","...")</f>
        <v>...</v>
      </c>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row>
    <row r="76" spans="1:59" x14ac:dyDescent="0.25">
      <c r="A76" s="1" t="str">
        <f>IF($O$8="Y",'Population Definitions'!$A$5,"...")</f>
        <v>...</v>
      </c>
      <c r="B76" s="4" t="str">
        <f>IF($O$8="Y","---&gt;","...")</f>
        <v>...</v>
      </c>
      <c r="C76" s="1" t="str">
        <f>IF($O$8="Y",'Population Definitions'!$A$15,"...")</f>
        <v>...</v>
      </c>
      <c r="E76" s="2"/>
      <c r="F76" s="3"/>
      <c r="G76" s="2"/>
      <c r="H76" s="4" t="str">
        <f>IF($O$8="Y","OR","...")</f>
        <v>...</v>
      </c>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row>
    <row r="77" spans="1:59" x14ac:dyDescent="0.25">
      <c r="A77" s="1" t="str">
        <f>IF($B$9="Y",'Population Definitions'!$A$6,"...")</f>
        <v>...</v>
      </c>
      <c r="B77" s="4" t="str">
        <f>IF($B$9="Y","---&gt;","...")</f>
        <v>...</v>
      </c>
      <c r="C77" s="1" t="str">
        <f>IF($B$9="Y",'Population Definitions'!$A$2,"...")</f>
        <v>...</v>
      </c>
      <c r="E77" s="2"/>
      <c r="F77" s="3"/>
      <c r="G77" s="2"/>
      <c r="H77" s="4" t="str">
        <f>IF($B$9="Y","OR","...")</f>
        <v>...</v>
      </c>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row>
    <row r="78" spans="1:59" x14ac:dyDescent="0.25">
      <c r="A78" s="1" t="str">
        <f>IF($C$9="Y",'Population Definitions'!$A$6,"...")</f>
        <v>...</v>
      </c>
      <c r="B78" s="4" t="str">
        <f>IF($C$9="Y","---&gt;","...")</f>
        <v>...</v>
      </c>
      <c r="C78" s="1" t="str">
        <f>IF($C$9="Y",'Population Definitions'!$A$3,"...")</f>
        <v>...</v>
      </c>
      <c r="E78" s="2"/>
      <c r="F78" s="3"/>
      <c r="G78" s="2"/>
      <c r="H78" s="4" t="str">
        <f>IF($C$9="Y","OR","...")</f>
        <v>...</v>
      </c>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row>
    <row r="79" spans="1:59" x14ac:dyDescent="0.25">
      <c r="A79" s="1" t="str">
        <f>IF($D$9="Y",'Population Definitions'!$A$6,"...")</f>
        <v>...</v>
      </c>
      <c r="B79" s="4" t="str">
        <f>IF($D$9="Y","---&gt;","...")</f>
        <v>...</v>
      </c>
      <c r="C79" s="1" t="str">
        <f>IF($D$9="Y",'Population Definitions'!$A$4,"...")</f>
        <v>...</v>
      </c>
      <c r="E79" s="2"/>
      <c r="F79" s="3"/>
      <c r="G79" s="2"/>
      <c r="H79" s="4" t="str">
        <f>IF($D$9="Y","OR","...")</f>
        <v>...</v>
      </c>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row>
    <row r="80" spans="1:59" x14ac:dyDescent="0.25">
      <c r="A80" s="1" t="str">
        <f>IF($E$9="Y",'Population Definitions'!$A$6,"...")</f>
        <v>...</v>
      </c>
      <c r="B80" s="4" t="str">
        <f>IF($E$9="Y","---&gt;","...")</f>
        <v>...</v>
      </c>
      <c r="C80" s="1" t="str">
        <f>IF($E$9="Y",'Population Definitions'!$A$5,"...")</f>
        <v>...</v>
      </c>
      <c r="E80" s="2"/>
      <c r="F80" s="3"/>
      <c r="G80" s="2"/>
      <c r="H80" s="4" t="str">
        <f>IF($E$9="Y","OR","...")</f>
        <v>...</v>
      </c>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row>
    <row r="81" spans="1:59" x14ac:dyDescent="0.25">
      <c r="A81" s="1" t="str">
        <f>IF($F$9="Y",'Population Definitions'!$A$6,"...")</f>
        <v>...</v>
      </c>
      <c r="B81" s="4" t="str">
        <f>IF($F$9="Y","---&gt;","...")</f>
        <v>...</v>
      </c>
      <c r="C81" s="1" t="str">
        <f>IF($F$9="Y",'Population Definitions'!$A$6,"...")</f>
        <v>...</v>
      </c>
      <c r="E81" s="2"/>
      <c r="F81" s="3"/>
      <c r="G81" s="2"/>
      <c r="H81" s="4" t="str">
        <f>IF($F$9="Y","OR","...")</f>
        <v>...</v>
      </c>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row>
    <row r="82" spans="1:59" x14ac:dyDescent="0.25">
      <c r="A82" s="1" t="str">
        <f>IF($G$9="Y",'Population Definitions'!$A$6,"...")</f>
        <v>...</v>
      </c>
      <c r="B82" s="4" t="str">
        <f>IF($G$9="Y","---&gt;","...")</f>
        <v>...</v>
      </c>
      <c r="C82" s="1" t="str">
        <f>IF($G$9="Y",'Population Definitions'!$A$7,"...")</f>
        <v>...</v>
      </c>
      <c r="E82" s="2"/>
      <c r="F82" s="3"/>
      <c r="G82" s="2"/>
      <c r="H82" s="4" t="str">
        <f>IF($G$9="Y","OR","...")</f>
        <v>...</v>
      </c>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row>
    <row r="83" spans="1:59" x14ac:dyDescent="0.25">
      <c r="A83" s="1" t="str">
        <f>IF($H$9="Y",'Population Definitions'!$A$6,"...")</f>
        <v>10-17_males</v>
      </c>
      <c r="B83" s="4" t="str">
        <f>IF($H$9="Y","---&gt;","...")</f>
        <v>---&gt;</v>
      </c>
      <c r="C83" s="1" t="str">
        <f>IF($H$9="Y",'Population Definitions'!$A$8,"...")</f>
        <v>18-64_males</v>
      </c>
      <c r="E83" s="3" t="s">
        <v>236</v>
      </c>
      <c r="F83" s="3"/>
      <c r="G83" s="3"/>
      <c r="H83" s="4" t="str">
        <f>IF($H$9="Y","OR","...")</f>
        <v>OR</v>
      </c>
      <c r="I83" s="3">
        <v>789510.5</v>
      </c>
      <c r="J83" s="3">
        <v>820313.5</v>
      </c>
      <c r="K83" s="3">
        <v>846330</v>
      </c>
      <c r="L83" s="3">
        <v>865250</v>
      </c>
      <c r="M83" s="3">
        <v>880870</v>
      </c>
      <c r="N83" s="3">
        <v>895470.5</v>
      </c>
      <c r="O83" s="3">
        <v>912597.5</v>
      </c>
      <c r="P83" s="3">
        <v>921179</v>
      </c>
      <c r="Q83" s="3">
        <v>918726.5</v>
      </c>
      <c r="R83" s="3">
        <v>913703.5</v>
      </c>
      <c r="S83" s="3">
        <v>906498.5</v>
      </c>
      <c r="T83" s="3">
        <v>898769.5</v>
      </c>
      <c r="U83" s="3">
        <v>895247</v>
      </c>
      <c r="V83" s="3">
        <v>896470.5</v>
      </c>
      <c r="W83" s="3">
        <v>903703</v>
      </c>
      <c r="X83" s="3">
        <v>919742.5</v>
      </c>
      <c r="Y83" s="3">
        <v>942123.5</v>
      </c>
      <c r="Z83" s="3">
        <v>958882</v>
      </c>
      <c r="AA83" s="3">
        <v>966392</v>
      </c>
      <c r="AB83" s="3">
        <v>978268.5</v>
      </c>
      <c r="AC83" s="3">
        <v>994910.5</v>
      </c>
      <c r="AD83" s="3">
        <v>1009275</v>
      </c>
      <c r="AE83" s="3">
        <v>1021719</v>
      </c>
      <c r="AF83" s="3">
        <v>1039340</v>
      </c>
      <c r="AG83" s="3">
        <v>1064791</v>
      </c>
      <c r="AH83" s="3">
        <v>1095957</v>
      </c>
      <c r="AI83" s="3">
        <v>1127776</v>
      </c>
      <c r="AJ83" s="3">
        <v>1159172</v>
      </c>
      <c r="AK83" s="3">
        <v>1194620</v>
      </c>
      <c r="AL83" s="3">
        <v>1226303</v>
      </c>
      <c r="AM83" s="3">
        <v>1268176</v>
      </c>
      <c r="AN83" s="3">
        <v>1323450</v>
      </c>
      <c r="AO83" s="3">
        <v>1361324</v>
      </c>
      <c r="AP83" s="3">
        <v>1382467</v>
      </c>
      <c r="AQ83" s="3">
        <v>1370026</v>
      </c>
      <c r="AR83" s="3">
        <v>1346976</v>
      </c>
      <c r="AS83" s="3">
        <v>1294693</v>
      </c>
      <c r="AT83" s="3">
        <v>1219375</v>
      </c>
      <c r="AU83" s="3">
        <v>1199365</v>
      </c>
      <c r="AV83" s="3">
        <v>1188941</v>
      </c>
      <c r="AW83" s="3">
        <v>1182452</v>
      </c>
      <c r="AX83" s="3">
        <v>1198072</v>
      </c>
      <c r="AY83" s="3">
        <v>1213950</v>
      </c>
      <c r="AZ83" s="3">
        <v>1224345</v>
      </c>
      <c r="BA83" s="3">
        <v>1230042</v>
      </c>
      <c r="BB83" s="3">
        <v>1236566</v>
      </c>
      <c r="BC83" s="3">
        <v>1244095</v>
      </c>
      <c r="BD83" s="3">
        <v>1253279</v>
      </c>
      <c r="BE83" s="3">
        <v>1264319</v>
      </c>
      <c r="BF83" s="3">
        <v>1276666</v>
      </c>
      <c r="BG83" s="3">
        <v>1290302</v>
      </c>
    </row>
    <row r="84" spans="1:59" x14ac:dyDescent="0.25">
      <c r="A84" s="1" t="str">
        <f>IF($I$9="Y",'Population Definitions'!$A$6,"...")</f>
        <v>...</v>
      </c>
      <c r="B84" s="4" t="str">
        <f>IF($I$9="Y","---&gt;","...")</f>
        <v>...</v>
      </c>
      <c r="C84" s="1" t="str">
        <f>IF($I$9="Y",'Population Definitions'!$A$9,"...")</f>
        <v>...</v>
      </c>
      <c r="E84" s="2"/>
      <c r="F84" s="3"/>
      <c r="G84" s="2"/>
      <c r="H84" s="4" t="str">
        <f>IF($I$9="Y","OR","...")</f>
        <v>...</v>
      </c>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row>
    <row r="85" spans="1:59" x14ac:dyDescent="0.25">
      <c r="A85" s="1" t="str">
        <f>IF($J$9="Y",'Population Definitions'!$A$6,"...")</f>
        <v>...</v>
      </c>
      <c r="B85" s="4" t="str">
        <f>IF($J$9="Y","---&gt;","...")</f>
        <v>...</v>
      </c>
      <c r="C85" s="1" t="str">
        <f>IF($J$9="Y",'Population Definitions'!$A$10,"...")</f>
        <v>...</v>
      </c>
      <c r="E85" s="2"/>
      <c r="F85" s="3"/>
      <c r="G85" s="2"/>
      <c r="H85" s="4" t="str">
        <f>IF($J$9="Y","OR","...")</f>
        <v>...</v>
      </c>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row>
    <row r="86" spans="1:59" x14ac:dyDescent="0.25">
      <c r="A86" s="1" t="str">
        <f>IF($K$9="Y",'Population Definitions'!$A$6,"...")</f>
        <v>...</v>
      </c>
      <c r="B86" s="4" t="str">
        <f>IF($K$9="Y","---&gt;","...")</f>
        <v>...</v>
      </c>
      <c r="C86" s="1" t="str">
        <f>IF($K$9="Y",'Population Definitions'!$A$11,"...")</f>
        <v>...</v>
      </c>
      <c r="E86" s="2"/>
      <c r="F86" s="3"/>
      <c r="G86" s="2"/>
      <c r="H86" s="4" t="str">
        <f>IF($K$9="Y","OR","...")</f>
        <v>...</v>
      </c>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row>
    <row r="87" spans="1:59" x14ac:dyDescent="0.25">
      <c r="A87" s="1" t="str">
        <f>IF($L$9="Y",'Population Definitions'!$A$6,"...")</f>
        <v>...</v>
      </c>
      <c r="B87" s="4" t="str">
        <f>IF($L$9="Y","---&gt;","...")</f>
        <v>...</v>
      </c>
      <c r="C87" s="1" t="str">
        <f>IF($L$9="Y",'Population Definitions'!$A$12,"...")</f>
        <v>...</v>
      </c>
      <c r="E87" s="2"/>
      <c r="F87" s="3"/>
      <c r="G87" s="2"/>
      <c r="H87" s="4" t="str">
        <f>IF($L$9="Y","OR","...")</f>
        <v>...</v>
      </c>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row>
    <row r="88" spans="1:59" x14ac:dyDescent="0.25">
      <c r="A88" s="1" t="str">
        <f>IF($M$9="Y",'Population Definitions'!$A$6,"...")</f>
        <v>...</v>
      </c>
      <c r="B88" s="4" t="str">
        <f>IF($M$9="Y","---&gt;","...")</f>
        <v>...</v>
      </c>
      <c r="C88" s="1" t="str">
        <f>IF($M$9="Y",'Population Definitions'!$A$13,"...")</f>
        <v>...</v>
      </c>
      <c r="E88" s="2"/>
      <c r="F88" s="3"/>
      <c r="G88" s="2"/>
      <c r="H88" s="4" t="str">
        <f>IF($M$9="Y","OR","...")</f>
        <v>...</v>
      </c>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row>
    <row r="89" spans="1:59" x14ac:dyDescent="0.25">
      <c r="A89" s="1" t="str">
        <f>IF($N$9="Y",'Population Definitions'!$A$6,"...")</f>
        <v>...</v>
      </c>
      <c r="B89" s="4" t="str">
        <f>IF($N$9="Y","---&gt;","...")</f>
        <v>...</v>
      </c>
      <c r="C89" s="1" t="str">
        <f>IF($N$9="Y",'Population Definitions'!$A$14,"...")</f>
        <v>...</v>
      </c>
      <c r="E89" s="2"/>
      <c r="F89" s="3"/>
      <c r="G89" s="2"/>
      <c r="H89" s="4" t="str">
        <f>IF($N$9="Y","OR","...")</f>
        <v>...</v>
      </c>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row>
    <row r="90" spans="1:59" x14ac:dyDescent="0.25">
      <c r="A90" s="1" t="str">
        <f>IF($O$9="Y",'Population Definitions'!$A$6,"...")</f>
        <v>...</v>
      </c>
      <c r="B90" s="4" t="str">
        <f>IF($O$9="Y","---&gt;","...")</f>
        <v>...</v>
      </c>
      <c r="C90" s="1" t="str">
        <f>IF($O$9="Y",'Population Definitions'!$A$15,"...")</f>
        <v>...</v>
      </c>
      <c r="E90" s="2"/>
      <c r="F90" s="3"/>
      <c r="G90" s="2"/>
      <c r="H90" s="4" t="str">
        <f>IF($O$9="Y","OR","...")</f>
        <v>...</v>
      </c>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row>
    <row r="91" spans="1:59" x14ac:dyDescent="0.25">
      <c r="A91" s="1" t="str">
        <f>IF($B$10="Y",'Population Definitions'!$A$7,"...")</f>
        <v>...</v>
      </c>
      <c r="B91" s="4" t="str">
        <f>IF($B$10="Y","---&gt;","...")</f>
        <v>...</v>
      </c>
      <c r="C91" s="1" t="str">
        <f>IF($B$10="Y",'Population Definitions'!$A$2,"...")</f>
        <v>...</v>
      </c>
      <c r="E91" s="2"/>
      <c r="F91" s="3"/>
      <c r="G91" s="2"/>
      <c r="H91" s="4" t="str">
        <f>IF($B$10="Y","OR","...")</f>
        <v>...</v>
      </c>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row>
    <row r="92" spans="1:59" x14ac:dyDescent="0.25">
      <c r="A92" s="1" t="str">
        <f>IF($C$10="Y",'Population Definitions'!$A$7,"...")</f>
        <v>...</v>
      </c>
      <c r="B92" s="4" t="str">
        <f>IF($C$10="Y","---&gt;","...")</f>
        <v>...</v>
      </c>
      <c r="C92" s="1" t="str">
        <f>IF($C$10="Y",'Population Definitions'!$A$3,"...")</f>
        <v>...</v>
      </c>
      <c r="E92" s="2"/>
      <c r="F92" s="3"/>
      <c r="G92" s="2"/>
      <c r="H92" s="4" t="str">
        <f>IF($C$10="Y","OR","...")</f>
        <v>...</v>
      </c>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row>
    <row r="93" spans="1:59" x14ac:dyDescent="0.25">
      <c r="A93" s="1" t="str">
        <f>IF($D$10="Y",'Population Definitions'!$A$7,"...")</f>
        <v>...</v>
      </c>
      <c r="B93" s="4" t="str">
        <f>IF($D$10="Y","---&gt;","...")</f>
        <v>...</v>
      </c>
      <c r="C93" s="1" t="str">
        <f>IF($D$10="Y",'Population Definitions'!$A$4,"...")</f>
        <v>...</v>
      </c>
      <c r="E93" s="2"/>
      <c r="F93" s="3"/>
      <c r="G93" s="2"/>
      <c r="H93" s="4" t="str">
        <f>IF($D$10="Y","OR","...")</f>
        <v>...</v>
      </c>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row>
    <row r="94" spans="1:59" x14ac:dyDescent="0.25">
      <c r="A94" s="1" t="str">
        <f>IF($E$10="Y",'Population Definitions'!$A$7,"...")</f>
        <v>...</v>
      </c>
      <c r="B94" s="4" t="str">
        <f>IF($E$10="Y","---&gt;","...")</f>
        <v>...</v>
      </c>
      <c r="C94" s="1" t="str">
        <f>IF($E$10="Y",'Population Definitions'!$A$5,"...")</f>
        <v>...</v>
      </c>
      <c r="E94" s="2"/>
      <c r="F94" s="3"/>
      <c r="G94" s="2"/>
      <c r="H94" s="4" t="str">
        <f>IF($E$10="Y","OR","...")</f>
        <v>...</v>
      </c>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row>
    <row r="95" spans="1:59" x14ac:dyDescent="0.25">
      <c r="A95" s="1" t="str">
        <f>IF($F$10="Y",'Population Definitions'!$A$7,"...")</f>
        <v>...</v>
      </c>
      <c r="B95" s="4" t="str">
        <f>IF($F$10="Y","---&gt;","...")</f>
        <v>...</v>
      </c>
      <c r="C95" s="1" t="str">
        <f>IF($F$10="Y",'Population Definitions'!$A$6,"...")</f>
        <v>...</v>
      </c>
      <c r="E95" s="2"/>
      <c r="F95" s="3"/>
      <c r="G95" s="2"/>
      <c r="H95" s="4" t="str">
        <f>IF($F$10="Y","OR","...")</f>
        <v>...</v>
      </c>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row>
    <row r="96" spans="1:59" x14ac:dyDescent="0.25">
      <c r="A96" s="1" t="str">
        <f>IF($G$10="Y",'Population Definitions'!$A$7,"...")</f>
        <v>...</v>
      </c>
      <c r="B96" s="4" t="str">
        <f>IF($G$10="Y","---&gt;","...")</f>
        <v>...</v>
      </c>
      <c r="C96" s="1" t="str">
        <f>IF($G$10="Y",'Population Definitions'!$A$7,"...")</f>
        <v>...</v>
      </c>
      <c r="E96" s="2"/>
      <c r="F96" s="3"/>
      <c r="G96" s="2"/>
      <c r="H96" s="4" t="str">
        <f>IF($G$10="Y","OR","...")</f>
        <v>...</v>
      </c>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row>
    <row r="97" spans="1:59" x14ac:dyDescent="0.25">
      <c r="A97" s="1" t="str">
        <f>IF($H$10="Y",'Population Definitions'!$A$7,"...")</f>
        <v>...</v>
      </c>
      <c r="B97" s="4" t="str">
        <f>IF($H$10="Y","---&gt;","...")</f>
        <v>...</v>
      </c>
      <c r="C97" s="1" t="str">
        <f>IF($H$10="Y",'Population Definitions'!$A$8,"...")</f>
        <v>...</v>
      </c>
      <c r="E97" s="2"/>
      <c r="F97" s="3"/>
      <c r="G97" s="2"/>
      <c r="H97" s="4" t="str">
        <f>IF($H$10="Y","OR","...")</f>
        <v>...</v>
      </c>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row>
    <row r="98" spans="1:59" x14ac:dyDescent="0.25">
      <c r="A98" s="1" t="str">
        <f>IF($I$10="Y",'Population Definitions'!$A$7,"...")</f>
        <v>10-17_females</v>
      </c>
      <c r="B98" s="4" t="str">
        <f>IF($I$10="Y","---&gt;","...")</f>
        <v>---&gt;</v>
      </c>
      <c r="C98" s="1" t="str">
        <f>IF($I$10="Y",'Population Definitions'!$A$9,"...")</f>
        <v>18-64_females</v>
      </c>
      <c r="E98" s="3" t="s">
        <v>236</v>
      </c>
      <c r="F98" s="3"/>
      <c r="G98" s="3"/>
      <c r="H98" s="4" t="str">
        <f>IF($I$10="Y","OR","...")</f>
        <v>OR</v>
      </c>
      <c r="I98" s="3">
        <v>745137</v>
      </c>
      <c r="J98" s="3">
        <v>774834.5</v>
      </c>
      <c r="K98" s="3">
        <v>800224</v>
      </c>
      <c r="L98" s="3">
        <v>821078</v>
      </c>
      <c r="M98" s="3">
        <v>839019.5</v>
      </c>
      <c r="N98" s="3">
        <v>852451.5</v>
      </c>
      <c r="O98" s="3">
        <v>866154</v>
      </c>
      <c r="P98" s="3">
        <v>872438.5</v>
      </c>
      <c r="Q98" s="3">
        <v>868907</v>
      </c>
      <c r="R98" s="3">
        <v>862442.5</v>
      </c>
      <c r="S98" s="3">
        <v>854078.5</v>
      </c>
      <c r="T98" s="3">
        <v>845815.5</v>
      </c>
      <c r="U98" s="3">
        <v>843120</v>
      </c>
      <c r="V98" s="3">
        <v>845554.5</v>
      </c>
      <c r="W98" s="3">
        <v>853986.5</v>
      </c>
      <c r="X98" s="3">
        <v>871753.5</v>
      </c>
      <c r="Y98" s="3">
        <v>894873</v>
      </c>
      <c r="Z98" s="3">
        <v>911832</v>
      </c>
      <c r="AA98" s="3">
        <v>919311</v>
      </c>
      <c r="AB98" s="3">
        <v>931694.5</v>
      </c>
      <c r="AC98" s="3">
        <v>950763.5</v>
      </c>
      <c r="AD98" s="3">
        <v>968775.5</v>
      </c>
      <c r="AE98" s="3">
        <v>983145</v>
      </c>
      <c r="AF98" s="3">
        <v>999289.5</v>
      </c>
      <c r="AG98" s="3">
        <v>1021361</v>
      </c>
      <c r="AH98" s="3">
        <v>1048462</v>
      </c>
      <c r="AI98" s="3">
        <v>1076332</v>
      </c>
      <c r="AJ98" s="3">
        <v>1104163</v>
      </c>
      <c r="AK98" s="3">
        <v>1137786</v>
      </c>
      <c r="AL98" s="3">
        <v>1169650</v>
      </c>
      <c r="AM98" s="3">
        <v>1211753</v>
      </c>
      <c r="AN98" s="3">
        <v>1266423</v>
      </c>
      <c r="AO98" s="3">
        <v>1303084</v>
      </c>
      <c r="AP98" s="3">
        <v>1323562</v>
      </c>
      <c r="AQ98" s="3">
        <v>1311805</v>
      </c>
      <c r="AR98" s="3">
        <v>1289030</v>
      </c>
      <c r="AS98" s="3">
        <v>1237861</v>
      </c>
      <c r="AT98" s="3">
        <v>1164678</v>
      </c>
      <c r="AU98" s="3">
        <v>1144657</v>
      </c>
      <c r="AV98" s="3">
        <v>1134039</v>
      </c>
      <c r="AW98" s="3">
        <v>1127298</v>
      </c>
      <c r="AX98" s="3">
        <v>1141736</v>
      </c>
      <c r="AY98" s="3">
        <v>1156289</v>
      </c>
      <c r="AZ98" s="3">
        <v>1165850</v>
      </c>
      <c r="BA98" s="3">
        <v>1171211</v>
      </c>
      <c r="BB98" s="3">
        <v>1177243</v>
      </c>
      <c r="BC98" s="3">
        <v>1184188</v>
      </c>
      <c r="BD98" s="3">
        <v>1192800</v>
      </c>
      <c r="BE98" s="3">
        <v>1203145</v>
      </c>
      <c r="BF98" s="3">
        <v>1214585</v>
      </c>
      <c r="BG98" s="3">
        <v>1227425</v>
      </c>
    </row>
    <row r="99" spans="1:59" x14ac:dyDescent="0.25">
      <c r="A99" s="1" t="str">
        <f>IF($J$10="Y",'Population Definitions'!$A$7,"...")</f>
        <v>...</v>
      </c>
      <c r="B99" s="4" t="str">
        <f>IF($J$10="Y","---&gt;","...")</f>
        <v>...</v>
      </c>
      <c r="C99" s="1" t="str">
        <f>IF($J$10="Y",'Population Definitions'!$A$10,"...")</f>
        <v>...</v>
      </c>
      <c r="E99" s="2"/>
      <c r="F99" s="3"/>
      <c r="G99" s="2"/>
      <c r="H99" s="4" t="str">
        <f>IF($J$10="Y","OR","...")</f>
        <v>...</v>
      </c>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row>
    <row r="100" spans="1:59" x14ac:dyDescent="0.25">
      <c r="A100" s="1" t="str">
        <f>IF($K$10="Y",'Population Definitions'!$A$7,"...")</f>
        <v>...</v>
      </c>
      <c r="B100" s="4" t="str">
        <f>IF($K$10="Y","---&gt;","...")</f>
        <v>...</v>
      </c>
      <c r="C100" s="1" t="str">
        <f>IF($K$10="Y",'Population Definitions'!$A$11,"...")</f>
        <v>...</v>
      </c>
      <c r="E100" s="2"/>
      <c r="F100" s="3"/>
      <c r="G100" s="2"/>
      <c r="H100" s="4" t="str">
        <f>IF($K$10="Y","OR","...")</f>
        <v>...</v>
      </c>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row>
    <row r="101" spans="1:59" x14ac:dyDescent="0.25">
      <c r="A101" s="1" t="str">
        <f>IF($L$10="Y",'Population Definitions'!$A$7,"...")</f>
        <v>...</v>
      </c>
      <c r="B101" s="4" t="str">
        <f>IF($L$10="Y","---&gt;","...")</f>
        <v>...</v>
      </c>
      <c r="C101" s="1" t="str">
        <f>IF($L$10="Y",'Population Definitions'!$A$12,"...")</f>
        <v>...</v>
      </c>
      <c r="E101" s="2"/>
      <c r="F101" s="3"/>
      <c r="G101" s="2"/>
      <c r="H101" s="4" t="str">
        <f>IF($L$10="Y","OR","...")</f>
        <v>...</v>
      </c>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row>
    <row r="102" spans="1:59" x14ac:dyDescent="0.25">
      <c r="A102" s="1" t="str">
        <f>IF($M$10="Y",'Population Definitions'!$A$7,"...")</f>
        <v>...</v>
      </c>
      <c r="B102" s="4" t="str">
        <f>IF($M$10="Y","---&gt;","...")</f>
        <v>...</v>
      </c>
      <c r="C102" s="1" t="str">
        <f>IF($M$10="Y",'Population Definitions'!$A$13,"...")</f>
        <v>...</v>
      </c>
      <c r="E102" s="2"/>
      <c r="F102" s="3"/>
      <c r="G102" s="2"/>
      <c r="H102" s="4" t="str">
        <f>IF($M$10="Y","OR","...")</f>
        <v>...</v>
      </c>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row>
    <row r="103" spans="1:59" x14ac:dyDescent="0.25">
      <c r="A103" s="1" t="str">
        <f>IF($N$10="Y",'Population Definitions'!$A$7,"...")</f>
        <v>...</v>
      </c>
      <c r="B103" s="4" t="str">
        <f>IF($N$10="Y","---&gt;","...")</f>
        <v>...</v>
      </c>
      <c r="C103" s="1" t="str">
        <f>IF($N$10="Y",'Population Definitions'!$A$14,"...")</f>
        <v>...</v>
      </c>
      <c r="E103" s="2"/>
      <c r="F103" s="3"/>
      <c r="G103" s="2"/>
      <c r="H103" s="4" t="str">
        <f>IF($N$10="Y","OR","...")</f>
        <v>...</v>
      </c>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row>
    <row r="104" spans="1:59" x14ac:dyDescent="0.25">
      <c r="A104" s="1" t="str">
        <f>IF($O$10="Y",'Population Definitions'!$A$7,"...")</f>
        <v>...</v>
      </c>
      <c r="B104" s="4" t="str">
        <f>IF($O$10="Y","---&gt;","...")</f>
        <v>...</v>
      </c>
      <c r="C104" s="1" t="str">
        <f>IF($O$10="Y",'Population Definitions'!$A$15,"...")</f>
        <v>...</v>
      </c>
      <c r="E104" s="2"/>
      <c r="F104" s="3"/>
      <c r="G104" s="2"/>
      <c r="H104" s="4" t="str">
        <f>IF($O$10="Y","OR","...")</f>
        <v>...</v>
      </c>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row>
    <row r="105" spans="1:59" x14ac:dyDescent="0.25">
      <c r="A105" s="1" t="str">
        <f>IF($B$11="Y",'Population Definitions'!$A$8,"...")</f>
        <v>...</v>
      </c>
      <c r="B105" s="4" t="str">
        <f>IF($B$11="Y","---&gt;","...")</f>
        <v>...</v>
      </c>
      <c r="C105" s="1" t="str">
        <f>IF($B$11="Y",'Population Definitions'!$A$2,"...")</f>
        <v>...</v>
      </c>
      <c r="E105" s="2"/>
      <c r="F105" s="3"/>
      <c r="G105" s="2"/>
      <c r="H105" s="4" t="str">
        <f>IF($B$11="Y","OR","...")</f>
        <v>...</v>
      </c>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row>
    <row r="106" spans="1:59" x14ac:dyDescent="0.25">
      <c r="A106" s="1" t="str">
        <f>IF($C$11="Y",'Population Definitions'!$A$8,"...")</f>
        <v>...</v>
      </c>
      <c r="B106" s="4" t="str">
        <f>IF($C$11="Y","---&gt;","...")</f>
        <v>...</v>
      </c>
      <c r="C106" s="1" t="str">
        <f>IF($C$11="Y",'Population Definitions'!$A$3,"...")</f>
        <v>...</v>
      </c>
      <c r="E106" s="2"/>
      <c r="F106" s="3"/>
      <c r="G106" s="2"/>
      <c r="H106" s="4" t="str">
        <f>IF($C$11="Y","OR","...")</f>
        <v>...</v>
      </c>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row>
    <row r="107" spans="1:59" x14ac:dyDescent="0.25">
      <c r="A107" s="1" t="str">
        <f>IF($D$11="Y",'Population Definitions'!$A$8,"...")</f>
        <v>...</v>
      </c>
      <c r="B107" s="4" t="str">
        <f>IF($D$11="Y","---&gt;","...")</f>
        <v>...</v>
      </c>
      <c r="C107" s="1" t="str">
        <f>IF($D$11="Y",'Population Definitions'!$A$4,"...")</f>
        <v>...</v>
      </c>
      <c r="E107" s="2"/>
      <c r="F107" s="3"/>
      <c r="G107" s="2"/>
      <c r="H107" s="4" t="str">
        <f>IF($D$11="Y","OR","...")</f>
        <v>...</v>
      </c>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row>
    <row r="108" spans="1:59" x14ac:dyDescent="0.25">
      <c r="A108" s="1" t="str">
        <f>IF($E$11="Y",'Population Definitions'!$A$8,"...")</f>
        <v>...</v>
      </c>
      <c r="B108" s="4" t="str">
        <f>IF($E$11="Y","---&gt;","...")</f>
        <v>...</v>
      </c>
      <c r="C108" s="1" t="str">
        <f>IF($E$11="Y",'Population Definitions'!$A$5,"...")</f>
        <v>...</v>
      </c>
      <c r="E108" s="2"/>
      <c r="F108" s="3"/>
      <c r="G108" s="2"/>
      <c r="H108" s="4" t="str">
        <f>IF($E$11="Y","OR","...")</f>
        <v>...</v>
      </c>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row>
    <row r="109" spans="1:59" x14ac:dyDescent="0.25">
      <c r="A109" s="1" t="str">
        <f>IF($F$11="Y",'Population Definitions'!$A$8,"...")</f>
        <v>...</v>
      </c>
      <c r="B109" s="4" t="str">
        <f>IF($F$11="Y","---&gt;","...")</f>
        <v>...</v>
      </c>
      <c r="C109" s="1" t="str">
        <f>IF($F$11="Y",'Population Definitions'!$A$6,"...")</f>
        <v>...</v>
      </c>
      <c r="E109" s="2"/>
      <c r="F109" s="3"/>
      <c r="G109" s="2"/>
      <c r="H109" s="4" t="str">
        <f>IF($F$11="Y","OR","...")</f>
        <v>...</v>
      </c>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row>
    <row r="110" spans="1:59" x14ac:dyDescent="0.25">
      <c r="A110" s="1" t="str">
        <f>IF($G$11="Y",'Population Definitions'!$A$8,"...")</f>
        <v>...</v>
      </c>
      <c r="B110" s="4" t="str">
        <f>IF($G$11="Y","---&gt;","...")</f>
        <v>...</v>
      </c>
      <c r="C110" s="1" t="str">
        <f>IF($G$11="Y",'Population Definitions'!$A$7,"...")</f>
        <v>...</v>
      </c>
      <c r="E110" s="2"/>
      <c r="F110" s="3"/>
      <c r="G110" s="2"/>
      <c r="H110" s="4" t="str">
        <f>IF($G$11="Y","OR","...")</f>
        <v>...</v>
      </c>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row>
    <row r="111" spans="1:59" x14ac:dyDescent="0.25">
      <c r="A111" s="1" t="str">
        <f>IF($H$11="Y",'Population Definitions'!$A$8,"...")</f>
        <v>...</v>
      </c>
      <c r="B111" s="4" t="str">
        <f>IF($H$11="Y","---&gt;","...")</f>
        <v>...</v>
      </c>
      <c r="C111" s="1" t="str">
        <f>IF($H$11="Y",'Population Definitions'!$A$8,"...")</f>
        <v>...</v>
      </c>
      <c r="E111" s="2"/>
      <c r="F111" s="3"/>
      <c r="G111" s="2"/>
      <c r="H111" s="4" t="str">
        <f>IF($H$11="Y","OR","...")</f>
        <v>...</v>
      </c>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row>
    <row r="112" spans="1:59" x14ac:dyDescent="0.25">
      <c r="A112" s="1" t="str">
        <f>IF($I$11="Y",'Population Definitions'!$A$8,"...")</f>
        <v>...</v>
      </c>
      <c r="B112" s="4" t="str">
        <f>IF($I$11="Y","---&gt;","...")</f>
        <v>...</v>
      </c>
      <c r="C112" s="1" t="str">
        <f>IF($I$11="Y",'Population Definitions'!$A$9,"...")</f>
        <v>...</v>
      </c>
      <c r="E112" s="2"/>
      <c r="F112" s="3"/>
      <c r="G112" s="2"/>
      <c r="H112" s="4" t="str">
        <f>IF($I$11="Y","OR","...")</f>
        <v>...</v>
      </c>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row>
    <row r="113" spans="1:59" x14ac:dyDescent="0.25">
      <c r="A113" s="1" t="str">
        <f>IF($J$11="Y",'Population Definitions'!$A$8,"...")</f>
        <v>18-64_males</v>
      </c>
      <c r="B113" s="4" t="str">
        <f>IF($J$11="Y","---&gt;","...")</f>
        <v>---&gt;</v>
      </c>
      <c r="C113" s="1" t="str">
        <f>IF($J$11="Y",'Population Definitions'!$A$10,"...")</f>
        <v>65+_males</v>
      </c>
      <c r="E113" s="3" t="s">
        <v>236</v>
      </c>
      <c r="F113" s="3"/>
      <c r="G113" s="3"/>
      <c r="H113" s="4" t="str">
        <f>IF($J$11="Y","OR","...")</f>
        <v>OR</v>
      </c>
      <c r="I113" s="3">
        <v>125509.5</v>
      </c>
      <c r="J113" s="3">
        <v>125702</v>
      </c>
      <c r="K113" s="3">
        <v>127043</v>
      </c>
      <c r="L113" s="3">
        <v>126603</v>
      </c>
      <c r="M113" s="3">
        <v>124716</v>
      </c>
      <c r="N113" s="3">
        <v>123605.5</v>
      </c>
      <c r="O113" s="3">
        <v>124788</v>
      </c>
      <c r="P113" s="3">
        <v>128404</v>
      </c>
      <c r="Q113" s="3">
        <v>134715.5</v>
      </c>
      <c r="R113" s="3">
        <v>143944.5</v>
      </c>
      <c r="S113" s="3">
        <v>156021.5</v>
      </c>
      <c r="T113" s="3">
        <v>170239.5</v>
      </c>
      <c r="U113" s="3">
        <v>184745</v>
      </c>
      <c r="V113" s="3">
        <v>195369.5</v>
      </c>
      <c r="W113" s="3">
        <v>200339</v>
      </c>
      <c r="X113" s="3">
        <v>203633.5</v>
      </c>
      <c r="Y113" s="3">
        <v>211439.5</v>
      </c>
      <c r="Z113" s="3">
        <v>223159.5</v>
      </c>
      <c r="AA113" s="3">
        <v>235155.5</v>
      </c>
      <c r="AB113" s="3">
        <v>246801</v>
      </c>
      <c r="AC113" s="3">
        <v>257428.5</v>
      </c>
      <c r="AD113" s="3">
        <v>267132.5</v>
      </c>
      <c r="AE113" s="3">
        <v>276132.5</v>
      </c>
      <c r="AF113" s="3">
        <v>285226</v>
      </c>
      <c r="AG113" s="3">
        <v>295203</v>
      </c>
      <c r="AH113" s="3">
        <v>306367</v>
      </c>
      <c r="AI113" s="3">
        <v>318132</v>
      </c>
      <c r="AJ113" s="3">
        <v>329587</v>
      </c>
      <c r="AK113" s="3">
        <v>341038</v>
      </c>
      <c r="AL113" s="3">
        <v>351454</v>
      </c>
      <c r="AM113" s="3">
        <v>359130</v>
      </c>
      <c r="AN113" s="3">
        <v>368042</v>
      </c>
      <c r="AO113" s="3">
        <v>379258</v>
      </c>
      <c r="AP113" s="3">
        <v>390211</v>
      </c>
      <c r="AQ113" s="3">
        <v>401256</v>
      </c>
      <c r="AR113" s="3">
        <v>412008</v>
      </c>
      <c r="AS113" s="3">
        <v>423309</v>
      </c>
      <c r="AT113" s="3">
        <v>435506</v>
      </c>
      <c r="AU113" s="3">
        <v>446437</v>
      </c>
      <c r="AV113" s="3">
        <v>458636</v>
      </c>
      <c r="AW113" s="3">
        <v>474817</v>
      </c>
      <c r="AX113" s="3">
        <v>492832</v>
      </c>
      <c r="AY113" s="3">
        <v>510075</v>
      </c>
      <c r="AZ113" s="3">
        <v>527179</v>
      </c>
      <c r="BA113" s="3">
        <v>545054</v>
      </c>
      <c r="BB113" s="3">
        <v>562695</v>
      </c>
      <c r="BC113" s="3">
        <v>578166</v>
      </c>
      <c r="BD113" s="3">
        <v>596529</v>
      </c>
      <c r="BE113" s="3">
        <v>621804</v>
      </c>
      <c r="BF113" s="3">
        <v>643928</v>
      </c>
      <c r="BG113" s="3">
        <v>661104</v>
      </c>
    </row>
    <row r="114" spans="1:59" x14ac:dyDescent="0.25">
      <c r="A114" s="1" t="str">
        <f>IF($K$11="Y",'Population Definitions'!$A$8,"...")</f>
        <v>...</v>
      </c>
      <c r="B114" s="4" t="str">
        <f>IF($K$11="Y","---&gt;","...")</f>
        <v>...</v>
      </c>
      <c r="C114" s="1" t="str">
        <f>IF($K$11="Y",'Population Definitions'!$A$11,"...")</f>
        <v>...</v>
      </c>
      <c r="E114" s="2"/>
      <c r="F114" s="3"/>
      <c r="G114" s="2"/>
      <c r="H114" s="4" t="str">
        <f>IF($K$11="Y","OR","...")</f>
        <v>...</v>
      </c>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row>
    <row r="115" spans="1:59" x14ac:dyDescent="0.25">
      <c r="A115" s="1" t="str">
        <f>IF($L$11="Y",'Population Definitions'!$A$8,"...")</f>
        <v>...</v>
      </c>
      <c r="B115" s="4" t="str">
        <f>IF($L$11="Y","---&gt;","...")</f>
        <v>...</v>
      </c>
      <c r="C115" s="1" t="str">
        <f>IF($L$11="Y",'Population Definitions'!$A$12,"...")</f>
        <v>...</v>
      </c>
      <c r="E115" s="2"/>
      <c r="F115" s="3"/>
      <c r="G115" s="2"/>
      <c r="H115" s="4" t="str">
        <f>IF($L$11="Y","OR","...")</f>
        <v>...</v>
      </c>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row>
    <row r="116" spans="1:59" x14ac:dyDescent="0.25">
      <c r="A116" s="1" t="str">
        <f>IF($M$11="Y",'Population Definitions'!$A$8,"...")</f>
        <v>...</v>
      </c>
      <c r="B116" s="4" t="str">
        <f>IF($M$11="Y","---&gt;","...")</f>
        <v>...</v>
      </c>
      <c r="C116" s="1" t="str">
        <f>IF($M$11="Y",'Population Definitions'!$A$13,"...")</f>
        <v>...</v>
      </c>
      <c r="E116" s="2"/>
      <c r="F116" s="3"/>
      <c r="G116" s="2"/>
      <c r="H116" s="4" t="str">
        <f>IF($M$11="Y","OR","...")</f>
        <v>...</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row>
    <row r="117" spans="1:59" x14ac:dyDescent="0.25">
      <c r="A117" s="1" t="str">
        <f>IF($N$11="Y",'Population Definitions'!$A$8,"...")</f>
        <v>...</v>
      </c>
      <c r="B117" s="4" t="str">
        <f>IF($N$11="Y","---&gt;","...")</f>
        <v>...</v>
      </c>
      <c r="C117" s="1" t="str">
        <f>IF($N$11="Y",'Population Definitions'!$A$14,"...")</f>
        <v>...</v>
      </c>
      <c r="E117" s="2"/>
      <c r="F117" s="3"/>
      <c r="G117" s="2"/>
      <c r="H117" s="4" t="str">
        <f>IF($N$11="Y","OR","...")</f>
        <v>...</v>
      </c>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row>
    <row r="118" spans="1:59" x14ac:dyDescent="0.25">
      <c r="A118" s="1" t="str">
        <f>IF($O$11="Y",'Population Definitions'!$A$8,"...")</f>
        <v>...</v>
      </c>
      <c r="B118" s="4" t="str">
        <f>IF($O$11="Y","---&gt;","...")</f>
        <v>...</v>
      </c>
      <c r="C118" s="1" t="str">
        <f>IF($O$11="Y",'Population Definitions'!$A$15,"...")</f>
        <v>...</v>
      </c>
      <c r="E118" s="2"/>
      <c r="F118" s="3"/>
      <c r="G118" s="2"/>
      <c r="H118" s="4" t="str">
        <f>IF($O$11="Y","OR","...")</f>
        <v>...</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row>
    <row r="119" spans="1:59" x14ac:dyDescent="0.25">
      <c r="A119" s="1" t="str">
        <f>IF($B$12="Y",'Population Definitions'!$A$9,"...")</f>
        <v>...</v>
      </c>
      <c r="B119" s="4" t="str">
        <f>IF($B$12="Y","---&gt;","...")</f>
        <v>...</v>
      </c>
      <c r="C119" s="1" t="str">
        <f>IF($B$12="Y",'Population Definitions'!$A$2,"...")</f>
        <v>...</v>
      </c>
      <c r="E119" s="2"/>
      <c r="F119" s="3"/>
      <c r="G119" s="2"/>
      <c r="H119" s="4" t="str">
        <f>IF($B$12="Y","OR","...")</f>
        <v>...</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row>
    <row r="120" spans="1:59" x14ac:dyDescent="0.25">
      <c r="A120" s="1" t="str">
        <f>IF($C$12="Y",'Population Definitions'!$A$9,"...")</f>
        <v>...</v>
      </c>
      <c r="B120" s="4" t="str">
        <f>IF($C$12="Y","---&gt;","...")</f>
        <v>...</v>
      </c>
      <c r="C120" s="1" t="str">
        <f>IF($C$12="Y",'Population Definitions'!$A$3,"...")</f>
        <v>...</v>
      </c>
      <c r="E120" s="2"/>
      <c r="F120" s="3"/>
      <c r="G120" s="2"/>
      <c r="H120" s="4" t="str">
        <f>IF($C$12="Y","OR","...")</f>
        <v>...</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row>
    <row r="121" spans="1:59" x14ac:dyDescent="0.25">
      <c r="A121" s="1" t="str">
        <f>IF($D$12="Y",'Population Definitions'!$A$9,"...")</f>
        <v>...</v>
      </c>
      <c r="B121" s="4" t="str">
        <f>IF($D$12="Y","---&gt;","...")</f>
        <v>...</v>
      </c>
      <c r="C121" s="1" t="str">
        <f>IF($D$12="Y",'Population Definitions'!$A$4,"...")</f>
        <v>...</v>
      </c>
      <c r="E121" s="2"/>
      <c r="F121" s="3"/>
      <c r="G121" s="2"/>
      <c r="H121" s="4" t="str">
        <f>IF($D$12="Y","OR","...")</f>
        <v>...</v>
      </c>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row>
    <row r="122" spans="1:59" x14ac:dyDescent="0.25">
      <c r="A122" s="1" t="str">
        <f>IF($E$12="Y",'Population Definitions'!$A$9,"...")</f>
        <v>...</v>
      </c>
      <c r="B122" s="4" t="str">
        <f>IF($E$12="Y","---&gt;","...")</f>
        <v>...</v>
      </c>
      <c r="C122" s="1" t="str">
        <f>IF($E$12="Y",'Population Definitions'!$A$5,"...")</f>
        <v>...</v>
      </c>
      <c r="E122" s="2"/>
      <c r="F122" s="3"/>
      <c r="G122" s="2"/>
      <c r="H122" s="4" t="str">
        <f>IF($E$12="Y","OR","...")</f>
        <v>...</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row>
    <row r="123" spans="1:59" x14ac:dyDescent="0.25">
      <c r="A123" s="1" t="str">
        <f>IF($F$12="Y",'Population Definitions'!$A$9,"...")</f>
        <v>...</v>
      </c>
      <c r="B123" s="4" t="str">
        <f>IF($F$12="Y","---&gt;","...")</f>
        <v>...</v>
      </c>
      <c r="C123" s="1" t="str">
        <f>IF($F$12="Y",'Population Definitions'!$A$6,"...")</f>
        <v>...</v>
      </c>
      <c r="E123" s="2"/>
      <c r="F123" s="3"/>
      <c r="G123" s="2"/>
      <c r="H123" s="4" t="str">
        <f>IF($F$12="Y","OR","...")</f>
        <v>...</v>
      </c>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row>
    <row r="124" spans="1:59" x14ac:dyDescent="0.25">
      <c r="A124" s="1" t="str">
        <f>IF($G$12="Y",'Population Definitions'!$A$9,"...")</f>
        <v>...</v>
      </c>
      <c r="B124" s="4" t="str">
        <f>IF($G$12="Y","---&gt;","...")</f>
        <v>...</v>
      </c>
      <c r="C124" s="1" t="str">
        <f>IF($G$12="Y",'Population Definitions'!$A$7,"...")</f>
        <v>...</v>
      </c>
      <c r="E124" s="2"/>
      <c r="F124" s="3"/>
      <c r="G124" s="2"/>
      <c r="H124" s="4" t="str">
        <f>IF($G$12="Y","OR","...")</f>
        <v>...</v>
      </c>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row>
    <row r="125" spans="1:59" x14ac:dyDescent="0.25">
      <c r="A125" s="1" t="str">
        <f>IF($H$12="Y",'Population Definitions'!$A$9,"...")</f>
        <v>...</v>
      </c>
      <c r="B125" s="4" t="str">
        <f>IF($H$12="Y","---&gt;","...")</f>
        <v>...</v>
      </c>
      <c r="C125" s="1" t="str">
        <f>IF($H$12="Y",'Population Definitions'!$A$8,"...")</f>
        <v>...</v>
      </c>
      <c r="E125" s="2"/>
      <c r="F125" s="3"/>
      <c r="G125" s="2"/>
      <c r="H125" s="4" t="str">
        <f>IF($H$12="Y","OR","...")</f>
        <v>...</v>
      </c>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row>
    <row r="126" spans="1:59" x14ac:dyDescent="0.25">
      <c r="A126" s="1" t="str">
        <f>IF($I$12="Y",'Population Definitions'!$A$9,"...")</f>
        <v>...</v>
      </c>
      <c r="B126" s="4" t="str">
        <f>IF($I$12="Y","---&gt;","...")</f>
        <v>...</v>
      </c>
      <c r="C126" s="1" t="str">
        <f>IF($I$12="Y",'Population Definitions'!$A$9,"...")</f>
        <v>...</v>
      </c>
      <c r="E126" s="2"/>
      <c r="F126" s="3"/>
      <c r="G126" s="2"/>
      <c r="H126" s="4" t="str">
        <f>IF($I$12="Y","OR","...")</f>
        <v>...</v>
      </c>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row>
    <row r="127" spans="1:59" x14ac:dyDescent="0.25">
      <c r="A127" s="1" t="str">
        <f>IF($J$12="Y",'Population Definitions'!$A$9,"...")</f>
        <v>...</v>
      </c>
      <c r="B127" s="4" t="str">
        <f>IF($J$12="Y","---&gt;","...")</f>
        <v>...</v>
      </c>
      <c r="C127" s="1" t="str">
        <f>IF($J$12="Y",'Population Definitions'!$A$10,"...")</f>
        <v>...</v>
      </c>
      <c r="E127" s="2"/>
      <c r="F127" s="3"/>
      <c r="G127" s="2"/>
      <c r="H127" s="4" t="str">
        <f>IF($J$12="Y","OR","...")</f>
        <v>...</v>
      </c>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row>
    <row r="128" spans="1:59" x14ac:dyDescent="0.25">
      <c r="A128" s="1" t="str">
        <f>IF($K$12="Y",'Population Definitions'!$A$9,"...")</f>
        <v>18-64_females</v>
      </c>
      <c r="B128" s="4" t="str">
        <f>IF($K$12="Y","---&gt;","...")</f>
        <v>---&gt;</v>
      </c>
      <c r="C128" s="1" t="str">
        <f>IF($K$12="Y",'Population Definitions'!$A$11,"...")</f>
        <v>65+_females</v>
      </c>
      <c r="E128" s="3" t="s">
        <v>236</v>
      </c>
      <c r="F128" s="3"/>
      <c r="G128" s="3"/>
      <c r="H128" s="4" t="str">
        <f>IF($K$12="Y","OR","...")</f>
        <v>OR</v>
      </c>
      <c r="I128" s="3">
        <v>149548.5</v>
      </c>
      <c r="J128" s="3">
        <v>149467</v>
      </c>
      <c r="K128" s="3">
        <v>150686</v>
      </c>
      <c r="L128" s="3">
        <v>149759.5</v>
      </c>
      <c r="M128" s="3">
        <v>147077</v>
      </c>
      <c r="N128" s="3">
        <v>145306.5</v>
      </c>
      <c r="O128" s="3">
        <v>146326.5</v>
      </c>
      <c r="P128" s="3">
        <v>150383.5</v>
      </c>
      <c r="Q128" s="3">
        <v>157846.5</v>
      </c>
      <c r="R128" s="3">
        <v>169013.5</v>
      </c>
      <c r="S128" s="3">
        <v>183724.5</v>
      </c>
      <c r="T128" s="3">
        <v>200847.5</v>
      </c>
      <c r="U128" s="3">
        <v>216964</v>
      </c>
      <c r="V128" s="3">
        <v>225381</v>
      </c>
      <c r="W128" s="3">
        <v>226687.5</v>
      </c>
      <c r="X128" s="3">
        <v>233763.5</v>
      </c>
      <c r="Y128" s="3">
        <v>247179.5</v>
      </c>
      <c r="Z128" s="3">
        <v>259829.5</v>
      </c>
      <c r="AA128" s="3">
        <v>272484.5</v>
      </c>
      <c r="AB128" s="3">
        <v>284448</v>
      </c>
      <c r="AC128" s="3">
        <v>295082</v>
      </c>
      <c r="AD128" s="3">
        <v>304502.5</v>
      </c>
      <c r="AE128" s="3">
        <v>312705</v>
      </c>
      <c r="AF128" s="3">
        <v>320842</v>
      </c>
      <c r="AG128" s="3">
        <v>329858</v>
      </c>
      <c r="AH128" s="3">
        <v>339816</v>
      </c>
      <c r="AI128" s="3">
        <v>350304</v>
      </c>
      <c r="AJ128" s="3">
        <v>360576</v>
      </c>
      <c r="AK128" s="3">
        <v>370844</v>
      </c>
      <c r="AL128" s="3">
        <v>379879</v>
      </c>
      <c r="AM128" s="3">
        <v>385990</v>
      </c>
      <c r="AN128" s="3">
        <v>393552</v>
      </c>
      <c r="AO128" s="3">
        <v>403624</v>
      </c>
      <c r="AP128" s="3">
        <v>413438</v>
      </c>
      <c r="AQ128" s="3">
        <v>423583</v>
      </c>
      <c r="AR128" s="3">
        <v>433967</v>
      </c>
      <c r="AS128" s="3">
        <v>445536</v>
      </c>
      <c r="AT128" s="3">
        <v>458648</v>
      </c>
      <c r="AU128" s="3">
        <v>470939</v>
      </c>
      <c r="AV128" s="3">
        <v>484770</v>
      </c>
      <c r="AW128" s="3">
        <v>502796</v>
      </c>
      <c r="AX128" s="3">
        <v>522711</v>
      </c>
      <c r="AY128" s="3">
        <v>541863</v>
      </c>
      <c r="AZ128" s="3">
        <v>561531</v>
      </c>
      <c r="BA128" s="3">
        <v>582430</v>
      </c>
      <c r="BB128" s="3">
        <v>602370</v>
      </c>
      <c r="BC128" s="3">
        <v>619788</v>
      </c>
      <c r="BD128" s="3">
        <v>640202</v>
      </c>
      <c r="BE128" s="3">
        <v>667403</v>
      </c>
      <c r="BF128" s="3">
        <v>691196</v>
      </c>
      <c r="BG128" s="3">
        <v>711354</v>
      </c>
    </row>
    <row r="129" spans="1:59" x14ac:dyDescent="0.25">
      <c r="A129" s="1" t="str">
        <f>IF($L$12="Y",'Population Definitions'!$A$9,"...")</f>
        <v>...</v>
      </c>
      <c r="B129" s="4" t="str">
        <f>IF($L$12="Y","---&gt;","...")</f>
        <v>...</v>
      </c>
      <c r="C129" s="1" t="str">
        <f>IF($L$12="Y",'Population Definitions'!$A$12,"...")</f>
        <v>...</v>
      </c>
      <c r="E129" s="2"/>
      <c r="F129" s="3"/>
      <c r="G129" s="2"/>
      <c r="H129" s="4" t="str">
        <f>IF($L$12="Y","OR","...")</f>
        <v>...</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row>
    <row r="130" spans="1:59" x14ac:dyDescent="0.25">
      <c r="A130" s="1" t="str">
        <f>IF($M$12="Y",'Population Definitions'!$A$9,"...")</f>
        <v>...</v>
      </c>
      <c r="B130" s="4" t="str">
        <f>IF($M$12="Y","---&gt;","...")</f>
        <v>...</v>
      </c>
      <c r="C130" s="1" t="str">
        <f>IF($M$12="Y",'Population Definitions'!$A$13,"...")</f>
        <v>...</v>
      </c>
      <c r="E130" s="2"/>
      <c r="F130" s="3"/>
      <c r="G130" s="2"/>
      <c r="H130" s="4" t="str">
        <f>IF($M$12="Y","OR","...")</f>
        <v>...</v>
      </c>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row>
    <row r="131" spans="1:59" x14ac:dyDescent="0.25">
      <c r="A131" s="1" t="str">
        <f>IF($N$12="Y",'Population Definitions'!$A$9,"...")</f>
        <v>...</v>
      </c>
      <c r="B131" s="4" t="str">
        <f>IF($N$12="Y","---&gt;","...")</f>
        <v>...</v>
      </c>
      <c r="C131" s="1" t="str">
        <f>IF($N$12="Y",'Population Definitions'!$A$14,"...")</f>
        <v>...</v>
      </c>
      <c r="E131" s="2"/>
      <c r="F131" s="3"/>
      <c r="G131" s="2"/>
      <c r="H131" s="4" t="str">
        <f>IF($N$12="Y","OR","...")</f>
        <v>...</v>
      </c>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row>
    <row r="132" spans="1:59" x14ac:dyDescent="0.25">
      <c r="A132" s="1" t="str">
        <f>IF($O$12="Y",'Population Definitions'!$A$9,"...")</f>
        <v>...</v>
      </c>
      <c r="B132" s="4" t="str">
        <f>IF($O$12="Y","---&gt;","...")</f>
        <v>...</v>
      </c>
      <c r="C132" s="1" t="str">
        <f>IF($O$12="Y",'Population Definitions'!$A$15,"...")</f>
        <v>...</v>
      </c>
      <c r="E132" s="2"/>
      <c r="F132" s="3"/>
      <c r="G132" s="2"/>
      <c r="H132" s="4" t="str">
        <f>IF($O$12="Y","OR","...")</f>
        <v>...</v>
      </c>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row>
    <row r="133" spans="1:59" x14ac:dyDescent="0.25">
      <c r="A133" s="1" t="str">
        <f>IF($B$13="Y",'Population Definitions'!$A$10,"...")</f>
        <v>...</v>
      </c>
      <c r="B133" s="4" t="str">
        <f>IF($B$13="Y","---&gt;","...")</f>
        <v>...</v>
      </c>
      <c r="C133" s="1" t="str">
        <f>IF($B$13="Y",'Population Definitions'!$A$2,"...")</f>
        <v>...</v>
      </c>
      <c r="E133" s="2"/>
      <c r="F133" s="3"/>
      <c r="G133" s="2"/>
      <c r="H133" s="4" t="str">
        <f>IF($B$13="Y","OR","...")</f>
        <v>...</v>
      </c>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row>
    <row r="134" spans="1:59" x14ac:dyDescent="0.25">
      <c r="A134" s="1" t="str">
        <f>IF($C$13="Y",'Population Definitions'!$A$10,"...")</f>
        <v>...</v>
      </c>
      <c r="B134" s="4" t="str">
        <f>IF($C$13="Y","---&gt;","...")</f>
        <v>...</v>
      </c>
      <c r="C134" s="1" t="str">
        <f>IF($C$13="Y",'Population Definitions'!$A$3,"...")</f>
        <v>...</v>
      </c>
      <c r="E134" s="2"/>
      <c r="F134" s="3"/>
      <c r="G134" s="2"/>
      <c r="H134" s="4" t="str">
        <f>IF($C$13="Y","OR","...")</f>
        <v>...</v>
      </c>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row>
    <row r="135" spans="1:59" x14ac:dyDescent="0.25">
      <c r="A135" s="1" t="str">
        <f>IF($D$13="Y",'Population Definitions'!$A$10,"...")</f>
        <v>...</v>
      </c>
      <c r="B135" s="4" t="str">
        <f>IF($D$13="Y","---&gt;","...")</f>
        <v>...</v>
      </c>
      <c r="C135" s="1" t="str">
        <f>IF($D$13="Y",'Population Definitions'!$A$4,"...")</f>
        <v>...</v>
      </c>
      <c r="E135" s="2"/>
      <c r="F135" s="3"/>
      <c r="G135" s="2"/>
      <c r="H135" s="4" t="str">
        <f>IF($D$13="Y","OR","...")</f>
        <v>...</v>
      </c>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row>
    <row r="136" spans="1:59" x14ac:dyDescent="0.25">
      <c r="A136" s="1" t="str">
        <f>IF($E$13="Y",'Population Definitions'!$A$10,"...")</f>
        <v>...</v>
      </c>
      <c r="B136" s="4" t="str">
        <f>IF($E$13="Y","---&gt;","...")</f>
        <v>...</v>
      </c>
      <c r="C136" s="1" t="str">
        <f>IF($E$13="Y",'Population Definitions'!$A$5,"...")</f>
        <v>...</v>
      </c>
      <c r="E136" s="2"/>
      <c r="F136" s="3"/>
      <c r="G136" s="2"/>
      <c r="H136" s="4" t="str">
        <f>IF($E$13="Y","OR","...")</f>
        <v>...</v>
      </c>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row>
    <row r="137" spans="1:59" x14ac:dyDescent="0.25">
      <c r="A137" s="1" t="str">
        <f>IF($F$13="Y",'Population Definitions'!$A$10,"...")</f>
        <v>...</v>
      </c>
      <c r="B137" s="4" t="str">
        <f>IF($F$13="Y","---&gt;","...")</f>
        <v>...</v>
      </c>
      <c r="C137" s="1" t="str">
        <f>IF($F$13="Y",'Population Definitions'!$A$6,"...")</f>
        <v>...</v>
      </c>
      <c r="E137" s="2"/>
      <c r="F137" s="3"/>
      <c r="G137" s="2"/>
      <c r="H137" s="4" t="str">
        <f>IF($F$13="Y","OR","...")</f>
        <v>...</v>
      </c>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row>
    <row r="138" spans="1:59" x14ac:dyDescent="0.25">
      <c r="A138" s="1" t="str">
        <f>IF($G$13="Y",'Population Definitions'!$A$10,"...")</f>
        <v>...</v>
      </c>
      <c r="B138" s="4" t="str">
        <f>IF($G$13="Y","---&gt;","...")</f>
        <v>...</v>
      </c>
      <c r="C138" s="1" t="str">
        <f>IF($G$13="Y",'Population Definitions'!$A$7,"...")</f>
        <v>...</v>
      </c>
      <c r="E138" s="2"/>
      <c r="F138" s="3"/>
      <c r="G138" s="2"/>
      <c r="H138" s="4" t="str">
        <f>IF($G$13="Y","OR","...")</f>
        <v>...</v>
      </c>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row>
    <row r="139" spans="1:59" x14ac:dyDescent="0.25">
      <c r="A139" s="1" t="str">
        <f>IF($H$13="Y",'Population Definitions'!$A$10,"...")</f>
        <v>...</v>
      </c>
      <c r="B139" s="4" t="str">
        <f>IF($H$13="Y","---&gt;","...")</f>
        <v>...</v>
      </c>
      <c r="C139" s="1" t="str">
        <f>IF($H$13="Y",'Population Definitions'!$A$8,"...")</f>
        <v>...</v>
      </c>
      <c r="E139" s="2"/>
      <c r="F139" s="3"/>
      <c r="G139" s="2"/>
      <c r="H139" s="4" t="str">
        <f>IF($H$13="Y","OR","...")</f>
        <v>...</v>
      </c>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row>
    <row r="140" spans="1:59" x14ac:dyDescent="0.25">
      <c r="A140" s="1" t="str">
        <f>IF($I$13="Y",'Population Definitions'!$A$10,"...")</f>
        <v>...</v>
      </c>
      <c r="B140" s="4" t="str">
        <f>IF($I$13="Y","---&gt;","...")</f>
        <v>...</v>
      </c>
      <c r="C140" s="1" t="str">
        <f>IF($I$13="Y",'Population Definitions'!$A$9,"...")</f>
        <v>...</v>
      </c>
      <c r="E140" s="2"/>
      <c r="F140" s="3"/>
      <c r="G140" s="2"/>
      <c r="H140" s="4" t="str">
        <f>IF($I$13="Y","OR","...")</f>
        <v>...</v>
      </c>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row>
    <row r="141" spans="1:59" x14ac:dyDescent="0.25">
      <c r="A141" s="1" t="str">
        <f>IF($J$13="Y",'Population Definitions'!$A$10,"...")</f>
        <v>...</v>
      </c>
      <c r="B141" s="4" t="str">
        <f>IF($J$13="Y","---&gt;","...")</f>
        <v>...</v>
      </c>
      <c r="C141" s="1" t="str">
        <f>IF($J$13="Y",'Population Definitions'!$A$10,"...")</f>
        <v>...</v>
      </c>
      <c r="E141" s="2"/>
      <c r="F141" s="3"/>
      <c r="G141" s="2"/>
      <c r="H141" s="4" t="str">
        <f>IF($J$13="Y","OR","...")</f>
        <v>...</v>
      </c>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row>
    <row r="142" spans="1:59" x14ac:dyDescent="0.25">
      <c r="A142" s="1" t="str">
        <f>IF($K$13="Y",'Population Definitions'!$A$10,"...")</f>
        <v>...</v>
      </c>
      <c r="B142" s="4" t="str">
        <f>IF($K$13="Y","---&gt;","...")</f>
        <v>...</v>
      </c>
      <c r="C142" s="1" t="str">
        <f>IF($K$13="Y",'Population Definitions'!$A$11,"...")</f>
        <v>...</v>
      </c>
      <c r="E142" s="2"/>
      <c r="F142" s="3"/>
      <c r="G142" s="2"/>
      <c r="H142" s="4" t="str">
        <f>IF($K$13="Y","OR","...")</f>
        <v>...</v>
      </c>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row>
    <row r="143" spans="1:59" x14ac:dyDescent="0.25">
      <c r="A143" s="1" t="str">
        <f>IF($L$13="Y",'Population Definitions'!$A$10,"...")</f>
        <v>...</v>
      </c>
      <c r="B143" s="4" t="str">
        <f>IF($L$13="Y","---&gt;","...")</f>
        <v>...</v>
      </c>
      <c r="C143" s="1" t="str">
        <f>IF($L$13="Y",'Population Definitions'!$A$12,"...")</f>
        <v>...</v>
      </c>
      <c r="E143" s="2"/>
      <c r="F143" s="3"/>
      <c r="G143" s="2"/>
      <c r="H143" s="4" t="str">
        <f>IF($L$13="Y","OR","...")</f>
        <v>...</v>
      </c>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row>
    <row r="144" spans="1:59" x14ac:dyDescent="0.25">
      <c r="A144" s="1" t="str">
        <f>IF($M$13="Y",'Population Definitions'!$A$10,"...")</f>
        <v>...</v>
      </c>
      <c r="B144" s="4" t="str">
        <f>IF($M$13="Y","---&gt;","...")</f>
        <v>...</v>
      </c>
      <c r="C144" s="1" t="str">
        <f>IF($M$13="Y",'Population Definitions'!$A$13,"...")</f>
        <v>...</v>
      </c>
      <c r="E144" s="2"/>
      <c r="F144" s="3"/>
      <c r="G144" s="2"/>
      <c r="H144" s="4" t="str">
        <f>IF($M$13="Y","OR","...")</f>
        <v>...</v>
      </c>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row>
    <row r="145" spans="1:59" x14ac:dyDescent="0.25">
      <c r="A145" s="1" t="str">
        <f>IF($N$13="Y",'Population Definitions'!$A$10,"...")</f>
        <v>...</v>
      </c>
      <c r="B145" s="4" t="str">
        <f>IF($N$13="Y","---&gt;","...")</f>
        <v>...</v>
      </c>
      <c r="C145" s="1" t="str">
        <f>IF($N$13="Y",'Population Definitions'!$A$14,"...")</f>
        <v>...</v>
      </c>
      <c r="E145" s="2"/>
      <c r="F145" s="3"/>
      <c r="G145" s="2"/>
      <c r="H145" s="4" t="str">
        <f>IF($N$13="Y","OR","...")</f>
        <v>...</v>
      </c>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row>
    <row r="146" spans="1:59" x14ac:dyDescent="0.25">
      <c r="A146" s="1" t="str">
        <f>IF($O$13="Y",'Population Definitions'!$A$10,"...")</f>
        <v>...</v>
      </c>
      <c r="B146" s="4" t="str">
        <f>IF($O$13="Y","---&gt;","...")</f>
        <v>...</v>
      </c>
      <c r="C146" s="1" t="str">
        <f>IF($O$13="Y",'Population Definitions'!$A$15,"...")</f>
        <v>...</v>
      </c>
      <c r="E146" s="2"/>
      <c r="F146" s="3"/>
      <c r="G146" s="2"/>
      <c r="H146" s="4" t="str">
        <f>IF($O$13="Y","OR","...")</f>
        <v>...</v>
      </c>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row>
    <row r="147" spans="1:59" x14ac:dyDescent="0.25">
      <c r="A147" s="1" t="str">
        <f>IF($B$14="Y",'Population Definitions'!$A$11,"...")</f>
        <v>...</v>
      </c>
      <c r="B147" s="4" t="str">
        <f>IF($B$14="Y","---&gt;","...")</f>
        <v>...</v>
      </c>
      <c r="C147" s="1" t="str">
        <f>IF($B$14="Y",'Population Definitions'!$A$2,"...")</f>
        <v>...</v>
      </c>
      <c r="E147" s="2"/>
      <c r="F147" s="3"/>
      <c r="G147" s="2"/>
      <c r="H147" s="4" t="str">
        <f>IF($B$14="Y","OR","...")</f>
        <v>...</v>
      </c>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row>
    <row r="148" spans="1:59" x14ac:dyDescent="0.25">
      <c r="A148" s="1" t="str">
        <f>IF($C$14="Y",'Population Definitions'!$A$11,"...")</f>
        <v>...</v>
      </c>
      <c r="B148" s="4" t="str">
        <f>IF($C$14="Y","---&gt;","...")</f>
        <v>...</v>
      </c>
      <c r="C148" s="1" t="str">
        <f>IF($C$14="Y",'Population Definitions'!$A$3,"...")</f>
        <v>...</v>
      </c>
      <c r="E148" s="2"/>
      <c r="F148" s="3"/>
      <c r="G148" s="2"/>
      <c r="H148" s="4" t="str">
        <f>IF($C$14="Y","OR","...")</f>
        <v>...</v>
      </c>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row>
    <row r="149" spans="1:59" x14ac:dyDescent="0.25">
      <c r="A149" s="1" t="str">
        <f>IF($D$14="Y",'Population Definitions'!$A$11,"...")</f>
        <v>...</v>
      </c>
      <c r="B149" s="4" t="str">
        <f>IF($D$14="Y","---&gt;","...")</f>
        <v>...</v>
      </c>
      <c r="C149" s="1" t="str">
        <f>IF($D$14="Y",'Population Definitions'!$A$4,"...")</f>
        <v>...</v>
      </c>
      <c r="E149" s="2"/>
      <c r="F149" s="3"/>
      <c r="G149" s="2"/>
      <c r="H149" s="4" t="str">
        <f>IF($D$14="Y","OR","...")</f>
        <v>...</v>
      </c>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row>
    <row r="150" spans="1:59" x14ac:dyDescent="0.25">
      <c r="A150" s="1" t="str">
        <f>IF($E$14="Y",'Population Definitions'!$A$11,"...")</f>
        <v>...</v>
      </c>
      <c r="B150" s="4" t="str">
        <f>IF($E$14="Y","---&gt;","...")</f>
        <v>...</v>
      </c>
      <c r="C150" s="1" t="str">
        <f>IF($E$14="Y",'Population Definitions'!$A$5,"...")</f>
        <v>...</v>
      </c>
      <c r="E150" s="2"/>
      <c r="F150" s="3"/>
      <c r="G150" s="2"/>
      <c r="H150" s="4" t="str">
        <f>IF($E$14="Y","OR","...")</f>
        <v>...</v>
      </c>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row>
    <row r="151" spans="1:59" x14ac:dyDescent="0.25">
      <c r="A151" s="1" t="str">
        <f>IF($F$14="Y",'Population Definitions'!$A$11,"...")</f>
        <v>...</v>
      </c>
      <c r="B151" s="4" t="str">
        <f>IF($F$14="Y","---&gt;","...")</f>
        <v>...</v>
      </c>
      <c r="C151" s="1" t="str">
        <f>IF($F$14="Y",'Population Definitions'!$A$6,"...")</f>
        <v>...</v>
      </c>
      <c r="E151" s="2"/>
      <c r="F151" s="3"/>
      <c r="G151" s="2"/>
      <c r="H151" s="4" t="str">
        <f>IF($F$14="Y","OR","...")</f>
        <v>...</v>
      </c>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row>
    <row r="152" spans="1:59" x14ac:dyDescent="0.25">
      <c r="A152" s="1" t="str">
        <f>IF($G$14="Y",'Population Definitions'!$A$11,"...")</f>
        <v>...</v>
      </c>
      <c r="B152" s="4" t="str">
        <f>IF($G$14="Y","---&gt;","...")</f>
        <v>...</v>
      </c>
      <c r="C152" s="1" t="str">
        <f>IF($G$14="Y",'Population Definitions'!$A$7,"...")</f>
        <v>...</v>
      </c>
      <c r="E152" s="2"/>
      <c r="F152" s="3"/>
      <c r="G152" s="2"/>
      <c r="H152" s="4" t="str">
        <f>IF($G$14="Y","OR","...")</f>
        <v>...</v>
      </c>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row>
    <row r="153" spans="1:59" x14ac:dyDescent="0.25">
      <c r="A153" s="1" t="str">
        <f>IF($H$14="Y",'Population Definitions'!$A$11,"...")</f>
        <v>...</v>
      </c>
      <c r="B153" s="4" t="str">
        <f>IF($H$14="Y","---&gt;","...")</f>
        <v>...</v>
      </c>
      <c r="C153" s="1" t="str">
        <f>IF($H$14="Y",'Population Definitions'!$A$8,"...")</f>
        <v>...</v>
      </c>
      <c r="E153" s="2"/>
      <c r="F153" s="3"/>
      <c r="G153" s="2"/>
      <c r="H153" s="4" t="str">
        <f>IF($H$14="Y","OR","...")</f>
        <v>...</v>
      </c>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row>
    <row r="154" spans="1:59" x14ac:dyDescent="0.25">
      <c r="A154" s="1" t="str">
        <f>IF($I$14="Y",'Population Definitions'!$A$11,"...")</f>
        <v>...</v>
      </c>
      <c r="B154" s="4" t="str">
        <f>IF($I$14="Y","---&gt;","...")</f>
        <v>...</v>
      </c>
      <c r="C154" s="1" t="str">
        <f>IF($I$14="Y",'Population Definitions'!$A$9,"...")</f>
        <v>...</v>
      </c>
      <c r="E154" s="2"/>
      <c r="F154" s="3"/>
      <c r="G154" s="2"/>
      <c r="H154" s="4" t="str">
        <f>IF($I$14="Y","OR","...")</f>
        <v>...</v>
      </c>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row>
    <row r="155" spans="1:59" x14ac:dyDescent="0.25">
      <c r="A155" s="1" t="str">
        <f>IF($J$14="Y",'Population Definitions'!$A$11,"...")</f>
        <v>...</v>
      </c>
      <c r="B155" s="4" t="str">
        <f>IF($J$14="Y","---&gt;","...")</f>
        <v>...</v>
      </c>
      <c r="C155" s="1" t="str">
        <f>IF($J$14="Y",'Population Definitions'!$A$10,"...")</f>
        <v>...</v>
      </c>
      <c r="E155" s="2"/>
      <c r="F155" s="3"/>
      <c r="G155" s="2"/>
      <c r="H155" s="4" t="str">
        <f>IF($J$14="Y","OR","...")</f>
        <v>...</v>
      </c>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row>
    <row r="156" spans="1:59" x14ac:dyDescent="0.25">
      <c r="A156" s="1" t="str">
        <f>IF($K$14="Y",'Population Definitions'!$A$11,"...")</f>
        <v>...</v>
      </c>
      <c r="B156" s="4" t="str">
        <f>IF($K$14="Y","---&gt;","...")</f>
        <v>...</v>
      </c>
      <c r="C156" s="1" t="str">
        <f>IF($K$14="Y",'Population Definitions'!$A$11,"...")</f>
        <v>...</v>
      </c>
      <c r="E156" s="2"/>
      <c r="F156" s="3"/>
      <c r="G156" s="2"/>
      <c r="H156" s="4" t="str">
        <f>IF($K$14="Y","OR","...")</f>
        <v>...</v>
      </c>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row>
    <row r="157" spans="1:59" x14ac:dyDescent="0.25">
      <c r="A157" s="1" t="str">
        <f>IF($L$14="Y",'Population Definitions'!$A$11,"...")</f>
        <v>...</v>
      </c>
      <c r="B157" s="4" t="str">
        <f>IF($L$14="Y","---&gt;","...")</f>
        <v>...</v>
      </c>
      <c r="C157" s="1" t="str">
        <f>IF($L$14="Y",'Population Definitions'!$A$12,"...")</f>
        <v>...</v>
      </c>
      <c r="E157" s="2"/>
      <c r="F157" s="3"/>
      <c r="G157" s="2"/>
      <c r="H157" s="4" t="str">
        <f>IF($L$14="Y","OR","...")</f>
        <v>...</v>
      </c>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row>
    <row r="158" spans="1:59" x14ac:dyDescent="0.25">
      <c r="A158" s="1" t="str">
        <f>IF($M$14="Y",'Population Definitions'!$A$11,"...")</f>
        <v>...</v>
      </c>
      <c r="B158" s="4" t="str">
        <f>IF($M$14="Y","---&gt;","...")</f>
        <v>...</v>
      </c>
      <c r="C158" s="1" t="str">
        <f>IF($M$14="Y",'Population Definitions'!$A$13,"...")</f>
        <v>...</v>
      </c>
      <c r="E158" s="2"/>
      <c r="F158" s="3"/>
      <c r="G158" s="2"/>
      <c r="H158" s="4" t="str">
        <f>IF($M$14="Y","OR","...")</f>
        <v>...</v>
      </c>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row>
    <row r="159" spans="1:59" x14ac:dyDescent="0.25">
      <c r="A159" s="1" t="str">
        <f>IF($N$14="Y",'Population Definitions'!$A$11,"...")</f>
        <v>...</v>
      </c>
      <c r="B159" s="4" t="str">
        <f>IF($N$14="Y","---&gt;","...")</f>
        <v>...</v>
      </c>
      <c r="C159" s="1" t="str">
        <f>IF($N$14="Y",'Population Definitions'!$A$14,"...")</f>
        <v>...</v>
      </c>
      <c r="E159" s="2"/>
      <c r="F159" s="3"/>
      <c r="G159" s="2"/>
      <c r="H159" s="4" t="str">
        <f>IF($N$14="Y","OR","...")</f>
        <v>...</v>
      </c>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row>
    <row r="160" spans="1:59" x14ac:dyDescent="0.25">
      <c r="A160" s="1" t="str">
        <f>IF($O$14="Y",'Population Definitions'!$A$11,"...")</f>
        <v>...</v>
      </c>
      <c r="B160" s="4" t="str">
        <f>IF($O$14="Y","---&gt;","...")</f>
        <v>...</v>
      </c>
      <c r="C160" s="1" t="str">
        <f>IF($O$14="Y",'Population Definitions'!$A$15,"...")</f>
        <v>...</v>
      </c>
      <c r="E160" s="2"/>
      <c r="F160" s="3"/>
      <c r="G160" s="2"/>
      <c r="H160" s="4" t="str">
        <f>IF($O$14="Y","OR","...")</f>
        <v>...</v>
      </c>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row>
    <row r="161" spans="1:59" x14ac:dyDescent="0.25">
      <c r="A161" s="1" t="str">
        <f>IF($B$15="Y",'Population Definitions'!$A$12,"...")</f>
        <v>...</v>
      </c>
      <c r="B161" s="4" t="str">
        <f>IF($B$15="Y","---&gt;","...")</f>
        <v>...</v>
      </c>
      <c r="C161" s="1" t="str">
        <f>IF($B$15="Y",'Population Definitions'!$A$2,"...")</f>
        <v>...</v>
      </c>
      <c r="E161" s="2"/>
      <c r="F161" s="3"/>
      <c r="G161" s="2"/>
      <c r="H161" s="4" t="str">
        <f>IF($B$15="Y","OR","...")</f>
        <v>...</v>
      </c>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row>
    <row r="162" spans="1:59" x14ac:dyDescent="0.25">
      <c r="A162" s="1" t="str">
        <f>IF($C$15="Y",'Population Definitions'!$A$12,"...")</f>
        <v>...</v>
      </c>
      <c r="B162" s="4" t="str">
        <f>IF($C$15="Y","---&gt;","...")</f>
        <v>...</v>
      </c>
      <c r="C162" s="1" t="str">
        <f>IF($C$15="Y",'Population Definitions'!$A$3,"...")</f>
        <v>...</v>
      </c>
      <c r="E162" s="2"/>
      <c r="F162" s="3"/>
      <c r="G162" s="2"/>
      <c r="H162" s="4" t="str">
        <f>IF($C$15="Y","OR","...")</f>
        <v>...</v>
      </c>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row>
    <row r="163" spans="1:59" x14ac:dyDescent="0.25">
      <c r="A163" s="1" t="str">
        <f>IF($D$15="Y",'Population Definitions'!$A$12,"...")</f>
        <v>...</v>
      </c>
      <c r="B163" s="4" t="str">
        <f>IF($D$15="Y","---&gt;","...")</f>
        <v>...</v>
      </c>
      <c r="C163" s="1" t="str">
        <f>IF($D$15="Y",'Population Definitions'!$A$4,"...")</f>
        <v>...</v>
      </c>
      <c r="E163" s="2"/>
      <c r="F163" s="3"/>
      <c r="G163" s="2"/>
      <c r="H163" s="4" t="str">
        <f>IF($D$15="Y","OR","...")</f>
        <v>...</v>
      </c>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row>
    <row r="164" spans="1:59" x14ac:dyDescent="0.25">
      <c r="A164" s="1" t="str">
        <f>IF($E$15="Y",'Population Definitions'!$A$12,"...")</f>
        <v>...</v>
      </c>
      <c r="B164" s="4" t="str">
        <f>IF($E$15="Y","---&gt;","...")</f>
        <v>...</v>
      </c>
      <c r="C164" s="1" t="str">
        <f>IF($E$15="Y",'Population Definitions'!$A$5,"...")</f>
        <v>...</v>
      </c>
      <c r="E164" s="2"/>
      <c r="F164" s="3"/>
      <c r="G164" s="2"/>
      <c r="H164" s="4" t="str">
        <f>IF($E$15="Y","OR","...")</f>
        <v>...</v>
      </c>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row>
    <row r="165" spans="1:59" x14ac:dyDescent="0.25">
      <c r="A165" s="1" t="str">
        <f>IF($F$15="Y",'Population Definitions'!$A$12,"...")</f>
        <v>...</v>
      </c>
      <c r="B165" s="4" t="str">
        <f>IF($F$15="Y","---&gt;","...")</f>
        <v>...</v>
      </c>
      <c r="C165" s="1" t="str">
        <f>IF($F$15="Y",'Population Definitions'!$A$6,"...")</f>
        <v>...</v>
      </c>
      <c r="E165" s="2"/>
      <c r="F165" s="3"/>
      <c r="G165" s="2"/>
      <c r="H165" s="4" t="str">
        <f>IF($F$15="Y","OR","...")</f>
        <v>...</v>
      </c>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row>
    <row r="166" spans="1:59" x14ac:dyDescent="0.25">
      <c r="A166" s="1" t="str">
        <f>IF($G$15="Y",'Population Definitions'!$A$12,"...")</f>
        <v>...</v>
      </c>
      <c r="B166" s="4" t="str">
        <f>IF($G$15="Y","---&gt;","...")</f>
        <v>...</v>
      </c>
      <c r="C166" s="1" t="str">
        <f>IF($G$15="Y",'Population Definitions'!$A$7,"...")</f>
        <v>...</v>
      </c>
      <c r="E166" s="2"/>
      <c r="F166" s="3"/>
      <c r="G166" s="2"/>
      <c r="H166" s="4" t="str">
        <f>IF($G$15="Y","OR","...")</f>
        <v>...</v>
      </c>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row>
    <row r="167" spans="1:59" x14ac:dyDescent="0.25">
      <c r="A167" s="1" t="str">
        <f>IF($H$15="Y",'Population Definitions'!$A$12,"...")</f>
        <v>...</v>
      </c>
      <c r="B167" s="4" t="str">
        <f>IF($H$15="Y","---&gt;","...")</f>
        <v>...</v>
      </c>
      <c r="C167" s="1" t="str">
        <f>IF($H$15="Y",'Population Definitions'!$A$8,"...")</f>
        <v>...</v>
      </c>
      <c r="E167" s="2"/>
      <c r="F167" s="3"/>
      <c r="G167" s="2"/>
      <c r="H167" s="4" t="str">
        <f>IF($H$15="Y","OR","...")</f>
        <v>...</v>
      </c>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row>
    <row r="168" spans="1:59" x14ac:dyDescent="0.25">
      <c r="A168" s="1" t="str">
        <f>IF($I$15="Y",'Population Definitions'!$A$12,"...")</f>
        <v>...</v>
      </c>
      <c r="B168" s="4" t="str">
        <f>IF($I$15="Y","---&gt;","...")</f>
        <v>...</v>
      </c>
      <c r="C168" s="1" t="str">
        <f>IF($I$15="Y",'Population Definitions'!$A$9,"...")</f>
        <v>...</v>
      </c>
      <c r="E168" s="2"/>
      <c r="F168" s="3"/>
      <c r="G168" s="2"/>
      <c r="H168" s="4" t="str">
        <f>IF($I$15="Y","OR","...")</f>
        <v>...</v>
      </c>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row>
    <row r="169" spans="1:59" x14ac:dyDescent="0.25">
      <c r="A169" s="1" t="str">
        <f>IF($J$15="Y",'Population Definitions'!$A$12,"...")</f>
        <v>...</v>
      </c>
      <c r="B169" s="4" t="str">
        <f>IF($J$15="Y","---&gt;","...")</f>
        <v>...</v>
      </c>
      <c r="C169" s="1" t="str">
        <f>IF($J$15="Y",'Population Definitions'!$A$10,"...")</f>
        <v>...</v>
      </c>
      <c r="E169" s="2"/>
      <c r="F169" s="3"/>
      <c r="G169" s="2"/>
      <c r="H169" s="4" t="str">
        <f>IF($J$15="Y","OR","...")</f>
        <v>...</v>
      </c>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row>
    <row r="170" spans="1:59" x14ac:dyDescent="0.25">
      <c r="A170" s="1" t="str">
        <f>IF($K$15="Y",'Population Definitions'!$A$12,"...")</f>
        <v>...</v>
      </c>
      <c r="B170" s="4" t="str">
        <f>IF($K$15="Y","---&gt;","...")</f>
        <v>...</v>
      </c>
      <c r="C170" s="1" t="str">
        <f>IF($K$15="Y",'Population Definitions'!$A$11,"...")</f>
        <v>...</v>
      </c>
      <c r="E170" s="2"/>
      <c r="F170" s="3"/>
      <c r="G170" s="2"/>
      <c r="H170" s="4" t="str">
        <f>IF($K$15="Y","OR","...")</f>
        <v>...</v>
      </c>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row>
    <row r="171" spans="1:59" x14ac:dyDescent="0.25">
      <c r="A171" s="1" t="str">
        <f>IF($L$15="Y",'Population Definitions'!$A$12,"...")</f>
        <v>...</v>
      </c>
      <c r="B171" s="4" t="str">
        <f>IF($L$15="Y","---&gt;","...")</f>
        <v>...</v>
      </c>
      <c r="C171" s="1" t="str">
        <f>IF($L$15="Y",'Population Definitions'!$A$12,"...")</f>
        <v>...</v>
      </c>
      <c r="E171" s="2"/>
      <c r="F171" s="3"/>
      <c r="G171" s="2"/>
      <c r="H171" s="4" t="str">
        <f>IF($L$15="Y","OR","...")</f>
        <v>...</v>
      </c>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row>
    <row r="172" spans="1:59" x14ac:dyDescent="0.25">
      <c r="A172" s="1" t="str">
        <f>IF($M$15="Y",'Population Definitions'!$A$12,"...")</f>
        <v>...</v>
      </c>
      <c r="B172" s="4" t="str">
        <f>IF($M$15="Y","---&gt;","...")</f>
        <v>...</v>
      </c>
      <c r="C172" s="1" t="str">
        <f>IF($M$15="Y",'Population Definitions'!$A$13,"...")</f>
        <v>...</v>
      </c>
      <c r="E172" s="2"/>
      <c r="F172" s="3"/>
      <c r="G172" s="2"/>
      <c r="H172" s="4" t="str">
        <f>IF($M$15="Y","OR","...")</f>
        <v>...</v>
      </c>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row>
    <row r="173" spans="1:59" x14ac:dyDescent="0.25">
      <c r="A173" s="1" t="str">
        <f>IF($N$15="Y",'Population Definitions'!$A$12,"...")</f>
        <v>...</v>
      </c>
      <c r="B173" s="4" t="str">
        <f>IF($N$15="Y","---&gt;","...")</f>
        <v>...</v>
      </c>
      <c r="C173" s="1" t="str">
        <f>IF($N$15="Y",'Population Definitions'!$A$14,"...")</f>
        <v>...</v>
      </c>
      <c r="E173" s="2"/>
      <c r="F173" s="3"/>
      <c r="G173" s="2"/>
      <c r="H173" s="4" t="str">
        <f>IF($N$15="Y","OR","...")</f>
        <v>...</v>
      </c>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row>
    <row r="174" spans="1:59" x14ac:dyDescent="0.25">
      <c r="A174" s="1" t="str">
        <f>IF($O$15="Y",'Population Definitions'!$A$12,"...")</f>
        <v>...</v>
      </c>
      <c r="B174" s="4" t="str">
        <f>IF($O$15="Y","---&gt;","...")</f>
        <v>...</v>
      </c>
      <c r="C174" s="1" t="str">
        <f>IF($O$15="Y",'Population Definitions'!$A$15,"...")</f>
        <v>...</v>
      </c>
      <c r="E174" s="2"/>
      <c r="F174" s="3"/>
      <c r="G174" s="2"/>
      <c r="H174" s="4" t="str">
        <f>IF($O$15="Y","OR","...")</f>
        <v>...</v>
      </c>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row>
    <row r="175" spans="1:59" x14ac:dyDescent="0.25">
      <c r="A175" s="1" t="str">
        <f>IF($B$16="Y",'Population Definitions'!$A$13,"...")</f>
        <v>...</v>
      </c>
      <c r="B175" s="4" t="str">
        <f>IF($B$16="Y","---&gt;","...")</f>
        <v>...</v>
      </c>
      <c r="C175" s="1" t="str">
        <f>IF($B$16="Y",'Population Definitions'!$A$2,"...")</f>
        <v>...</v>
      </c>
      <c r="E175" s="2"/>
      <c r="F175" s="3"/>
      <c r="G175" s="2"/>
      <c r="H175" s="4" t="str">
        <f>IF($B$16="Y","OR","...")</f>
        <v>...</v>
      </c>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row>
    <row r="176" spans="1:59" x14ac:dyDescent="0.25">
      <c r="A176" s="1" t="str">
        <f>IF($C$16="Y",'Population Definitions'!$A$13,"...")</f>
        <v>...</v>
      </c>
      <c r="B176" s="4" t="str">
        <f>IF($C$16="Y","---&gt;","...")</f>
        <v>...</v>
      </c>
      <c r="C176" s="1" t="str">
        <f>IF($C$16="Y",'Population Definitions'!$A$3,"...")</f>
        <v>...</v>
      </c>
      <c r="E176" s="2"/>
      <c r="F176" s="3"/>
      <c r="G176" s="2"/>
      <c r="H176" s="4" t="str">
        <f>IF($C$16="Y","OR","...")</f>
        <v>...</v>
      </c>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row>
    <row r="177" spans="1:59" x14ac:dyDescent="0.25">
      <c r="A177" s="1" t="str">
        <f>IF($D$16="Y",'Population Definitions'!$A$13,"...")</f>
        <v>...</v>
      </c>
      <c r="B177" s="4" t="str">
        <f>IF($D$16="Y","---&gt;","...")</f>
        <v>...</v>
      </c>
      <c r="C177" s="1" t="str">
        <f>IF($D$16="Y",'Population Definitions'!$A$4,"...")</f>
        <v>...</v>
      </c>
      <c r="E177" s="2"/>
      <c r="F177" s="3"/>
      <c r="G177" s="2"/>
      <c r="H177" s="4" t="str">
        <f>IF($D$16="Y","OR","...")</f>
        <v>...</v>
      </c>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row>
    <row r="178" spans="1:59" x14ac:dyDescent="0.25">
      <c r="A178" s="1" t="str">
        <f>IF($E$16="Y",'Population Definitions'!$A$13,"...")</f>
        <v>...</v>
      </c>
      <c r="B178" s="4" t="str">
        <f>IF($E$16="Y","---&gt;","...")</f>
        <v>...</v>
      </c>
      <c r="C178" s="1" t="str">
        <f>IF($E$16="Y",'Population Definitions'!$A$5,"...")</f>
        <v>...</v>
      </c>
      <c r="E178" s="2"/>
      <c r="F178" s="3"/>
      <c r="G178" s="2"/>
      <c r="H178" s="4" t="str">
        <f>IF($E$16="Y","OR","...")</f>
        <v>...</v>
      </c>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row>
    <row r="179" spans="1:59" x14ac:dyDescent="0.25">
      <c r="A179" s="1" t="str">
        <f>IF($F$16="Y",'Population Definitions'!$A$13,"...")</f>
        <v>...</v>
      </c>
      <c r="B179" s="4" t="str">
        <f>IF($F$16="Y","---&gt;","...")</f>
        <v>...</v>
      </c>
      <c r="C179" s="1" t="str">
        <f>IF($F$16="Y",'Population Definitions'!$A$6,"...")</f>
        <v>...</v>
      </c>
      <c r="E179" s="2"/>
      <c r="F179" s="3"/>
      <c r="G179" s="2"/>
      <c r="H179" s="4" t="str">
        <f>IF($F$16="Y","OR","...")</f>
        <v>...</v>
      </c>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row>
    <row r="180" spans="1:59" x14ac:dyDescent="0.25">
      <c r="A180" s="1" t="str">
        <f>IF($G$16="Y",'Population Definitions'!$A$13,"...")</f>
        <v>...</v>
      </c>
      <c r="B180" s="4" t="str">
        <f>IF($G$16="Y","---&gt;","...")</f>
        <v>...</v>
      </c>
      <c r="C180" s="1" t="str">
        <f>IF($G$16="Y",'Population Definitions'!$A$7,"...")</f>
        <v>...</v>
      </c>
      <c r="E180" s="2"/>
      <c r="F180" s="3"/>
      <c r="G180" s="2"/>
      <c r="H180" s="4" t="str">
        <f>IF($G$16="Y","OR","...")</f>
        <v>...</v>
      </c>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row>
    <row r="181" spans="1:59" x14ac:dyDescent="0.25">
      <c r="A181" s="1" t="str">
        <f>IF($H$16="Y",'Population Definitions'!$A$13,"...")</f>
        <v>...</v>
      </c>
      <c r="B181" s="4" t="str">
        <f>IF($H$16="Y","---&gt;","...")</f>
        <v>...</v>
      </c>
      <c r="C181" s="1" t="str">
        <f>IF($H$16="Y",'Population Definitions'!$A$8,"...")</f>
        <v>...</v>
      </c>
      <c r="E181" s="2"/>
      <c r="F181" s="3"/>
      <c r="G181" s="2"/>
      <c r="H181" s="4" t="str">
        <f>IF($H$16="Y","OR","...")</f>
        <v>...</v>
      </c>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row>
    <row r="182" spans="1:59" x14ac:dyDescent="0.25">
      <c r="A182" s="1" t="str">
        <f>IF($I$16="Y",'Population Definitions'!$A$13,"...")</f>
        <v>...</v>
      </c>
      <c r="B182" s="4" t="str">
        <f>IF($I$16="Y","---&gt;","...")</f>
        <v>...</v>
      </c>
      <c r="C182" s="1" t="str">
        <f>IF($I$16="Y",'Population Definitions'!$A$9,"...")</f>
        <v>...</v>
      </c>
      <c r="E182" s="2"/>
      <c r="F182" s="3"/>
      <c r="G182" s="2"/>
      <c r="H182" s="4" t="str">
        <f>IF($I$16="Y","OR","...")</f>
        <v>...</v>
      </c>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row>
    <row r="183" spans="1:59" x14ac:dyDescent="0.25">
      <c r="A183" s="1" t="str">
        <f>IF($J$16="Y",'Population Definitions'!$A$13,"...")</f>
        <v>...</v>
      </c>
      <c r="B183" s="4" t="str">
        <f>IF($J$16="Y","---&gt;","...")</f>
        <v>...</v>
      </c>
      <c r="C183" s="1" t="str">
        <f>IF($J$16="Y",'Population Definitions'!$A$10,"...")</f>
        <v>...</v>
      </c>
      <c r="E183" s="2"/>
      <c r="F183" s="3"/>
      <c r="G183" s="2"/>
      <c r="H183" s="4" t="str">
        <f>IF($J$16="Y","OR","...")</f>
        <v>...</v>
      </c>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row>
    <row r="184" spans="1:59" x14ac:dyDescent="0.25">
      <c r="A184" s="1" t="str">
        <f>IF($K$16="Y",'Population Definitions'!$A$13,"...")</f>
        <v>...</v>
      </c>
      <c r="B184" s="4" t="str">
        <f>IF($K$16="Y","---&gt;","...")</f>
        <v>...</v>
      </c>
      <c r="C184" s="1" t="str">
        <f>IF($K$16="Y",'Population Definitions'!$A$11,"...")</f>
        <v>...</v>
      </c>
      <c r="E184" s="2"/>
      <c r="F184" s="3"/>
      <c r="G184" s="2"/>
      <c r="H184" s="4" t="str">
        <f>IF($K$16="Y","OR","...")</f>
        <v>...</v>
      </c>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row>
    <row r="185" spans="1:59" x14ac:dyDescent="0.25">
      <c r="A185" s="1" t="str">
        <f>IF($L$16="Y",'Population Definitions'!$A$13,"...")</f>
        <v>...</v>
      </c>
      <c r="B185" s="4" t="str">
        <f>IF($L$16="Y","---&gt;","...")</f>
        <v>...</v>
      </c>
      <c r="C185" s="1" t="str">
        <f>IF($L$16="Y",'Population Definitions'!$A$12,"...")</f>
        <v>...</v>
      </c>
      <c r="E185" s="2"/>
      <c r="F185" s="3"/>
      <c r="G185" s="2"/>
      <c r="H185" s="4" t="str">
        <f>IF($L$16="Y","OR","...")</f>
        <v>...</v>
      </c>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row>
    <row r="186" spans="1:59" x14ac:dyDescent="0.25">
      <c r="A186" s="1" t="str">
        <f>IF($M$16="Y",'Population Definitions'!$A$13,"...")</f>
        <v>...</v>
      </c>
      <c r="B186" s="4" t="str">
        <f>IF($M$16="Y","---&gt;","...")</f>
        <v>...</v>
      </c>
      <c r="C186" s="1" t="str">
        <f>IF($M$16="Y",'Population Definitions'!$A$13,"...")</f>
        <v>...</v>
      </c>
      <c r="E186" s="2"/>
      <c r="F186" s="3"/>
      <c r="G186" s="2"/>
      <c r="H186" s="4" t="str">
        <f>IF($M$16="Y","OR","...")</f>
        <v>...</v>
      </c>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row>
    <row r="187" spans="1:59" x14ac:dyDescent="0.25">
      <c r="A187" s="1" t="str">
        <f>IF($N$16="Y",'Population Definitions'!$A$13,"...")</f>
        <v>...</v>
      </c>
      <c r="B187" s="4" t="str">
        <f>IF($N$16="Y","---&gt;","...")</f>
        <v>...</v>
      </c>
      <c r="C187" s="1" t="str">
        <f>IF($N$16="Y",'Population Definitions'!$A$14,"...")</f>
        <v>...</v>
      </c>
      <c r="E187" s="2"/>
      <c r="F187" s="3"/>
      <c r="G187" s="2"/>
      <c r="H187" s="4" t="str">
        <f>IF($N$16="Y","OR","...")</f>
        <v>...</v>
      </c>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row>
    <row r="188" spans="1:59" x14ac:dyDescent="0.25">
      <c r="A188" s="1" t="str">
        <f>IF($O$16="Y",'Population Definitions'!$A$13,"...")</f>
        <v>...</v>
      </c>
      <c r="B188" s="4" t="str">
        <f>IF($O$16="Y","---&gt;","...")</f>
        <v>...</v>
      </c>
      <c r="C188" s="1" t="str">
        <f>IF($O$16="Y",'Population Definitions'!$A$15,"...")</f>
        <v>...</v>
      </c>
      <c r="E188" s="2"/>
      <c r="F188" s="3"/>
      <c r="G188" s="2"/>
      <c r="H188" s="4" t="str">
        <f>IF($O$16="Y","OR","...")</f>
        <v>...</v>
      </c>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row>
    <row r="189" spans="1:59" x14ac:dyDescent="0.25">
      <c r="A189" s="1" t="str">
        <f>IF($B$17="Y",'Population Definitions'!$A$14,"...")</f>
        <v>...</v>
      </c>
      <c r="B189" s="4" t="str">
        <f>IF($B$17="Y","---&gt;","...")</f>
        <v>...</v>
      </c>
      <c r="C189" s="1" t="str">
        <f>IF($B$17="Y",'Population Definitions'!$A$2,"...")</f>
        <v>...</v>
      </c>
      <c r="E189" s="2"/>
      <c r="F189" s="3"/>
      <c r="G189" s="2"/>
      <c r="H189" s="4" t="str">
        <f>IF($B$17="Y","OR","...")</f>
        <v>...</v>
      </c>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row>
    <row r="190" spans="1:59" x14ac:dyDescent="0.25">
      <c r="A190" s="1" t="str">
        <f>IF($C$17="Y",'Population Definitions'!$A$14,"...")</f>
        <v>...</v>
      </c>
      <c r="B190" s="4" t="str">
        <f>IF($C$17="Y","---&gt;","...")</f>
        <v>...</v>
      </c>
      <c r="C190" s="1" t="str">
        <f>IF($C$17="Y",'Population Definitions'!$A$3,"...")</f>
        <v>...</v>
      </c>
      <c r="E190" s="2"/>
      <c r="F190" s="3"/>
      <c r="G190" s="2"/>
      <c r="H190" s="4" t="str">
        <f>IF($C$17="Y","OR","...")</f>
        <v>...</v>
      </c>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row>
    <row r="191" spans="1:59" x14ac:dyDescent="0.25">
      <c r="A191" s="1" t="str">
        <f>IF($D$17="Y",'Population Definitions'!$A$14,"...")</f>
        <v>...</v>
      </c>
      <c r="B191" s="4" t="str">
        <f>IF($D$17="Y","---&gt;","...")</f>
        <v>...</v>
      </c>
      <c r="C191" s="1" t="str">
        <f>IF($D$17="Y",'Population Definitions'!$A$4,"...")</f>
        <v>...</v>
      </c>
      <c r="E191" s="2"/>
      <c r="F191" s="3"/>
      <c r="G191" s="2"/>
      <c r="H191" s="4" t="str">
        <f>IF($D$17="Y","OR","...")</f>
        <v>...</v>
      </c>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row>
    <row r="192" spans="1:59" x14ac:dyDescent="0.25">
      <c r="A192" s="1" t="str">
        <f>IF($E$17="Y",'Population Definitions'!$A$14,"...")</f>
        <v>...</v>
      </c>
      <c r="B192" s="4" t="str">
        <f>IF($E$17="Y","---&gt;","...")</f>
        <v>...</v>
      </c>
      <c r="C192" s="1" t="str">
        <f>IF($E$17="Y",'Population Definitions'!$A$5,"...")</f>
        <v>...</v>
      </c>
      <c r="E192" s="2"/>
      <c r="F192" s="3"/>
      <c r="G192" s="2"/>
      <c r="H192" s="4" t="str">
        <f>IF($E$17="Y","OR","...")</f>
        <v>...</v>
      </c>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row>
    <row r="193" spans="1:59" x14ac:dyDescent="0.25">
      <c r="A193" s="1" t="str">
        <f>IF($F$17="Y",'Population Definitions'!$A$14,"...")</f>
        <v>...</v>
      </c>
      <c r="B193" s="4" t="str">
        <f>IF($F$17="Y","---&gt;","...")</f>
        <v>...</v>
      </c>
      <c r="C193" s="1" t="str">
        <f>IF($F$17="Y",'Population Definitions'!$A$6,"...")</f>
        <v>...</v>
      </c>
      <c r="E193" s="2"/>
      <c r="F193" s="3"/>
      <c r="G193" s="2"/>
      <c r="H193" s="4" t="str">
        <f>IF($F$17="Y","OR","...")</f>
        <v>...</v>
      </c>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row>
    <row r="194" spans="1:59" x14ac:dyDescent="0.25">
      <c r="A194" s="1" t="str">
        <f>IF($G$17="Y",'Population Definitions'!$A$14,"...")</f>
        <v>...</v>
      </c>
      <c r="B194" s="4" t="str">
        <f>IF($G$17="Y","---&gt;","...")</f>
        <v>...</v>
      </c>
      <c r="C194" s="1" t="str">
        <f>IF($G$17="Y",'Population Definitions'!$A$7,"...")</f>
        <v>...</v>
      </c>
      <c r="E194" s="2"/>
      <c r="F194" s="3"/>
      <c r="G194" s="2"/>
      <c r="H194" s="4" t="str">
        <f>IF($G$17="Y","OR","...")</f>
        <v>...</v>
      </c>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row>
    <row r="195" spans="1:59" x14ac:dyDescent="0.25">
      <c r="A195" s="1" t="str">
        <f>IF($H$17="Y",'Population Definitions'!$A$14,"...")</f>
        <v>...</v>
      </c>
      <c r="B195" s="4" t="str">
        <f>IF($H$17="Y","---&gt;","...")</f>
        <v>...</v>
      </c>
      <c r="C195" s="1" t="str">
        <f>IF($H$17="Y",'Population Definitions'!$A$8,"...")</f>
        <v>...</v>
      </c>
      <c r="E195" s="2"/>
      <c r="F195" s="3"/>
      <c r="G195" s="2"/>
      <c r="H195" s="4" t="str">
        <f>IF($H$17="Y","OR","...")</f>
        <v>...</v>
      </c>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row>
    <row r="196" spans="1:59" x14ac:dyDescent="0.25">
      <c r="A196" s="1" t="str">
        <f>IF($I$17="Y",'Population Definitions'!$A$14,"...")</f>
        <v>...</v>
      </c>
      <c r="B196" s="4" t="str">
        <f>IF($I$17="Y","---&gt;","...")</f>
        <v>...</v>
      </c>
      <c r="C196" s="1" t="str">
        <f>IF($I$17="Y",'Population Definitions'!$A$9,"...")</f>
        <v>...</v>
      </c>
      <c r="E196" s="2"/>
      <c r="F196" s="3"/>
      <c r="G196" s="2"/>
      <c r="H196" s="4" t="str">
        <f>IF($I$17="Y","OR","...")</f>
        <v>...</v>
      </c>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row>
    <row r="197" spans="1:59" x14ac:dyDescent="0.25">
      <c r="A197" s="1" t="str">
        <f>IF($J$17="Y",'Population Definitions'!$A$14,"...")</f>
        <v>...</v>
      </c>
      <c r="B197" s="4" t="str">
        <f>IF($J$17="Y","---&gt;","...")</f>
        <v>...</v>
      </c>
      <c r="C197" s="1" t="str">
        <f>IF($J$17="Y",'Population Definitions'!$A$10,"...")</f>
        <v>...</v>
      </c>
      <c r="E197" s="2"/>
      <c r="F197" s="3"/>
      <c r="G197" s="2"/>
      <c r="H197" s="4" t="str">
        <f>IF($J$17="Y","OR","...")</f>
        <v>...</v>
      </c>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row>
    <row r="198" spans="1:59" x14ac:dyDescent="0.25">
      <c r="A198" s="1" t="str">
        <f>IF($K$17="Y",'Population Definitions'!$A$14,"...")</f>
        <v>...</v>
      </c>
      <c r="B198" s="4" t="str">
        <f>IF($K$17="Y","---&gt;","...")</f>
        <v>...</v>
      </c>
      <c r="C198" s="1" t="str">
        <f>IF($K$17="Y",'Population Definitions'!$A$11,"...")</f>
        <v>...</v>
      </c>
      <c r="E198" s="2"/>
      <c r="F198" s="3"/>
      <c r="G198" s="2"/>
      <c r="H198" s="4" t="str">
        <f>IF($K$17="Y","OR","...")</f>
        <v>...</v>
      </c>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row>
    <row r="199" spans="1:59" x14ac:dyDescent="0.25">
      <c r="A199" s="1" t="str">
        <f>IF($L$17="Y",'Population Definitions'!$A$14,"...")</f>
        <v>...</v>
      </c>
      <c r="B199" s="4" t="str">
        <f>IF($L$17="Y","---&gt;","...")</f>
        <v>...</v>
      </c>
      <c r="C199" s="1" t="str">
        <f>IF($L$17="Y",'Population Definitions'!$A$12,"...")</f>
        <v>...</v>
      </c>
      <c r="E199" s="2"/>
      <c r="F199" s="3"/>
      <c r="G199" s="2"/>
      <c r="H199" s="4" t="str">
        <f>IF($L$17="Y","OR","...")</f>
        <v>...</v>
      </c>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row>
    <row r="200" spans="1:59" x14ac:dyDescent="0.25">
      <c r="A200" s="1" t="str">
        <f>IF($M$17="Y",'Population Definitions'!$A$14,"...")</f>
        <v>...</v>
      </c>
      <c r="B200" s="4" t="str">
        <f>IF($M$17="Y","---&gt;","...")</f>
        <v>...</v>
      </c>
      <c r="C200" s="1" t="str">
        <f>IF($M$17="Y",'Population Definitions'!$A$13,"...")</f>
        <v>...</v>
      </c>
      <c r="E200" s="2"/>
      <c r="F200" s="3"/>
      <c r="G200" s="2"/>
      <c r="H200" s="4" t="str">
        <f>IF($M$17="Y","OR","...")</f>
        <v>...</v>
      </c>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row>
    <row r="201" spans="1:59" x14ac:dyDescent="0.25">
      <c r="A201" s="1" t="str">
        <f>IF($N$17="Y",'Population Definitions'!$A$14,"...")</f>
        <v>...</v>
      </c>
      <c r="B201" s="4" t="str">
        <f>IF($N$17="Y","---&gt;","...")</f>
        <v>...</v>
      </c>
      <c r="C201" s="1" t="str">
        <f>IF($N$17="Y",'Population Definitions'!$A$14,"...")</f>
        <v>...</v>
      </c>
      <c r="E201" s="2"/>
      <c r="F201" s="3"/>
      <c r="G201" s="2"/>
      <c r="H201" s="4" t="str">
        <f>IF($N$17="Y","OR","...")</f>
        <v>...</v>
      </c>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row>
    <row r="202" spans="1:59" x14ac:dyDescent="0.25">
      <c r="A202" s="1" t="str">
        <f>IF($O$17="Y",'Population Definitions'!$A$14,"...")</f>
        <v>...</v>
      </c>
      <c r="B202" s="4" t="str">
        <f>IF($O$17="Y","---&gt;","...")</f>
        <v>...</v>
      </c>
      <c r="C202" s="1" t="str">
        <f>IF($O$17="Y",'Population Definitions'!$A$15,"...")</f>
        <v>...</v>
      </c>
      <c r="E202" s="2"/>
      <c r="F202" s="3"/>
      <c r="G202" s="2"/>
      <c r="H202" s="4" t="str">
        <f>IF($O$17="Y","OR","...")</f>
        <v>...</v>
      </c>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row>
    <row r="203" spans="1:59" x14ac:dyDescent="0.25">
      <c r="A203" s="1" t="str">
        <f>IF($B$18="Y",'Population Definitions'!$A$15,"...")</f>
        <v>...</v>
      </c>
      <c r="B203" s="4" t="str">
        <f>IF($B$18="Y","---&gt;","...")</f>
        <v>...</v>
      </c>
      <c r="C203" s="1" t="str">
        <f>IF($B$18="Y",'Population Definitions'!$A$2,"...")</f>
        <v>...</v>
      </c>
      <c r="E203" s="2"/>
      <c r="F203" s="3"/>
      <c r="G203" s="2"/>
      <c r="H203" s="4" t="str">
        <f>IF($B$18="Y","OR","...")</f>
        <v>...</v>
      </c>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row>
    <row r="204" spans="1:59" x14ac:dyDescent="0.25">
      <c r="A204" s="1" t="str">
        <f>IF($C$18="Y",'Population Definitions'!$A$15,"...")</f>
        <v>...</v>
      </c>
      <c r="B204" s="4" t="str">
        <f>IF($C$18="Y","---&gt;","...")</f>
        <v>...</v>
      </c>
      <c r="C204" s="1" t="str">
        <f>IF($C$18="Y",'Population Definitions'!$A$3,"...")</f>
        <v>...</v>
      </c>
      <c r="E204" s="2"/>
      <c r="F204" s="3"/>
      <c r="G204" s="2"/>
      <c r="H204" s="4" t="str">
        <f>IF($C$18="Y","OR","...")</f>
        <v>...</v>
      </c>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row>
    <row r="205" spans="1:59" x14ac:dyDescent="0.25">
      <c r="A205" s="1" t="str">
        <f>IF($D$18="Y",'Population Definitions'!$A$15,"...")</f>
        <v>...</v>
      </c>
      <c r="B205" s="4" t="str">
        <f>IF($D$18="Y","---&gt;","...")</f>
        <v>...</v>
      </c>
      <c r="C205" s="1" t="str">
        <f>IF($D$18="Y",'Population Definitions'!$A$4,"...")</f>
        <v>...</v>
      </c>
      <c r="E205" s="2"/>
      <c r="F205" s="3"/>
      <c r="G205" s="2"/>
      <c r="H205" s="4" t="str">
        <f>IF($D$18="Y","OR","...")</f>
        <v>...</v>
      </c>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row>
    <row r="206" spans="1:59" x14ac:dyDescent="0.25">
      <c r="A206" s="1" t="str">
        <f>IF($E$18="Y",'Population Definitions'!$A$15,"...")</f>
        <v>...</v>
      </c>
      <c r="B206" s="4" t="str">
        <f>IF($E$18="Y","---&gt;","...")</f>
        <v>...</v>
      </c>
      <c r="C206" s="1" t="str">
        <f>IF($E$18="Y",'Population Definitions'!$A$5,"...")</f>
        <v>...</v>
      </c>
      <c r="E206" s="2"/>
      <c r="F206" s="3"/>
      <c r="G206" s="2"/>
      <c r="H206" s="4" t="str">
        <f>IF($E$18="Y","OR","...")</f>
        <v>...</v>
      </c>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row>
    <row r="207" spans="1:59" x14ac:dyDescent="0.25">
      <c r="A207" s="1" t="str">
        <f>IF($F$18="Y",'Population Definitions'!$A$15,"...")</f>
        <v>...</v>
      </c>
      <c r="B207" s="4" t="str">
        <f>IF($F$18="Y","---&gt;","...")</f>
        <v>...</v>
      </c>
      <c r="C207" s="1" t="str">
        <f>IF($F$18="Y",'Population Definitions'!$A$6,"...")</f>
        <v>...</v>
      </c>
      <c r="E207" s="2"/>
      <c r="F207" s="3"/>
      <c r="G207" s="2"/>
      <c r="H207" s="4" t="str">
        <f>IF($F$18="Y","OR","...")</f>
        <v>...</v>
      </c>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row>
    <row r="208" spans="1:59" x14ac:dyDescent="0.25">
      <c r="A208" s="1" t="str">
        <f>IF($G$18="Y",'Population Definitions'!$A$15,"...")</f>
        <v>...</v>
      </c>
      <c r="B208" s="4" t="str">
        <f>IF($G$18="Y","---&gt;","...")</f>
        <v>...</v>
      </c>
      <c r="C208" s="1" t="str">
        <f>IF($G$18="Y",'Population Definitions'!$A$7,"...")</f>
        <v>...</v>
      </c>
      <c r="E208" s="2"/>
      <c r="F208" s="3"/>
      <c r="G208" s="2"/>
      <c r="H208" s="4" t="str">
        <f>IF($G$18="Y","OR","...")</f>
        <v>...</v>
      </c>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row>
    <row r="209" spans="1:59" x14ac:dyDescent="0.25">
      <c r="A209" s="1" t="str">
        <f>IF($H$18="Y",'Population Definitions'!$A$15,"...")</f>
        <v>...</v>
      </c>
      <c r="B209" s="4" t="str">
        <f>IF($H$18="Y","---&gt;","...")</f>
        <v>...</v>
      </c>
      <c r="C209" s="1" t="str">
        <f>IF($H$18="Y",'Population Definitions'!$A$8,"...")</f>
        <v>...</v>
      </c>
      <c r="E209" s="2"/>
      <c r="F209" s="3"/>
      <c r="G209" s="2"/>
      <c r="H209" s="4" t="str">
        <f>IF($H$18="Y","OR","...")</f>
        <v>...</v>
      </c>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row>
    <row r="210" spans="1:59" x14ac:dyDescent="0.25">
      <c r="A210" s="1" t="str">
        <f>IF($I$18="Y",'Population Definitions'!$A$15,"...")</f>
        <v>...</v>
      </c>
      <c r="B210" s="4" t="str">
        <f>IF($I$18="Y","---&gt;","...")</f>
        <v>...</v>
      </c>
      <c r="C210" s="1" t="str">
        <f>IF($I$18="Y",'Population Definitions'!$A$9,"...")</f>
        <v>...</v>
      </c>
      <c r="E210" s="2"/>
      <c r="F210" s="3"/>
      <c r="G210" s="2"/>
      <c r="H210" s="4" t="str">
        <f>IF($I$18="Y","OR","...")</f>
        <v>...</v>
      </c>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row>
    <row r="211" spans="1:59" x14ac:dyDescent="0.25">
      <c r="A211" s="1" t="str">
        <f>IF($J$18="Y",'Population Definitions'!$A$15,"...")</f>
        <v>...</v>
      </c>
      <c r="B211" s="4" t="str">
        <f>IF($J$18="Y","---&gt;","...")</f>
        <v>...</v>
      </c>
      <c r="C211" s="1" t="str">
        <f>IF($J$18="Y",'Population Definitions'!$A$10,"...")</f>
        <v>...</v>
      </c>
      <c r="E211" s="2"/>
      <c r="F211" s="3"/>
      <c r="G211" s="2"/>
      <c r="H211" s="4" t="str">
        <f>IF($J$18="Y","OR","...")</f>
        <v>...</v>
      </c>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row>
    <row r="212" spans="1:59" x14ac:dyDescent="0.25">
      <c r="A212" s="1" t="str">
        <f>IF($K$18="Y",'Population Definitions'!$A$15,"...")</f>
        <v>...</v>
      </c>
      <c r="B212" s="4" t="str">
        <f>IF($K$18="Y","---&gt;","...")</f>
        <v>...</v>
      </c>
      <c r="C212" s="1" t="str">
        <f>IF($K$18="Y",'Population Definitions'!$A$11,"...")</f>
        <v>...</v>
      </c>
      <c r="E212" s="2"/>
      <c r="F212" s="3"/>
      <c r="G212" s="2"/>
      <c r="H212" s="4" t="str">
        <f>IF($K$18="Y","OR","...")</f>
        <v>...</v>
      </c>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row>
    <row r="213" spans="1:59" x14ac:dyDescent="0.25">
      <c r="A213" s="1" t="str">
        <f>IF($L$18="Y",'Population Definitions'!$A$15,"...")</f>
        <v>...</v>
      </c>
      <c r="B213" s="4" t="str">
        <f>IF($L$18="Y","---&gt;","...")</f>
        <v>...</v>
      </c>
      <c r="C213" s="1" t="str">
        <f>IF($L$18="Y",'Population Definitions'!$A$12,"...")</f>
        <v>...</v>
      </c>
      <c r="E213" s="2"/>
      <c r="F213" s="3"/>
      <c r="G213" s="2"/>
      <c r="H213" s="4" t="str">
        <f>IF($L$18="Y","OR","...")</f>
        <v>...</v>
      </c>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row>
    <row r="214" spans="1:59" x14ac:dyDescent="0.25">
      <c r="A214" s="1" t="str">
        <f>IF($M$18="Y",'Population Definitions'!$A$15,"...")</f>
        <v>...</v>
      </c>
      <c r="B214" s="4" t="str">
        <f>IF($M$18="Y","---&gt;","...")</f>
        <v>...</v>
      </c>
      <c r="C214" s="1" t="str">
        <f>IF($M$18="Y",'Population Definitions'!$A$13,"...")</f>
        <v>...</v>
      </c>
      <c r="E214" s="2"/>
      <c r="F214" s="3"/>
      <c r="G214" s="2"/>
      <c r="H214" s="4" t="str">
        <f>IF($M$18="Y","OR","...")</f>
        <v>...</v>
      </c>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row>
    <row r="215" spans="1:59" x14ac:dyDescent="0.25">
      <c r="A215" s="1" t="str">
        <f>IF($N$18="Y",'Population Definitions'!$A$15,"...")</f>
        <v>...</v>
      </c>
      <c r="B215" s="4" t="str">
        <f>IF($N$18="Y","---&gt;","...")</f>
        <v>...</v>
      </c>
      <c r="C215" s="1" t="str">
        <f>IF($N$18="Y",'Population Definitions'!$A$14,"...")</f>
        <v>...</v>
      </c>
      <c r="E215" s="2"/>
      <c r="F215" s="3"/>
      <c r="G215" s="2"/>
      <c r="H215" s="4" t="str">
        <f>IF($N$18="Y","OR","...")</f>
        <v>...</v>
      </c>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row>
    <row r="216" spans="1:59" x14ac:dyDescent="0.25">
      <c r="A216" s="1" t="str">
        <f>IF($O$18="Y",'Population Definitions'!$A$15,"...")</f>
        <v>...</v>
      </c>
      <c r="B216" s="4" t="str">
        <f>IF($O$18="Y","---&gt;","...")</f>
        <v>...</v>
      </c>
      <c r="C216" s="1" t="str">
        <f>IF($O$18="Y",'Population Definitions'!$A$15,"...")</f>
        <v>...</v>
      </c>
      <c r="E216" s="2"/>
      <c r="F216" s="3"/>
      <c r="G216" s="2"/>
      <c r="H216" s="4" t="str">
        <f>IF($O$18="Y","OR","...")</f>
        <v>...</v>
      </c>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row>
    <row r="218" spans="1:59" x14ac:dyDescent="0.25">
      <c r="A218" s="1" t="s">
        <v>0</v>
      </c>
      <c r="B218" s="1" t="s">
        <v>1</v>
      </c>
      <c r="C218" s="1" t="s">
        <v>226</v>
      </c>
      <c r="D218" s="1" t="s">
        <v>227</v>
      </c>
    </row>
    <row r="219" spans="1:59" x14ac:dyDescent="0.25">
      <c r="A219" t="s">
        <v>237</v>
      </c>
      <c r="B219" t="s">
        <v>238</v>
      </c>
      <c r="C219" t="s">
        <v>5</v>
      </c>
      <c r="D219" t="s">
        <v>5</v>
      </c>
    </row>
    <row r="221" spans="1:59" x14ac:dyDescent="0.25">
      <c r="B221" s="1" t="str">
        <f>'Population Definitions'!$A$2</f>
        <v>PWID_males</v>
      </c>
      <c r="C221" s="1" t="str">
        <f>'Population Definitions'!$A$3</f>
        <v>PWID_females</v>
      </c>
      <c r="D221" s="1" t="str">
        <f>'Population Definitions'!$A$4</f>
        <v>0-9_males</v>
      </c>
      <c r="E221" s="1" t="str">
        <f>'Population Definitions'!$A$5</f>
        <v>0-9_females</v>
      </c>
      <c r="F221" s="1" t="str">
        <f>'Population Definitions'!$A$6</f>
        <v>10-17_males</v>
      </c>
      <c r="G221" s="1" t="str">
        <f>'Population Definitions'!$A$7</f>
        <v>10-17_females</v>
      </c>
      <c r="H221" s="1" t="str">
        <f>'Population Definitions'!$A$8</f>
        <v>18-64_males</v>
      </c>
      <c r="I221" s="1" t="str">
        <f>'Population Definitions'!$A$9</f>
        <v>18-64_females</v>
      </c>
      <c r="J221" s="1" t="str">
        <f>'Population Definitions'!$A$10</f>
        <v>65+_males</v>
      </c>
      <c r="K221" s="1" t="str">
        <f>'Population Definitions'!$A$11</f>
        <v>65+_females</v>
      </c>
      <c r="L221" s="1" t="str">
        <f>'Population Definitions'!$A$12</f>
        <v>Prisoners_males</v>
      </c>
      <c r="M221" s="1" t="str">
        <f>'Population Definitions'!$A$13</f>
        <v>Prisoners_females</v>
      </c>
      <c r="N221" s="1" t="str">
        <f>'Population Definitions'!$A$14</f>
        <v>Prisoners_PWID_males</v>
      </c>
      <c r="O221" s="1" t="str">
        <f>'Population Definitions'!$A$15</f>
        <v>Prisoners_PWID_females</v>
      </c>
    </row>
    <row r="222" spans="1:59" x14ac:dyDescent="0.25">
      <c r="A222" s="1" t="str">
        <f>'Population Definitions'!$A$2</f>
        <v>PWID_males</v>
      </c>
      <c r="B222" s="4" t="s">
        <v>58</v>
      </c>
      <c r="C222" s="5" t="s">
        <v>229</v>
      </c>
      <c r="D222" s="5" t="s">
        <v>229</v>
      </c>
      <c r="E222" s="5" t="s">
        <v>229</v>
      </c>
      <c r="F222" s="5" t="s">
        <v>229</v>
      </c>
      <c r="G222" s="5" t="s">
        <v>229</v>
      </c>
      <c r="H222" s="5" t="s">
        <v>228</v>
      </c>
      <c r="I222" s="5" t="s">
        <v>229</v>
      </c>
      <c r="J222" s="5" t="s">
        <v>229</v>
      </c>
      <c r="K222" s="5" t="s">
        <v>229</v>
      </c>
      <c r="L222" s="5" t="s">
        <v>229</v>
      </c>
      <c r="M222" s="5" t="s">
        <v>229</v>
      </c>
      <c r="N222" s="5" t="s">
        <v>229</v>
      </c>
      <c r="O222" s="5" t="s">
        <v>229</v>
      </c>
    </row>
    <row r="223" spans="1:59" x14ac:dyDescent="0.25">
      <c r="A223" s="1" t="str">
        <f>'Population Definitions'!$A$3</f>
        <v>PWID_females</v>
      </c>
      <c r="B223" s="5" t="s">
        <v>229</v>
      </c>
      <c r="C223" s="4" t="s">
        <v>58</v>
      </c>
      <c r="D223" s="5" t="s">
        <v>229</v>
      </c>
      <c r="E223" s="5" t="s">
        <v>229</v>
      </c>
      <c r="F223" s="5" t="s">
        <v>229</v>
      </c>
      <c r="G223" s="5" t="s">
        <v>229</v>
      </c>
      <c r="H223" s="5" t="s">
        <v>229</v>
      </c>
      <c r="I223" s="5" t="s">
        <v>228</v>
      </c>
      <c r="J223" s="5" t="s">
        <v>229</v>
      </c>
      <c r="K223" s="5" t="s">
        <v>229</v>
      </c>
      <c r="L223" s="5" t="s">
        <v>229</v>
      </c>
      <c r="M223" s="5" t="s">
        <v>229</v>
      </c>
      <c r="N223" s="5" t="s">
        <v>229</v>
      </c>
      <c r="O223" s="5" t="s">
        <v>229</v>
      </c>
    </row>
    <row r="224" spans="1:59" x14ac:dyDescent="0.25">
      <c r="A224" s="1" t="str">
        <f>'Population Definitions'!$A$4</f>
        <v>0-9_males</v>
      </c>
      <c r="B224" s="5" t="s">
        <v>229</v>
      </c>
      <c r="C224" s="5" t="s">
        <v>229</v>
      </c>
      <c r="D224" s="4" t="s">
        <v>58</v>
      </c>
      <c r="E224" s="5" t="s">
        <v>229</v>
      </c>
      <c r="F224" s="5" t="s">
        <v>229</v>
      </c>
      <c r="G224" s="5" t="s">
        <v>229</v>
      </c>
      <c r="H224" s="5" t="s">
        <v>229</v>
      </c>
      <c r="I224" s="5" t="s">
        <v>229</v>
      </c>
      <c r="J224" s="5" t="s">
        <v>229</v>
      </c>
      <c r="K224" s="5" t="s">
        <v>229</v>
      </c>
      <c r="L224" s="5" t="s">
        <v>229</v>
      </c>
      <c r="M224" s="5" t="s">
        <v>229</v>
      </c>
      <c r="N224" s="5" t="s">
        <v>229</v>
      </c>
      <c r="O224" s="5" t="s">
        <v>229</v>
      </c>
    </row>
    <row r="225" spans="1:59" x14ac:dyDescent="0.25">
      <c r="A225" s="1" t="str">
        <f>'Population Definitions'!$A$5</f>
        <v>0-9_females</v>
      </c>
      <c r="B225" s="5" t="s">
        <v>229</v>
      </c>
      <c r="C225" s="5" t="s">
        <v>229</v>
      </c>
      <c r="D225" s="5" t="s">
        <v>229</v>
      </c>
      <c r="E225" s="4" t="s">
        <v>58</v>
      </c>
      <c r="F225" s="5" t="s">
        <v>229</v>
      </c>
      <c r="G225" s="5" t="s">
        <v>229</v>
      </c>
      <c r="H225" s="5" t="s">
        <v>229</v>
      </c>
      <c r="I225" s="5" t="s">
        <v>229</v>
      </c>
      <c r="J225" s="5" t="s">
        <v>229</v>
      </c>
      <c r="K225" s="5" t="s">
        <v>229</v>
      </c>
      <c r="L225" s="5" t="s">
        <v>229</v>
      </c>
      <c r="M225" s="5" t="s">
        <v>229</v>
      </c>
      <c r="N225" s="5" t="s">
        <v>229</v>
      </c>
      <c r="O225" s="5" t="s">
        <v>229</v>
      </c>
    </row>
    <row r="226" spans="1:59" x14ac:dyDescent="0.25">
      <c r="A226" s="1" t="str">
        <f>'Population Definitions'!$A$6</f>
        <v>10-17_males</v>
      </c>
      <c r="B226" s="5" t="s">
        <v>229</v>
      </c>
      <c r="C226" s="5" t="s">
        <v>229</v>
      </c>
      <c r="D226" s="5" t="s">
        <v>229</v>
      </c>
      <c r="E226" s="5" t="s">
        <v>229</v>
      </c>
      <c r="F226" s="4" t="s">
        <v>58</v>
      </c>
      <c r="G226" s="5" t="s">
        <v>229</v>
      </c>
      <c r="H226" s="5" t="s">
        <v>229</v>
      </c>
      <c r="I226" s="5" t="s">
        <v>229</v>
      </c>
      <c r="J226" s="5" t="s">
        <v>229</v>
      </c>
      <c r="K226" s="5" t="s">
        <v>229</v>
      </c>
      <c r="L226" s="5" t="s">
        <v>229</v>
      </c>
      <c r="M226" s="5" t="s">
        <v>229</v>
      </c>
      <c r="N226" s="5" t="s">
        <v>229</v>
      </c>
      <c r="O226" s="5" t="s">
        <v>229</v>
      </c>
    </row>
    <row r="227" spans="1:59" x14ac:dyDescent="0.25">
      <c r="A227" s="1" t="str">
        <f>'Population Definitions'!$A$7</f>
        <v>10-17_females</v>
      </c>
      <c r="B227" s="5" t="s">
        <v>229</v>
      </c>
      <c r="C227" s="5" t="s">
        <v>229</v>
      </c>
      <c r="D227" s="5" t="s">
        <v>229</v>
      </c>
      <c r="E227" s="5" t="s">
        <v>229</v>
      </c>
      <c r="F227" s="5" t="s">
        <v>229</v>
      </c>
      <c r="G227" s="4" t="s">
        <v>58</v>
      </c>
      <c r="H227" s="5" t="s">
        <v>229</v>
      </c>
      <c r="I227" s="5" t="s">
        <v>229</v>
      </c>
      <c r="J227" s="5" t="s">
        <v>229</v>
      </c>
      <c r="K227" s="5" t="s">
        <v>229</v>
      </c>
      <c r="L227" s="5" t="s">
        <v>229</v>
      </c>
      <c r="M227" s="5" t="s">
        <v>229</v>
      </c>
      <c r="N227" s="5" t="s">
        <v>229</v>
      </c>
      <c r="O227" s="5" t="s">
        <v>229</v>
      </c>
    </row>
    <row r="228" spans="1:59" x14ac:dyDescent="0.25">
      <c r="A228" s="1" t="str">
        <f>'Population Definitions'!$A$8</f>
        <v>18-64_males</v>
      </c>
      <c r="B228" s="5" t="s">
        <v>228</v>
      </c>
      <c r="C228" s="5" t="s">
        <v>229</v>
      </c>
      <c r="D228" s="5" t="s">
        <v>229</v>
      </c>
      <c r="E228" s="5" t="s">
        <v>229</v>
      </c>
      <c r="F228" s="5" t="s">
        <v>229</v>
      </c>
      <c r="G228" s="5" t="s">
        <v>229</v>
      </c>
      <c r="H228" s="4" t="s">
        <v>58</v>
      </c>
      <c r="I228" s="5" t="s">
        <v>229</v>
      </c>
      <c r="J228" s="5" t="s">
        <v>229</v>
      </c>
      <c r="K228" s="5" t="s">
        <v>229</v>
      </c>
      <c r="L228" s="5" t="s">
        <v>229</v>
      </c>
      <c r="M228" s="5" t="s">
        <v>229</v>
      </c>
      <c r="N228" s="5" t="s">
        <v>229</v>
      </c>
      <c r="O228" s="5" t="s">
        <v>229</v>
      </c>
    </row>
    <row r="229" spans="1:59" x14ac:dyDescent="0.25">
      <c r="A229" s="1" t="str">
        <f>'Population Definitions'!$A$9</f>
        <v>18-64_females</v>
      </c>
      <c r="B229" s="5" t="s">
        <v>229</v>
      </c>
      <c r="C229" s="5" t="s">
        <v>228</v>
      </c>
      <c r="D229" s="5" t="s">
        <v>229</v>
      </c>
      <c r="E229" s="5" t="s">
        <v>229</v>
      </c>
      <c r="F229" s="5" t="s">
        <v>229</v>
      </c>
      <c r="G229" s="5" t="s">
        <v>229</v>
      </c>
      <c r="H229" s="5" t="s">
        <v>229</v>
      </c>
      <c r="I229" s="4" t="s">
        <v>58</v>
      </c>
      <c r="J229" s="5" t="s">
        <v>229</v>
      </c>
      <c r="K229" s="5" t="s">
        <v>229</v>
      </c>
      <c r="L229" s="5" t="s">
        <v>229</v>
      </c>
      <c r="M229" s="5" t="s">
        <v>229</v>
      </c>
      <c r="N229" s="5" t="s">
        <v>229</v>
      </c>
      <c r="O229" s="5" t="s">
        <v>229</v>
      </c>
    </row>
    <row r="230" spans="1:59" x14ac:dyDescent="0.25">
      <c r="A230" s="1" t="str">
        <f>'Population Definitions'!$A$10</f>
        <v>65+_males</v>
      </c>
      <c r="B230" s="5" t="s">
        <v>229</v>
      </c>
      <c r="C230" s="5" t="s">
        <v>229</v>
      </c>
      <c r="D230" s="5" t="s">
        <v>229</v>
      </c>
      <c r="E230" s="5" t="s">
        <v>229</v>
      </c>
      <c r="F230" s="5" t="s">
        <v>229</v>
      </c>
      <c r="G230" s="5" t="s">
        <v>229</v>
      </c>
      <c r="H230" s="5" t="s">
        <v>229</v>
      </c>
      <c r="I230" s="5" t="s">
        <v>229</v>
      </c>
      <c r="J230" s="4" t="s">
        <v>58</v>
      </c>
      <c r="K230" s="5" t="s">
        <v>229</v>
      </c>
      <c r="L230" s="5" t="s">
        <v>229</v>
      </c>
      <c r="M230" s="5" t="s">
        <v>229</v>
      </c>
      <c r="N230" s="5" t="s">
        <v>229</v>
      </c>
      <c r="O230" s="5" t="s">
        <v>229</v>
      </c>
    </row>
    <row r="231" spans="1:59" x14ac:dyDescent="0.25">
      <c r="A231" s="1" t="str">
        <f>'Population Definitions'!$A$11</f>
        <v>65+_females</v>
      </c>
      <c r="B231" s="5" t="s">
        <v>229</v>
      </c>
      <c r="C231" s="5" t="s">
        <v>229</v>
      </c>
      <c r="D231" s="5" t="s">
        <v>229</v>
      </c>
      <c r="E231" s="5" t="s">
        <v>229</v>
      </c>
      <c r="F231" s="5" t="s">
        <v>229</v>
      </c>
      <c r="G231" s="5" t="s">
        <v>229</v>
      </c>
      <c r="H231" s="5" t="s">
        <v>229</v>
      </c>
      <c r="I231" s="5" t="s">
        <v>229</v>
      </c>
      <c r="J231" s="5" t="s">
        <v>229</v>
      </c>
      <c r="K231" s="4" t="s">
        <v>58</v>
      </c>
      <c r="L231" s="5" t="s">
        <v>229</v>
      </c>
      <c r="M231" s="5" t="s">
        <v>229</v>
      </c>
      <c r="N231" s="5" t="s">
        <v>229</v>
      </c>
      <c r="O231" s="5" t="s">
        <v>229</v>
      </c>
    </row>
    <row r="232" spans="1:59" x14ac:dyDescent="0.25">
      <c r="A232" s="1" t="str">
        <f>'Population Definitions'!$A$12</f>
        <v>Prisoners_males</v>
      </c>
      <c r="B232" s="5" t="s">
        <v>229</v>
      </c>
      <c r="C232" s="5" t="s">
        <v>229</v>
      </c>
      <c r="D232" s="5" t="s">
        <v>229</v>
      </c>
      <c r="E232" s="5" t="s">
        <v>229</v>
      </c>
      <c r="F232" s="5" t="s">
        <v>229</v>
      </c>
      <c r="G232" s="5" t="s">
        <v>229</v>
      </c>
      <c r="H232" s="5" t="s">
        <v>229</v>
      </c>
      <c r="I232" s="5" t="s">
        <v>229</v>
      </c>
      <c r="J232" s="5" t="s">
        <v>229</v>
      </c>
      <c r="K232" s="5" t="s">
        <v>229</v>
      </c>
      <c r="L232" s="4" t="s">
        <v>58</v>
      </c>
      <c r="M232" s="5" t="s">
        <v>229</v>
      </c>
      <c r="N232" s="5" t="s">
        <v>229</v>
      </c>
      <c r="O232" s="5" t="s">
        <v>229</v>
      </c>
    </row>
    <row r="233" spans="1:59" x14ac:dyDescent="0.25">
      <c r="A233" s="1" t="str">
        <f>'Population Definitions'!$A$13</f>
        <v>Prisoners_females</v>
      </c>
      <c r="B233" s="5" t="s">
        <v>229</v>
      </c>
      <c r="C233" s="5" t="s">
        <v>229</v>
      </c>
      <c r="D233" s="5" t="s">
        <v>229</v>
      </c>
      <c r="E233" s="5" t="s">
        <v>229</v>
      </c>
      <c r="F233" s="5" t="s">
        <v>229</v>
      </c>
      <c r="G233" s="5" t="s">
        <v>229</v>
      </c>
      <c r="H233" s="5" t="s">
        <v>229</v>
      </c>
      <c r="I233" s="5" t="s">
        <v>229</v>
      </c>
      <c r="J233" s="5" t="s">
        <v>229</v>
      </c>
      <c r="K233" s="5" t="s">
        <v>229</v>
      </c>
      <c r="L233" s="5" t="s">
        <v>229</v>
      </c>
      <c r="M233" s="4" t="s">
        <v>58</v>
      </c>
      <c r="N233" s="5" t="s">
        <v>229</v>
      </c>
      <c r="O233" s="5" t="s">
        <v>229</v>
      </c>
    </row>
    <row r="234" spans="1:59" x14ac:dyDescent="0.25">
      <c r="A234" s="1" t="str">
        <f>'Population Definitions'!$A$14</f>
        <v>Prisoners_PWID_males</v>
      </c>
      <c r="B234" s="5" t="s">
        <v>229</v>
      </c>
      <c r="C234" s="5" t="s">
        <v>229</v>
      </c>
      <c r="D234" s="5" t="s">
        <v>229</v>
      </c>
      <c r="E234" s="5" t="s">
        <v>229</v>
      </c>
      <c r="F234" s="5" t="s">
        <v>229</v>
      </c>
      <c r="G234" s="5" t="s">
        <v>229</v>
      </c>
      <c r="H234" s="5" t="s">
        <v>229</v>
      </c>
      <c r="I234" s="5" t="s">
        <v>229</v>
      </c>
      <c r="J234" s="5" t="s">
        <v>229</v>
      </c>
      <c r="K234" s="5" t="s">
        <v>229</v>
      </c>
      <c r="L234" s="5" t="s">
        <v>229</v>
      </c>
      <c r="M234" s="5" t="s">
        <v>229</v>
      </c>
      <c r="N234" s="4" t="s">
        <v>58</v>
      </c>
      <c r="O234" s="5" t="s">
        <v>229</v>
      </c>
    </row>
    <row r="235" spans="1:59" x14ac:dyDescent="0.25">
      <c r="A235" s="1" t="str">
        <f>'Population Definitions'!$A$15</f>
        <v>Prisoners_PWID_females</v>
      </c>
      <c r="B235" s="5" t="s">
        <v>229</v>
      </c>
      <c r="C235" s="5" t="s">
        <v>229</v>
      </c>
      <c r="D235" s="5" t="s">
        <v>229</v>
      </c>
      <c r="E235" s="5" t="s">
        <v>229</v>
      </c>
      <c r="F235" s="5" t="s">
        <v>229</v>
      </c>
      <c r="G235" s="5" t="s">
        <v>229</v>
      </c>
      <c r="H235" s="5" t="s">
        <v>229</v>
      </c>
      <c r="I235" s="5" t="s">
        <v>229</v>
      </c>
      <c r="J235" s="5" t="s">
        <v>229</v>
      </c>
      <c r="K235" s="5" t="s">
        <v>229</v>
      </c>
      <c r="L235" s="5" t="s">
        <v>229</v>
      </c>
      <c r="M235" s="5" t="s">
        <v>229</v>
      </c>
      <c r="N235" s="5" t="s">
        <v>229</v>
      </c>
      <c r="O235" s="4" t="s">
        <v>58</v>
      </c>
    </row>
    <row r="237" spans="1:59" x14ac:dyDescent="0.25">
      <c r="A237" s="1" t="s">
        <v>230</v>
      </c>
      <c r="B237" s="1"/>
      <c r="C237" s="1" t="s">
        <v>231</v>
      </c>
      <c r="D237" s="1" t="s">
        <v>31</v>
      </c>
      <c r="E237" s="1" t="s">
        <v>32</v>
      </c>
      <c r="F237" s="1" t="s">
        <v>33</v>
      </c>
      <c r="G237" s="1" t="s">
        <v>38</v>
      </c>
      <c r="H237" s="1"/>
      <c r="I237" s="1">
        <v>2000</v>
      </c>
      <c r="J237" s="1">
        <v>2001</v>
      </c>
      <c r="K237" s="1">
        <v>2002</v>
      </c>
      <c r="L237" s="1">
        <v>2003</v>
      </c>
      <c r="M237" s="1">
        <v>2004</v>
      </c>
      <c r="N237" s="1">
        <v>2005</v>
      </c>
      <c r="O237" s="1">
        <v>2006</v>
      </c>
      <c r="P237" s="1">
        <v>2007</v>
      </c>
      <c r="Q237" s="1">
        <v>2008</v>
      </c>
      <c r="R237" s="1">
        <v>2009</v>
      </c>
      <c r="S237" s="1">
        <v>2010</v>
      </c>
      <c r="T237" s="1">
        <v>2011</v>
      </c>
      <c r="U237" s="1">
        <v>2012</v>
      </c>
      <c r="V237" s="1">
        <v>2013</v>
      </c>
      <c r="W237" s="1">
        <v>2014</v>
      </c>
      <c r="X237" s="1">
        <v>2015</v>
      </c>
      <c r="Y237" s="1">
        <v>2016</v>
      </c>
      <c r="Z237" s="1">
        <v>2017</v>
      </c>
      <c r="AA237" s="1">
        <v>2018</v>
      </c>
      <c r="AB237" s="1">
        <v>2019</v>
      </c>
      <c r="AC237" s="1">
        <v>2020</v>
      </c>
      <c r="AD237" s="1">
        <v>2021</v>
      </c>
      <c r="AE237" s="1">
        <v>2022</v>
      </c>
      <c r="AF237" s="1">
        <v>2023</v>
      </c>
      <c r="AG237" s="1">
        <v>2024</v>
      </c>
      <c r="AH237" s="1">
        <v>2025</v>
      </c>
      <c r="AI237" s="1">
        <v>2026</v>
      </c>
      <c r="AJ237" s="1">
        <v>2027</v>
      </c>
      <c r="AK237" s="1">
        <v>2028</v>
      </c>
      <c r="AL237" s="1">
        <v>2029</v>
      </c>
      <c r="AM237" s="1">
        <v>2030</v>
      </c>
      <c r="AN237" s="1">
        <v>2031</v>
      </c>
      <c r="AO237" s="1">
        <v>2032</v>
      </c>
      <c r="AP237" s="1">
        <v>2033</v>
      </c>
      <c r="AQ237" s="1">
        <v>2034</v>
      </c>
      <c r="AR237" s="1">
        <v>2035</v>
      </c>
      <c r="AS237" s="1">
        <v>2036</v>
      </c>
      <c r="AT237" s="1">
        <v>2037</v>
      </c>
      <c r="AU237" s="1">
        <v>2038</v>
      </c>
      <c r="AV237" s="1">
        <v>2039</v>
      </c>
      <c r="AW237" s="1">
        <v>2040</v>
      </c>
      <c r="AX237" s="1">
        <v>2041</v>
      </c>
      <c r="AY237" s="1">
        <v>2042</v>
      </c>
      <c r="AZ237" s="1">
        <v>2043</v>
      </c>
      <c r="BA237" s="1">
        <v>2044</v>
      </c>
      <c r="BB237" s="1">
        <v>2045</v>
      </c>
      <c r="BC237" s="1">
        <v>2046</v>
      </c>
      <c r="BD237" s="1">
        <v>2047</v>
      </c>
      <c r="BE237" s="1">
        <v>2048</v>
      </c>
      <c r="BF237" s="1">
        <v>2049</v>
      </c>
      <c r="BG237" s="1">
        <v>2050</v>
      </c>
    </row>
    <row r="238" spans="1:59" x14ac:dyDescent="0.25">
      <c r="A238" s="1" t="str">
        <f>IF($B$222="Y",'Population Definitions'!$A$2,"...")</f>
        <v>...</v>
      </c>
      <c r="B238" s="4" t="str">
        <f>IF($B$222="Y","---&gt;","...")</f>
        <v>...</v>
      </c>
      <c r="C238" s="1" t="str">
        <f>IF($B$222="Y",'Population Definitions'!$A$2,"...")</f>
        <v>...</v>
      </c>
      <c r="E238" s="2"/>
      <c r="F238" s="3"/>
      <c r="G238" s="2"/>
      <c r="H238" s="4" t="str">
        <f>IF($B$222="Y","OR","...")</f>
        <v>...</v>
      </c>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row>
    <row r="239" spans="1:59" x14ac:dyDescent="0.25">
      <c r="A239" s="1" t="str">
        <f>IF($C$222="Y",'Population Definitions'!$A$2,"...")</f>
        <v>...</v>
      </c>
      <c r="B239" s="4" t="str">
        <f>IF($C$222="Y","---&gt;","...")</f>
        <v>...</v>
      </c>
      <c r="C239" s="1" t="str">
        <f>IF($C$222="Y",'Population Definitions'!$A$3,"...")</f>
        <v>...</v>
      </c>
      <c r="E239" s="2"/>
      <c r="F239" s="3"/>
      <c r="G239" s="2"/>
      <c r="H239" s="4" t="str">
        <f>IF($C$222="Y","OR","...")</f>
        <v>...</v>
      </c>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row>
    <row r="240" spans="1:59" x14ac:dyDescent="0.25">
      <c r="A240" s="1" t="str">
        <f>IF($D$222="Y",'Population Definitions'!$A$2,"...")</f>
        <v>...</v>
      </c>
      <c r="B240" s="4" t="str">
        <f>IF($D$222="Y","---&gt;","...")</f>
        <v>...</v>
      </c>
      <c r="C240" s="1" t="str">
        <f>IF($D$222="Y",'Population Definitions'!$A$4,"...")</f>
        <v>...</v>
      </c>
      <c r="E240" s="2"/>
      <c r="F240" s="3"/>
      <c r="G240" s="2"/>
      <c r="H240" s="4" t="str">
        <f>IF($D$222="Y","OR","...")</f>
        <v>...</v>
      </c>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row>
    <row r="241" spans="1:59" x14ac:dyDescent="0.25">
      <c r="A241" s="1" t="str">
        <f>IF($E$222="Y",'Population Definitions'!$A$2,"...")</f>
        <v>...</v>
      </c>
      <c r="B241" s="4" t="str">
        <f>IF($E$222="Y","---&gt;","...")</f>
        <v>...</v>
      </c>
      <c r="C241" s="1" t="str">
        <f>IF($E$222="Y",'Population Definitions'!$A$5,"...")</f>
        <v>...</v>
      </c>
      <c r="E241" s="2"/>
      <c r="F241" s="3"/>
      <c r="G241" s="2"/>
      <c r="H241" s="4" t="str">
        <f>IF($E$222="Y","OR","...")</f>
        <v>...</v>
      </c>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row>
    <row r="242" spans="1:59" x14ac:dyDescent="0.25">
      <c r="A242" s="1" t="str">
        <f>IF($F$222="Y",'Population Definitions'!$A$2,"...")</f>
        <v>...</v>
      </c>
      <c r="B242" s="4" t="str">
        <f>IF($F$222="Y","---&gt;","...")</f>
        <v>...</v>
      </c>
      <c r="C242" s="1" t="str">
        <f>IF($F$222="Y",'Population Definitions'!$A$6,"...")</f>
        <v>...</v>
      </c>
      <c r="E242" s="2"/>
      <c r="F242" s="3"/>
      <c r="G242" s="2"/>
      <c r="H242" s="4" t="str">
        <f>IF($F$222="Y","OR","...")</f>
        <v>...</v>
      </c>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row>
    <row r="243" spans="1:59" x14ac:dyDescent="0.25">
      <c r="A243" s="1" t="str">
        <f>IF($G$222="Y",'Population Definitions'!$A$2,"...")</f>
        <v>...</v>
      </c>
      <c r="B243" s="4" t="str">
        <f>IF($G$222="Y","---&gt;","...")</f>
        <v>...</v>
      </c>
      <c r="C243" s="1" t="str">
        <f>IF($G$222="Y",'Population Definitions'!$A$7,"...")</f>
        <v>...</v>
      </c>
      <c r="E243" s="2"/>
      <c r="F243" s="3"/>
      <c r="G243" s="2"/>
      <c r="H243" s="4" t="str">
        <f>IF($G$222="Y","OR","...")</f>
        <v>...</v>
      </c>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row>
    <row r="244" spans="1:59" x14ac:dyDescent="0.25">
      <c r="A244" s="1" t="str">
        <f>IF($H$222="Y",'Population Definitions'!$A$2,"...")</f>
        <v>PWID_males</v>
      </c>
      <c r="B244" s="4" t="str">
        <f>IF($H$222="Y","---&gt;","...")</f>
        <v>---&gt;</v>
      </c>
      <c r="C244" s="1" t="str">
        <f>IF($H$222="Y",'Population Definitions'!$A$8,"...")</f>
        <v>18-64_males</v>
      </c>
      <c r="E244" s="3" t="s">
        <v>55</v>
      </c>
      <c r="F244" s="3"/>
      <c r="G244" s="3">
        <v>5.8823529411764698E-2</v>
      </c>
      <c r="H244" s="4" t="str">
        <f>IF($H$222="Y","OR","...")</f>
        <v>OR</v>
      </c>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row>
    <row r="245" spans="1:59" x14ac:dyDescent="0.25">
      <c r="A245" s="1" t="str">
        <f>IF($I$222="Y",'Population Definitions'!$A$2,"...")</f>
        <v>...</v>
      </c>
      <c r="B245" s="4" t="str">
        <f>IF($I$222="Y","---&gt;","...")</f>
        <v>...</v>
      </c>
      <c r="C245" s="1" t="str">
        <f>IF($I$222="Y",'Population Definitions'!$A$9,"...")</f>
        <v>...</v>
      </c>
      <c r="E245" s="2"/>
      <c r="F245" s="3"/>
      <c r="G245" s="2"/>
      <c r="H245" s="4" t="str">
        <f>IF($I$222="Y","OR","...")</f>
        <v>...</v>
      </c>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row>
    <row r="246" spans="1:59" x14ac:dyDescent="0.25">
      <c r="A246" s="1" t="str">
        <f>IF($J$222="Y",'Population Definitions'!$A$2,"...")</f>
        <v>...</v>
      </c>
      <c r="B246" s="4" t="str">
        <f>IF($J$222="Y","---&gt;","...")</f>
        <v>...</v>
      </c>
      <c r="C246" s="1" t="str">
        <f>IF($J$222="Y",'Population Definitions'!$A$10,"...")</f>
        <v>...</v>
      </c>
      <c r="E246" s="2"/>
      <c r="F246" s="3"/>
      <c r="G246" s="2"/>
      <c r="H246" s="4" t="str">
        <f>IF($J$222="Y","OR","...")</f>
        <v>...</v>
      </c>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row>
    <row r="247" spans="1:59" x14ac:dyDescent="0.25">
      <c r="A247" s="1" t="str">
        <f>IF($K$222="Y",'Population Definitions'!$A$2,"...")</f>
        <v>...</v>
      </c>
      <c r="B247" s="4" t="str">
        <f>IF($K$222="Y","---&gt;","...")</f>
        <v>...</v>
      </c>
      <c r="C247" s="1" t="str">
        <f>IF($K$222="Y",'Population Definitions'!$A$11,"...")</f>
        <v>...</v>
      </c>
      <c r="E247" s="2"/>
      <c r="F247" s="3"/>
      <c r="G247" s="2"/>
      <c r="H247" s="4" t="str">
        <f>IF($K$222="Y","OR","...")</f>
        <v>...</v>
      </c>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row>
    <row r="248" spans="1:59" x14ac:dyDescent="0.25">
      <c r="A248" s="1" t="str">
        <f>IF($L$222="Y",'Population Definitions'!$A$2,"...")</f>
        <v>...</v>
      </c>
      <c r="B248" s="4" t="str">
        <f>IF($L$222="Y","---&gt;","...")</f>
        <v>...</v>
      </c>
      <c r="C248" s="1" t="str">
        <f>IF($L$222="Y",'Population Definitions'!$A$12,"...")</f>
        <v>...</v>
      </c>
      <c r="E248" s="2"/>
      <c r="F248" s="3"/>
      <c r="G248" s="2"/>
      <c r="H248" s="4" t="str">
        <f>IF($L$222="Y","OR","...")</f>
        <v>...</v>
      </c>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row>
    <row r="249" spans="1:59" x14ac:dyDescent="0.25">
      <c r="A249" s="1" t="str">
        <f>IF($M$222="Y",'Population Definitions'!$A$2,"...")</f>
        <v>...</v>
      </c>
      <c r="B249" s="4" t="str">
        <f>IF($M$222="Y","---&gt;","...")</f>
        <v>...</v>
      </c>
      <c r="C249" s="1" t="str">
        <f>IF($M$222="Y",'Population Definitions'!$A$13,"...")</f>
        <v>...</v>
      </c>
      <c r="E249" s="2"/>
      <c r="F249" s="3"/>
      <c r="G249" s="2"/>
      <c r="H249" s="4" t="str">
        <f>IF($M$222="Y","OR","...")</f>
        <v>...</v>
      </c>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row>
    <row r="250" spans="1:59" x14ac:dyDescent="0.25">
      <c r="A250" s="1" t="str">
        <f>IF($N$222="Y",'Population Definitions'!$A$2,"...")</f>
        <v>...</v>
      </c>
      <c r="B250" s="4" t="str">
        <f>IF($N$222="Y","---&gt;","...")</f>
        <v>...</v>
      </c>
      <c r="C250" s="1" t="str">
        <f>IF($N$222="Y",'Population Definitions'!$A$14,"...")</f>
        <v>...</v>
      </c>
      <c r="E250" s="2"/>
      <c r="F250" s="3"/>
      <c r="G250" s="2"/>
      <c r="H250" s="4" t="str">
        <f>IF($N$222="Y","OR","...")</f>
        <v>...</v>
      </c>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row>
    <row r="251" spans="1:59" x14ac:dyDescent="0.25">
      <c r="A251" s="1" t="str">
        <f>IF($O$222="Y",'Population Definitions'!$A$2,"...")</f>
        <v>...</v>
      </c>
      <c r="B251" s="4" t="str">
        <f>IF($O$222="Y","---&gt;","...")</f>
        <v>...</v>
      </c>
      <c r="C251" s="1" t="str">
        <f>IF($O$222="Y",'Population Definitions'!$A$15,"...")</f>
        <v>...</v>
      </c>
      <c r="E251" s="2"/>
      <c r="F251" s="3"/>
      <c r="G251" s="2"/>
      <c r="H251" s="4" t="str">
        <f>IF($O$222="Y","OR","...")</f>
        <v>...</v>
      </c>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row>
    <row r="252" spans="1:59" x14ac:dyDescent="0.25">
      <c r="A252" s="1" t="str">
        <f>IF($B$223="Y",'Population Definitions'!$A$3,"...")</f>
        <v>...</v>
      </c>
      <c r="B252" s="4" t="str">
        <f>IF($B$223="Y","---&gt;","...")</f>
        <v>...</v>
      </c>
      <c r="C252" s="1" t="str">
        <f>IF($B$223="Y",'Population Definitions'!$A$2,"...")</f>
        <v>...</v>
      </c>
      <c r="E252" s="2"/>
      <c r="F252" s="3"/>
      <c r="G252" s="2"/>
      <c r="H252" s="4" t="str">
        <f>IF($B$223="Y","OR","...")</f>
        <v>...</v>
      </c>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row>
    <row r="253" spans="1:59" x14ac:dyDescent="0.25">
      <c r="A253" s="1" t="str">
        <f>IF($C$223="Y",'Population Definitions'!$A$3,"...")</f>
        <v>...</v>
      </c>
      <c r="B253" s="4" t="str">
        <f>IF($C$223="Y","---&gt;","...")</f>
        <v>...</v>
      </c>
      <c r="C253" s="1" t="str">
        <f>IF($C$223="Y",'Population Definitions'!$A$3,"...")</f>
        <v>...</v>
      </c>
      <c r="E253" s="2"/>
      <c r="F253" s="3"/>
      <c r="G253" s="2"/>
      <c r="H253" s="4" t="str">
        <f>IF($C$223="Y","OR","...")</f>
        <v>...</v>
      </c>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row>
    <row r="254" spans="1:59" x14ac:dyDescent="0.25">
      <c r="A254" s="1" t="str">
        <f>IF($D$223="Y",'Population Definitions'!$A$3,"...")</f>
        <v>...</v>
      </c>
      <c r="B254" s="4" t="str">
        <f>IF($D$223="Y","---&gt;","...")</f>
        <v>...</v>
      </c>
      <c r="C254" s="1" t="str">
        <f>IF($D$223="Y",'Population Definitions'!$A$4,"...")</f>
        <v>...</v>
      </c>
      <c r="E254" s="2"/>
      <c r="F254" s="3"/>
      <c r="G254" s="2"/>
      <c r="H254" s="4" t="str">
        <f>IF($D$223="Y","OR","...")</f>
        <v>...</v>
      </c>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row>
    <row r="255" spans="1:59" x14ac:dyDescent="0.25">
      <c r="A255" s="1" t="str">
        <f>IF($E$223="Y",'Population Definitions'!$A$3,"...")</f>
        <v>...</v>
      </c>
      <c r="B255" s="4" t="str">
        <f>IF($E$223="Y","---&gt;","...")</f>
        <v>...</v>
      </c>
      <c r="C255" s="1" t="str">
        <f>IF($E$223="Y",'Population Definitions'!$A$5,"...")</f>
        <v>...</v>
      </c>
      <c r="E255" s="2"/>
      <c r="F255" s="3"/>
      <c r="G255" s="2"/>
      <c r="H255" s="4" t="str">
        <f>IF($E$223="Y","OR","...")</f>
        <v>...</v>
      </c>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row>
    <row r="256" spans="1:59" x14ac:dyDescent="0.25">
      <c r="A256" s="1" t="str">
        <f>IF($F$223="Y",'Population Definitions'!$A$3,"...")</f>
        <v>...</v>
      </c>
      <c r="B256" s="4" t="str">
        <f>IF($F$223="Y","---&gt;","...")</f>
        <v>...</v>
      </c>
      <c r="C256" s="1" t="str">
        <f>IF($F$223="Y",'Population Definitions'!$A$6,"...")</f>
        <v>...</v>
      </c>
      <c r="E256" s="2"/>
      <c r="F256" s="3"/>
      <c r="G256" s="2"/>
      <c r="H256" s="4" t="str">
        <f>IF($F$223="Y","OR","...")</f>
        <v>...</v>
      </c>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row>
    <row r="257" spans="1:59" x14ac:dyDescent="0.25">
      <c r="A257" s="1" t="str">
        <f>IF($G$223="Y",'Population Definitions'!$A$3,"...")</f>
        <v>...</v>
      </c>
      <c r="B257" s="4" t="str">
        <f>IF($G$223="Y","---&gt;","...")</f>
        <v>...</v>
      </c>
      <c r="C257" s="1" t="str">
        <f>IF($G$223="Y",'Population Definitions'!$A$7,"...")</f>
        <v>...</v>
      </c>
      <c r="E257" s="2"/>
      <c r="F257" s="3"/>
      <c r="G257" s="2"/>
      <c r="H257" s="4" t="str">
        <f>IF($G$223="Y","OR","...")</f>
        <v>...</v>
      </c>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row>
    <row r="258" spans="1:59" x14ac:dyDescent="0.25">
      <c r="A258" s="1" t="str">
        <f>IF($H$223="Y",'Population Definitions'!$A$3,"...")</f>
        <v>...</v>
      </c>
      <c r="B258" s="4" t="str">
        <f>IF($H$223="Y","---&gt;","...")</f>
        <v>...</v>
      </c>
      <c r="C258" s="1" t="str">
        <f>IF($H$223="Y",'Population Definitions'!$A$8,"...")</f>
        <v>...</v>
      </c>
      <c r="E258" s="2"/>
      <c r="F258" s="3"/>
      <c r="G258" s="2"/>
      <c r="H258" s="4" t="str">
        <f>IF($H$223="Y","OR","...")</f>
        <v>...</v>
      </c>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row>
    <row r="259" spans="1:59" x14ac:dyDescent="0.25">
      <c r="A259" s="1" t="str">
        <f>IF($I$223="Y",'Population Definitions'!$A$3,"...")</f>
        <v>PWID_females</v>
      </c>
      <c r="B259" s="4" t="str">
        <f>IF($I$223="Y","---&gt;","...")</f>
        <v>---&gt;</v>
      </c>
      <c r="C259" s="1" t="str">
        <f>IF($I$223="Y",'Population Definitions'!$A$9,"...")</f>
        <v>18-64_females</v>
      </c>
      <c r="E259" s="3" t="s">
        <v>55</v>
      </c>
      <c r="F259" s="3"/>
      <c r="G259" s="3">
        <v>5.8823529411764698E-2</v>
      </c>
      <c r="H259" s="4" t="str">
        <f>IF($I$223="Y","OR","...")</f>
        <v>OR</v>
      </c>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row>
    <row r="260" spans="1:59" x14ac:dyDescent="0.25">
      <c r="A260" s="1" t="str">
        <f>IF($J$223="Y",'Population Definitions'!$A$3,"...")</f>
        <v>...</v>
      </c>
      <c r="B260" s="4" t="str">
        <f>IF($J$223="Y","---&gt;","...")</f>
        <v>...</v>
      </c>
      <c r="C260" s="1" t="str">
        <f>IF($J$223="Y",'Population Definitions'!$A$10,"...")</f>
        <v>...</v>
      </c>
      <c r="E260" s="2"/>
      <c r="F260" s="3"/>
      <c r="G260" s="2"/>
      <c r="H260" s="4" t="str">
        <f>IF($J$223="Y","OR","...")</f>
        <v>...</v>
      </c>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row>
    <row r="261" spans="1:59" x14ac:dyDescent="0.25">
      <c r="A261" s="1" t="str">
        <f>IF($K$223="Y",'Population Definitions'!$A$3,"...")</f>
        <v>...</v>
      </c>
      <c r="B261" s="4" t="str">
        <f>IF($K$223="Y","---&gt;","...")</f>
        <v>...</v>
      </c>
      <c r="C261" s="1" t="str">
        <f>IF($K$223="Y",'Population Definitions'!$A$11,"...")</f>
        <v>...</v>
      </c>
      <c r="E261" s="2"/>
      <c r="F261" s="3"/>
      <c r="G261" s="2"/>
      <c r="H261" s="4" t="str">
        <f>IF($K$223="Y","OR","...")</f>
        <v>...</v>
      </c>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row>
    <row r="262" spans="1:59" x14ac:dyDescent="0.25">
      <c r="A262" s="1" t="str">
        <f>IF($L$223="Y",'Population Definitions'!$A$3,"...")</f>
        <v>...</v>
      </c>
      <c r="B262" s="4" t="str">
        <f>IF($L$223="Y","---&gt;","...")</f>
        <v>...</v>
      </c>
      <c r="C262" s="1" t="str">
        <f>IF($L$223="Y",'Population Definitions'!$A$12,"...")</f>
        <v>...</v>
      </c>
      <c r="E262" s="2"/>
      <c r="F262" s="3"/>
      <c r="G262" s="2"/>
      <c r="H262" s="4" t="str">
        <f>IF($L$223="Y","OR","...")</f>
        <v>...</v>
      </c>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row>
    <row r="263" spans="1:59" x14ac:dyDescent="0.25">
      <c r="A263" s="1" t="str">
        <f>IF($M$223="Y",'Population Definitions'!$A$3,"...")</f>
        <v>...</v>
      </c>
      <c r="B263" s="4" t="str">
        <f>IF($M$223="Y","---&gt;","...")</f>
        <v>...</v>
      </c>
      <c r="C263" s="1" t="str">
        <f>IF($M$223="Y",'Population Definitions'!$A$13,"...")</f>
        <v>...</v>
      </c>
      <c r="E263" s="2"/>
      <c r="F263" s="3"/>
      <c r="G263" s="2"/>
      <c r="H263" s="4" t="str">
        <f>IF($M$223="Y","OR","...")</f>
        <v>...</v>
      </c>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row>
    <row r="264" spans="1:59" x14ac:dyDescent="0.25">
      <c r="A264" s="1" t="str">
        <f>IF($N$223="Y",'Population Definitions'!$A$3,"...")</f>
        <v>...</v>
      </c>
      <c r="B264" s="4" t="str">
        <f>IF($N$223="Y","---&gt;","...")</f>
        <v>...</v>
      </c>
      <c r="C264" s="1" t="str">
        <f>IF($N$223="Y",'Population Definitions'!$A$14,"...")</f>
        <v>...</v>
      </c>
      <c r="E264" s="2"/>
      <c r="F264" s="3"/>
      <c r="G264" s="2"/>
      <c r="H264" s="4" t="str">
        <f>IF($N$223="Y","OR","...")</f>
        <v>...</v>
      </c>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row>
    <row r="265" spans="1:59" x14ac:dyDescent="0.25">
      <c r="A265" s="1" t="str">
        <f>IF($O$223="Y",'Population Definitions'!$A$3,"...")</f>
        <v>...</v>
      </c>
      <c r="B265" s="4" t="str">
        <f>IF($O$223="Y","---&gt;","...")</f>
        <v>...</v>
      </c>
      <c r="C265" s="1" t="str">
        <f>IF($O$223="Y",'Population Definitions'!$A$15,"...")</f>
        <v>...</v>
      </c>
      <c r="E265" s="2"/>
      <c r="F265" s="3"/>
      <c r="G265" s="2"/>
      <c r="H265" s="4" t="str">
        <f>IF($O$223="Y","OR","...")</f>
        <v>...</v>
      </c>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row>
    <row r="266" spans="1:59" x14ac:dyDescent="0.25">
      <c r="A266" s="1" t="str">
        <f>IF($B$224="Y",'Population Definitions'!$A$4,"...")</f>
        <v>...</v>
      </c>
      <c r="B266" s="4" t="str">
        <f>IF($B$224="Y","---&gt;","...")</f>
        <v>...</v>
      </c>
      <c r="C266" s="1" t="str">
        <f>IF($B$224="Y",'Population Definitions'!$A$2,"...")</f>
        <v>...</v>
      </c>
      <c r="E266" s="2"/>
      <c r="F266" s="3"/>
      <c r="G266" s="2"/>
      <c r="H266" s="4" t="str">
        <f>IF($B$224="Y","OR","...")</f>
        <v>...</v>
      </c>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row>
    <row r="267" spans="1:59" x14ac:dyDescent="0.25">
      <c r="A267" s="1" t="str">
        <f>IF($C$224="Y",'Population Definitions'!$A$4,"...")</f>
        <v>...</v>
      </c>
      <c r="B267" s="4" t="str">
        <f>IF($C$224="Y","---&gt;","...")</f>
        <v>...</v>
      </c>
      <c r="C267" s="1" t="str">
        <f>IF($C$224="Y",'Population Definitions'!$A$3,"...")</f>
        <v>...</v>
      </c>
      <c r="E267" s="2"/>
      <c r="F267" s="3"/>
      <c r="G267" s="2"/>
      <c r="H267" s="4" t="str">
        <f>IF($C$224="Y","OR","...")</f>
        <v>...</v>
      </c>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row>
    <row r="268" spans="1:59" x14ac:dyDescent="0.25">
      <c r="A268" s="1" t="str">
        <f>IF($D$224="Y",'Population Definitions'!$A$4,"...")</f>
        <v>...</v>
      </c>
      <c r="B268" s="4" t="str">
        <f>IF($D$224="Y","---&gt;","...")</f>
        <v>...</v>
      </c>
      <c r="C268" s="1" t="str">
        <f>IF($D$224="Y",'Population Definitions'!$A$4,"...")</f>
        <v>...</v>
      </c>
      <c r="E268" s="2"/>
      <c r="F268" s="3"/>
      <c r="G268" s="2"/>
      <c r="H268" s="4" t="str">
        <f>IF($D$224="Y","OR","...")</f>
        <v>...</v>
      </c>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row>
    <row r="269" spans="1:59" x14ac:dyDescent="0.25">
      <c r="A269" s="1" t="str">
        <f>IF($E$224="Y",'Population Definitions'!$A$4,"...")</f>
        <v>...</v>
      </c>
      <c r="B269" s="4" t="str">
        <f>IF($E$224="Y","---&gt;","...")</f>
        <v>...</v>
      </c>
      <c r="C269" s="1" t="str">
        <f>IF($E$224="Y",'Population Definitions'!$A$5,"...")</f>
        <v>...</v>
      </c>
      <c r="E269" s="2"/>
      <c r="F269" s="3"/>
      <c r="G269" s="2"/>
      <c r="H269" s="4" t="str">
        <f>IF($E$224="Y","OR","...")</f>
        <v>...</v>
      </c>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row>
    <row r="270" spans="1:59" x14ac:dyDescent="0.25">
      <c r="A270" s="1" t="str">
        <f>IF($F$224="Y",'Population Definitions'!$A$4,"...")</f>
        <v>...</v>
      </c>
      <c r="B270" s="4" t="str">
        <f>IF($F$224="Y","---&gt;","...")</f>
        <v>...</v>
      </c>
      <c r="C270" s="1" t="str">
        <f>IF($F$224="Y",'Population Definitions'!$A$6,"...")</f>
        <v>...</v>
      </c>
      <c r="E270" s="2"/>
      <c r="F270" s="3"/>
      <c r="G270" s="2"/>
      <c r="H270" s="4" t="str">
        <f>IF($F$224="Y","OR","...")</f>
        <v>...</v>
      </c>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row>
    <row r="271" spans="1:59" x14ac:dyDescent="0.25">
      <c r="A271" s="1" t="str">
        <f>IF($G$224="Y",'Population Definitions'!$A$4,"...")</f>
        <v>...</v>
      </c>
      <c r="B271" s="4" t="str">
        <f>IF($G$224="Y","---&gt;","...")</f>
        <v>...</v>
      </c>
      <c r="C271" s="1" t="str">
        <f>IF($G$224="Y",'Population Definitions'!$A$7,"...")</f>
        <v>...</v>
      </c>
      <c r="E271" s="2"/>
      <c r="F271" s="3"/>
      <c r="G271" s="2"/>
      <c r="H271" s="4" t="str">
        <f>IF($G$224="Y","OR","...")</f>
        <v>...</v>
      </c>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row>
    <row r="272" spans="1:59" x14ac:dyDescent="0.25">
      <c r="A272" s="1" t="str">
        <f>IF($H$224="Y",'Population Definitions'!$A$4,"...")</f>
        <v>...</v>
      </c>
      <c r="B272" s="4" t="str">
        <f>IF($H$224="Y","---&gt;","...")</f>
        <v>...</v>
      </c>
      <c r="C272" s="1" t="str">
        <f>IF($H$224="Y",'Population Definitions'!$A$8,"...")</f>
        <v>...</v>
      </c>
      <c r="E272" s="2"/>
      <c r="F272" s="3"/>
      <c r="G272" s="2"/>
      <c r="H272" s="4" t="str">
        <f>IF($H$224="Y","OR","...")</f>
        <v>...</v>
      </c>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row>
    <row r="273" spans="1:59" x14ac:dyDescent="0.25">
      <c r="A273" s="1" t="str">
        <f>IF($I$224="Y",'Population Definitions'!$A$4,"...")</f>
        <v>...</v>
      </c>
      <c r="B273" s="4" t="str">
        <f>IF($I$224="Y","---&gt;","...")</f>
        <v>...</v>
      </c>
      <c r="C273" s="1" t="str">
        <f>IF($I$224="Y",'Population Definitions'!$A$9,"...")</f>
        <v>...</v>
      </c>
      <c r="E273" s="2"/>
      <c r="F273" s="3"/>
      <c r="G273" s="2"/>
      <c r="H273" s="4" t="str">
        <f>IF($I$224="Y","OR","...")</f>
        <v>...</v>
      </c>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row>
    <row r="274" spans="1:59" x14ac:dyDescent="0.25">
      <c r="A274" s="1" t="str">
        <f>IF($J$224="Y",'Population Definitions'!$A$4,"...")</f>
        <v>...</v>
      </c>
      <c r="B274" s="4" t="str">
        <f>IF($J$224="Y","---&gt;","...")</f>
        <v>...</v>
      </c>
      <c r="C274" s="1" t="str">
        <f>IF($J$224="Y",'Population Definitions'!$A$10,"...")</f>
        <v>...</v>
      </c>
      <c r="E274" s="2"/>
      <c r="F274" s="3"/>
      <c r="G274" s="2"/>
      <c r="H274" s="4" t="str">
        <f>IF($J$224="Y","OR","...")</f>
        <v>...</v>
      </c>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row>
    <row r="275" spans="1:59" x14ac:dyDescent="0.25">
      <c r="A275" s="1" t="str">
        <f>IF($K$224="Y",'Population Definitions'!$A$4,"...")</f>
        <v>...</v>
      </c>
      <c r="B275" s="4" t="str">
        <f>IF($K$224="Y","---&gt;","...")</f>
        <v>...</v>
      </c>
      <c r="C275" s="1" t="str">
        <f>IF($K$224="Y",'Population Definitions'!$A$11,"...")</f>
        <v>...</v>
      </c>
      <c r="E275" s="2"/>
      <c r="F275" s="3"/>
      <c r="G275" s="2"/>
      <c r="H275" s="4" t="str">
        <f>IF($K$224="Y","OR","...")</f>
        <v>...</v>
      </c>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row>
    <row r="276" spans="1:59" x14ac:dyDescent="0.25">
      <c r="A276" s="1" t="str">
        <f>IF($L$224="Y",'Population Definitions'!$A$4,"...")</f>
        <v>...</v>
      </c>
      <c r="B276" s="4" t="str">
        <f>IF($L$224="Y","---&gt;","...")</f>
        <v>...</v>
      </c>
      <c r="C276" s="1" t="str">
        <f>IF($L$224="Y",'Population Definitions'!$A$12,"...")</f>
        <v>...</v>
      </c>
      <c r="E276" s="2"/>
      <c r="F276" s="3"/>
      <c r="G276" s="2"/>
      <c r="H276" s="4" t="str">
        <f>IF($L$224="Y","OR","...")</f>
        <v>...</v>
      </c>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row>
    <row r="277" spans="1:59" x14ac:dyDescent="0.25">
      <c r="A277" s="1" t="str">
        <f>IF($M$224="Y",'Population Definitions'!$A$4,"...")</f>
        <v>...</v>
      </c>
      <c r="B277" s="4" t="str">
        <f>IF($M$224="Y","---&gt;","...")</f>
        <v>...</v>
      </c>
      <c r="C277" s="1" t="str">
        <f>IF($M$224="Y",'Population Definitions'!$A$13,"...")</f>
        <v>...</v>
      </c>
      <c r="E277" s="2"/>
      <c r="F277" s="3"/>
      <c r="G277" s="2"/>
      <c r="H277" s="4" t="str">
        <f>IF($M$224="Y","OR","...")</f>
        <v>...</v>
      </c>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row>
    <row r="278" spans="1:59" x14ac:dyDescent="0.25">
      <c r="A278" s="1" t="str">
        <f>IF($N$224="Y",'Population Definitions'!$A$4,"...")</f>
        <v>...</v>
      </c>
      <c r="B278" s="4" t="str">
        <f>IF($N$224="Y","---&gt;","...")</f>
        <v>...</v>
      </c>
      <c r="C278" s="1" t="str">
        <f>IF($N$224="Y",'Population Definitions'!$A$14,"...")</f>
        <v>...</v>
      </c>
      <c r="E278" s="2"/>
      <c r="F278" s="3"/>
      <c r="G278" s="2"/>
      <c r="H278" s="4" t="str">
        <f>IF($N$224="Y","OR","...")</f>
        <v>...</v>
      </c>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row>
    <row r="279" spans="1:59" x14ac:dyDescent="0.25">
      <c r="A279" s="1" t="str">
        <f>IF($O$224="Y",'Population Definitions'!$A$4,"...")</f>
        <v>...</v>
      </c>
      <c r="B279" s="4" t="str">
        <f>IF($O$224="Y","---&gt;","...")</f>
        <v>...</v>
      </c>
      <c r="C279" s="1" t="str">
        <f>IF($O$224="Y",'Population Definitions'!$A$15,"...")</f>
        <v>...</v>
      </c>
      <c r="E279" s="2"/>
      <c r="F279" s="3"/>
      <c r="G279" s="2"/>
      <c r="H279" s="4" t="str">
        <f>IF($O$224="Y","OR","...")</f>
        <v>...</v>
      </c>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row>
    <row r="280" spans="1:59" x14ac:dyDescent="0.25">
      <c r="A280" s="1" t="str">
        <f>IF($B$225="Y",'Population Definitions'!$A$5,"...")</f>
        <v>...</v>
      </c>
      <c r="B280" s="4" t="str">
        <f>IF($B$225="Y","---&gt;","...")</f>
        <v>...</v>
      </c>
      <c r="C280" s="1" t="str">
        <f>IF($B$225="Y",'Population Definitions'!$A$2,"...")</f>
        <v>...</v>
      </c>
      <c r="E280" s="2"/>
      <c r="F280" s="3"/>
      <c r="G280" s="2"/>
      <c r="H280" s="4" t="str">
        <f>IF($B$225="Y","OR","...")</f>
        <v>...</v>
      </c>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row>
    <row r="281" spans="1:59" x14ac:dyDescent="0.25">
      <c r="A281" s="1" t="str">
        <f>IF($C$225="Y",'Population Definitions'!$A$5,"...")</f>
        <v>...</v>
      </c>
      <c r="B281" s="4" t="str">
        <f>IF($C$225="Y","---&gt;","...")</f>
        <v>...</v>
      </c>
      <c r="C281" s="1" t="str">
        <f>IF($C$225="Y",'Population Definitions'!$A$3,"...")</f>
        <v>...</v>
      </c>
      <c r="E281" s="2"/>
      <c r="F281" s="3"/>
      <c r="G281" s="2"/>
      <c r="H281" s="4" t="str">
        <f>IF($C$225="Y","OR","...")</f>
        <v>...</v>
      </c>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row>
    <row r="282" spans="1:59" x14ac:dyDescent="0.25">
      <c r="A282" s="1" t="str">
        <f>IF($D$225="Y",'Population Definitions'!$A$5,"...")</f>
        <v>...</v>
      </c>
      <c r="B282" s="4" t="str">
        <f>IF($D$225="Y","---&gt;","...")</f>
        <v>...</v>
      </c>
      <c r="C282" s="1" t="str">
        <f>IF($D$225="Y",'Population Definitions'!$A$4,"...")</f>
        <v>...</v>
      </c>
      <c r="E282" s="2"/>
      <c r="F282" s="3"/>
      <c r="G282" s="2"/>
      <c r="H282" s="4" t="str">
        <f>IF($D$225="Y","OR","...")</f>
        <v>...</v>
      </c>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row>
    <row r="283" spans="1:59" x14ac:dyDescent="0.25">
      <c r="A283" s="1" t="str">
        <f>IF($E$225="Y",'Population Definitions'!$A$5,"...")</f>
        <v>...</v>
      </c>
      <c r="B283" s="4" t="str">
        <f>IF($E$225="Y","---&gt;","...")</f>
        <v>...</v>
      </c>
      <c r="C283" s="1" t="str">
        <f>IF($E$225="Y",'Population Definitions'!$A$5,"...")</f>
        <v>...</v>
      </c>
      <c r="E283" s="2"/>
      <c r="F283" s="3"/>
      <c r="G283" s="2"/>
      <c r="H283" s="4" t="str">
        <f>IF($E$225="Y","OR","...")</f>
        <v>...</v>
      </c>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row>
    <row r="284" spans="1:59" x14ac:dyDescent="0.25">
      <c r="A284" s="1" t="str">
        <f>IF($F$225="Y",'Population Definitions'!$A$5,"...")</f>
        <v>...</v>
      </c>
      <c r="B284" s="4" t="str">
        <f>IF($F$225="Y","---&gt;","...")</f>
        <v>...</v>
      </c>
      <c r="C284" s="1" t="str">
        <f>IF($F$225="Y",'Population Definitions'!$A$6,"...")</f>
        <v>...</v>
      </c>
      <c r="E284" s="2"/>
      <c r="F284" s="3"/>
      <c r="G284" s="2"/>
      <c r="H284" s="4" t="str">
        <f>IF($F$225="Y","OR","...")</f>
        <v>...</v>
      </c>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row>
    <row r="285" spans="1:59" x14ac:dyDescent="0.25">
      <c r="A285" s="1" t="str">
        <f>IF($G$225="Y",'Population Definitions'!$A$5,"...")</f>
        <v>...</v>
      </c>
      <c r="B285" s="4" t="str">
        <f>IF($G$225="Y","---&gt;","...")</f>
        <v>...</v>
      </c>
      <c r="C285" s="1" t="str">
        <f>IF($G$225="Y",'Population Definitions'!$A$7,"...")</f>
        <v>...</v>
      </c>
      <c r="E285" s="2"/>
      <c r="F285" s="3"/>
      <c r="G285" s="2"/>
      <c r="H285" s="4" t="str">
        <f>IF($G$225="Y","OR","...")</f>
        <v>...</v>
      </c>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row>
    <row r="286" spans="1:59" x14ac:dyDescent="0.25">
      <c r="A286" s="1" t="str">
        <f>IF($H$225="Y",'Population Definitions'!$A$5,"...")</f>
        <v>...</v>
      </c>
      <c r="B286" s="4" t="str">
        <f>IF($H$225="Y","---&gt;","...")</f>
        <v>...</v>
      </c>
      <c r="C286" s="1" t="str">
        <f>IF($H$225="Y",'Population Definitions'!$A$8,"...")</f>
        <v>...</v>
      </c>
      <c r="E286" s="2"/>
      <c r="F286" s="3"/>
      <c r="G286" s="2"/>
      <c r="H286" s="4" t="str">
        <f>IF($H$225="Y","OR","...")</f>
        <v>...</v>
      </c>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row>
    <row r="287" spans="1:59" x14ac:dyDescent="0.25">
      <c r="A287" s="1" t="str">
        <f>IF($I$225="Y",'Population Definitions'!$A$5,"...")</f>
        <v>...</v>
      </c>
      <c r="B287" s="4" t="str">
        <f>IF($I$225="Y","---&gt;","...")</f>
        <v>...</v>
      </c>
      <c r="C287" s="1" t="str">
        <f>IF($I$225="Y",'Population Definitions'!$A$9,"...")</f>
        <v>...</v>
      </c>
      <c r="E287" s="2"/>
      <c r="F287" s="3"/>
      <c r="G287" s="2"/>
      <c r="H287" s="4" t="str">
        <f>IF($I$225="Y","OR","...")</f>
        <v>...</v>
      </c>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row>
    <row r="288" spans="1:59" x14ac:dyDescent="0.25">
      <c r="A288" s="1" t="str">
        <f>IF($J$225="Y",'Population Definitions'!$A$5,"...")</f>
        <v>...</v>
      </c>
      <c r="B288" s="4" t="str">
        <f>IF($J$225="Y","---&gt;","...")</f>
        <v>...</v>
      </c>
      <c r="C288" s="1" t="str">
        <f>IF($J$225="Y",'Population Definitions'!$A$10,"...")</f>
        <v>...</v>
      </c>
      <c r="E288" s="2"/>
      <c r="F288" s="3"/>
      <c r="G288" s="2"/>
      <c r="H288" s="4" t="str">
        <f>IF($J$225="Y","OR","...")</f>
        <v>...</v>
      </c>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row>
    <row r="289" spans="1:59" x14ac:dyDescent="0.25">
      <c r="A289" s="1" t="str">
        <f>IF($K$225="Y",'Population Definitions'!$A$5,"...")</f>
        <v>...</v>
      </c>
      <c r="B289" s="4" t="str">
        <f>IF($K$225="Y","---&gt;","...")</f>
        <v>...</v>
      </c>
      <c r="C289" s="1" t="str">
        <f>IF($K$225="Y",'Population Definitions'!$A$11,"...")</f>
        <v>...</v>
      </c>
      <c r="E289" s="2"/>
      <c r="F289" s="3"/>
      <c r="G289" s="2"/>
      <c r="H289" s="4" t="str">
        <f>IF($K$225="Y","OR","...")</f>
        <v>...</v>
      </c>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row>
    <row r="290" spans="1:59" x14ac:dyDescent="0.25">
      <c r="A290" s="1" t="str">
        <f>IF($L$225="Y",'Population Definitions'!$A$5,"...")</f>
        <v>...</v>
      </c>
      <c r="B290" s="4" t="str">
        <f>IF($L$225="Y","---&gt;","...")</f>
        <v>...</v>
      </c>
      <c r="C290" s="1" t="str">
        <f>IF($L$225="Y",'Population Definitions'!$A$12,"...")</f>
        <v>...</v>
      </c>
      <c r="E290" s="2"/>
      <c r="F290" s="3"/>
      <c r="G290" s="2"/>
      <c r="H290" s="4" t="str">
        <f>IF($L$225="Y","OR","...")</f>
        <v>...</v>
      </c>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row>
    <row r="291" spans="1:59" x14ac:dyDescent="0.25">
      <c r="A291" s="1" t="str">
        <f>IF($M$225="Y",'Population Definitions'!$A$5,"...")</f>
        <v>...</v>
      </c>
      <c r="B291" s="4" t="str">
        <f>IF($M$225="Y","---&gt;","...")</f>
        <v>...</v>
      </c>
      <c r="C291" s="1" t="str">
        <f>IF($M$225="Y",'Population Definitions'!$A$13,"...")</f>
        <v>...</v>
      </c>
      <c r="E291" s="2"/>
      <c r="F291" s="3"/>
      <c r="G291" s="2"/>
      <c r="H291" s="4" t="str">
        <f>IF($M$225="Y","OR","...")</f>
        <v>...</v>
      </c>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row>
    <row r="292" spans="1:59" x14ac:dyDescent="0.25">
      <c r="A292" s="1" t="str">
        <f>IF($N$225="Y",'Population Definitions'!$A$5,"...")</f>
        <v>...</v>
      </c>
      <c r="B292" s="4" t="str">
        <f>IF($N$225="Y","---&gt;","...")</f>
        <v>...</v>
      </c>
      <c r="C292" s="1" t="str">
        <f>IF($N$225="Y",'Population Definitions'!$A$14,"...")</f>
        <v>...</v>
      </c>
      <c r="E292" s="2"/>
      <c r="F292" s="3"/>
      <c r="G292" s="2"/>
      <c r="H292" s="4" t="str">
        <f>IF($N$225="Y","OR","...")</f>
        <v>...</v>
      </c>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row>
    <row r="293" spans="1:59" x14ac:dyDescent="0.25">
      <c r="A293" s="1" t="str">
        <f>IF($O$225="Y",'Population Definitions'!$A$5,"...")</f>
        <v>...</v>
      </c>
      <c r="B293" s="4" t="str">
        <f>IF($O$225="Y","---&gt;","...")</f>
        <v>...</v>
      </c>
      <c r="C293" s="1" t="str">
        <f>IF($O$225="Y",'Population Definitions'!$A$15,"...")</f>
        <v>...</v>
      </c>
      <c r="E293" s="2"/>
      <c r="F293" s="3"/>
      <c r="G293" s="2"/>
      <c r="H293" s="4" t="str">
        <f>IF($O$225="Y","OR","...")</f>
        <v>...</v>
      </c>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row>
    <row r="294" spans="1:59" x14ac:dyDescent="0.25">
      <c r="A294" s="1" t="str">
        <f>IF($B$226="Y",'Population Definitions'!$A$6,"...")</f>
        <v>...</v>
      </c>
      <c r="B294" s="4" t="str">
        <f>IF($B$226="Y","---&gt;","...")</f>
        <v>...</v>
      </c>
      <c r="C294" s="1" t="str">
        <f>IF($B$226="Y",'Population Definitions'!$A$2,"...")</f>
        <v>...</v>
      </c>
      <c r="E294" s="2"/>
      <c r="F294" s="3"/>
      <c r="G294" s="2"/>
      <c r="H294" s="4" t="str">
        <f>IF($B$226="Y","OR","...")</f>
        <v>...</v>
      </c>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row>
    <row r="295" spans="1:59" x14ac:dyDescent="0.25">
      <c r="A295" s="1" t="str">
        <f>IF($C$226="Y",'Population Definitions'!$A$6,"...")</f>
        <v>...</v>
      </c>
      <c r="B295" s="4" t="str">
        <f>IF($C$226="Y","---&gt;","...")</f>
        <v>...</v>
      </c>
      <c r="C295" s="1" t="str">
        <f>IF($C$226="Y",'Population Definitions'!$A$3,"...")</f>
        <v>...</v>
      </c>
      <c r="E295" s="2"/>
      <c r="F295" s="3"/>
      <c r="G295" s="2"/>
      <c r="H295" s="4" t="str">
        <f>IF($C$226="Y","OR","...")</f>
        <v>...</v>
      </c>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row>
    <row r="296" spans="1:59" x14ac:dyDescent="0.25">
      <c r="A296" s="1" t="str">
        <f>IF($D$226="Y",'Population Definitions'!$A$6,"...")</f>
        <v>...</v>
      </c>
      <c r="B296" s="4" t="str">
        <f>IF($D$226="Y","---&gt;","...")</f>
        <v>...</v>
      </c>
      <c r="C296" s="1" t="str">
        <f>IF($D$226="Y",'Population Definitions'!$A$4,"...")</f>
        <v>...</v>
      </c>
      <c r="E296" s="2"/>
      <c r="F296" s="3"/>
      <c r="G296" s="2"/>
      <c r="H296" s="4" t="str">
        <f>IF($D$226="Y","OR","...")</f>
        <v>...</v>
      </c>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row>
    <row r="297" spans="1:59" x14ac:dyDescent="0.25">
      <c r="A297" s="1" t="str">
        <f>IF($E$226="Y",'Population Definitions'!$A$6,"...")</f>
        <v>...</v>
      </c>
      <c r="B297" s="4" t="str">
        <f>IF($E$226="Y","---&gt;","...")</f>
        <v>...</v>
      </c>
      <c r="C297" s="1" t="str">
        <f>IF($E$226="Y",'Population Definitions'!$A$5,"...")</f>
        <v>...</v>
      </c>
      <c r="E297" s="2"/>
      <c r="F297" s="3"/>
      <c r="G297" s="2"/>
      <c r="H297" s="4" t="str">
        <f>IF($E$226="Y","OR","...")</f>
        <v>...</v>
      </c>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row>
    <row r="298" spans="1:59" x14ac:dyDescent="0.25">
      <c r="A298" s="1" t="str">
        <f>IF($F$226="Y",'Population Definitions'!$A$6,"...")</f>
        <v>...</v>
      </c>
      <c r="B298" s="4" t="str">
        <f>IF($F$226="Y","---&gt;","...")</f>
        <v>...</v>
      </c>
      <c r="C298" s="1" t="str">
        <f>IF($F$226="Y",'Population Definitions'!$A$6,"...")</f>
        <v>...</v>
      </c>
      <c r="E298" s="2"/>
      <c r="F298" s="3"/>
      <c r="G298" s="2"/>
      <c r="H298" s="4" t="str">
        <f>IF($F$226="Y","OR","...")</f>
        <v>...</v>
      </c>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row>
    <row r="299" spans="1:59" x14ac:dyDescent="0.25">
      <c r="A299" s="1" t="str">
        <f>IF($G$226="Y",'Population Definitions'!$A$6,"...")</f>
        <v>...</v>
      </c>
      <c r="B299" s="4" t="str">
        <f>IF($G$226="Y","---&gt;","...")</f>
        <v>...</v>
      </c>
      <c r="C299" s="1" t="str">
        <f>IF($G$226="Y",'Population Definitions'!$A$7,"...")</f>
        <v>...</v>
      </c>
      <c r="E299" s="2"/>
      <c r="F299" s="3"/>
      <c r="G299" s="2"/>
      <c r="H299" s="4" t="str">
        <f>IF($G$226="Y","OR","...")</f>
        <v>...</v>
      </c>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row>
    <row r="300" spans="1:59" x14ac:dyDescent="0.25">
      <c r="A300" s="1" t="str">
        <f>IF($H$226="Y",'Population Definitions'!$A$6,"...")</f>
        <v>...</v>
      </c>
      <c r="B300" s="4" t="str">
        <f>IF($H$226="Y","---&gt;","...")</f>
        <v>...</v>
      </c>
      <c r="C300" s="1" t="str">
        <f>IF($H$226="Y",'Population Definitions'!$A$8,"...")</f>
        <v>...</v>
      </c>
      <c r="E300" s="2"/>
      <c r="F300" s="3"/>
      <c r="G300" s="2"/>
      <c r="H300" s="4" t="str">
        <f>IF($H$226="Y","OR","...")</f>
        <v>...</v>
      </c>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row>
    <row r="301" spans="1:59" x14ac:dyDescent="0.25">
      <c r="A301" s="1" t="str">
        <f>IF($I$226="Y",'Population Definitions'!$A$6,"...")</f>
        <v>...</v>
      </c>
      <c r="B301" s="4" t="str">
        <f>IF($I$226="Y","---&gt;","...")</f>
        <v>...</v>
      </c>
      <c r="C301" s="1" t="str">
        <f>IF($I$226="Y",'Population Definitions'!$A$9,"...")</f>
        <v>...</v>
      </c>
      <c r="E301" s="2"/>
      <c r="F301" s="3"/>
      <c r="G301" s="2"/>
      <c r="H301" s="4" t="str">
        <f>IF($I$226="Y","OR","...")</f>
        <v>...</v>
      </c>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row>
    <row r="302" spans="1:59" x14ac:dyDescent="0.25">
      <c r="A302" s="1" t="str">
        <f>IF($J$226="Y",'Population Definitions'!$A$6,"...")</f>
        <v>...</v>
      </c>
      <c r="B302" s="4" t="str">
        <f>IF($J$226="Y","---&gt;","...")</f>
        <v>...</v>
      </c>
      <c r="C302" s="1" t="str">
        <f>IF($J$226="Y",'Population Definitions'!$A$10,"...")</f>
        <v>...</v>
      </c>
      <c r="E302" s="2"/>
      <c r="F302" s="3"/>
      <c r="G302" s="2"/>
      <c r="H302" s="4" t="str">
        <f>IF($J$226="Y","OR","...")</f>
        <v>...</v>
      </c>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row>
    <row r="303" spans="1:59" x14ac:dyDescent="0.25">
      <c r="A303" s="1" t="str">
        <f>IF($K$226="Y",'Population Definitions'!$A$6,"...")</f>
        <v>...</v>
      </c>
      <c r="B303" s="4" t="str">
        <f>IF($K$226="Y","---&gt;","...")</f>
        <v>...</v>
      </c>
      <c r="C303" s="1" t="str">
        <f>IF($K$226="Y",'Population Definitions'!$A$11,"...")</f>
        <v>...</v>
      </c>
      <c r="E303" s="2"/>
      <c r="F303" s="3"/>
      <c r="G303" s="2"/>
      <c r="H303" s="4" t="str">
        <f>IF($K$226="Y","OR","...")</f>
        <v>...</v>
      </c>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row>
    <row r="304" spans="1:59" x14ac:dyDescent="0.25">
      <c r="A304" s="1" t="str">
        <f>IF($L$226="Y",'Population Definitions'!$A$6,"...")</f>
        <v>...</v>
      </c>
      <c r="B304" s="4" t="str">
        <f>IF($L$226="Y","---&gt;","...")</f>
        <v>...</v>
      </c>
      <c r="C304" s="1" t="str">
        <f>IF($L$226="Y",'Population Definitions'!$A$12,"...")</f>
        <v>...</v>
      </c>
      <c r="E304" s="2"/>
      <c r="F304" s="3"/>
      <c r="G304" s="2"/>
      <c r="H304" s="4" t="str">
        <f>IF($L$226="Y","OR","...")</f>
        <v>...</v>
      </c>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row>
    <row r="305" spans="1:59" x14ac:dyDescent="0.25">
      <c r="A305" s="1" t="str">
        <f>IF($M$226="Y",'Population Definitions'!$A$6,"...")</f>
        <v>...</v>
      </c>
      <c r="B305" s="4" t="str">
        <f>IF($M$226="Y","---&gt;","...")</f>
        <v>...</v>
      </c>
      <c r="C305" s="1" t="str">
        <f>IF($M$226="Y",'Population Definitions'!$A$13,"...")</f>
        <v>...</v>
      </c>
      <c r="E305" s="2"/>
      <c r="F305" s="3"/>
      <c r="G305" s="2"/>
      <c r="H305" s="4" t="str">
        <f>IF($M$226="Y","OR","...")</f>
        <v>...</v>
      </c>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row>
    <row r="306" spans="1:59" x14ac:dyDescent="0.25">
      <c r="A306" s="1" t="str">
        <f>IF($N$226="Y",'Population Definitions'!$A$6,"...")</f>
        <v>...</v>
      </c>
      <c r="B306" s="4" t="str">
        <f>IF($N$226="Y","---&gt;","...")</f>
        <v>...</v>
      </c>
      <c r="C306" s="1" t="str">
        <f>IF($N$226="Y",'Population Definitions'!$A$14,"...")</f>
        <v>...</v>
      </c>
      <c r="E306" s="2"/>
      <c r="F306" s="3"/>
      <c r="G306" s="2"/>
      <c r="H306" s="4" t="str">
        <f>IF($N$226="Y","OR","...")</f>
        <v>...</v>
      </c>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row>
    <row r="307" spans="1:59" x14ac:dyDescent="0.25">
      <c r="A307" s="1" t="str">
        <f>IF($O$226="Y",'Population Definitions'!$A$6,"...")</f>
        <v>...</v>
      </c>
      <c r="B307" s="4" t="str">
        <f>IF($O$226="Y","---&gt;","...")</f>
        <v>...</v>
      </c>
      <c r="C307" s="1" t="str">
        <f>IF($O$226="Y",'Population Definitions'!$A$15,"...")</f>
        <v>...</v>
      </c>
      <c r="E307" s="2"/>
      <c r="F307" s="3"/>
      <c r="G307" s="2"/>
      <c r="H307" s="4" t="str">
        <f>IF($O$226="Y","OR","...")</f>
        <v>...</v>
      </c>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row>
    <row r="308" spans="1:59" x14ac:dyDescent="0.25">
      <c r="A308" s="1" t="str">
        <f>IF($B$227="Y",'Population Definitions'!$A$7,"...")</f>
        <v>...</v>
      </c>
      <c r="B308" s="4" t="str">
        <f>IF($B$227="Y","---&gt;","...")</f>
        <v>...</v>
      </c>
      <c r="C308" s="1" t="str">
        <f>IF($B$227="Y",'Population Definitions'!$A$2,"...")</f>
        <v>...</v>
      </c>
      <c r="E308" s="2"/>
      <c r="F308" s="3"/>
      <c r="G308" s="2"/>
      <c r="H308" s="4" t="str">
        <f>IF($B$227="Y","OR","...")</f>
        <v>...</v>
      </c>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row>
    <row r="309" spans="1:59" x14ac:dyDescent="0.25">
      <c r="A309" s="1" t="str">
        <f>IF($C$227="Y",'Population Definitions'!$A$7,"...")</f>
        <v>...</v>
      </c>
      <c r="B309" s="4" t="str">
        <f>IF($C$227="Y","---&gt;","...")</f>
        <v>...</v>
      </c>
      <c r="C309" s="1" t="str">
        <f>IF($C$227="Y",'Population Definitions'!$A$3,"...")</f>
        <v>...</v>
      </c>
      <c r="E309" s="2"/>
      <c r="F309" s="3"/>
      <c r="G309" s="2"/>
      <c r="H309" s="4" t="str">
        <f>IF($C$227="Y","OR","...")</f>
        <v>...</v>
      </c>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row>
    <row r="310" spans="1:59" x14ac:dyDescent="0.25">
      <c r="A310" s="1" t="str">
        <f>IF($D$227="Y",'Population Definitions'!$A$7,"...")</f>
        <v>...</v>
      </c>
      <c r="B310" s="4" t="str">
        <f>IF($D$227="Y","---&gt;","...")</f>
        <v>...</v>
      </c>
      <c r="C310" s="1" t="str">
        <f>IF($D$227="Y",'Population Definitions'!$A$4,"...")</f>
        <v>...</v>
      </c>
      <c r="E310" s="2"/>
      <c r="F310" s="3"/>
      <c r="G310" s="2"/>
      <c r="H310" s="4" t="str">
        <f>IF($D$227="Y","OR","...")</f>
        <v>...</v>
      </c>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row>
    <row r="311" spans="1:59" x14ac:dyDescent="0.25">
      <c r="A311" s="1" t="str">
        <f>IF($E$227="Y",'Population Definitions'!$A$7,"...")</f>
        <v>...</v>
      </c>
      <c r="B311" s="4" t="str">
        <f>IF($E$227="Y","---&gt;","...")</f>
        <v>...</v>
      </c>
      <c r="C311" s="1" t="str">
        <f>IF($E$227="Y",'Population Definitions'!$A$5,"...")</f>
        <v>...</v>
      </c>
      <c r="E311" s="2"/>
      <c r="F311" s="3"/>
      <c r="G311" s="2"/>
      <c r="H311" s="4" t="str">
        <f>IF($E$227="Y","OR","...")</f>
        <v>...</v>
      </c>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row>
    <row r="312" spans="1:59" x14ac:dyDescent="0.25">
      <c r="A312" s="1" t="str">
        <f>IF($F$227="Y",'Population Definitions'!$A$7,"...")</f>
        <v>...</v>
      </c>
      <c r="B312" s="4" t="str">
        <f>IF($F$227="Y","---&gt;","...")</f>
        <v>...</v>
      </c>
      <c r="C312" s="1" t="str">
        <f>IF($F$227="Y",'Population Definitions'!$A$6,"...")</f>
        <v>...</v>
      </c>
      <c r="E312" s="2"/>
      <c r="F312" s="3"/>
      <c r="G312" s="2"/>
      <c r="H312" s="4" t="str">
        <f>IF($F$227="Y","OR","...")</f>
        <v>...</v>
      </c>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row>
    <row r="313" spans="1:59" x14ac:dyDescent="0.25">
      <c r="A313" s="1" t="str">
        <f>IF($G$227="Y",'Population Definitions'!$A$7,"...")</f>
        <v>...</v>
      </c>
      <c r="B313" s="4" t="str">
        <f>IF($G$227="Y","---&gt;","...")</f>
        <v>...</v>
      </c>
      <c r="C313" s="1" t="str">
        <f>IF($G$227="Y",'Population Definitions'!$A$7,"...")</f>
        <v>...</v>
      </c>
      <c r="E313" s="2"/>
      <c r="F313" s="3"/>
      <c r="G313" s="2"/>
      <c r="H313" s="4" t="str">
        <f>IF($G$227="Y","OR","...")</f>
        <v>...</v>
      </c>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row>
    <row r="314" spans="1:59" x14ac:dyDescent="0.25">
      <c r="A314" s="1" t="str">
        <f>IF($H$227="Y",'Population Definitions'!$A$7,"...")</f>
        <v>...</v>
      </c>
      <c r="B314" s="4" t="str">
        <f>IF($H$227="Y","---&gt;","...")</f>
        <v>...</v>
      </c>
      <c r="C314" s="1" t="str">
        <f>IF($H$227="Y",'Population Definitions'!$A$8,"...")</f>
        <v>...</v>
      </c>
      <c r="E314" s="2"/>
      <c r="F314" s="3"/>
      <c r="G314" s="2"/>
      <c r="H314" s="4" t="str">
        <f>IF($H$227="Y","OR","...")</f>
        <v>...</v>
      </c>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row>
    <row r="315" spans="1:59" x14ac:dyDescent="0.25">
      <c r="A315" s="1" t="str">
        <f>IF($I$227="Y",'Population Definitions'!$A$7,"...")</f>
        <v>...</v>
      </c>
      <c r="B315" s="4" t="str">
        <f>IF($I$227="Y","---&gt;","...")</f>
        <v>...</v>
      </c>
      <c r="C315" s="1" t="str">
        <f>IF($I$227="Y",'Population Definitions'!$A$9,"...")</f>
        <v>...</v>
      </c>
      <c r="E315" s="2"/>
      <c r="F315" s="3"/>
      <c r="G315" s="2"/>
      <c r="H315" s="4" t="str">
        <f>IF($I$227="Y","OR","...")</f>
        <v>...</v>
      </c>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row>
    <row r="316" spans="1:59" x14ac:dyDescent="0.25">
      <c r="A316" s="1" t="str">
        <f>IF($J$227="Y",'Population Definitions'!$A$7,"...")</f>
        <v>...</v>
      </c>
      <c r="B316" s="4" t="str">
        <f>IF($J$227="Y","---&gt;","...")</f>
        <v>...</v>
      </c>
      <c r="C316" s="1" t="str">
        <f>IF($J$227="Y",'Population Definitions'!$A$10,"...")</f>
        <v>...</v>
      </c>
      <c r="E316" s="2"/>
      <c r="F316" s="3"/>
      <c r="G316" s="2"/>
      <c r="H316" s="4" t="str">
        <f>IF($J$227="Y","OR","...")</f>
        <v>...</v>
      </c>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row>
    <row r="317" spans="1:59" x14ac:dyDescent="0.25">
      <c r="A317" s="1" t="str">
        <f>IF($K$227="Y",'Population Definitions'!$A$7,"...")</f>
        <v>...</v>
      </c>
      <c r="B317" s="4" t="str">
        <f>IF($K$227="Y","---&gt;","...")</f>
        <v>...</v>
      </c>
      <c r="C317" s="1" t="str">
        <f>IF($K$227="Y",'Population Definitions'!$A$11,"...")</f>
        <v>...</v>
      </c>
      <c r="E317" s="2"/>
      <c r="F317" s="3"/>
      <c r="G317" s="2"/>
      <c r="H317" s="4" t="str">
        <f>IF($K$227="Y","OR","...")</f>
        <v>...</v>
      </c>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row>
    <row r="318" spans="1:59" x14ac:dyDescent="0.25">
      <c r="A318" s="1" t="str">
        <f>IF($L$227="Y",'Population Definitions'!$A$7,"...")</f>
        <v>...</v>
      </c>
      <c r="B318" s="4" t="str">
        <f>IF($L$227="Y","---&gt;","...")</f>
        <v>...</v>
      </c>
      <c r="C318" s="1" t="str">
        <f>IF($L$227="Y",'Population Definitions'!$A$12,"...")</f>
        <v>...</v>
      </c>
      <c r="E318" s="2"/>
      <c r="F318" s="3"/>
      <c r="G318" s="2"/>
      <c r="H318" s="4" t="str">
        <f>IF($L$227="Y","OR","...")</f>
        <v>...</v>
      </c>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row>
    <row r="319" spans="1:59" x14ac:dyDescent="0.25">
      <c r="A319" s="1" t="str">
        <f>IF($M$227="Y",'Population Definitions'!$A$7,"...")</f>
        <v>...</v>
      </c>
      <c r="B319" s="4" t="str">
        <f>IF($M$227="Y","---&gt;","...")</f>
        <v>...</v>
      </c>
      <c r="C319" s="1" t="str">
        <f>IF($M$227="Y",'Population Definitions'!$A$13,"...")</f>
        <v>...</v>
      </c>
      <c r="E319" s="2"/>
      <c r="F319" s="3"/>
      <c r="G319" s="2"/>
      <c r="H319" s="4" t="str">
        <f>IF($M$227="Y","OR","...")</f>
        <v>...</v>
      </c>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row>
    <row r="320" spans="1:59" x14ac:dyDescent="0.25">
      <c r="A320" s="1" t="str">
        <f>IF($N$227="Y",'Population Definitions'!$A$7,"...")</f>
        <v>...</v>
      </c>
      <c r="B320" s="4" t="str">
        <f>IF($N$227="Y","---&gt;","...")</f>
        <v>...</v>
      </c>
      <c r="C320" s="1" t="str">
        <f>IF($N$227="Y",'Population Definitions'!$A$14,"...")</f>
        <v>...</v>
      </c>
      <c r="E320" s="2"/>
      <c r="F320" s="3"/>
      <c r="G320" s="2"/>
      <c r="H320" s="4" t="str">
        <f>IF($N$227="Y","OR","...")</f>
        <v>...</v>
      </c>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row>
    <row r="321" spans="1:59" x14ac:dyDescent="0.25">
      <c r="A321" s="1" t="str">
        <f>IF($O$227="Y",'Population Definitions'!$A$7,"...")</f>
        <v>...</v>
      </c>
      <c r="B321" s="4" t="str">
        <f>IF($O$227="Y","---&gt;","...")</f>
        <v>...</v>
      </c>
      <c r="C321" s="1" t="str">
        <f>IF($O$227="Y",'Population Definitions'!$A$15,"...")</f>
        <v>...</v>
      </c>
      <c r="E321" s="2"/>
      <c r="F321" s="3"/>
      <c r="G321" s="2"/>
      <c r="H321" s="4" t="str">
        <f>IF($O$227="Y","OR","...")</f>
        <v>...</v>
      </c>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row>
    <row r="322" spans="1:59" x14ac:dyDescent="0.25">
      <c r="A322" s="1" t="str">
        <f>IF($B$228="Y",'Population Definitions'!$A$8,"...")</f>
        <v>18-64_males</v>
      </c>
      <c r="B322" s="4" t="str">
        <f>IF($B$228="Y","---&gt;","...")</f>
        <v>---&gt;</v>
      </c>
      <c r="C322" s="1" t="str">
        <f>IF($B$228="Y",'Population Definitions'!$A$2,"...")</f>
        <v>PWID_males</v>
      </c>
      <c r="E322" s="3" t="s">
        <v>55</v>
      </c>
      <c r="F322" s="3"/>
      <c r="G322" s="3">
        <v>7.0365768949573579E-5</v>
      </c>
      <c r="H322" s="4" t="str">
        <f>IF($B$228="Y","OR","...")</f>
        <v>OR</v>
      </c>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row>
    <row r="323" spans="1:59" x14ac:dyDescent="0.25">
      <c r="A323" s="1" t="str">
        <f>IF($C$228="Y",'Population Definitions'!$A$8,"...")</f>
        <v>...</v>
      </c>
      <c r="B323" s="4" t="str">
        <f>IF($C$228="Y","---&gt;","...")</f>
        <v>...</v>
      </c>
      <c r="C323" s="1" t="str">
        <f>IF($C$228="Y",'Population Definitions'!$A$3,"...")</f>
        <v>...</v>
      </c>
      <c r="E323" s="2"/>
      <c r="F323" s="3"/>
      <c r="G323" s="2"/>
      <c r="H323" s="4" t="str">
        <f>IF($C$228="Y","OR","...")</f>
        <v>...</v>
      </c>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row>
    <row r="324" spans="1:59" x14ac:dyDescent="0.25">
      <c r="A324" s="1" t="str">
        <f>IF($D$228="Y",'Population Definitions'!$A$8,"...")</f>
        <v>...</v>
      </c>
      <c r="B324" s="4" t="str">
        <f>IF($D$228="Y","---&gt;","...")</f>
        <v>...</v>
      </c>
      <c r="C324" s="1" t="str">
        <f>IF($D$228="Y",'Population Definitions'!$A$4,"...")</f>
        <v>...</v>
      </c>
      <c r="E324" s="2"/>
      <c r="F324" s="3"/>
      <c r="G324" s="2"/>
      <c r="H324" s="4" t="str">
        <f>IF($D$228="Y","OR","...")</f>
        <v>...</v>
      </c>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row>
    <row r="325" spans="1:59" x14ac:dyDescent="0.25">
      <c r="A325" s="1" t="str">
        <f>IF($E$228="Y",'Population Definitions'!$A$8,"...")</f>
        <v>...</v>
      </c>
      <c r="B325" s="4" t="str">
        <f>IF($E$228="Y","---&gt;","...")</f>
        <v>...</v>
      </c>
      <c r="C325" s="1" t="str">
        <f>IF($E$228="Y",'Population Definitions'!$A$5,"...")</f>
        <v>...</v>
      </c>
      <c r="E325" s="2"/>
      <c r="F325" s="3"/>
      <c r="G325" s="2"/>
      <c r="H325" s="4" t="str">
        <f>IF($E$228="Y","OR","...")</f>
        <v>...</v>
      </c>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row>
    <row r="326" spans="1:59" x14ac:dyDescent="0.25">
      <c r="A326" s="1" t="str">
        <f>IF($F$228="Y",'Population Definitions'!$A$8,"...")</f>
        <v>...</v>
      </c>
      <c r="B326" s="4" t="str">
        <f>IF($F$228="Y","---&gt;","...")</f>
        <v>...</v>
      </c>
      <c r="C326" s="1" t="str">
        <f>IF($F$228="Y",'Population Definitions'!$A$6,"...")</f>
        <v>...</v>
      </c>
      <c r="E326" s="2"/>
      <c r="F326" s="3"/>
      <c r="G326" s="2"/>
      <c r="H326" s="4" t="str">
        <f>IF($F$228="Y","OR","...")</f>
        <v>...</v>
      </c>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row>
    <row r="327" spans="1:59" x14ac:dyDescent="0.25">
      <c r="A327" s="1" t="str">
        <f>IF($G$228="Y",'Population Definitions'!$A$8,"...")</f>
        <v>...</v>
      </c>
      <c r="B327" s="4" t="str">
        <f>IF($G$228="Y","---&gt;","...")</f>
        <v>...</v>
      </c>
      <c r="C327" s="1" t="str">
        <f>IF($G$228="Y",'Population Definitions'!$A$7,"...")</f>
        <v>...</v>
      </c>
      <c r="E327" s="2"/>
      <c r="F327" s="3"/>
      <c r="G327" s="2"/>
      <c r="H327" s="4" t="str">
        <f>IF($G$228="Y","OR","...")</f>
        <v>...</v>
      </c>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row>
    <row r="328" spans="1:59" x14ac:dyDescent="0.25">
      <c r="A328" s="1" t="str">
        <f>IF($H$228="Y",'Population Definitions'!$A$8,"...")</f>
        <v>...</v>
      </c>
      <c r="B328" s="4" t="str">
        <f>IF($H$228="Y","---&gt;","...")</f>
        <v>...</v>
      </c>
      <c r="C328" s="1" t="str">
        <f>IF($H$228="Y",'Population Definitions'!$A$8,"...")</f>
        <v>...</v>
      </c>
      <c r="E328" s="2"/>
      <c r="F328" s="3"/>
      <c r="G328" s="2"/>
      <c r="H328" s="4" t="str">
        <f>IF($H$228="Y","OR","...")</f>
        <v>...</v>
      </c>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row>
    <row r="329" spans="1:59" x14ac:dyDescent="0.25">
      <c r="A329" s="1" t="str">
        <f>IF($I$228="Y",'Population Definitions'!$A$8,"...")</f>
        <v>...</v>
      </c>
      <c r="B329" s="4" t="str">
        <f>IF($I$228="Y","---&gt;","...")</f>
        <v>...</v>
      </c>
      <c r="C329" s="1" t="str">
        <f>IF($I$228="Y",'Population Definitions'!$A$9,"...")</f>
        <v>...</v>
      </c>
      <c r="E329" s="2"/>
      <c r="F329" s="3"/>
      <c r="G329" s="2"/>
      <c r="H329" s="4" t="str">
        <f>IF($I$228="Y","OR","...")</f>
        <v>...</v>
      </c>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row>
    <row r="330" spans="1:59" x14ac:dyDescent="0.25">
      <c r="A330" s="1" t="str">
        <f>IF($J$228="Y",'Population Definitions'!$A$8,"...")</f>
        <v>...</v>
      </c>
      <c r="B330" s="4" t="str">
        <f>IF($J$228="Y","---&gt;","...")</f>
        <v>...</v>
      </c>
      <c r="C330" s="1" t="str">
        <f>IF($J$228="Y",'Population Definitions'!$A$10,"...")</f>
        <v>...</v>
      </c>
      <c r="E330" s="2"/>
      <c r="F330" s="3"/>
      <c r="G330" s="2"/>
      <c r="H330" s="4" t="str">
        <f>IF($J$228="Y","OR","...")</f>
        <v>...</v>
      </c>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row>
    <row r="331" spans="1:59" x14ac:dyDescent="0.25">
      <c r="A331" s="1" t="str">
        <f>IF($K$228="Y",'Population Definitions'!$A$8,"...")</f>
        <v>...</v>
      </c>
      <c r="B331" s="4" t="str">
        <f>IF($K$228="Y","---&gt;","...")</f>
        <v>...</v>
      </c>
      <c r="C331" s="1" t="str">
        <f>IF($K$228="Y",'Population Definitions'!$A$11,"...")</f>
        <v>...</v>
      </c>
      <c r="E331" s="2"/>
      <c r="F331" s="3"/>
      <c r="G331" s="2"/>
      <c r="H331" s="4" t="str">
        <f>IF($K$228="Y","OR","...")</f>
        <v>...</v>
      </c>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row>
    <row r="332" spans="1:59" x14ac:dyDescent="0.25">
      <c r="A332" s="1" t="str">
        <f>IF($L$228="Y",'Population Definitions'!$A$8,"...")</f>
        <v>...</v>
      </c>
      <c r="B332" s="4" t="str">
        <f>IF($L$228="Y","---&gt;","...")</f>
        <v>...</v>
      </c>
      <c r="C332" s="1" t="str">
        <f>IF($L$228="Y",'Population Definitions'!$A$12,"...")</f>
        <v>...</v>
      </c>
      <c r="E332" s="2"/>
      <c r="F332" s="3"/>
      <c r="G332" s="2"/>
      <c r="H332" s="4" t="str">
        <f>IF($L$228="Y","OR","...")</f>
        <v>...</v>
      </c>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row>
    <row r="333" spans="1:59" x14ac:dyDescent="0.25">
      <c r="A333" s="1" t="str">
        <f>IF($M$228="Y",'Population Definitions'!$A$8,"...")</f>
        <v>...</v>
      </c>
      <c r="B333" s="4" t="str">
        <f>IF($M$228="Y","---&gt;","...")</f>
        <v>...</v>
      </c>
      <c r="C333" s="1" t="str">
        <f>IF($M$228="Y",'Population Definitions'!$A$13,"...")</f>
        <v>...</v>
      </c>
      <c r="E333" s="2"/>
      <c r="F333" s="3"/>
      <c r="G333" s="2"/>
      <c r="H333" s="4" t="str">
        <f>IF($M$228="Y","OR","...")</f>
        <v>...</v>
      </c>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row>
    <row r="334" spans="1:59" x14ac:dyDescent="0.25">
      <c r="A334" s="1" t="str">
        <f>IF($N$228="Y",'Population Definitions'!$A$8,"...")</f>
        <v>...</v>
      </c>
      <c r="B334" s="4" t="str">
        <f>IF($N$228="Y","---&gt;","...")</f>
        <v>...</v>
      </c>
      <c r="C334" s="1" t="str">
        <f>IF($N$228="Y",'Population Definitions'!$A$14,"...")</f>
        <v>...</v>
      </c>
      <c r="E334" s="2"/>
      <c r="F334" s="3"/>
      <c r="G334" s="2"/>
      <c r="H334" s="4" t="str">
        <f>IF($N$228="Y","OR","...")</f>
        <v>...</v>
      </c>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row>
    <row r="335" spans="1:59" x14ac:dyDescent="0.25">
      <c r="A335" s="1" t="str">
        <f>IF($O$228="Y",'Population Definitions'!$A$8,"...")</f>
        <v>...</v>
      </c>
      <c r="B335" s="4" t="str">
        <f>IF($O$228="Y","---&gt;","...")</f>
        <v>...</v>
      </c>
      <c r="C335" s="1" t="str">
        <f>IF($O$228="Y",'Population Definitions'!$A$15,"...")</f>
        <v>...</v>
      </c>
      <c r="E335" s="2"/>
      <c r="F335" s="3"/>
      <c r="G335" s="2"/>
      <c r="H335" s="4" t="str">
        <f>IF($O$228="Y","OR","...")</f>
        <v>...</v>
      </c>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row>
    <row r="336" spans="1:59" x14ac:dyDescent="0.25">
      <c r="A336" s="1" t="str">
        <f>IF($B$229="Y",'Population Definitions'!$A$9,"...")</f>
        <v>...</v>
      </c>
      <c r="B336" s="4" t="str">
        <f>IF($B$229="Y","---&gt;","...")</f>
        <v>...</v>
      </c>
      <c r="C336" s="1" t="str">
        <f>IF($B$229="Y",'Population Definitions'!$A$2,"...")</f>
        <v>...</v>
      </c>
      <c r="E336" s="2"/>
      <c r="F336" s="3"/>
      <c r="G336" s="2"/>
      <c r="H336" s="4" t="str">
        <f>IF($B$229="Y","OR","...")</f>
        <v>...</v>
      </c>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row>
    <row r="337" spans="1:59" x14ac:dyDescent="0.25">
      <c r="A337" s="1" t="str">
        <f>IF($C$229="Y",'Population Definitions'!$A$9,"...")</f>
        <v>18-64_females</v>
      </c>
      <c r="B337" s="4" t="str">
        <f>IF($C$229="Y","---&gt;","...")</f>
        <v>---&gt;</v>
      </c>
      <c r="C337" s="1" t="str">
        <f>IF($C$229="Y",'Population Definitions'!$A$3,"...")</f>
        <v>PWID_females</v>
      </c>
      <c r="E337" s="3" t="s">
        <v>55</v>
      </c>
      <c r="F337" s="3"/>
      <c r="G337" s="3">
        <v>3.3872631683119588E-6</v>
      </c>
      <c r="H337" s="4" t="str">
        <f>IF($C$229="Y","OR","...")</f>
        <v>OR</v>
      </c>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row>
    <row r="338" spans="1:59" x14ac:dyDescent="0.25">
      <c r="A338" s="1" t="str">
        <f>IF($D$229="Y",'Population Definitions'!$A$9,"...")</f>
        <v>...</v>
      </c>
      <c r="B338" s="4" t="str">
        <f>IF($D$229="Y","---&gt;","...")</f>
        <v>...</v>
      </c>
      <c r="C338" s="1" t="str">
        <f>IF($D$229="Y",'Population Definitions'!$A$4,"...")</f>
        <v>...</v>
      </c>
      <c r="E338" s="2"/>
      <c r="F338" s="3"/>
      <c r="G338" s="2"/>
      <c r="H338" s="4" t="str">
        <f>IF($D$229="Y","OR","...")</f>
        <v>...</v>
      </c>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row>
    <row r="339" spans="1:59" x14ac:dyDescent="0.25">
      <c r="A339" s="1" t="str">
        <f>IF($E$229="Y",'Population Definitions'!$A$9,"...")</f>
        <v>...</v>
      </c>
      <c r="B339" s="4" t="str">
        <f>IF($E$229="Y","---&gt;","...")</f>
        <v>...</v>
      </c>
      <c r="C339" s="1" t="str">
        <f>IF($E$229="Y",'Population Definitions'!$A$5,"...")</f>
        <v>...</v>
      </c>
      <c r="E339" s="2"/>
      <c r="F339" s="3"/>
      <c r="G339" s="2"/>
      <c r="H339" s="4" t="str">
        <f>IF($E$229="Y","OR","...")</f>
        <v>...</v>
      </c>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row>
    <row r="340" spans="1:59" x14ac:dyDescent="0.25">
      <c r="A340" s="1" t="str">
        <f>IF($F$229="Y",'Population Definitions'!$A$9,"...")</f>
        <v>...</v>
      </c>
      <c r="B340" s="4" t="str">
        <f>IF($F$229="Y","---&gt;","...")</f>
        <v>...</v>
      </c>
      <c r="C340" s="1" t="str">
        <f>IF($F$229="Y",'Population Definitions'!$A$6,"...")</f>
        <v>...</v>
      </c>
      <c r="E340" s="2"/>
      <c r="F340" s="3"/>
      <c r="G340" s="2"/>
      <c r="H340" s="4" t="str">
        <f>IF($F$229="Y","OR","...")</f>
        <v>...</v>
      </c>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row>
    <row r="341" spans="1:59" x14ac:dyDescent="0.25">
      <c r="A341" s="1" t="str">
        <f>IF($G$229="Y",'Population Definitions'!$A$9,"...")</f>
        <v>...</v>
      </c>
      <c r="B341" s="4" t="str">
        <f>IF($G$229="Y","---&gt;","...")</f>
        <v>...</v>
      </c>
      <c r="C341" s="1" t="str">
        <f>IF($G$229="Y",'Population Definitions'!$A$7,"...")</f>
        <v>...</v>
      </c>
      <c r="E341" s="2"/>
      <c r="F341" s="3"/>
      <c r="G341" s="2"/>
      <c r="H341" s="4" t="str">
        <f>IF($G$229="Y","OR","...")</f>
        <v>...</v>
      </c>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row>
    <row r="342" spans="1:59" x14ac:dyDescent="0.25">
      <c r="A342" s="1" t="str">
        <f>IF($H$229="Y",'Population Definitions'!$A$9,"...")</f>
        <v>...</v>
      </c>
      <c r="B342" s="4" t="str">
        <f>IF($H$229="Y","---&gt;","...")</f>
        <v>...</v>
      </c>
      <c r="C342" s="1" t="str">
        <f>IF($H$229="Y",'Population Definitions'!$A$8,"...")</f>
        <v>...</v>
      </c>
      <c r="E342" s="2"/>
      <c r="F342" s="3"/>
      <c r="G342" s="2"/>
      <c r="H342" s="4" t="str">
        <f>IF($H$229="Y","OR","...")</f>
        <v>...</v>
      </c>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row>
    <row r="343" spans="1:59" x14ac:dyDescent="0.25">
      <c r="A343" s="1" t="str">
        <f>IF($I$229="Y",'Population Definitions'!$A$9,"...")</f>
        <v>...</v>
      </c>
      <c r="B343" s="4" t="str">
        <f>IF($I$229="Y","---&gt;","...")</f>
        <v>...</v>
      </c>
      <c r="C343" s="1" t="str">
        <f>IF($I$229="Y",'Population Definitions'!$A$9,"...")</f>
        <v>...</v>
      </c>
      <c r="E343" s="2"/>
      <c r="F343" s="3"/>
      <c r="G343" s="2"/>
      <c r="H343" s="4" t="str">
        <f>IF($I$229="Y","OR","...")</f>
        <v>...</v>
      </c>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row>
    <row r="344" spans="1:59" x14ac:dyDescent="0.25">
      <c r="A344" s="1" t="str">
        <f>IF($J$229="Y",'Population Definitions'!$A$9,"...")</f>
        <v>...</v>
      </c>
      <c r="B344" s="4" t="str">
        <f>IF($J$229="Y","---&gt;","...")</f>
        <v>...</v>
      </c>
      <c r="C344" s="1" t="str">
        <f>IF($J$229="Y",'Population Definitions'!$A$10,"...")</f>
        <v>...</v>
      </c>
      <c r="E344" s="2"/>
      <c r="F344" s="3"/>
      <c r="G344" s="2"/>
      <c r="H344" s="4" t="str">
        <f>IF($J$229="Y","OR","...")</f>
        <v>...</v>
      </c>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row>
    <row r="345" spans="1:59" x14ac:dyDescent="0.25">
      <c r="A345" s="1" t="str">
        <f>IF($K$229="Y",'Population Definitions'!$A$9,"...")</f>
        <v>...</v>
      </c>
      <c r="B345" s="4" t="str">
        <f>IF($K$229="Y","---&gt;","...")</f>
        <v>...</v>
      </c>
      <c r="C345" s="1" t="str">
        <f>IF($K$229="Y",'Population Definitions'!$A$11,"...")</f>
        <v>...</v>
      </c>
      <c r="E345" s="2"/>
      <c r="F345" s="3"/>
      <c r="G345" s="2"/>
      <c r="H345" s="4" t="str">
        <f>IF($K$229="Y","OR","...")</f>
        <v>...</v>
      </c>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row>
    <row r="346" spans="1:59" x14ac:dyDescent="0.25">
      <c r="A346" s="1" t="str">
        <f>IF($L$229="Y",'Population Definitions'!$A$9,"...")</f>
        <v>...</v>
      </c>
      <c r="B346" s="4" t="str">
        <f>IF($L$229="Y","---&gt;","...")</f>
        <v>...</v>
      </c>
      <c r="C346" s="1" t="str">
        <f>IF($L$229="Y",'Population Definitions'!$A$12,"...")</f>
        <v>...</v>
      </c>
      <c r="E346" s="2"/>
      <c r="F346" s="3"/>
      <c r="G346" s="2"/>
      <c r="H346" s="4" t="str">
        <f>IF($L$229="Y","OR","...")</f>
        <v>...</v>
      </c>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row>
    <row r="347" spans="1:59" x14ac:dyDescent="0.25">
      <c r="A347" s="1" t="str">
        <f>IF($M$229="Y",'Population Definitions'!$A$9,"...")</f>
        <v>...</v>
      </c>
      <c r="B347" s="4" t="str">
        <f>IF($M$229="Y","---&gt;","...")</f>
        <v>...</v>
      </c>
      <c r="C347" s="1" t="str">
        <f>IF($M$229="Y",'Population Definitions'!$A$13,"...")</f>
        <v>...</v>
      </c>
      <c r="E347" s="2"/>
      <c r="F347" s="3"/>
      <c r="G347" s="2"/>
      <c r="H347" s="4" t="str">
        <f>IF($M$229="Y","OR","...")</f>
        <v>...</v>
      </c>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row>
    <row r="348" spans="1:59" x14ac:dyDescent="0.25">
      <c r="A348" s="1" t="str">
        <f>IF($N$229="Y",'Population Definitions'!$A$9,"...")</f>
        <v>...</v>
      </c>
      <c r="B348" s="4" t="str">
        <f>IF($N$229="Y","---&gt;","...")</f>
        <v>...</v>
      </c>
      <c r="C348" s="1" t="str">
        <f>IF($N$229="Y",'Population Definitions'!$A$14,"...")</f>
        <v>...</v>
      </c>
      <c r="E348" s="2"/>
      <c r="F348" s="3"/>
      <c r="G348" s="2"/>
      <c r="H348" s="4" t="str">
        <f>IF($N$229="Y","OR","...")</f>
        <v>...</v>
      </c>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row>
    <row r="349" spans="1:59" x14ac:dyDescent="0.25">
      <c r="A349" s="1" t="str">
        <f>IF($O$229="Y",'Population Definitions'!$A$9,"...")</f>
        <v>...</v>
      </c>
      <c r="B349" s="4" t="str">
        <f>IF($O$229="Y","---&gt;","...")</f>
        <v>...</v>
      </c>
      <c r="C349" s="1" t="str">
        <f>IF($O$229="Y",'Population Definitions'!$A$15,"...")</f>
        <v>...</v>
      </c>
      <c r="E349" s="2"/>
      <c r="F349" s="3"/>
      <c r="G349" s="2"/>
      <c r="H349" s="4" t="str">
        <f>IF($O$229="Y","OR","...")</f>
        <v>...</v>
      </c>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row>
    <row r="350" spans="1:59" x14ac:dyDescent="0.25">
      <c r="A350" s="1" t="str">
        <f>IF($B$230="Y",'Population Definitions'!$A$10,"...")</f>
        <v>...</v>
      </c>
      <c r="B350" s="4" t="str">
        <f>IF($B$230="Y","---&gt;","...")</f>
        <v>...</v>
      </c>
      <c r="C350" s="1" t="str">
        <f>IF($B$230="Y",'Population Definitions'!$A$2,"...")</f>
        <v>...</v>
      </c>
      <c r="E350" s="2"/>
      <c r="F350" s="3"/>
      <c r="G350" s="2"/>
      <c r="H350" s="4" t="str">
        <f>IF($B$230="Y","OR","...")</f>
        <v>...</v>
      </c>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row>
    <row r="351" spans="1:59" x14ac:dyDescent="0.25">
      <c r="A351" s="1" t="str">
        <f>IF($C$230="Y",'Population Definitions'!$A$10,"...")</f>
        <v>...</v>
      </c>
      <c r="B351" s="4" t="str">
        <f>IF($C$230="Y","---&gt;","...")</f>
        <v>...</v>
      </c>
      <c r="C351" s="1" t="str">
        <f>IF($C$230="Y",'Population Definitions'!$A$3,"...")</f>
        <v>...</v>
      </c>
      <c r="E351" s="2"/>
      <c r="F351" s="3"/>
      <c r="G351" s="2"/>
      <c r="H351" s="4" t="str">
        <f>IF($C$230="Y","OR","...")</f>
        <v>...</v>
      </c>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row>
    <row r="352" spans="1:59" x14ac:dyDescent="0.25">
      <c r="A352" s="1" t="str">
        <f>IF($D$230="Y",'Population Definitions'!$A$10,"...")</f>
        <v>...</v>
      </c>
      <c r="B352" s="4" t="str">
        <f>IF($D$230="Y","---&gt;","...")</f>
        <v>...</v>
      </c>
      <c r="C352" s="1" t="str">
        <f>IF($D$230="Y",'Population Definitions'!$A$4,"...")</f>
        <v>...</v>
      </c>
      <c r="E352" s="2"/>
      <c r="F352" s="3"/>
      <c r="G352" s="2"/>
      <c r="H352" s="4" t="str">
        <f>IF($D$230="Y","OR","...")</f>
        <v>...</v>
      </c>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row>
    <row r="353" spans="1:59" x14ac:dyDescent="0.25">
      <c r="A353" s="1" t="str">
        <f>IF($E$230="Y",'Population Definitions'!$A$10,"...")</f>
        <v>...</v>
      </c>
      <c r="B353" s="4" t="str">
        <f>IF($E$230="Y","---&gt;","...")</f>
        <v>...</v>
      </c>
      <c r="C353" s="1" t="str">
        <f>IF($E$230="Y",'Population Definitions'!$A$5,"...")</f>
        <v>...</v>
      </c>
      <c r="E353" s="2"/>
      <c r="F353" s="3"/>
      <c r="G353" s="2"/>
      <c r="H353" s="4" t="str">
        <f>IF($E$230="Y","OR","...")</f>
        <v>...</v>
      </c>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row>
    <row r="354" spans="1:59" x14ac:dyDescent="0.25">
      <c r="A354" s="1" t="str">
        <f>IF($F$230="Y",'Population Definitions'!$A$10,"...")</f>
        <v>...</v>
      </c>
      <c r="B354" s="4" t="str">
        <f>IF($F$230="Y","---&gt;","...")</f>
        <v>...</v>
      </c>
      <c r="C354" s="1" t="str">
        <f>IF($F$230="Y",'Population Definitions'!$A$6,"...")</f>
        <v>...</v>
      </c>
      <c r="E354" s="2"/>
      <c r="F354" s="3"/>
      <c r="G354" s="2"/>
      <c r="H354" s="4" t="str">
        <f>IF($F$230="Y","OR","...")</f>
        <v>...</v>
      </c>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row>
    <row r="355" spans="1:59" x14ac:dyDescent="0.25">
      <c r="A355" s="1" t="str">
        <f>IF($G$230="Y",'Population Definitions'!$A$10,"...")</f>
        <v>...</v>
      </c>
      <c r="B355" s="4" t="str">
        <f>IF($G$230="Y","---&gt;","...")</f>
        <v>...</v>
      </c>
      <c r="C355" s="1" t="str">
        <f>IF($G$230="Y",'Population Definitions'!$A$7,"...")</f>
        <v>...</v>
      </c>
      <c r="E355" s="2"/>
      <c r="F355" s="3"/>
      <c r="G355" s="2"/>
      <c r="H355" s="4" t="str">
        <f>IF($G$230="Y","OR","...")</f>
        <v>...</v>
      </c>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row>
    <row r="356" spans="1:59" x14ac:dyDescent="0.25">
      <c r="A356" s="1" t="str">
        <f>IF($H$230="Y",'Population Definitions'!$A$10,"...")</f>
        <v>...</v>
      </c>
      <c r="B356" s="4" t="str">
        <f>IF($H$230="Y","---&gt;","...")</f>
        <v>...</v>
      </c>
      <c r="C356" s="1" t="str">
        <f>IF($H$230="Y",'Population Definitions'!$A$8,"...")</f>
        <v>...</v>
      </c>
      <c r="E356" s="2"/>
      <c r="F356" s="3"/>
      <c r="G356" s="2"/>
      <c r="H356" s="4" t="str">
        <f>IF($H$230="Y","OR","...")</f>
        <v>...</v>
      </c>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row>
    <row r="357" spans="1:59" x14ac:dyDescent="0.25">
      <c r="A357" s="1" t="str">
        <f>IF($I$230="Y",'Population Definitions'!$A$10,"...")</f>
        <v>...</v>
      </c>
      <c r="B357" s="4" t="str">
        <f>IF($I$230="Y","---&gt;","...")</f>
        <v>...</v>
      </c>
      <c r="C357" s="1" t="str">
        <f>IF($I$230="Y",'Population Definitions'!$A$9,"...")</f>
        <v>...</v>
      </c>
      <c r="E357" s="2"/>
      <c r="F357" s="3"/>
      <c r="G357" s="2"/>
      <c r="H357" s="4" t="str">
        <f>IF($I$230="Y","OR","...")</f>
        <v>...</v>
      </c>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row>
    <row r="358" spans="1:59" x14ac:dyDescent="0.25">
      <c r="A358" s="1" t="str">
        <f>IF($J$230="Y",'Population Definitions'!$A$10,"...")</f>
        <v>...</v>
      </c>
      <c r="B358" s="4" t="str">
        <f>IF($J$230="Y","---&gt;","...")</f>
        <v>...</v>
      </c>
      <c r="C358" s="1" t="str">
        <f>IF($J$230="Y",'Population Definitions'!$A$10,"...")</f>
        <v>...</v>
      </c>
      <c r="E358" s="2"/>
      <c r="F358" s="3"/>
      <c r="G358" s="2"/>
      <c r="H358" s="4" t="str">
        <f>IF($J$230="Y","OR","...")</f>
        <v>...</v>
      </c>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row>
    <row r="359" spans="1:59" x14ac:dyDescent="0.25">
      <c r="A359" s="1" t="str">
        <f>IF($K$230="Y",'Population Definitions'!$A$10,"...")</f>
        <v>...</v>
      </c>
      <c r="B359" s="4" t="str">
        <f>IF($K$230="Y","---&gt;","...")</f>
        <v>...</v>
      </c>
      <c r="C359" s="1" t="str">
        <f>IF($K$230="Y",'Population Definitions'!$A$11,"...")</f>
        <v>...</v>
      </c>
      <c r="E359" s="2"/>
      <c r="F359" s="3"/>
      <c r="G359" s="2"/>
      <c r="H359" s="4" t="str">
        <f>IF($K$230="Y","OR","...")</f>
        <v>...</v>
      </c>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row>
    <row r="360" spans="1:59" x14ac:dyDescent="0.25">
      <c r="A360" s="1" t="str">
        <f>IF($L$230="Y",'Population Definitions'!$A$10,"...")</f>
        <v>...</v>
      </c>
      <c r="B360" s="4" t="str">
        <f>IF($L$230="Y","---&gt;","...")</f>
        <v>...</v>
      </c>
      <c r="C360" s="1" t="str">
        <f>IF($L$230="Y",'Population Definitions'!$A$12,"...")</f>
        <v>...</v>
      </c>
      <c r="E360" s="2"/>
      <c r="F360" s="3"/>
      <c r="G360" s="2"/>
      <c r="H360" s="4" t="str">
        <f>IF($L$230="Y","OR","...")</f>
        <v>...</v>
      </c>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row>
    <row r="361" spans="1:59" x14ac:dyDescent="0.25">
      <c r="A361" s="1" t="str">
        <f>IF($M$230="Y",'Population Definitions'!$A$10,"...")</f>
        <v>...</v>
      </c>
      <c r="B361" s="4" t="str">
        <f>IF($M$230="Y","---&gt;","...")</f>
        <v>...</v>
      </c>
      <c r="C361" s="1" t="str">
        <f>IF($M$230="Y",'Population Definitions'!$A$13,"...")</f>
        <v>...</v>
      </c>
      <c r="E361" s="2"/>
      <c r="F361" s="3"/>
      <c r="G361" s="2"/>
      <c r="H361" s="4" t="str">
        <f>IF($M$230="Y","OR","...")</f>
        <v>...</v>
      </c>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row>
    <row r="362" spans="1:59" x14ac:dyDescent="0.25">
      <c r="A362" s="1" t="str">
        <f>IF($N$230="Y",'Population Definitions'!$A$10,"...")</f>
        <v>...</v>
      </c>
      <c r="B362" s="4" t="str">
        <f>IF($N$230="Y","---&gt;","...")</f>
        <v>...</v>
      </c>
      <c r="C362" s="1" t="str">
        <f>IF($N$230="Y",'Population Definitions'!$A$14,"...")</f>
        <v>...</v>
      </c>
      <c r="E362" s="2"/>
      <c r="F362" s="3"/>
      <c r="G362" s="2"/>
      <c r="H362" s="4" t="str">
        <f>IF($N$230="Y","OR","...")</f>
        <v>...</v>
      </c>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row>
    <row r="363" spans="1:59" x14ac:dyDescent="0.25">
      <c r="A363" s="1" t="str">
        <f>IF($O$230="Y",'Population Definitions'!$A$10,"...")</f>
        <v>...</v>
      </c>
      <c r="B363" s="4" t="str">
        <f>IF($O$230="Y","---&gt;","...")</f>
        <v>...</v>
      </c>
      <c r="C363" s="1" t="str">
        <f>IF($O$230="Y",'Population Definitions'!$A$15,"...")</f>
        <v>...</v>
      </c>
      <c r="E363" s="2"/>
      <c r="F363" s="3"/>
      <c r="G363" s="2"/>
      <c r="H363" s="4" t="str">
        <f>IF($O$230="Y","OR","...")</f>
        <v>...</v>
      </c>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row>
    <row r="364" spans="1:59" x14ac:dyDescent="0.25">
      <c r="A364" s="1" t="str">
        <f>IF($B$231="Y",'Population Definitions'!$A$11,"...")</f>
        <v>...</v>
      </c>
      <c r="B364" s="4" t="str">
        <f>IF($B$231="Y","---&gt;","...")</f>
        <v>...</v>
      </c>
      <c r="C364" s="1" t="str">
        <f>IF($B$231="Y",'Population Definitions'!$A$2,"...")</f>
        <v>...</v>
      </c>
      <c r="E364" s="2"/>
      <c r="F364" s="3"/>
      <c r="G364" s="2"/>
      <c r="H364" s="4" t="str">
        <f>IF($B$231="Y","OR","...")</f>
        <v>...</v>
      </c>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row>
    <row r="365" spans="1:59" x14ac:dyDescent="0.25">
      <c r="A365" s="1" t="str">
        <f>IF($C$231="Y",'Population Definitions'!$A$11,"...")</f>
        <v>...</v>
      </c>
      <c r="B365" s="4" t="str">
        <f>IF($C$231="Y","---&gt;","...")</f>
        <v>...</v>
      </c>
      <c r="C365" s="1" t="str">
        <f>IF($C$231="Y",'Population Definitions'!$A$3,"...")</f>
        <v>...</v>
      </c>
      <c r="E365" s="2"/>
      <c r="F365" s="3"/>
      <c r="G365" s="2"/>
      <c r="H365" s="4" t="str">
        <f>IF($C$231="Y","OR","...")</f>
        <v>...</v>
      </c>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row>
    <row r="366" spans="1:59" x14ac:dyDescent="0.25">
      <c r="A366" s="1" t="str">
        <f>IF($D$231="Y",'Population Definitions'!$A$11,"...")</f>
        <v>...</v>
      </c>
      <c r="B366" s="4" t="str">
        <f>IF($D$231="Y","---&gt;","...")</f>
        <v>...</v>
      </c>
      <c r="C366" s="1" t="str">
        <f>IF($D$231="Y",'Population Definitions'!$A$4,"...")</f>
        <v>...</v>
      </c>
      <c r="E366" s="2"/>
      <c r="F366" s="3"/>
      <c r="G366" s="2"/>
      <c r="H366" s="4" t="str">
        <f>IF($D$231="Y","OR","...")</f>
        <v>...</v>
      </c>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row>
    <row r="367" spans="1:59" x14ac:dyDescent="0.25">
      <c r="A367" s="1" t="str">
        <f>IF($E$231="Y",'Population Definitions'!$A$11,"...")</f>
        <v>...</v>
      </c>
      <c r="B367" s="4" t="str">
        <f>IF($E$231="Y","---&gt;","...")</f>
        <v>...</v>
      </c>
      <c r="C367" s="1" t="str">
        <f>IF($E$231="Y",'Population Definitions'!$A$5,"...")</f>
        <v>...</v>
      </c>
      <c r="E367" s="2"/>
      <c r="F367" s="3"/>
      <c r="G367" s="2"/>
      <c r="H367" s="4" t="str">
        <f>IF($E$231="Y","OR","...")</f>
        <v>...</v>
      </c>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row>
    <row r="368" spans="1:59" x14ac:dyDescent="0.25">
      <c r="A368" s="1" t="str">
        <f>IF($F$231="Y",'Population Definitions'!$A$11,"...")</f>
        <v>...</v>
      </c>
      <c r="B368" s="4" t="str">
        <f>IF($F$231="Y","---&gt;","...")</f>
        <v>...</v>
      </c>
      <c r="C368" s="1" t="str">
        <f>IF($F$231="Y",'Population Definitions'!$A$6,"...")</f>
        <v>...</v>
      </c>
      <c r="E368" s="2"/>
      <c r="F368" s="3"/>
      <c r="G368" s="2"/>
      <c r="H368" s="4" t="str">
        <f>IF($F$231="Y","OR","...")</f>
        <v>...</v>
      </c>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row>
    <row r="369" spans="1:59" x14ac:dyDescent="0.25">
      <c r="A369" s="1" t="str">
        <f>IF($G$231="Y",'Population Definitions'!$A$11,"...")</f>
        <v>...</v>
      </c>
      <c r="B369" s="4" t="str">
        <f>IF($G$231="Y","---&gt;","...")</f>
        <v>...</v>
      </c>
      <c r="C369" s="1" t="str">
        <f>IF($G$231="Y",'Population Definitions'!$A$7,"...")</f>
        <v>...</v>
      </c>
      <c r="E369" s="2"/>
      <c r="F369" s="3"/>
      <c r="G369" s="2"/>
      <c r="H369" s="4" t="str">
        <f>IF($G$231="Y","OR","...")</f>
        <v>...</v>
      </c>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row>
    <row r="370" spans="1:59" x14ac:dyDescent="0.25">
      <c r="A370" s="1" t="str">
        <f>IF($H$231="Y",'Population Definitions'!$A$11,"...")</f>
        <v>...</v>
      </c>
      <c r="B370" s="4" t="str">
        <f>IF($H$231="Y","---&gt;","...")</f>
        <v>...</v>
      </c>
      <c r="C370" s="1" t="str">
        <f>IF($H$231="Y",'Population Definitions'!$A$8,"...")</f>
        <v>...</v>
      </c>
      <c r="E370" s="2"/>
      <c r="F370" s="3"/>
      <c r="G370" s="2"/>
      <c r="H370" s="4" t="str">
        <f>IF($H$231="Y","OR","...")</f>
        <v>...</v>
      </c>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row>
    <row r="371" spans="1:59" x14ac:dyDescent="0.25">
      <c r="A371" s="1" t="str">
        <f>IF($I$231="Y",'Population Definitions'!$A$11,"...")</f>
        <v>...</v>
      </c>
      <c r="B371" s="4" t="str">
        <f>IF($I$231="Y","---&gt;","...")</f>
        <v>...</v>
      </c>
      <c r="C371" s="1" t="str">
        <f>IF($I$231="Y",'Population Definitions'!$A$9,"...")</f>
        <v>...</v>
      </c>
      <c r="E371" s="2"/>
      <c r="F371" s="3"/>
      <c r="G371" s="2"/>
      <c r="H371" s="4" t="str">
        <f>IF($I$231="Y","OR","...")</f>
        <v>...</v>
      </c>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row>
    <row r="372" spans="1:59" x14ac:dyDescent="0.25">
      <c r="A372" s="1" t="str">
        <f>IF($J$231="Y",'Population Definitions'!$A$11,"...")</f>
        <v>...</v>
      </c>
      <c r="B372" s="4" t="str">
        <f>IF($J$231="Y","---&gt;","...")</f>
        <v>...</v>
      </c>
      <c r="C372" s="1" t="str">
        <f>IF($J$231="Y",'Population Definitions'!$A$10,"...")</f>
        <v>...</v>
      </c>
      <c r="E372" s="2"/>
      <c r="F372" s="3"/>
      <c r="G372" s="2"/>
      <c r="H372" s="4" t="str">
        <f>IF($J$231="Y","OR","...")</f>
        <v>...</v>
      </c>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row>
    <row r="373" spans="1:59" x14ac:dyDescent="0.25">
      <c r="A373" s="1" t="str">
        <f>IF($K$231="Y",'Population Definitions'!$A$11,"...")</f>
        <v>...</v>
      </c>
      <c r="B373" s="4" t="str">
        <f>IF($K$231="Y","---&gt;","...")</f>
        <v>...</v>
      </c>
      <c r="C373" s="1" t="str">
        <f>IF($K$231="Y",'Population Definitions'!$A$11,"...")</f>
        <v>...</v>
      </c>
      <c r="E373" s="2"/>
      <c r="F373" s="3"/>
      <c r="G373" s="2"/>
      <c r="H373" s="4" t="str">
        <f>IF($K$231="Y","OR","...")</f>
        <v>...</v>
      </c>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row>
    <row r="374" spans="1:59" x14ac:dyDescent="0.25">
      <c r="A374" s="1" t="str">
        <f>IF($L$231="Y",'Population Definitions'!$A$11,"...")</f>
        <v>...</v>
      </c>
      <c r="B374" s="4" t="str">
        <f>IF($L$231="Y","---&gt;","...")</f>
        <v>...</v>
      </c>
      <c r="C374" s="1" t="str">
        <f>IF($L$231="Y",'Population Definitions'!$A$12,"...")</f>
        <v>...</v>
      </c>
      <c r="E374" s="2"/>
      <c r="F374" s="3"/>
      <c r="G374" s="2"/>
      <c r="H374" s="4" t="str">
        <f>IF($L$231="Y","OR","...")</f>
        <v>...</v>
      </c>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row>
    <row r="375" spans="1:59" x14ac:dyDescent="0.25">
      <c r="A375" s="1" t="str">
        <f>IF($M$231="Y",'Population Definitions'!$A$11,"...")</f>
        <v>...</v>
      </c>
      <c r="B375" s="4" t="str">
        <f>IF($M$231="Y","---&gt;","...")</f>
        <v>...</v>
      </c>
      <c r="C375" s="1" t="str">
        <f>IF($M$231="Y",'Population Definitions'!$A$13,"...")</f>
        <v>...</v>
      </c>
      <c r="E375" s="2"/>
      <c r="F375" s="3"/>
      <c r="G375" s="2"/>
      <c r="H375" s="4" t="str">
        <f>IF($M$231="Y","OR","...")</f>
        <v>...</v>
      </c>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row>
    <row r="376" spans="1:59" x14ac:dyDescent="0.25">
      <c r="A376" s="1" t="str">
        <f>IF($N$231="Y",'Population Definitions'!$A$11,"...")</f>
        <v>...</v>
      </c>
      <c r="B376" s="4" t="str">
        <f>IF($N$231="Y","---&gt;","...")</f>
        <v>...</v>
      </c>
      <c r="C376" s="1" t="str">
        <f>IF($N$231="Y",'Population Definitions'!$A$14,"...")</f>
        <v>...</v>
      </c>
      <c r="E376" s="2"/>
      <c r="F376" s="3"/>
      <c r="G376" s="2"/>
      <c r="H376" s="4" t="str">
        <f>IF($N$231="Y","OR","...")</f>
        <v>...</v>
      </c>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row>
    <row r="377" spans="1:59" x14ac:dyDescent="0.25">
      <c r="A377" s="1" t="str">
        <f>IF($O$231="Y",'Population Definitions'!$A$11,"...")</f>
        <v>...</v>
      </c>
      <c r="B377" s="4" t="str">
        <f>IF($O$231="Y","---&gt;","...")</f>
        <v>...</v>
      </c>
      <c r="C377" s="1" t="str">
        <f>IF($O$231="Y",'Population Definitions'!$A$15,"...")</f>
        <v>...</v>
      </c>
      <c r="E377" s="2"/>
      <c r="F377" s="3"/>
      <c r="G377" s="2"/>
      <c r="H377" s="4" t="str">
        <f>IF($O$231="Y","OR","...")</f>
        <v>...</v>
      </c>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row>
    <row r="378" spans="1:59" x14ac:dyDescent="0.25">
      <c r="A378" s="1" t="str">
        <f>IF($B$232="Y",'Population Definitions'!$A$12,"...")</f>
        <v>...</v>
      </c>
      <c r="B378" s="4" t="str">
        <f>IF($B$232="Y","---&gt;","...")</f>
        <v>...</v>
      </c>
      <c r="C378" s="1" t="str">
        <f>IF($B$232="Y",'Population Definitions'!$A$2,"...")</f>
        <v>...</v>
      </c>
      <c r="E378" s="2"/>
      <c r="F378" s="3"/>
      <c r="G378" s="2"/>
      <c r="H378" s="4" t="str">
        <f>IF($B$232="Y","OR","...")</f>
        <v>...</v>
      </c>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row>
    <row r="379" spans="1:59" x14ac:dyDescent="0.25">
      <c r="A379" s="1" t="str">
        <f>IF($C$232="Y",'Population Definitions'!$A$12,"...")</f>
        <v>...</v>
      </c>
      <c r="B379" s="4" t="str">
        <f>IF($C$232="Y","---&gt;","...")</f>
        <v>...</v>
      </c>
      <c r="C379" s="1" t="str">
        <f>IF($C$232="Y",'Population Definitions'!$A$3,"...")</f>
        <v>...</v>
      </c>
      <c r="E379" s="2"/>
      <c r="F379" s="3"/>
      <c r="G379" s="2"/>
      <c r="H379" s="4" t="str">
        <f>IF($C$232="Y","OR","...")</f>
        <v>...</v>
      </c>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row>
    <row r="380" spans="1:59" x14ac:dyDescent="0.25">
      <c r="A380" s="1" t="str">
        <f>IF($D$232="Y",'Population Definitions'!$A$12,"...")</f>
        <v>...</v>
      </c>
      <c r="B380" s="4" t="str">
        <f>IF($D$232="Y","---&gt;","...")</f>
        <v>...</v>
      </c>
      <c r="C380" s="1" t="str">
        <f>IF($D$232="Y",'Population Definitions'!$A$4,"...")</f>
        <v>...</v>
      </c>
      <c r="E380" s="2"/>
      <c r="F380" s="3"/>
      <c r="G380" s="2"/>
      <c r="H380" s="4" t="str">
        <f>IF($D$232="Y","OR","...")</f>
        <v>...</v>
      </c>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row>
    <row r="381" spans="1:59" x14ac:dyDescent="0.25">
      <c r="A381" s="1" t="str">
        <f>IF($E$232="Y",'Population Definitions'!$A$12,"...")</f>
        <v>...</v>
      </c>
      <c r="B381" s="4" t="str">
        <f>IF($E$232="Y","---&gt;","...")</f>
        <v>...</v>
      </c>
      <c r="C381" s="1" t="str">
        <f>IF($E$232="Y",'Population Definitions'!$A$5,"...")</f>
        <v>...</v>
      </c>
      <c r="E381" s="2"/>
      <c r="F381" s="3"/>
      <c r="G381" s="2"/>
      <c r="H381" s="4" t="str">
        <f>IF($E$232="Y","OR","...")</f>
        <v>...</v>
      </c>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row>
    <row r="382" spans="1:59" x14ac:dyDescent="0.25">
      <c r="A382" s="1" t="str">
        <f>IF($F$232="Y",'Population Definitions'!$A$12,"...")</f>
        <v>...</v>
      </c>
      <c r="B382" s="4" t="str">
        <f>IF($F$232="Y","---&gt;","...")</f>
        <v>...</v>
      </c>
      <c r="C382" s="1" t="str">
        <f>IF($F$232="Y",'Population Definitions'!$A$6,"...")</f>
        <v>...</v>
      </c>
      <c r="E382" s="2"/>
      <c r="F382" s="3"/>
      <c r="G382" s="2"/>
      <c r="H382" s="4" t="str">
        <f>IF($F$232="Y","OR","...")</f>
        <v>...</v>
      </c>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row>
    <row r="383" spans="1:59" x14ac:dyDescent="0.25">
      <c r="A383" s="1" t="str">
        <f>IF($G$232="Y",'Population Definitions'!$A$12,"...")</f>
        <v>...</v>
      </c>
      <c r="B383" s="4" t="str">
        <f>IF($G$232="Y","---&gt;","...")</f>
        <v>...</v>
      </c>
      <c r="C383" s="1" t="str">
        <f>IF($G$232="Y",'Population Definitions'!$A$7,"...")</f>
        <v>...</v>
      </c>
      <c r="E383" s="2"/>
      <c r="F383" s="3"/>
      <c r="G383" s="2"/>
      <c r="H383" s="4" t="str">
        <f>IF($G$232="Y","OR","...")</f>
        <v>...</v>
      </c>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row>
    <row r="384" spans="1:59" x14ac:dyDescent="0.25">
      <c r="A384" s="1" t="str">
        <f>IF($H$232="Y",'Population Definitions'!$A$12,"...")</f>
        <v>...</v>
      </c>
      <c r="B384" s="4" t="str">
        <f>IF($H$232="Y","---&gt;","...")</f>
        <v>...</v>
      </c>
      <c r="C384" s="1" t="str">
        <f>IF($H$232="Y",'Population Definitions'!$A$8,"...")</f>
        <v>...</v>
      </c>
      <c r="E384" s="2"/>
      <c r="F384" s="3"/>
      <c r="G384" s="2"/>
      <c r="H384" s="4" t="str">
        <f>IF($H$232="Y","OR","...")</f>
        <v>...</v>
      </c>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row>
    <row r="385" spans="1:59" x14ac:dyDescent="0.25">
      <c r="A385" s="1" t="str">
        <f>IF($I$232="Y",'Population Definitions'!$A$12,"...")</f>
        <v>...</v>
      </c>
      <c r="B385" s="4" t="str">
        <f>IF($I$232="Y","---&gt;","...")</f>
        <v>...</v>
      </c>
      <c r="C385" s="1" t="str">
        <f>IF($I$232="Y",'Population Definitions'!$A$9,"...")</f>
        <v>...</v>
      </c>
      <c r="E385" s="2"/>
      <c r="F385" s="3"/>
      <c r="G385" s="2"/>
      <c r="H385" s="4" t="str">
        <f>IF($I$232="Y","OR","...")</f>
        <v>...</v>
      </c>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row>
    <row r="386" spans="1:59" x14ac:dyDescent="0.25">
      <c r="A386" s="1" t="str">
        <f>IF($J$232="Y",'Population Definitions'!$A$12,"...")</f>
        <v>...</v>
      </c>
      <c r="B386" s="4" t="str">
        <f>IF($J$232="Y","---&gt;","...")</f>
        <v>...</v>
      </c>
      <c r="C386" s="1" t="str">
        <f>IF($J$232="Y",'Population Definitions'!$A$10,"...")</f>
        <v>...</v>
      </c>
      <c r="E386" s="2"/>
      <c r="F386" s="3"/>
      <c r="G386" s="2"/>
      <c r="H386" s="4" t="str">
        <f>IF($J$232="Y","OR","...")</f>
        <v>...</v>
      </c>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row>
    <row r="387" spans="1:59" x14ac:dyDescent="0.25">
      <c r="A387" s="1" t="str">
        <f>IF($K$232="Y",'Population Definitions'!$A$12,"...")</f>
        <v>...</v>
      </c>
      <c r="B387" s="4" t="str">
        <f>IF($K$232="Y","---&gt;","...")</f>
        <v>...</v>
      </c>
      <c r="C387" s="1" t="str">
        <f>IF($K$232="Y",'Population Definitions'!$A$11,"...")</f>
        <v>...</v>
      </c>
      <c r="E387" s="2"/>
      <c r="F387" s="3"/>
      <c r="G387" s="2"/>
      <c r="H387" s="4" t="str">
        <f>IF($K$232="Y","OR","...")</f>
        <v>...</v>
      </c>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row>
    <row r="388" spans="1:59" x14ac:dyDescent="0.25">
      <c r="A388" s="1" t="str">
        <f>IF($L$232="Y",'Population Definitions'!$A$12,"...")</f>
        <v>...</v>
      </c>
      <c r="B388" s="4" t="str">
        <f>IF($L$232="Y","---&gt;","...")</f>
        <v>...</v>
      </c>
      <c r="C388" s="1" t="str">
        <f>IF($L$232="Y",'Population Definitions'!$A$12,"...")</f>
        <v>...</v>
      </c>
      <c r="E388" s="2"/>
      <c r="F388" s="3"/>
      <c r="G388" s="2"/>
      <c r="H388" s="4" t="str">
        <f>IF($L$232="Y","OR","...")</f>
        <v>...</v>
      </c>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row>
    <row r="389" spans="1:59" x14ac:dyDescent="0.25">
      <c r="A389" s="1" t="str">
        <f>IF($M$232="Y",'Population Definitions'!$A$12,"...")</f>
        <v>...</v>
      </c>
      <c r="B389" s="4" t="str">
        <f>IF($M$232="Y","---&gt;","...")</f>
        <v>...</v>
      </c>
      <c r="C389" s="1" t="str">
        <f>IF($M$232="Y",'Population Definitions'!$A$13,"...")</f>
        <v>...</v>
      </c>
      <c r="E389" s="2"/>
      <c r="F389" s="3"/>
      <c r="G389" s="2"/>
      <c r="H389" s="4" t="str">
        <f>IF($M$232="Y","OR","...")</f>
        <v>...</v>
      </c>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row>
    <row r="390" spans="1:59" x14ac:dyDescent="0.25">
      <c r="A390" s="1" t="str">
        <f>IF($N$232="Y",'Population Definitions'!$A$12,"...")</f>
        <v>...</v>
      </c>
      <c r="B390" s="4" t="str">
        <f>IF($N$232="Y","---&gt;","...")</f>
        <v>...</v>
      </c>
      <c r="C390" s="1" t="str">
        <f>IF($N$232="Y",'Population Definitions'!$A$14,"...")</f>
        <v>...</v>
      </c>
      <c r="E390" s="2"/>
      <c r="F390" s="3"/>
      <c r="G390" s="2"/>
      <c r="H390" s="4" t="str">
        <f>IF($N$232="Y","OR","...")</f>
        <v>...</v>
      </c>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row>
    <row r="391" spans="1:59" x14ac:dyDescent="0.25">
      <c r="A391" s="1" t="str">
        <f>IF($O$232="Y",'Population Definitions'!$A$12,"...")</f>
        <v>...</v>
      </c>
      <c r="B391" s="4" t="str">
        <f>IF($O$232="Y","---&gt;","...")</f>
        <v>...</v>
      </c>
      <c r="C391" s="1" t="str">
        <f>IF($O$232="Y",'Population Definitions'!$A$15,"...")</f>
        <v>...</v>
      </c>
      <c r="E391" s="2"/>
      <c r="F391" s="3"/>
      <c r="G391" s="2"/>
      <c r="H391" s="4" t="str">
        <f>IF($O$232="Y","OR","...")</f>
        <v>...</v>
      </c>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row>
    <row r="392" spans="1:59" x14ac:dyDescent="0.25">
      <c r="A392" s="1" t="str">
        <f>IF($B$233="Y",'Population Definitions'!$A$13,"...")</f>
        <v>...</v>
      </c>
      <c r="B392" s="4" t="str">
        <f>IF($B$233="Y","---&gt;","...")</f>
        <v>...</v>
      </c>
      <c r="C392" s="1" t="str">
        <f>IF($B$233="Y",'Population Definitions'!$A$2,"...")</f>
        <v>...</v>
      </c>
      <c r="E392" s="2"/>
      <c r="F392" s="3"/>
      <c r="G392" s="2"/>
      <c r="H392" s="4" t="str">
        <f>IF($B$233="Y","OR","...")</f>
        <v>...</v>
      </c>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row>
    <row r="393" spans="1:59" x14ac:dyDescent="0.25">
      <c r="A393" s="1" t="str">
        <f>IF($C$233="Y",'Population Definitions'!$A$13,"...")</f>
        <v>...</v>
      </c>
      <c r="B393" s="4" t="str">
        <f>IF($C$233="Y","---&gt;","...")</f>
        <v>...</v>
      </c>
      <c r="C393" s="1" t="str">
        <f>IF($C$233="Y",'Population Definitions'!$A$3,"...")</f>
        <v>...</v>
      </c>
      <c r="E393" s="2"/>
      <c r="F393" s="3"/>
      <c r="G393" s="2"/>
      <c r="H393" s="4" t="str">
        <f>IF($C$233="Y","OR","...")</f>
        <v>...</v>
      </c>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row>
    <row r="394" spans="1:59" x14ac:dyDescent="0.25">
      <c r="A394" s="1" t="str">
        <f>IF($D$233="Y",'Population Definitions'!$A$13,"...")</f>
        <v>...</v>
      </c>
      <c r="B394" s="4" t="str">
        <f>IF($D$233="Y","---&gt;","...")</f>
        <v>...</v>
      </c>
      <c r="C394" s="1" t="str">
        <f>IF($D$233="Y",'Population Definitions'!$A$4,"...")</f>
        <v>...</v>
      </c>
      <c r="E394" s="2"/>
      <c r="F394" s="3"/>
      <c r="G394" s="2"/>
      <c r="H394" s="4" t="str">
        <f>IF($D$233="Y","OR","...")</f>
        <v>...</v>
      </c>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row>
    <row r="395" spans="1:59" x14ac:dyDescent="0.25">
      <c r="A395" s="1" t="str">
        <f>IF($E$233="Y",'Population Definitions'!$A$13,"...")</f>
        <v>...</v>
      </c>
      <c r="B395" s="4" t="str">
        <f>IF($E$233="Y","---&gt;","...")</f>
        <v>...</v>
      </c>
      <c r="C395" s="1" t="str">
        <f>IF($E$233="Y",'Population Definitions'!$A$5,"...")</f>
        <v>...</v>
      </c>
      <c r="E395" s="2"/>
      <c r="F395" s="3"/>
      <c r="G395" s="2"/>
      <c r="H395" s="4" t="str">
        <f>IF($E$233="Y","OR","...")</f>
        <v>...</v>
      </c>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row>
    <row r="396" spans="1:59" x14ac:dyDescent="0.25">
      <c r="A396" s="1" t="str">
        <f>IF($F$233="Y",'Population Definitions'!$A$13,"...")</f>
        <v>...</v>
      </c>
      <c r="B396" s="4" t="str">
        <f>IF($F$233="Y","---&gt;","...")</f>
        <v>...</v>
      </c>
      <c r="C396" s="1" t="str">
        <f>IF($F$233="Y",'Population Definitions'!$A$6,"...")</f>
        <v>...</v>
      </c>
      <c r="E396" s="2"/>
      <c r="F396" s="3"/>
      <c r="G396" s="2"/>
      <c r="H396" s="4" t="str">
        <f>IF($F$233="Y","OR","...")</f>
        <v>...</v>
      </c>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row>
    <row r="397" spans="1:59" x14ac:dyDescent="0.25">
      <c r="A397" s="1" t="str">
        <f>IF($G$233="Y",'Population Definitions'!$A$13,"...")</f>
        <v>...</v>
      </c>
      <c r="B397" s="4" t="str">
        <f>IF($G$233="Y","---&gt;","...")</f>
        <v>...</v>
      </c>
      <c r="C397" s="1" t="str">
        <f>IF($G$233="Y",'Population Definitions'!$A$7,"...")</f>
        <v>...</v>
      </c>
      <c r="E397" s="2"/>
      <c r="F397" s="3"/>
      <c r="G397" s="2"/>
      <c r="H397" s="4" t="str">
        <f>IF($G$233="Y","OR","...")</f>
        <v>...</v>
      </c>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row>
    <row r="398" spans="1:59" x14ac:dyDescent="0.25">
      <c r="A398" s="1" t="str">
        <f>IF($H$233="Y",'Population Definitions'!$A$13,"...")</f>
        <v>...</v>
      </c>
      <c r="B398" s="4" t="str">
        <f>IF($H$233="Y","---&gt;","...")</f>
        <v>...</v>
      </c>
      <c r="C398" s="1" t="str">
        <f>IF($H$233="Y",'Population Definitions'!$A$8,"...")</f>
        <v>...</v>
      </c>
      <c r="E398" s="2"/>
      <c r="F398" s="3"/>
      <c r="G398" s="2"/>
      <c r="H398" s="4" t="str">
        <f>IF($H$233="Y","OR","...")</f>
        <v>...</v>
      </c>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row>
    <row r="399" spans="1:59" x14ac:dyDescent="0.25">
      <c r="A399" s="1" t="str">
        <f>IF($I$233="Y",'Population Definitions'!$A$13,"...")</f>
        <v>...</v>
      </c>
      <c r="B399" s="4" t="str">
        <f>IF($I$233="Y","---&gt;","...")</f>
        <v>...</v>
      </c>
      <c r="C399" s="1" t="str">
        <f>IF($I$233="Y",'Population Definitions'!$A$9,"...")</f>
        <v>...</v>
      </c>
      <c r="E399" s="2"/>
      <c r="F399" s="3"/>
      <c r="G399" s="2"/>
      <c r="H399" s="4" t="str">
        <f>IF($I$233="Y","OR","...")</f>
        <v>...</v>
      </c>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row>
    <row r="400" spans="1:59" x14ac:dyDescent="0.25">
      <c r="A400" s="1" t="str">
        <f>IF($J$233="Y",'Population Definitions'!$A$13,"...")</f>
        <v>...</v>
      </c>
      <c r="B400" s="4" t="str">
        <f>IF($J$233="Y","---&gt;","...")</f>
        <v>...</v>
      </c>
      <c r="C400" s="1" t="str">
        <f>IF($J$233="Y",'Population Definitions'!$A$10,"...")</f>
        <v>...</v>
      </c>
      <c r="E400" s="2"/>
      <c r="F400" s="3"/>
      <c r="G400" s="2"/>
      <c r="H400" s="4" t="str">
        <f>IF($J$233="Y","OR","...")</f>
        <v>...</v>
      </c>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row>
    <row r="401" spans="1:59" x14ac:dyDescent="0.25">
      <c r="A401" s="1" t="str">
        <f>IF($K$233="Y",'Population Definitions'!$A$13,"...")</f>
        <v>...</v>
      </c>
      <c r="B401" s="4" t="str">
        <f>IF($K$233="Y","---&gt;","...")</f>
        <v>...</v>
      </c>
      <c r="C401" s="1" t="str">
        <f>IF($K$233="Y",'Population Definitions'!$A$11,"...")</f>
        <v>...</v>
      </c>
      <c r="E401" s="2"/>
      <c r="F401" s="3"/>
      <c r="G401" s="2"/>
      <c r="H401" s="4" t="str">
        <f>IF($K$233="Y","OR","...")</f>
        <v>...</v>
      </c>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row>
    <row r="402" spans="1:59" x14ac:dyDescent="0.25">
      <c r="A402" s="1" t="str">
        <f>IF($L$233="Y",'Population Definitions'!$A$13,"...")</f>
        <v>...</v>
      </c>
      <c r="B402" s="4" t="str">
        <f>IF($L$233="Y","---&gt;","...")</f>
        <v>...</v>
      </c>
      <c r="C402" s="1" t="str">
        <f>IF($L$233="Y",'Population Definitions'!$A$12,"...")</f>
        <v>...</v>
      </c>
      <c r="E402" s="2"/>
      <c r="F402" s="3"/>
      <c r="G402" s="2"/>
      <c r="H402" s="4" t="str">
        <f>IF($L$233="Y","OR","...")</f>
        <v>...</v>
      </c>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row>
    <row r="403" spans="1:59" x14ac:dyDescent="0.25">
      <c r="A403" s="1" t="str">
        <f>IF($M$233="Y",'Population Definitions'!$A$13,"...")</f>
        <v>...</v>
      </c>
      <c r="B403" s="4" t="str">
        <f>IF($M$233="Y","---&gt;","...")</f>
        <v>...</v>
      </c>
      <c r="C403" s="1" t="str">
        <f>IF($M$233="Y",'Population Definitions'!$A$13,"...")</f>
        <v>...</v>
      </c>
      <c r="E403" s="2"/>
      <c r="F403" s="3"/>
      <c r="G403" s="2"/>
      <c r="H403" s="4" t="str">
        <f>IF($M$233="Y","OR","...")</f>
        <v>...</v>
      </c>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row>
    <row r="404" spans="1:59" x14ac:dyDescent="0.25">
      <c r="A404" s="1" t="str">
        <f>IF($N$233="Y",'Population Definitions'!$A$13,"...")</f>
        <v>...</v>
      </c>
      <c r="B404" s="4" t="str">
        <f>IF($N$233="Y","---&gt;","...")</f>
        <v>...</v>
      </c>
      <c r="C404" s="1" t="str">
        <f>IF($N$233="Y",'Population Definitions'!$A$14,"...")</f>
        <v>...</v>
      </c>
      <c r="E404" s="2"/>
      <c r="F404" s="3"/>
      <c r="G404" s="2"/>
      <c r="H404" s="4" t="str">
        <f>IF($N$233="Y","OR","...")</f>
        <v>...</v>
      </c>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row>
    <row r="405" spans="1:59" x14ac:dyDescent="0.25">
      <c r="A405" s="1" t="str">
        <f>IF($O$233="Y",'Population Definitions'!$A$13,"...")</f>
        <v>...</v>
      </c>
      <c r="B405" s="4" t="str">
        <f>IF($O$233="Y","---&gt;","...")</f>
        <v>...</v>
      </c>
      <c r="C405" s="1" t="str">
        <f>IF($O$233="Y",'Population Definitions'!$A$15,"...")</f>
        <v>...</v>
      </c>
      <c r="E405" s="2"/>
      <c r="F405" s="3"/>
      <c r="G405" s="2"/>
      <c r="H405" s="4" t="str">
        <f>IF($O$233="Y","OR","...")</f>
        <v>...</v>
      </c>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row>
    <row r="406" spans="1:59" x14ac:dyDescent="0.25">
      <c r="A406" s="1" t="str">
        <f>IF($B$234="Y",'Population Definitions'!$A$14,"...")</f>
        <v>...</v>
      </c>
      <c r="B406" s="4" t="str">
        <f>IF($B$234="Y","---&gt;","...")</f>
        <v>...</v>
      </c>
      <c r="C406" s="1" t="str">
        <f>IF($B$234="Y",'Population Definitions'!$A$2,"...")</f>
        <v>...</v>
      </c>
      <c r="E406" s="2"/>
      <c r="F406" s="3"/>
      <c r="G406" s="2"/>
      <c r="H406" s="4" t="str">
        <f>IF($B$234="Y","OR","...")</f>
        <v>...</v>
      </c>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row>
    <row r="407" spans="1:59" x14ac:dyDescent="0.25">
      <c r="A407" s="1" t="str">
        <f>IF($C$234="Y",'Population Definitions'!$A$14,"...")</f>
        <v>...</v>
      </c>
      <c r="B407" s="4" t="str">
        <f>IF($C$234="Y","---&gt;","...")</f>
        <v>...</v>
      </c>
      <c r="C407" s="1" t="str">
        <f>IF($C$234="Y",'Population Definitions'!$A$3,"...")</f>
        <v>...</v>
      </c>
      <c r="E407" s="2"/>
      <c r="F407" s="3"/>
      <c r="G407" s="2"/>
      <c r="H407" s="4" t="str">
        <f>IF($C$234="Y","OR","...")</f>
        <v>...</v>
      </c>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row>
    <row r="408" spans="1:59" x14ac:dyDescent="0.25">
      <c r="A408" s="1" t="str">
        <f>IF($D$234="Y",'Population Definitions'!$A$14,"...")</f>
        <v>...</v>
      </c>
      <c r="B408" s="4" t="str">
        <f>IF($D$234="Y","---&gt;","...")</f>
        <v>...</v>
      </c>
      <c r="C408" s="1" t="str">
        <f>IF($D$234="Y",'Population Definitions'!$A$4,"...")</f>
        <v>...</v>
      </c>
      <c r="E408" s="2"/>
      <c r="F408" s="3"/>
      <c r="G408" s="2"/>
      <c r="H408" s="4" t="str">
        <f>IF($D$234="Y","OR","...")</f>
        <v>...</v>
      </c>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row>
    <row r="409" spans="1:59" x14ac:dyDescent="0.25">
      <c r="A409" s="1" t="str">
        <f>IF($E$234="Y",'Population Definitions'!$A$14,"...")</f>
        <v>...</v>
      </c>
      <c r="B409" s="4" t="str">
        <f>IF($E$234="Y","---&gt;","...")</f>
        <v>...</v>
      </c>
      <c r="C409" s="1" t="str">
        <f>IF($E$234="Y",'Population Definitions'!$A$5,"...")</f>
        <v>...</v>
      </c>
      <c r="E409" s="2"/>
      <c r="F409" s="3"/>
      <c r="G409" s="2"/>
      <c r="H409" s="4" t="str">
        <f>IF($E$234="Y","OR","...")</f>
        <v>...</v>
      </c>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row>
    <row r="410" spans="1:59" x14ac:dyDescent="0.25">
      <c r="A410" s="1" t="str">
        <f>IF($F$234="Y",'Population Definitions'!$A$14,"...")</f>
        <v>...</v>
      </c>
      <c r="B410" s="4" t="str">
        <f>IF($F$234="Y","---&gt;","...")</f>
        <v>...</v>
      </c>
      <c r="C410" s="1" t="str">
        <f>IF($F$234="Y",'Population Definitions'!$A$6,"...")</f>
        <v>...</v>
      </c>
      <c r="E410" s="2"/>
      <c r="F410" s="3"/>
      <c r="G410" s="2"/>
      <c r="H410" s="4" t="str">
        <f>IF($F$234="Y","OR","...")</f>
        <v>...</v>
      </c>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row>
    <row r="411" spans="1:59" x14ac:dyDescent="0.25">
      <c r="A411" s="1" t="str">
        <f>IF($G$234="Y",'Population Definitions'!$A$14,"...")</f>
        <v>...</v>
      </c>
      <c r="B411" s="4" t="str">
        <f>IF($G$234="Y","---&gt;","...")</f>
        <v>...</v>
      </c>
      <c r="C411" s="1" t="str">
        <f>IF($G$234="Y",'Population Definitions'!$A$7,"...")</f>
        <v>...</v>
      </c>
      <c r="E411" s="2"/>
      <c r="F411" s="3"/>
      <c r="G411" s="2"/>
      <c r="H411" s="4" t="str">
        <f>IF($G$234="Y","OR","...")</f>
        <v>...</v>
      </c>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row>
    <row r="412" spans="1:59" x14ac:dyDescent="0.25">
      <c r="A412" s="1" t="str">
        <f>IF($H$234="Y",'Population Definitions'!$A$14,"...")</f>
        <v>...</v>
      </c>
      <c r="B412" s="4" t="str">
        <f>IF($H$234="Y","---&gt;","...")</f>
        <v>...</v>
      </c>
      <c r="C412" s="1" t="str">
        <f>IF($H$234="Y",'Population Definitions'!$A$8,"...")</f>
        <v>...</v>
      </c>
      <c r="E412" s="2"/>
      <c r="F412" s="3"/>
      <c r="G412" s="2"/>
      <c r="H412" s="4" t="str">
        <f>IF($H$234="Y","OR","...")</f>
        <v>...</v>
      </c>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row>
    <row r="413" spans="1:59" x14ac:dyDescent="0.25">
      <c r="A413" s="1" t="str">
        <f>IF($I$234="Y",'Population Definitions'!$A$14,"...")</f>
        <v>...</v>
      </c>
      <c r="B413" s="4" t="str">
        <f>IF($I$234="Y","---&gt;","...")</f>
        <v>...</v>
      </c>
      <c r="C413" s="1" t="str">
        <f>IF($I$234="Y",'Population Definitions'!$A$9,"...")</f>
        <v>...</v>
      </c>
      <c r="E413" s="2"/>
      <c r="F413" s="3"/>
      <c r="G413" s="2"/>
      <c r="H413" s="4" t="str">
        <f>IF($I$234="Y","OR","...")</f>
        <v>...</v>
      </c>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row>
    <row r="414" spans="1:59" x14ac:dyDescent="0.25">
      <c r="A414" s="1" t="str">
        <f>IF($J$234="Y",'Population Definitions'!$A$14,"...")</f>
        <v>...</v>
      </c>
      <c r="B414" s="4" t="str">
        <f>IF($J$234="Y","---&gt;","...")</f>
        <v>...</v>
      </c>
      <c r="C414" s="1" t="str">
        <f>IF($J$234="Y",'Population Definitions'!$A$10,"...")</f>
        <v>...</v>
      </c>
      <c r="E414" s="2"/>
      <c r="F414" s="3"/>
      <c r="G414" s="2"/>
      <c r="H414" s="4" t="str">
        <f>IF($J$234="Y","OR","...")</f>
        <v>...</v>
      </c>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row>
    <row r="415" spans="1:59" x14ac:dyDescent="0.25">
      <c r="A415" s="1" t="str">
        <f>IF($K$234="Y",'Population Definitions'!$A$14,"...")</f>
        <v>...</v>
      </c>
      <c r="B415" s="4" t="str">
        <f>IF($K$234="Y","---&gt;","...")</f>
        <v>...</v>
      </c>
      <c r="C415" s="1" t="str">
        <f>IF($K$234="Y",'Population Definitions'!$A$11,"...")</f>
        <v>...</v>
      </c>
      <c r="E415" s="2"/>
      <c r="F415" s="3"/>
      <c r="G415" s="2"/>
      <c r="H415" s="4" t="str">
        <f>IF($K$234="Y","OR","...")</f>
        <v>...</v>
      </c>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row>
    <row r="416" spans="1:59" x14ac:dyDescent="0.25">
      <c r="A416" s="1" t="str">
        <f>IF($L$234="Y",'Population Definitions'!$A$14,"...")</f>
        <v>...</v>
      </c>
      <c r="B416" s="4" t="str">
        <f>IF($L$234="Y","---&gt;","...")</f>
        <v>...</v>
      </c>
      <c r="C416" s="1" t="str">
        <f>IF($L$234="Y",'Population Definitions'!$A$12,"...")</f>
        <v>...</v>
      </c>
      <c r="E416" s="2"/>
      <c r="F416" s="3"/>
      <c r="G416" s="2"/>
      <c r="H416" s="4" t="str">
        <f>IF($L$234="Y","OR","...")</f>
        <v>...</v>
      </c>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row>
    <row r="417" spans="1:59" x14ac:dyDescent="0.25">
      <c r="A417" s="1" t="str">
        <f>IF($M$234="Y",'Population Definitions'!$A$14,"...")</f>
        <v>...</v>
      </c>
      <c r="B417" s="4" t="str">
        <f>IF($M$234="Y","---&gt;","...")</f>
        <v>...</v>
      </c>
      <c r="C417" s="1" t="str">
        <f>IF($M$234="Y",'Population Definitions'!$A$13,"...")</f>
        <v>...</v>
      </c>
      <c r="E417" s="2"/>
      <c r="F417" s="3"/>
      <c r="G417" s="2"/>
      <c r="H417" s="4" t="str">
        <f>IF($M$234="Y","OR","...")</f>
        <v>...</v>
      </c>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row>
    <row r="418" spans="1:59" x14ac:dyDescent="0.25">
      <c r="A418" s="1" t="str">
        <f>IF($N$234="Y",'Population Definitions'!$A$14,"...")</f>
        <v>...</v>
      </c>
      <c r="B418" s="4" t="str">
        <f>IF($N$234="Y","---&gt;","...")</f>
        <v>...</v>
      </c>
      <c r="C418" s="1" t="str">
        <f>IF($N$234="Y",'Population Definitions'!$A$14,"...")</f>
        <v>...</v>
      </c>
      <c r="E418" s="2"/>
      <c r="F418" s="3"/>
      <c r="G418" s="2"/>
      <c r="H418" s="4" t="str">
        <f>IF($N$234="Y","OR","...")</f>
        <v>...</v>
      </c>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row>
    <row r="419" spans="1:59" x14ac:dyDescent="0.25">
      <c r="A419" s="1" t="str">
        <f>IF($O$234="Y",'Population Definitions'!$A$14,"...")</f>
        <v>...</v>
      </c>
      <c r="B419" s="4" t="str">
        <f>IF($O$234="Y","---&gt;","...")</f>
        <v>...</v>
      </c>
      <c r="C419" s="1" t="str">
        <f>IF($O$234="Y",'Population Definitions'!$A$15,"...")</f>
        <v>...</v>
      </c>
      <c r="E419" s="2"/>
      <c r="F419" s="3"/>
      <c r="G419" s="2"/>
      <c r="H419" s="4" t="str">
        <f>IF($O$234="Y","OR","...")</f>
        <v>...</v>
      </c>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row>
    <row r="420" spans="1:59" x14ac:dyDescent="0.25">
      <c r="A420" s="1" t="str">
        <f>IF($B$235="Y",'Population Definitions'!$A$15,"...")</f>
        <v>...</v>
      </c>
      <c r="B420" s="4" t="str">
        <f>IF($B$235="Y","---&gt;","...")</f>
        <v>...</v>
      </c>
      <c r="C420" s="1" t="str">
        <f>IF($B$235="Y",'Population Definitions'!$A$2,"...")</f>
        <v>...</v>
      </c>
      <c r="E420" s="2"/>
      <c r="F420" s="3"/>
      <c r="G420" s="2"/>
      <c r="H420" s="4" t="str">
        <f>IF($B$235="Y","OR","...")</f>
        <v>...</v>
      </c>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row>
    <row r="421" spans="1:59" x14ac:dyDescent="0.25">
      <c r="A421" s="1" t="str">
        <f>IF($C$235="Y",'Population Definitions'!$A$15,"...")</f>
        <v>...</v>
      </c>
      <c r="B421" s="4" t="str">
        <f>IF($C$235="Y","---&gt;","...")</f>
        <v>...</v>
      </c>
      <c r="C421" s="1" t="str">
        <f>IF($C$235="Y",'Population Definitions'!$A$3,"...")</f>
        <v>...</v>
      </c>
      <c r="E421" s="2"/>
      <c r="F421" s="3"/>
      <c r="G421" s="2"/>
      <c r="H421" s="4" t="str">
        <f>IF($C$235="Y","OR","...")</f>
        <v>...</v>
      </c>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row>
    <row r="422" spans="1:59" x14ac:dyDescent="0.25">
      <c r="A422" s="1" t="str">
        <f>IF($D$235="Y",'Population Definitions'!$A$15,"...")</f>
        <v>...</v>
      </c>
      <c r="B422" s="4" t="str">
        <f>IF($D$235="Y","---&gt;","...")</f>
        <v>...</v>
      </c>
      <c r="C422" s="1" t="str">
        <f>IF($D$235="Y",'Population Definitions'!$A$4,"...")</f>
        <v>...</v>
      </c>
      <c r="E422" s="2"/>
      <c r="F422" s="3"/>
      <c r="G422" s="2"/>
      <c r="H422" s="4" t="str">
        <f>IF($D$235="Y","OR","...")</f>
        <v>...</v>
      </c>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row>
    <row r="423" spans="1:59" x14ac:dyDescent="0.25">
      <c r="A423" s="1" t="str">
        <f>IF($E$235="Y",'Population Definitions'!$A$15,"...")</f>
        <v>...</v>
      </c>
      <c r="B423" s="4" t="str">
        <f>IF($E$235="Y","---&gt;","...")</f>
        <v>...</v>
      </c>
      <c r="C423" s="1" t="str">
        <f>IF($E$235="Y",'Population Definitions'!$A$5,"...")</f>
        <v>...</v>
      </c>
      <c r="E423" s="2"/>
      <c r="F423" s="3"/>
      <c r="G423" s="2"/>
      <c r="H423" s="4" t="str">
        <f>IF($E$235="Y","OR","...")</f>
        <v>...</v>
      </c>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row>
    <row r="424" spans="1:59" x14ac:dyDescent="0.25">
      <c r="A424" s="1" t="str">
        <f>IF($F$235="Y",'Population Definitions'!$A$15,"...")</f>
        <v>...</v>
      </c>
      <c r="B424" s="4" t="str">
        <f>IF($F$235="Y","---&gt;","...")</f>
        <v>...</v>
      </c>
      <c r="C424" s="1" t="str">
        <f>IF($F$235="Y",'Population Definitions'!$A$6,"...")</f>
        <v>...</v>
      </c>
      <c r="E424" s="2"/>
      <c r="F424" s="3"/>
      <c r="G424" s="2"/>
      <c r="H424" s="4" t="str">
        <f>IF($F$235="Y","OR","...")</f>
        <v>...</v>
      </c>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row>
    <row r="425" spans="1:59" x14ac:dyDescent="0.25">
      <c r="A425" s="1" t="str">
        <f>IF($G$235="Y",'Population Definitions'!$A$15,"...")</f>
        <v>...</v>
      </c>
      <c r="B425" s="4" t="str">
        <f>IF($G$235="Y","---&gt;","...")</f>
        <v>...</v>
      </c>
      <c r="C425" s="1" t="str">
        <f>IF($G$235="Y",'Population Definitions'!$A$7,"...")</f>
        <v>...</v>
      </c>
      <c r="E425" s="2"/>
      <c r="F425" s="3"/>
      <c r="G425" s="2"/>
      <c r="H425" s="4" t="str">
        <f>IF($G$235="Y","OR","...")</f>
        <v>...</v>
      </c>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row>
    <row r="426" spans="1:59" x14ac:dyDescent="0.25">
      <c r="A426" s="1" t="str">
        <f>IF($H$235="Y",'Population Definitions'!$A$15,"...")</f>
        <v>...</v>
      </c>
      <c r="B426" s="4" t="str">
        <f>IF($H$235="Y","---&gt;","...")</f>
        <v>...</v>
      </c>
      <c r="C426" s="1" t="str">
        <f>IF($H$235="Y",'Population Definitions'!$A$8,"...")</f>
        <v>...</v>
      </c>
      <c r="E426" s="2"/>
      <c r="F426" s="3"/>
      <c r="G426" s="2"/>
      <c r="H426" s="4" t="str">
        <f>IF($H$235="Y","OR","...")</f>
        <v>...</v>
      </c>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row>
    <row r="427" spans="1:59" x14ac:dyDescent="0.25">
      <c r="A427" s="1" t="str">
        <f>IF($I$235="Y",'Population Definitions'!$A$15,"...")</f>
        <v>...</v>
      </c>
      <c r="B427" s="4" t="str">
        <f>IF($I$235="Y","---&gt;","...")</f>
        <v>...</v>
      </c>
      <c r="C427" s="1" t="str">
        <f>IF($I$235="Y",'Population Definitions'!$A$9,"...")</f>
        <v>...</v>
      </c>
      <c r="E427" s="2"/>
      <c r="F427" s="3"/>
      <c r="G427" s="2"/>
      <c r="H427" s="4" t="str">
        <f>IF($I$235="Y","OR","...")</f>
        <v>...</v>
      </c>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row>
    <row r="428" spans="1:59" x14ac:dyDescent="0.25">
      <c r="A428" s="1" t="str">
        <f>IF($J$235="Y",'Population Definitions'!$A$15,"...")</f>
        <v>...</v>
      </c>
      <c r="B428" s="4" t="str">
        <f>IF($J$235="Y","---&gt;","...")</f>
        <v>...</v>
      </c>
      <c r="C428" s="1" t="str">
        <f>IF($J$235="Y",'Population Definitions'!$A$10,"...")</f>
        <v>...</v>
      </c>
      <c r="E428" s="2"/>
      <c r="F428" s="3"/>
      <c r="G428" s="2"/>
      <c r="H428" s="4" t="str">
        <f>IF($J$235="Y","OR","...")</f>
        <v>...</v>
      </c>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row>
    <row r="429" spans="1:59" x14ac:dyDescent="0.25">
      <c r="A429" s="1" t="str">
        <f>IF($K$235="Y",'Population Definitions'!$A$15,"...")</f>
        <v>...</v>
      </c>
      <c r="B429" s="4" t="str">
        <f>IF($K$235="Y","---&gt;","...")</f>
        <v>...</v>
      </c>
      <c r="C429" s="1" t="str">
        <f>IF($K$235="Y",'Population Definitions'!$A$11,"...")</f>
        <v>...</v>
      </c>
      <c r="E429" s="2"/>
      <c r="F429" s="3"/>
      <c r="G429" s="2"/>
      <c r="H429" s="4" t="str">
        <f>IF($K$235="Y","OR","...")</f>
        <v>...</v>
      </c>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row>
    <row r="430" spans="1:59" x14ac:dyDescent="0.25">
      <c r="A430" s="1" t="str">
        <f>IF($L$235="Y",'Population Definitions'!$A$15,"...")</f>
        <v>...</v>
      </c>
      <c r="B430" s="4" t="str">
        <f>IF($L$235="Y","---&gt;","...")</f>
        <v>...</v>
      </c>
      <c r="C430" s="1" t="str">
        <f>IF($L$235="Y",'Population Definitions'!$A$12,"...")</f>
        <v>...</v>
      </c>
      <c r="E430" s="2"/>
      <c r="F430" s="3"/>
      <c r="G430" s="2"/>
      <c r="H430" s="4" t="str">
        <f>IF($L$235="Y","OR","...")</f>
        <v>...</v>
      </c>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row>
    <row r="431" spans="1:59" x14ac:dyDescent="0.25">
      <c r="A431" s="1" t="str">
        <f>IF($M$235="Y",'Population Definitions'!$A$15,"...")</f>
        <v>...</v>
      </c>
      <c r="B431" s="4" t="str">
        <f>IF($M$235="Y","---&gt;","...")</f>
        <v>...</v>
      </c>
      <c r="C431" s="1" t="str">
        <f>IF($M$235="Y",'Population Definitions'!$A$13,"...")</f>
        <v>...</v>
      </c>
      <c r="E431" s="2"/>
      <c r="F431" s="3"/>
      <c r="G431" s="2"/>
      <c r="H431" s="4" t="str">
        <f>IF($M$235="Y","OR","...")</f>
        <v>...</v>
      </c>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row>
    <row r="432" spans="1:59" x14ac:dyDescent="0.25">
      <c r="A432" s="1" t="str">
        <f>IF($N$235="Y",'Population Definitions'!$A$15,"...")</f>
        <v>...</v>
      </c>
      <c r="B432" s="4" t="str">
        <f>IF($N$235="Y","---&gt;","...")</f>
        <v>...</v>
      </c>
      <c r="C432" s="1" t="str">
        <f>IF($N$235="Y",'Population Definitions'!$A$14,"...")</f>
        <v>...</v>
      </c>
      <c r="E432" s="2"/>
      <c r="F432" s="3"/>
      <c r="G432" s="2"/>
      <c r="H432" s="4" t="str">
        <f>IF($N$235="Y","OR","...")</f>
        <v>...</v>
      </c>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row>
    <row r="433" spans="1:59" x14ac:dyDescent="0.25">
      <c r="A433" s="1" t="str">
        <f>IF($O$235="Y",'Population Definitions'!$A$15,"...")</f>
        <v>...</v>
      </c>
      <c r="B433" s="4" t="str">
        <f>IF($O$235="Y","---&gt;","...")</f>
        <v>...</v>
      </c>
      <c r="C433" s="1" t="str">
        <f>IF($O$235="Y",'Population Definitions'!$A$15,"...")</f>
        <v>...</v>
      </c>
      <c r="E433" s="2"/>
      <c r="F433" s="3"/>
      <c r="G433" s="2"/>
      <c r="H433" s="4" t="str">
        <f>IF($O$235="Y","OR","...")</f>
        <v>...</v>
      </c>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row>
    <row r="435" spans="1:59" x14ac:dyDescent="0.25">
      <c r="A435" s="1" t="s">
        <v>0</v>
      </c>
      <c r="B435" s="1" t="s">
        <v>1</v>
      </c>
      <c r="C435" s="1" t="s">
        <v>226</v>
      </c>
      <c r="D435" s="1" t="s">
        <v>227</v>
      </c>
    </row>
    <row r="436" spans="1:59" x14ac:dyDescent="0.25">
      <c r="A436" t="s">
        <v>239</v>
      </c>
      <c r="B436" t="s">
        <v>240</v>
      </c>
      <c r="C436" t="s">
        <v>5</v>
      </c>
      <c r="D436" t="s">
        <v>5</v>
      </c>
    </row>
    <row r="438" spans="1:59" x14ac:dyDescent="0.25">
      <c r="B438" s="1" t="str">
        <f>'Population Definitions'!$A$2</f>
        <v>PWID_males</v>
      </c>
      <c r="C438" s="1" t="str">
        <f>'Population Definitions'!$A$3</f>
        <v>PWID_females</v>
      </c>
      <c r="D438" s="1" t="str">
        <f>'Population Definitions'!$A$4</f>
        <v>0-9_males</v>
      </c>
      <c r="E438" s="1" t="str">
        <f>'Population Definitions'!$A$5</f>
        <v>0-9_females</v>
      </c>
      <c r="F438" s="1" t="str">
        <f>'Population Definitions'!$A$6</f>
        <v>10-17_males</v>
      </c>
      <c r="G438" s="1" t="str">
        <f>'Population Definitions'!$A$7</f>
        <v>10-17_females</v>
      </c>
      <c r="H438" s="1" t="str">
        <f>'Population Definitions'!$A$8</f>
        <v>18-64_males</v>
      </c>
      <c r="I438" s="1" t="str">
        <f>'Population Definitions'!$A$9</f>
        <v>18-64_females</v>
      </c>
      <c r="J438" s="1" t="str">
        <f>'Population Definitions'!$A$10</f>
        <v>65+_males</v>
      </c>
      <c r="K438" s="1" t="str">
        <f>'Population Definitions'!$A$11</f>
        <v>65+_females</v>
      </c>
      <c r="L438" s="1" t="str">
        <f>'Population Definitions'!$A$12</f>
        <v>Prisoners_males</v>
      </c>
      <c r="M438" s="1" t="str">
        <f>'Population Definitions'!$A$13</f>
        <v>Prisoners_females</v>
      </c>
      <c r="N438" s="1" t="str">
        <f>'Population Definitions'!$A$14</f>
        <v>Prisoners_PWID_males</v>
      </c>
      <c r="O438" s="1" t="str">
        <f>'Population Definitions'!$A$15</f>
        <v>Prisoners_PWID_females</v>
      </c>
    </row>
    <row r="439" spans="1:59" x14ac:dyDescent="0.25">
      <c r="A439" s="1" t="str">
        <f>'Population Definitions'!$A$2</f>
        <v>PWID_males</v>
      </c>
      <c r="B439" s="4" t="s">
        <v>58</v>
      </c>
      <c r="C439" s="5" t="s">
        <v>229</v>
      </c>
      <c r="D439" s="5" t="s">
        <v>229</v>
      </c>
      <c r="E439" s="5" t="s">
        <v>229</v>
      </c>
      <c r="F439" s="5" t="s">
        <v>229</v>
      </c>
      <c r="G439" s="5" t="s">
        <v>229</v>
      </c>
      <c r="H439" s="5" t="s">
        <v>229</v>
      </c>
      <c r="I439" s="5" t="s">
        <v>229</v>
      </c>
      <c r="J439" s="5" t="s">
        <v>229</v>
      </c>
      <c r="K439" s="5" t="s">
        <v>229</v>
      </c>
      <c r="L439" s="5" t="s">
        <v>229</v>
      </c>
      <c r="M439" s="5" t="s">
        <v>229</v>
      </c>
      <c r="N439" s="5" t="s">
        <v>228</v>
      </c>
      <c r="O439" s="5" t="s">
        <v>229</v>
      </c>
    </row>
    <row r="440" spans="1:59" x14ac:dyDescent="0.25">
      <c r="A440" s="1" t="str">
        <f>'Population Definitions'!$A$3</f>
        <v>PWID_females</v>
      </c>
      <c r="B440" s="5" t="s">
        <v>229</v>
      </c>
      <c r="C440" s="4" t="s">
        <v>58</v>
      </c>
      <c r="D440" s="5" t="s">
        <v>229</v>
      </c>
      <c r="E440" s="5" t="s">
        <v>229</v>
      </c>
      <c r="F440" s="5" t="s">
        <v>229</v>
      </c>
      <c r="G440" s="5" t="s">
        <v>229</v>
      </c>
      <c r="H440" s="5" t="s">
        <v>229</v>
      </c>
      <c r="I440" s="5" t="s">
        <v>229</v>
      </c>
      <c r="J440" s="5" t="s">
        <v>229</v>
      </c>
      <c r="K440" s="5" t="s">
        <v>229</v>
      </c>
      <c r="L440" s="5" t="s">
        <v>229</v>
      </c>
      <c r="M440" s="5" t="s">
        <v>229</v>
      </c>
      <c r="N440" s="5" t="s">
        <v>229</v>
      </c>
      <c r="O440" s="5" t="s">
        <v>228</v>
      </c>
    </row>
    <row r="441" spans="1:59" x14ac:dyDescent="0.25">
      <c r="A441" s="1" t="str">
        <f>'Population Definitions'!$A$4</f>
        <v>0-9_males</v>
      </c>
      <c r="B441" s="5" t="s">
        <v>229</v>
      </c>
      <c r="C441" s="5" t="s">
        <v>229</v>
      </c>
      <c r="D441" s="4" t="s">
        <v>58</v>
      </c>
      <c r="E441" s="5" t="s">
        <v>229</v>
      </c>
      <c r="F441" s="5" t="s">
        <v>229</v>
      </c>
      <c r="G441" s="5" t="s">
        <v>229</v>
      </c>
      <c r="H441" s="5" t="s">
        <v>229</v>
      </c>
      <c r="I441" s="5" t="s">
        <v>229</v>
      </c>
      <c r="J441" s="5" t="s">
        <v>229</v>
      </c>
      <c r="K441" s="5" t="s">
        <v>229</v>
      </c>
      <c r="L441" s="5" t="s">
        <v>229</v>
      </c>
      <c r="M441" s="5" t="s">
        <v>229</v>
      </c>
      <c r="N441" s="5" t="s">
        <v>229</v>
      </c>
      <c r="O441" s="5" t="s">
        <v>229</v>
      </c>
    </row>
    <row r="442" spans="1:59" x14ac:dyDescent="0.25">
      <c r="A442" s="1" t="str">
        <f>'Population Definitions'!$A$5</f>
        <v>0-9_females</v>
      </c>
      <c r="B442" s="5" t="s">
        <v>229</v>
      </c>
      <c r="C442" s="5" t="s">
        <v>229</v>
      </c>
      <c r="D442" s="5" t="s">
        <v>229</v>
      </c>
      <c r="E442" s="4" t="s">
        <v>58</v>
      </c>
      <c r="F442" s="5" t="s">
        <v>229</v>
      </c>
      <c r="G442" s="5" t="s">
        <v>229</v>
      </c>
      <c r="H442" s="5" t="s">
        <v>229</v>
      </c>
      <c r="I442" s="5" t="s">
        <v>229</v>
      </c>
      <c r="J442" s="5" t="s">
        <v>229</v>
      </c>
      <c r="K442" s="5" t="s">
        <v>229</v>
      </c>
      <c r="L442" s="5" t="s">
        <v>229</v>
      </c>
      <c r="M442" s="5" t="s">
        <v>229</v>
      </c>
      <c r="N442" s="5" t="s">
        <v>229</v>
      </c>
      <c r="O442" s="5" t="s">
        <v>229</v>
      </c>
    </row>
    <row r="443" spans="1:59" x14ac:dyDescent="0.25">
      <c r="A443" s="1" t="str">
        <f>'Population Definitions'!$A$6</f>
        <v>10-17_males</v>
      </c>
      <c r="B443" s="5" t="s">
        <v>229</v>
      </c>
      <c r="C443" s="5" t="s">
        <v>229</v>
      </c>
      <c r="D443" s="5" t="s">
        <v>229</v>
      </c>
      <c r="E443" s="5" t="s">
        <v>229</v>
      </c>
      <c r="F443" s="4" t="s">
        <v>58</v>
      </c>
      <c r="G443" s="5" t="s">
        <v>229</v>
      </c>
      <c r="H443" s="5" t="s">
        <v>229</v>
      </c>
      <c r="I443" s="5" t="s">
        <v>229</v>
      </c>
      <c r="J443" s="5" t="s">
        <v>229</v>
      </c>
      <c r="K443" s="5" t="s">
        <v>229</v>
      </c>
      <c r="L443" s="5" t="s">
        <v>229</v>
      </c>
      <c r="M443" s="5" t="s">
        <v>229</v>
      </c>
      <c r="N443" s="5" t="s">
        <v>229</v>
      </c>
      <c r="O443" s="5" t="s">
        <v>229</v>
      </c>
    </row>
    <row r="444" spans="1:59" x14ac:dyDescent="0.25">
      <c r="A444" s="1" t="str">
        <f>'Population Definitions'!$A$7</f>
        <v>10-17_females</v>
      </c>
      <c r="B444" s="5" t="s">
        <v>229</v>
      </c>
      <c r="C444" s="5" t="s">
        <v>229</v>
      </c>
      <c r="D444" s="5" t="s">
        <v>229</v>
      </c>
      <c r="E444" s="5" t="s">
        <v>229</v>
      </c>
      <c r="F444" s="5" t="s">
        <v>229</v>
      </c>
      <c r="G444" s="4" t="s">
        <v>58</v>
      </c>
      <c r="H444" s="5" t="s">
        <v>229</v>
      </c>
      <c r="I444" s="5" t="s">
        <v>229</v>
      </c>
      <c r="J444" s="5" t="s">
        <v>229</v>
      </c>
      <c r="K444" s="5" t="s">
        <v>229</v>
      </c>
      <c r="L444" s="5" t="s">
        <v>229</v>
      </c>
      <c r="M444" s="5" t="s">
        <v>229</v>
      </c>
      <c r="N444" s="5" t="s">
        <v>229</v>
      </c>
      <c r="O444" s="5" t="s">
        <v>229</v>
      </c>
    </row>
    <row r="445" spans="1:59" x14ac:dyDescent="0.25">
      <c r="A445" s="1" t="str">
        <f>'Population Definitions'!$A$8</f>
        <v>18-64_males</v>
      </c>
      <c r="B445" s="5" t="s">
        <v>229</v>
      </c>
      <c r="C445" s="5" t="s">
        <v>229</v>
      </c>
      <c r="D445" s="5" t="s">
        <v>229</v>
      </c>
      <c r="E445" s="5" t="s">
        <v>229</v>
      </c>
      <c r="F445" s="5" t="s">
        <v>229</v>
      </c>
      <c r="G445" s="5" t="s">
        <v>229</v>
      </c>
      <c r="H445" s="4" t="s">
        <v>58</v>
      </c>
      <c r="I445" s="5" t="s">
        <v>229</v>
      </c>
      <c r="J445" s="5" t="s">
        <v>229</v>
      </c>
      <c r="K445" s="5" t="s">
        <v>229</v>
      </c>
      <c r="L445" s="5" t="s">
        <v>228</v>
      </c>
      <c r="M445" s="5" t="s">
        <v>229</v>
      </c>
      <c r="N445" s="5" t="s">
        <v>229</v>
      </c>
      <c r="O445" s="5" t="s">
        <v>229</v>
      </c>
    </row>
    <row r="446" spans="1:59" x14ac:dyDescent="0.25">
      <c r="A446" s="1" t="str">
        <f>'Population Definitions'!$A$9</f>
        <v>18-64_females</v>
      </c>
      <c r="B446" s="5" t="s">
        <v>229</v>
      </c>
      <c r="C446" s="5" t="s">
        <v>229</v>
      </c>
      <c r="D446" s="5" t="s">
        <v>229</v>
      </c>
      <c r="E446" s="5" t="s">
        <v>229</v>
      </c>
      <c r="F446" s="5" t="s">
        <v>229</v>
      </c>
      <c r="G446" s="5" t="s">
        <v>229</v>
      </c>
      <c r="H446" s="5" t="s">
        <v>229</v>
      </c>
      <c r="I446" s="4" t="s">
        <v>58</v>
      </c>
      <c r="J446" s="5" t="s">
        <v>229</v>
      </c>
      <c r="K446" s="5" t="s">
        <v>229</v>
      </c>
      <c r="L446" s="5" t="s">
        <v>229</v>
      </c>
      <c r="M446" s="5" t="s">
        <v>228</v>
      </c>
      <c r="N446" s="5" t="s">
        <v>229</v>
      </c>
      <c r="O446" s="5" t="s">
        <v>229</v>
      </c>
    </row>
    <row r="447" spans="1:59" x14ac:dyDescent="0.25">
      <c r="A447" s="1" t="str">
        <f>'Population Definitions'!$A$10</f>
        <v>65+_males</v>
      </c>
      <c r="B447" s="5" t="s">
        <v>229</v>
      </c>
      <c r="C447" s="5" t="s">
        <v>229</v>
      </c>
      <c r="D447" s="5" t="s">
        <v>229</v>
      </c>
      <c r="E447" s="5" t="s">
        <v>229</v>
      </c>
      <c r="F447" s="5" t="s">
        <v>229</v>
      </c>
      <c r="G447" s="5" t="s">
        <v>229</v>
      </c>
      <c r="H447" s="5" t="s">
        <v>229</v>
      </c>
      <c r="I447" s="5" t="s">
        <v>229</v>
      </c>
      <c r="J447" s="4" t="s">
        <v>58</v>
      </c>
      <c r="K447" s="5" t="s">
        <v>229</v>
      </c>
      <c r="L447" s="5" t="s">
        <v>229</v>
      </c>
      <c r="M447" s="5" t="s">
        <v>229</v>
      </c>
      <c r="N447" s="5" t="s">
        <v>229</v>
      </c>
      <c r="O447" s="5" t="s">
        <v>229</v>
      </c>
    </row>
    <row r="448" spans="1:59" x14ac:dyDescent="0.25">
      <c r="A448" s="1" t="str">
        <f>'Population Definitions'!$A$11</f>
        <v>65+_females</v>
      </c>
      <c r="B448" s="5" t="s">
        <v>229</v>
      </c>
      <c r="C448" s="5" t="s">
        <v>229</v>
      </c>
      <c r="D448" s="5" t="s">
        <v>229</v>
      </c>
      <c r="E448" s="5" t="s">
        <v>229</v>
      </c>
      <c r="F448" s="5" t="s">
        <v>229</v>
      </c>
      <c r="G448" s="5" t="s">
        <v>229</v>
      </c>
      <c r="H448" s="5" t="s">
        <v>229</v>
      </c>
      <c r="I448" s="5" t="s">
        <v>229</v>
      </c>
      <c r="J448" s="5" t="s">
        <v>229</v>
      </c>
      <c r="K448" s="4" t="s">
        <v>58</v>
      </c>
      <c r="L448" s="5" t="s">
        <v>229</v>
      </c>
      <c r="M448" s="5" t="s">
        <v>229</v>
      </c>
      <c r="N448" s="5" t="s">
        <v>229</v>
      </c>
      <c r="O448" s="5" t="s">
        <v>229</v>
      </c>
    </row>
    <row r="449" spans="1:59" x14ac:dyDescent="0.25">
      <c r="A449" s="1" t="str">
        <f>'Population Definitions'!$A$12</f>
        <v>Prisoners_males</v>
      </c>
      <c r="B449" s="5" t="s">
        <v>229</v>
      </c>
      <c r="C449" s="5" t="s">
        <v>229</v>
      </c>
      <c r="D449" s="5" t="s">
        <v>229</v>
      </c>
      <c r="E449" s="5" t="s">
        <v>229</v>
      </c>
      <c r="F449" s="5" t="s">
        <v>229</v>
      </c>
      <c r="G449" s="5" t="s">
        <v>229</v>
      </c>
      <c r="H449" s="5" t="s">
        <v>228</v>
      </c>
      <c r="I449" s="5" t="s">
        <v>229</v>
      </c>
      <c r="J449" s="5" t="s">
        <v>229</v>
      </c>
      <c r="K449" s="5" t="s">
        <v>229</v>
      </c>
      <c r="L449" s="4" t="s">
        <v>58</v>
      </c>
      <c r="M449" s="5" t="s">
        <v>229</v>
      </c>
      <c r="N449" s="5" t="s">
        <v>229</v>
      </c>
      <c r="O449" s="5" t="s">
        <v>229</v>
      </c>
    </row>
    <row r="450" spans="1:59" x14ac:dyDescent="0.25">
      <c r="A450" s="1" t="str">
        <f>'Population Definitions'!$A$13</f>
        <v>Prisoners_females</v>
      </c>
      <c r="B450" s="5" t="s">
        <v>229</v>
      </c>
      <c r="C450" s="5" t="s">
        <v>229</v>
      </c>
      <c r="D450" s="5" t="s">
        <v>229</v>
      </c>
      <c r="E450" s="5" t="s">
        <v>229</v>
      </c>
      <c r="F450" s="5" t="s">
        <v>229</v>
      </c>
      <c r="G450" s="5" t="s">
        <v>229</v>
      </c>
      <c r="H450" s="5" t="s">
        <v>229</v>
      </c>
      <c r="I450" s="5" t="s">
        <v>228</v>
      </c>
      <c r="J450" s="5" t="s">
        <v>229</v>
      </c>
      <c r="K450" s="5" t="s">
        <v>229</v>
      </c>
      <c r="L450" s="5" t="s">
        <v>229</v>
      </c>
      <c r="M450" s="4" t="s">
        <v>58</v>
      </c>
      <c r="N450" s="5" t="s">
        <v>229</v>
      </c>
      <c r="O450" s="5" t="s">
        <v>229</v>
      </c>
    </row>
    <row r="451" spans="1:59" x14ac:dyDescent="0.25">
      <c r="A451" s="1" t="str">
        <f>'Population Definitions'!$A$14</f>
        <v>Prisoners_PWID_males</v>
      </c>
      <c r="B451" s="5" t="s">
        <v>228</v>
      </c>
      <c r="C451" s="5" t="s">
        <v>229</v>
      </c>
      <c r="D451" s="5" t="s">
        <v>229</v>
      </c>
      <c r="E451" s="5" t="s">
        <v>229</v>
      </c>
      <c r="F451" s="5" t="s">
        <v>229</v>
      </c>
      <c r="G451" s="5" t="s">
        <v>229</v>
      </c>
      <c r="H451" s="5" t="s">
        <v>229</v>
      </c>
      <c r="I451" s="5" t="s">
        <v>229</v>
      </c>
      <c r="J451" s="5" t="s">
        <v>229</v>
      </c>
      <c r="K451" s="5" t="s">
        <v>229</v>
      </c>
      <c r="L451" s="5" t="s">
        <v>229</v>
      </c>
      <c r="M451" s="5" t="s">
        <v>229</v>
      </c>
      <c r="N451" s="4" t="s">
        <v>58</v>
      </c>
      <c r="O451" s="5" t="s">
        <v>229</v>
      </c>
    </row>
    <row r="452" spans="1:59" x14ac:dyDescent="0.25">
      <c r="A452" s="1" t="str">
        <f>'Population Definitions'!$A$15</f>
        <v>Prisoners_PWID_females</v>
      </c>
      <c r="B452" s="5" t="s">
        <v>229</v>
      </c>
      <c r="C452" s="5" t="s">
        <v>228</v>
      </c>
      <c r="D452" s="5" t="s">
        <v>229</v>
      </c>
      <c r="E452" s="5" t="s">
        <v>229</v>
      </c>
      <c r="F452" s="5" t="s">
        <v>229</v>
      </c>
      <c r="G452" s="5" t="s">
        <v>229</v>
      </c>
      <c r="H452" s="5" t="s">
        <v>229</v>
      </c>
      <c r="I452" s="5" t="s">
        <v>229</v>
      </c>
      <c r="J452" s="5" t="s">
        <v>229</v>
      </c>
      <c r="K452" s="5" t="s">
        <v>229</v>
      </c>
      <c r="L452" s="5" t="s">
        <v>229</v>
      </c>
      <c r="M452" s="5" t="s">
        <v>229</v>
      </c>
      <c r="N452" s="5" t="s">
        <v>229</v>
      </c>
      <c r="O452" s="4" t="s">
        <v>58</v>
      </c>
    </row>
    <row r="454" spans="1:59" x14ac:dyDescent="0.25">
      <c r="A454" s="1" t="s">
        <v>230</v>
      </c>
      <c r="B454" s="1"/>
      <c r="C454" s="1" t="s">
        <v>231</v>
      </c>
      <c r="D454" s="1" t="s">
        <v>31</v>
      </c>
      <c r="E454" s="1" t="s">
        <v>32</v>
      </c>
      <c r="F454" s="1" t="s">
        <v>33</v>
      </c>
      <c r="G454" s="1" t="s">
        <v>38</v>
      </c>
      <c r="H454" s="1"/>
      <c r="I454" s="1">
        <v>2000</v>
      </c>
      <c r="J454" s="1">
        <v>2001</v>
      </c>
      <c r="K454" s="1">
        <v>2002</v>
      </c>
      <c r="L454" s="1">
        <v>2003</v>
      </c>
      <c r="M454" s="1">
        <v>2004</v>
      </c>
      <c r="N454" s="1">
        <v>2005</v>
      </c>
      <c r="O454" s="1">
        <v>2006</v>
      </c>
      <c r="P454" s="1">
        <v>2007</v>
      </c>
      <c r="Q454" s="1">
        <v>2008</v>
      </c>
      <c r="R454" s="1">
        <v>2009</v>
      </c>
      <c r="S454" s="1">
        <v>2010</v>
      </c>
      <c r="T454" s="1">
        <v>2011</v>
      </c>
      <c r="U454" s="1">
        <v>2012</v>
      </c>
      <c r="V454" s="1">
        <v>2013</v>
      </c>
      <c r="W454" s="1">
        <v>2014</v>
      </c>
      <c r="X454" s="1">
        <v>2015</v>
      </c>
      <c r="Y454" s="1">
        <v>2016</v>
      </c>
      <c r="Z454" s="1">
        <v>2017</v>
      </c>
      <c r="AA454" s="1">
        <v>2018</v>
      </c>
      <c r="AB454" s="1">
        <v>2019</v>
      </c>
      <c r="AC454" s="1">
        <v>2020</v>
      </c>
      <c r="AD454" s="1">
        <v>2021</v>
      </c>
      <c r="AE454" s="1">
        <v>2022</v>
      </c>
      <c r="AF454" s="1">
        <v>2023</v>
      </c>
      <c r="AG454" s="1">
        <v>2024</v>
      </c>
      <c r="AH454" s="1">
        <v>2025</v>
      </c>
      <c r="AI454" s="1">
        <v>2026</v>
      </c>
      <c r="AJ454" s="1">
        <v>2027</v>
      </c>
      <c r="AK454" s="1">
        <v>2028</v>
      </c>
      <c r="AL454" s="1">
        <v>2029</v>
      </c>
      <c r="AM454" s="1">
        <v>2030</v>
      </c>
      <c r="AN454" s="1">
        <v>2031</v>
      </c>
      <c r="AO454" s="1">
        <v>2032</v>
      </c>
      <c r="AP454" s="1">
        <v>2033</v>
      </c>
      <c r="AQ454" s="1">
        <v>2034</v>
      </c>
      <c r="AR454" s="1">
        <v>2035</v>
      </c>
      <c r="AS454" s="1">
        <v>2036</v>
      </c>
      <c r="AT454" s="1">
        <v>2037</v>
      </c>
      <c r="AU454" s="1">
        <v>2038</v>
      </c>
      <c r="AV454" s="1">
        <v>2039</v>
      </c>
      <c r="AW454" s="1">
        <v>2040</v>
      </c>
      <c r="AX454" s="1">
        <v>2041</v>
      </c>
      <c r="AY454" s="1">
        <v>2042</v>
      </c>
      <c r="AZ454" s="1">
        <v>2043</v>
      </c>
      <c r="BA454" s="1">
        <v>2044</v>
      </c>
      <c r="BB454" s="1">
        <v>2045</v>
      </c>
      <c r="BC454" s="1">
        <v>2046</v>
      </c>
      <c r="BD454" s="1">
        <v>2047</v>
      </c>
      <c r="BE454" s="1">
        <v>2048</v>
      </c>
      <c r="BF454" s="1">
        <v>2049</v>
      </c>
      <c r="BG454" s="1">
        <v>2050</v>
      </c>
    </row>
    <row r="455" spans="1:59" x14ac:dyDescent="0.25">
      <c r="A455" s="1" t="str">
        <f>IF($B$439="Y",'Population Definitions'!$A$2,"...")</f>
        <v>...</v>
      </c>
      <c r="B455" s="4" t="str">
        <f>IF($B$439="Y","---&gt;","...")</f>
        <v>...</v>
      </c>
      <c r="C455" s="1" t="str">
        <f>IF($B$439="Y",'Population Definitions'!$A$2,"...")</f>
        <v>...</v>
      </c>
      <c r="E455" s="2"/>
      <c r="F455" s="3"/>
      <c r="G455" s="2"/>
      <c r="H455" s="4" t="str">
        <f>IF($B$439="Y","OR","...")</f>
        <v>...</v>
      </c>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row>
    <row r="456" spans="1:59" x14ac:dyDescent="0.25">
      <c r="A456" s="1" t="str">
        <f>IF($C$439="Y",'Population Definitions'!$A$2,"...")</f>
        <v>...</v>
      </c>
      <c r="B456" s="4" t="str">
        <f>IF($C$439="Y","---&gt;","...")</f>
        <v>...</v>
      </c>
      <c r="C456" s="1" t="str">
        <f>IF($C$439="Y",'Population Definitions'!$A$3,"...")</f>
        <v>...</v>
      </c>
      <c r="E456" s="2"/>
      <c r="F456" s="3"/>
      <c r="G456" s="2"/>
      <c r="H456" s="4" t="str">
        <f>IF($C$439="Y","OR","...")</f>
        <v>...</v>
      </c>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row>
    <row r="457" spans="1:59" x14ac:dyDescent="0.25">
      <c r="A457" s="1" t="str">
        <f>IF($D$439="Y",'Population Definitions'!$A$2,"...")</f>
        <v>...</v>
      </c>
      <c r="B457" s="4" t="str">
        <f>IF($D$439="Y","---&gt;","...")</f>
        <v>...</v>
      </c>
      <c r="C457" s="1" t="str">
        <f>IF($D$439="Y",'Population Definitions'!$A$4,"...")</f>
        <v>...</v>
      </c>
      <c r="E457" s="2"/>
      <c r="F457" s="3"/>
      <c r="G457" s="2"/>
      <c r="H457" s="4" t="str">
        <f>IF($D$439="Y","OR","...")</f>
        <v>...</v>
      </c>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row>
    <row r="458" spans="1:59" x14ac:dyDescent="0.25">
      <c r="A458" s="1" t="str">
        <f>IF($E$439="Y",'Population Definitions'!$A$2,"...")</f>
        <v>...</v>
      </c>
      <c r="B458" s="4" t="str">
        <f>IF($E$439="Y","---&gt;","...")</f>
        <v>...</v>
      </c>
      <c r="C458" s="1" t="str">
        <f>IF($E$439="Y",'Population Definitions'!$A$5,"...")</f>
        <v>...</v>
      </c>
      <c r="E458" s="2"/>
      <c r="F458" s="3"/>
      <c r="G458" s="2"/>
      <c r="H458" s="4" t="str">
        <f>IF($E$439="Y","OR","...")</f>
        <v>...</v>
      </c>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row>
    <row r="459" spans="1:59" x14ac:dyDescent="0.25">
      <c r="A459" s="1" t="str">
        <f>IF($F$439="Y",'Population Definitions'!$A$2,"...")</f>
        <v>...</v>
      </c>
      <c r="B459" s="4" t="str">
        <f>IF($F$439="Y","---&gt;","...")</f>
        <v>...</v>
      </c>
      <c r="C459" s="1" t="str">
        <f>IF($F$439="Y",'Population Definitions'!$A$6,"...")</f>
        <v>...</v>
      </c>
      <c r="E459" s="2"/>
      <c r="F459" s="3"/>
      <c r="G459" s="2"/>
      <c r="H459" s="4" t="str">
        <f>IF($F$439="Y","OR","...")</f>
        <v>...</v>
      </c>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row>
    <row r="460" spans="1:59" x14ac:dyDescent="0.25">
      <c r="A460" s="1" t="str">
        <f>IF($G$439="Y",'Population Definitions'!$A$2,"...")</f>
        <v>...</v>
      </c>
      <c r="B460" s="4" t="str">
        <f>IF($G$439="Y","---&gt;","...")</f>
        <v>...</v>
      </c>
      <c r="C460" s="1" t="str">
        <f>IF($G$439="Y",'Population Definitions'!$A$7,"...")</f>
        <v>...</v>
      </c>
      <c r="E460" s="2"/>
      <c r="F460" s="3"/>
      <c r="G460" s="2"/>
      <c r="H460" s="4" t="str">
        <f>IF($G$439="Y","OR","...")</f>
        <v>...</v>
      </c>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row>
    <row r="461" spans="1:59" x14ac:dyDescent="0.25">
      <c r="A461" s="1" t="str">
        <f>IF($H$439="Y",'Population Definitions'!$A$2,"...")</f>
        <v>...</v>
      </c>
      <c r="B461" s="4" t="str">
        <f>IF($H$439="Y","---&gt;","...")</f>
        <v>...</v>
      </c>
      <c r="C461" s="1" t="str">
        <f>IF($H$439="Y",'Population Definitions'!$A$8,"...")</f>
        <v>...</v>
      </c>
      <c r="E461" s="2"/>
      <c r="F461" s="3"/>
      <c r="G461" s="2"/>
      <c r="H461" s="4" t="str">
        <f>IF($H$439="Y","OR","...")</f>
        <v>...</v>
      </c>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row>
    <row r="462" spans="1:59" x14ac:dyDescent="0.25">
      <c r="A462" s="1" t="str">
        <f>IF($I$439="Y",'Population Definitions'!$A$2,"...")</f>
        <v>...</v>
      </c>
      <c r="B462" s="4" t="str">
        <f>IF($I$439="Y","---&gt;","...")</f>
        <v>...</v>
      </c>
      <c r="C462" s="1" t="str">
        <f>IF($I$439="Y",'Population Definitions'!$A$9,"...")</f>
        <v>...</v>
      </c>
      <c r="E462" s="2"/>
      <c r="F462" s="3"/>
      <c r="G462" s="2"/>
      <c r="H462" s="4" t="str">
        <f>IF($I$439="Y","OR","...")</f>
        <v>...</v>
      </c>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row>
    <row r="463" spans="1:59" x14ac:dyDescent="0.25">
      <c r="A463" s="1" t="str">
        <f>IF($J$439="Y",'Population Definitions'!$A$2,"...")</f>
        <v>...</v>
      </c>
      <c r="B463" s="4" t="str">
        <f>IF($J$439="Y","---&gt;","...")</f>
        <v>...</v>
      </c>
      <c r="C463" s="1" t="str">
        <f>IF($J$439="Y",'Population Definitions'!$A$10,"...")</f>
        <v>...</v>
      </c>
      <c r="E463" s="2"/>
      <c r="F463" s="3"/>
      <c r="G463" s="2"/>
      <c r="H463" s="4" t="str">
        <f>IF($J$439="Y","OR","...")</f>
        <v>...</v>
      </c>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row>
    <row r="464" spans="1:59" x14ac:dyDescent="0.25">
      <c r="A464" s="1" t="str">
        <f>IF($K$439="Y",'Population Definitions'!$A$2,"...")</f>
        <v>...</v>
      </c>
      <c r="B464" s="4" t="str">
        <f>IF($K$439="Y","---&gt;","...")</f>
        <v>...</v>
      </c>
      <c r="C464" s="1" t="str">
        <f>IF($K$439="Y",'Population Definitions'!$A$11,"...")</f>
        <v>...</v>
      </c>
      <c r="E464" s="2"/>
      <c r="F464" s="3"/>
      <c r="G464" s="2"/>
      <c r="H464" s="4" t="str">
        <f>IF($K$439="Y","OR","...")</f>
        <v>...</v>
      </c>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row>
    <row r="465" spans="1:59" x14ac:dyDescent="0.25">
      <c r="A465" s="1" t="str">
        <f>IF($L$439="Y",'Population Definitions'!$A$2,"...")</f>
        <v>...</v>
      </c>
      <c r="B465" s="4" t="str">
        <f>IF($L$439="Y","---&gt;","...")</f>
        <v>...</v>
      </c>
      <c r="C465" s="1" t="str">
        <f>IF($L$439="Y",'Population Definitions'!$A$12,"...")</f>
        <v>...</v>
      </c>
      <c r="E465" s="2"/>
      <c r="F465" s="3"/>
      <c r="G465" s="2"/>
      <c r="H465" s="4" t="str">
        <f>IF($L$439="Y","OR","...")</f>
        <v>...</v>
      </c>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row>
    <row r="466" spans="1:59" x14ac:dyDescent="0.25">
      <c r="A466" s="1" t="str">
        <f>IF($M$439="Y",'Population Definitions'!$A$2,"...")</f>
        <v>...</v>
      </c>
      <c r="B466" s="4" t="str">
        <f>IF($M$439="Y","---&gt;","...")</f>
        <v>...</v>
      </c>
      <c r="C466" s="1" t="str">
        <f>IF($M$439="Y",'Population Definitions'!$A$13,"...")</f>
        <v>...</v>
      </c>
      <c r="E466" s="2"/>
      <c r="F466" s="3"/>
      <c r="G466" s="2"/>
      <c r="H466" s="4" t="str">
        <f>IF($M$439="Y","OR","...")</f>
        <v>...</v>
      </c>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row>
    <row r="467" spans="1:59" x14ac:dyDescent="0.25">
      <c r="A467" s="1" t="str">
        <f>IF($N$439="Y",'Population Definitions'!$A$2,"...")</f>
        <v>PWID_males</v>
      </c>
      <c r="B467" s="4" t="str">
        <f>IF($N$439="Y","---&gt;","...")</f>
        <v>---&gt;</v>
      </c>
      <c r="C467" s="1" t="str">
        <f>IF($N$439="Y",'Population Definitions'!$A$14,"...")</f>
        <v>Prisoners_PWID_males</v>
      </c>
      <c r="E467" s="3" t="s">
        <v>55</v>
      </c>
      <c r="F467" s="3"/>
      <c r="G467" s="3">
        <v>0.62590347527514167</v>
      </c>
      <c r="H467" s="4" t="str">
        <f>IF($N$439="Y","OR","...")</f>
        <v>OR</v>
      </c>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row>
    <row r="468" spans="1:59" x14ac:dyDescent="0.25">
      <c r="A468" s="1" t="str">
        <f>IF($O$439="Y",'Population Definitions'!$A$2,"...")</f>
        <v>...</v>
      </c>
      <c r="B468" s="4" t="str">
        <f>IF($O$439="Y","---&gt;","...")</f>
        <v>...</v>
      </c>
      <c r="C468" s="1" t="str">
        <f>IF($O$439="Y",'Population Definitions'!$A$15,"...")</f>
        <v>...</v>
      </c>
      <c r="E468" s="2"/>
      <c r="F468" s="3"/>
      <c r="G468" s="2"/>
      <c r="H468" s="4" t="str">
        <f>IF($O$439="Y","OR","...")</f>
        <v>...</v>
      </c>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row>
    <row r="469" spans="1:59" x14ac:dyDescent="0.25">
      <c r="A469" s="1" t="str">
        <f>IF($B$440="Y",'Population Definitions'!$A$3,"...")</f>
        <v>...</v>
      </c>
      <c r="B469" s="4" t="str">
        <f>IF($B$440="Y","---&gt;","...")</f>
        <v>...</v>
      </c>
      <c r="C469" s="1" t="str">
        <f>IF($B$440="Y",'Population Definitions'!$A$2,"...")</f>
        <v>...</v>
      </c>
      <c r="E469" s="2"/>
      <c r="F469" s="3"/>
      <c r="G469" s="2"/>
      <c r="H469" s="4" t="str">
        <f>IF($B$440="Y","OR","...")</f>
        <v>...</v>
      </c>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row>
    <row r="470" spans="1:59" x14ac:dyDescent="0.25">
      <c r="A470" s="1" t="str">
        <f>IF($C$440="Y",'Population Definitions'!$A$3,"...")</f>
        <v>...</v>
      </c>
      <c r="B470" s="4" t="str">
        <f>IF($C$440="Y","---&gt;","...")</f>
        <v>...</v>
      </c>
      <c r="C470" s="1" t="str">
        <f>IF($C$440="Y",'Population Definitions'!$A$3,"...")</f>
        <v>...</v>
      </c>
      <c r="E470" s="2"/>
      <c r="F470" s="3"/>
      <c r="G470" s="2"/>
      <c r="H470" s="4" t="str">
        <f>IF($C$440="Y","OR","...")</f>
        <v>...</v>
      </c>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row>
    <row r="471" spans="1:59" x14ac:dyDescent="0.25">
      <c r="A471" s="1" t="str">
        <f>IF($D$440="Y",'Population Definitions'!$A$3,"...")</f>
        <v>...</v>
      </c>
      <c r="B471" s="4" t="str">
        <f>IF($D$440="Y","---&gt;","...")</f>
        <v>...</v>
      </c>
      <c r="C471" s="1" t="str">
        <f>IF($D$440="Y",'Population Definitions'!$A$4,"...")</f>
        <v>...</v>
      </c>
      <c r="E471" s="2"/>
      <c r="F471" s="3"/>
      <c r="G471" s="2"/>
      <c r="H471" s="4" t="str">
        <f>IF($D$440="Y","OR","...")</f>
        <v>...</v>
      </c>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row>
    <row r="472" spans="1:59" x14ac:dyDescent="0.25">
      <c r="A472" s="1" t="str">
        <f>IF($E$440="Y",'Population Definitions'!$A$3,"...")</f>
        <v>...</v>
      </c>
      <c r="B472" s="4" t="str">
        <f>IF($E$440="Y","---&gt;","...")</f>
        <v>...</v>
      </c>
      <c r="C472" s="1" t="str">
        <f>IF($E$440="Y",'Population Definitions'!$A$5,"...")</f>
        <v>...</v>
      </c>
      <c r="E472" s="2"/>
      <c r="F472" s="3"/>
      <c r="G472" s="2"/>
      <c r="H472" s="4" t="str">
        <f>IF($E$440="Y","OR","...")</f>
        <v>...</v>
      </c>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row>
    <row r="473" spans="1:59" x14ac:dyDescent="0.25">
      <c r="A473" s="1" t="str">
        <f>IF($F$440="Y",'Population Definitions'!$A$3,"...")</f>
        <v>...</v>
      </c>
      <c r="B473" s="4" t="str">
        <f>IF($F$440="Y","---&gt;","...")</f>
        <v>...</v>
      </c>
      <c r="C473" s="1" t="str">
        <f>IF($F$440="Y",'Population Definitions'!$A$6,"...")</f>
        <v>...</v>
      </c>
      <c r="E473" s="2"/>
      <c r="F473" s="3"/>
      <c r="G473" s="2"/>
      <c r="H473" s="4" t="str">
        <f>IF($F$440="Y","OR","...")</f>
        <v>...</v>
      </c>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row>
    <row r="474" spans="1:59" x14ac:dyDescent="0.25">
      <c r="A474" s="1" t="str">
        <f>IF($G$440="Y",'Population Definitions'!$A$3,"...")</f>
        <v>...</v>
      </c>
      <c r="B474" s="4" t="str">
        <f>IF($G$440="Y","---&gt;","...")</f>
        <v>...</v>
      </c>
      <c r="C474" s="1" t="str">
        <f>IF($G$440="Y",'Population Definitions'!$A$7,"...")</f>
        <v>...</v>
      </c>
      <c r="E474" s="2"/>
      <c r="F474" s="3"/>
      <c r="G474" s="2"/>
      <c r="H474" s="4" t="str">
        <f>IF($G$440="Y","OR","...")</f>
        <v>...</v>
      </c>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row>
    <row r="475" spans="1:59" x14ac:dyDescent="0.25">
      <c r="A475" s="1" t="str">
        <f>IF($H$440="Y",'Population Definitions'!$A$3,"...")</f>
        <v>...</v>
      </c>
      <c r="B475" s="4" t="str">
        <f>IF($H$440="Y","---&gt;","...")</f>
        <v>...</v>
      </c>
      <c r="C475" s="1" t="str">
        <f>IF($H$440="Y",'Population Definitions'!$A$8,"...")</f>
        <v>...</v>
      </c>
      <c r="E475" s="2"/>
      <c r="F475" s="3"/>
      <c r="G475" s="2"/>
      <c r="H475" s="4" t="str">
        <f>IF($H$440="Y","OR","...")</f>
        <v>...</v>
      </c>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row>
    <row r="476" spans="1:59" x14ac:dyDescent="0.25">
      <c r="A476" s="1" t="str">
        <f>IF($I$440="Y",'Population Definitions'!$A$3,"...")</f>
        <v>...</v>
      </c>
      <c r="B476" s="4" t="str">
        <f>IF($I$440="Y","---&gt;","...")</f>
        <v>...</v>
      </c>
      <c r="C476" s="1" t="str">
        <f>IF($I$440="Y",'Population Definitions'!$A$9,"...")</f>
        <v>...</v>
      </c>
      <c r="E476" s="2"/>
      <c r="F476" s="3"/>
      <c r="G476" s="2"/>
      <c r="H476" s="4" t="str">
        <f>IF($I$440="Y","OR","...")</f>
        <v>...</v>
      </c>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row>
    <row r="477" spans="1:59" x14ac:dyDescent="0.25">
      <c r="A477" s="1" t="str">
        <f>IF($J$440="Y",'Population Definitions'!$A$3,"...")</f>
        <v>...</v>
      </c>
      <c r="B477" s="4" t="str">
        <f>IF($J$440="Y","---&gt;","...")</f>
        <v>...</v>
      </c>
      <c r="C477" s="1" t="str">
        <f>IF($J$440="Y",'Population Definitions'!$A$10,"...")</f>
        <v>...</v>
      </c>
      <c r="E477" s="2"/>
      <c r="F477" s="3"/>
      <c r="G477" s="2"/>
      <c r="H477" s="4" t="str">
        <f>IF($J$440="Y","OR","...")</f>
        <v>...</v>
      </c>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row>
    <row r="478" spans="1:59" x14ac:dyDescent="0.25">
      <c r="A478" s="1" t="str">
        <f>IF($K$440="Y",'Population Definitions'!$A$3,"...")</f>
        <v>...</v>
      </c>
      <c r="B478" s="4" t="str">
        <f>IF($K$440="Y","---&gt;","...")</f>
        <v>...</v>
      </c>
      <c r="C478" s="1" t="str">
        <f>IF($K$440="Y",'Population Definitions'!$A$11,"...")</f>
        <v>...</v>
      </c>
      <c r="E478" s="2"/>
      <c r="F478" s="3"/>
      <c r="G478" s="2"/>
      <c r="H478" s="4" t="str">
        <f>IF($K$440="Y","OR","...")</f>
        <v>...</v>
      </c>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row>
    <row r="479" spans="1:59" x14ac:dyDescent="0.25">
      <c r="A479" s="1" t="str">
        <f>IF($L$440="Y",'Population Definitions'!$A$3,"...")</f>
        <v>...</v>
      </c>
      <c r="B479" s="4" t="str">
        <f>IF($L$440="Y","---&gt;","...")</f>
        <v>...</v>
      </c>
      <c r="C479" s="1" t="str">
        <f>IF($L$440="Y",'Population Definitions'!$A$12,"...")</f>
        <v>...</v>
      </c>
      <c r="E479" s="2"/>
      <c r="F479" s="3"/>
      <c r="G479" s="2"/>
      <c r="H479" s="4" t="str">
        <f>IF($L$440="Y","OR","...")</f>
        <v>...</v>
      </c>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row>
    <row r="480" spans="1:59" x14ac:dyDescent="0.25">
      <c r="A480" s="1" t="str">
        <f>IF($M$440="Y",'Population Definitions'!$A$3,"...")</f>
        <v>...</v>
      </c>
      <c r="B480" s="4" t="str">
        <f>IF($M$440="Y","---&gt;","...")</f>
        <v>...</v>
      </c>
      <c r="C480" s="1" t="str">
        <f>IF($M$440="Y",'Population Definitions'!$A$13,"...")</f>
        <v>...</v>
      </c>
      <c r="E480" s="2"/>
      <c r="F480" s="3"/>
      <c r="G480" s="2"/>
      <c r="H480" s="4" t="str">
        <f>IF($M$440="Y","OR","...")</f>
        <v>...</v>
      </c>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row>
    <row r="481" spans="1:59" x14ac:dyDescent="0.25">
      <c r="A481" s="1" t="str">
        <f>IF($N$440="Y",'Population Definitions'!$A$3,"...")</f>
        <v>...</v>
      </c>
      <c r="B481" s="4" t="str">
        <f>IF($N$440="Y","---&gt;","...")</f>
        <v>...</v>
      </c>
      <c r="C481" s="1" t="str">
        <f>IF($N$440="Y",'Population Definitions'!$A$14,"...")</f>
        <v>...</v>
      </c>
      <c r="E481" s="2"/>
      <c r="F481" s="3"/>
      <c r="G481" s="2"/>
      <c r="H481" s="4" t="str">
        <f>IF($N$440="Y","OR","...")</f>
        <v>...</v>
      </c>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row>
    <row r="482" spans="1:59" x14ac:dyDescent="0.25">
      <c r="A482" s="1" t="str">
        <f>IF($O$440="Y",'Population Definitions'!$A$3,"...")</f>
        <v>PWID_females</v>
      </c>
      <c r="B482" s="4" t="str">
        <f>IF($O$440="Y","---&gt;","...")</f>
        <v>---&gt;</v>
      </c>
      <c r="C482" s="1" t="str">
        <f>IF($O$440="Y",'Population Definitions'!$A$15,"...")</f>
        <v>Prisoners_PWID_females</v>
      </c>
      <c r="E482" s="3" t="s">
        <v>55</v>
      </c>
      <c r="F482" s="3"/>
      <c r="G482" s="3">
        <v>0.81781910329926522</v>
      </c>
      <c r="H482" s="4" t="str">
        <f>IF($O$440="Y","OR","...")</f>
        <v>OR</v>
      </c>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row>
    <row r="483" spans="1:59" x14ac:dyDescent="0.25">
      <c r="A483" s="1" t="str">
        <f>IF($B$441="Y",'Population Definitions'!$A$4,"...")</f>
        <v>...</v>
      </c>
      <c r="B483" s="4" t="str">
        <f>IF($B$441="Y","---&gt;","...")</f>
        <v>...</v>
      </c>
      <c r="C483" s="1" t="str">
        <f>IF($B$441="Y",'Population Definitions'!$A$2,"...")</f>
        <v>...</v>
      </c>
      <c r="E483" s="2"/>
      <c r="F483" s="3"/>
      <c r="G483" s="2"/>
      <c r="H483" s="4" t="str">
        <f>IF($B$441="Y","OR","...")</f>
        <v>...</v>
      </c>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row>
    <row r="484" spans="1:59" x14ac:dyDescent="0.25">
      <c r="A484" s="1" t="str">
        <f>IF($C$441="Y",'Population Definitions'!$A$4,"...")</f>
        <v>...</v>
      </c>
      <c r="B484" s="4" t="str">
        <f>IF($C$441="Y","---&gt;","...")</f>
        <v>...</v>
      </c>
      <c r="C484" s="1" t="str">
        <f>IF($C$441="Y",'Population Definitions'!$A$3,"...")</f>
        <v>...</v>
      </c>
      <c r="E484" s="2"/>
      <c r="F484" s="3"/>
      <c r="G484" s="2"/>
      <c r="H484" s="4" t="str">
        <f>IF($C$441="Y","OR","...")</f>
        <v>...</v>
      </c>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row>
    <row r="485" spans="1:59" x14ac:dyDescent="0.25">
      <c r="A485" s="1" t="str">
        <f>IF($D$441="Y",'Population Definitions'!$A$4,"...")</f>
        <v>...</v>
      </c>
      <c r="B485" s="4" t="str">
        <f>IF($D$441="Y","---&gt;","...")</f>
        <v>...</v>
      </c>
      <c r="C485" s="1" t="str">
        <f>IF($D$441="Y",'Population Definitions'!$A$4,"...")</f>
        <v>...</v>
      </c>
      <c r="E485" s="2"/>
      <c r="F485" s="3"/>
      <c r="G485" s="2"/>
      <c r="H485" s="4" t="str">
        <f>IF($D$441="Y","OR","...")</f>
        <v>...</v>
      </c>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row>
    <row r="486" spans="1:59" x14ac:dyDescent="0.25">
      <c r="A486" s="1" t="str">
        <f>IF($E$441="Y",'Population Definitions'!$A$4,"...")</f>
        <v>...</v>
      </c>
      <c r="B486" s="4" t="str">
        <f>IF($E$441="Y","---&gt;","...")</f>
        <v>...</v>
      </c>
      <c r="C486" s="1" t="str">
        <f>IF($E$441="Y",'Population Definitions'!$A$5,"...")</f>
        <v>...</v>
      </c>
      <c r="E486" s="2"/>
      <c r="F486" s="3"/>
      <c r="G486" s="2"/>
      <c r="H486" s="4" t="str">
        <f>IF($E$441="Y","OR","...")</f>
        <v>...</v>
      </c>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row>
    <row r="487" spans="1:59" x14ac:dyDescent="0.25">
      <c r="A487" s="1" t="str">
        <f>IF($F$441="Y",'Population Definitions'!$A$4,"...")</f>
        <v>...</v>
      </c>
      <c r="B487" s="4" t="str">
        <f>IF($F$441="Y","---&gt;","...")</f>
        <v>...</v>
      </c>
      <c r="C487" s="1" t="str">
        <f>IF($F$441="Y",'Population Definitions'!$A$6,"...")</f>
        <v>...</v>
      </c>
      <c r="E487" s="2"/>
      <c r="F487" s="3"/>
      <c r="G487" s="2"/>
      <c r="H487" s="4" t="str">
        <f>IF($F$441="Y","OR","...")</f>
        <v>...</v>
      </c>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row>
    <row r="488" spans="1:59" x14ac:dyDescent="0.25">
      <c r="A488" s="1" t="str">
        <f>IF($G$441="Y",'Population Definitions'!$A$4,"...")</f>
        <v>...</v>
      </c>
      <c r="B488" s="4" t="str">
        <f>IF($G$441="Y","---&gt;","...")</f>
        <v>...</v>
      </c>
      <c r="C488" s="1" t="str">
        <f>IF($G$441="Y",'Population Definitions'!$A$7,"...")</f>
        <v>...</v>
      </c>
      <c r="E488" s="2"/>
      <c r="F488" s="3"/>
      <c r="G488" s="2"/>
      <c r="H488" s="4" t="str">
        <f>IF($G$441="Y","OR","...")</f>
        <v>...</v>
      </c>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row>
    <row r="489" spans="1:59" x14ac:dyDescent="0.25">
      <c r="A489" s="1" t="str">
        <f>IF($H$441="Y",'Population Definitions'!$A$4,"...")</f>
        <v>...</v>
      </c>
      <c r="B489" s="4" t="str">
        <f>IF($H$441="Y","---&gt;","...")</f>
        <v>...</v>
      </c>
      <c r="C489" s="1" t="str">
        <f>IF($H$441="Y",'Population Definitions'!$A$8,"...")</f>
        <v>...</v>
      </c>
      <c r="E489" s="2"/>
      <c r="F489" s="3"/>
      <c r="G489" s="2"/>
      <c r="H489" s="4" t="str">
        <f>IF($H$441="Y","OR","...")</f>
        <v>...</v>
      </c>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row>
    <row r="490" spans="1:59" x14ac:dyDescent="0.25">
      <c r="A490" s="1" t="str">
        <f>IF($I$441="Y",'Population Definitions'!$A$4,"...")</f>
        <v>...</v>
      </c>
      <c r="B490" s="4" t="str">
        <f>IF($I$441="Y","---&gt;","...")</f>
        <v>...</v>
      </c>
      <c r="C490" s="1" t="str">
        <f>IF($I$441="Y",'Population Definitions'!$A$9,"...")</f>
        <v>...</v>
      </c>
      <c r="E490" s="2"/>
      <c r="F490" s="3"/>
      <c r="G490" s="2"/>
      <c r="H490" s="4" t="str">
        <f>IF($I$441="Y","OR","...")</f>
        <v>...</v>
      </c>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row>
    <row r="491" spans="1:59" x14ac:dyDescent="0.25">
      <c r="A491" s="1" t="str">
        <f>IF($J$441="Y",'Population Definitions'!$A$4,"...")</f>
        <v>...</v>
      </c>
      <c r="B491" s="4" t="str">
        <f>IF($J$441="Y","---&gt;","...")</f>
        <v>...</v>
      </c>
      <c r="C491" s="1" t="str">
        <f>IF($J$441="Y",'Population Definitions'!$A$10,"...")</f>
        <v>...</v>
      </c>
      <c r="E491" s="2"/>
      <c r="F491" s="3"/>
      <c r="G491" s="2"/>
      <c r="H491" s="4" t="str">
        <f>IF($J$441="Y","OR","...")</f>
        <v>...</v>
      </c>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row>
    <row r="492" spans="1:59" x14ac:dyDescent="0.25">
      <c r="A492" s="1" t="str">
        <f>IF($K$441="Y",'Population Definitions'!$A$4,"...")</f>
        <v>...</v>
      </c>
      <c r="B492" s="4" t="str">
        <f>IF($K$441="Y","---&gt;","...")</f>
        <v>...</v>
      </c>
      <c r="C492" s="1" t="str">
        <f>IF($K$441="Y",'Population Definitions'!$A$11,"...")</f>
        <v>...</v>
      </c>
      <c r="E492" s="2"/>
      <c r="F492" s="3"/>
      <c r="G492" s="2"/>
      <c r="H492" s="4" t="str">
        <f>IF($K$441="Y","OR","...")</f>
        <v>...</v>
      </c>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row>
    <row r="493" spans="1:59" x14ac:dyDescent="0.25">
      <c r="A493" s="1" t="str">
        <f>IF($L$441="Y",'Population Definitions'!$A$4,"...")</f>
        <v>...</v>
      </c>
      <c r="B493" s="4" t="str">
        <f>IF($L$441="Y","---&gt;","...")</f>
        <v>...</v>
      </c>
      <c r="C493" s="1" t="str">
        <f>IF($L$441="Y",'Population Definitions'!$A$12,"...")</f>
        <v>...</v>
      </c>
      <c r="E493" s="2"/>
      <c r="F493" s="3"/>
      <c r="G493" s="2"/>
      <c r="H493" s="4" t="str">
        <f>IF($L$441="Y","OR","...")</f>
        <v>...</v>
      </c>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row>
    <row r="494" spans="1:59" x14ac:dyDescent="0.25">
      <c r="A494" s="1" t="str">
        <f>IF($M$441="Y",'Population Definitions'!$A$4,"...")</f>
        <v>...</v>
      </c>
      <c r="B494" s="4" t="str">
        <f>IF($M$441="Y","---&gt;","...")</f>
        <v>...</v>
      </c>
      <c r="C494" s="1" t="str">
        <f>IF($M$441="Y",'Population Definitions'!$A$13,"...")</f>
        <v>...</v>
      </c>
      <c r="E494" s="2"/>
      <c r="F494" s="3"/>
      <c r="G494" s="2"/>
      <c r="H494" s="4" t="str">
        <f>IF($M$441="Y","OR","...")</f>
        <v>...</v>
      </c>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row>
    <row r="495" spans="1:59" x14ac:dyDescent="0.25">
      <c r="A495" s="1" t="str">
        <f>IF($N$441="Y",'Population Definitions'!$A$4,"...")</f>
        <v>...</v>
      </c>
      <c r="B495" s="4" t="str">
        <f>IF($N$441="Y","---&gt;","...")</f>
        <v>...</v>
      </c>
      <c r="C495" s="1" t="str">
        <f>IF($N$441="Y",'Population Definitions'!$A$14,"...")</f>
        <v>...</v>
      </c>
      <c r="E495" s="2"/>
      <c r="F495" s="3"/>
      <c r="G495" s="2"/>
      <c r="H495" s="4" t="str">
        <f>IF($N$441="Y","OR","...")</f>
        <v>...</v>
      </c>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row>
    <row r="496" spans="1:59" x14ac:dyDescent="0.25">
      <c r="A496" s="1" t="str">
        <f>IF($O$441="Y",'Population Definitions'!$A$4,"...")</f>
        <v>...</v>
      </c>
      <c r="B496" s="4" t="str">
        <f>IF($O$441="Y","---&gt;","...")</f>
        <v>...</v>
      </c>
      <c r="C496" s="1" t="str">
        <f>IF($O$441="Y",'Population Definitions'!$A$15,"...")</f>
        <v>...</v>
      </c>
      <c r="E496" s="2"/>
      <c r="F496" s="3"/>
      <c r="G496" s="2"/>
      <c r="H496" s="4" t="str">
        <f>IF($O$441="Y","OR","...")</f>
        <v>...</v>
      </c>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row>
    <row r="497" spans="1:59" x14ac:dyDescent="0.25">
      <c r="A497" s="1" t="str">
        <f>IF($B$442="Y",'Population Definitions'!$A$5,"...")</f>
        <v>...</v>
      </c>
      <c r="B497" s="4" t="str">
        <f>IF($B$442="Y","---&gt;","...")</f>
        <v>...</v>
      </c>
      <c r="C497" s="1" t="str">
        <f>IF($B$442="Y",'Population Definitions'!$A$2,"...")</f>
        <v>...</v>
      </c>
      <c r="E497" s="2"/>
      <c r="F497" s="3"/>
      <c r="G497" s="2"/>
      <c r="H497" s="4" t="str">
        <f>IF($B$442="Y","OR","...")</f>
        <v>...</v>
      </c>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row>
    <row r="498" spans="1:59" x14ac:dyDescent="0.25">
      <c r="A498" s="1" t="str">
        <f>IF($C$442="Y",'Population Definitions'!$A$5,"...")</f>
        <v>...</v>
      </c>
      <c r="B498" s="4" t="str">
        <f>IF($C$442="Y","---&gt;","...")</f>
        <v>...</v>
      </c>
      <c r="C498" s="1" t="str">
        <f>IF($C$442="Y",'Population Definitions'!$A$3,"...")</f>
        <v>...</v>
      </c>
      <c r="E498" s="2"/>
      <c r="F498" s="3"/>
      <c r="G498" s="2"/>
      <c r="H498" s="4" t="str">
        <f>IF($C$442="Y","OR","...")</f>
        <v>...</v>
      </c>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row>
    <row r="499" spans="1:59" x14ac:dyDescent="0.25">
      <c r="A499" s="1" t="str">
        <f>IF($D$442="Y",'Population Definitions'!$A$5,"...")</f>
        <v>...</v>
      </c>
      <c r="B499" s="4" t="str">
        <f>IF($D$442="Y","---&gt;","...")</f>
        <v>...</v>
      </c>
      <c r="C499" s="1" t="str">
        <f>IF($D$442="Y",'Population Definitions'!$A$4,"...")</f>
        <v>...</v>
      </c>
      <c r="E499" s="2"/>
      <c r="F499" s="3"/>
      <c r="G499" s="2"/>
      <c r="H499" s="4" t="str">
        <f>IF($D$442="Y","OR","...")</f>
        <v>...</v>
      </c>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row>
    <row r="500" spans="1:59" x14ac:dyDescent="0.25">
      <c r="A500" s="1" t="str">
        <f>IF($E$442="Y",'Population Definitions'!$A$5,"...")</f>
        <v>...</v>
      </c>
      <c r="B500" s="4" t="str">
        <f>IF($E$442="Y","---&gt;","...")</f>
        <v>...</v>
      </c>
      <c r="C500" s="1" t="str">
        <f>IF($E$442="Y",'Population Definitions'!$A$5,"...")</f>
        <v>...</v>
      </c>
      <c r="E500" s="2"/>
      <c r="F500" s="3"/>
      <c r="G500" s="2"/>
      <c r="H500" s="4" t="str">
        <f>IF($E$442="Y","OR","...")</f>
        <v>...</v>
      </c>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row>
    <row r="501" spans="1:59" x14ac:dyDescent="0.25">
      <c r="A501" s="1" t="str">
        <f>IF($F$442="Y",'Population Definitions'!$A$5,"...")</f>
        <v>...</v>
      </c>
      <c r="B501" s="4" t="str">
        <f>IF($F$442="Y","---&gt;","...")</f>
        <v>...</v>
      </c>
      <c r="C501" s="1" t="str">
        <f>IF($F$442="Y",'Population Definitions'!$A$6,"...")</f>
        <v>...</v>
      </c>
      <c r="E501" s="2"/>
      <c r="F501" s="3"/>
      <c r="G501" s="2"/>
      <c r="H501" s="4" t="str">
        <f>IF($F$442="Y","OR","...")</f>
        <v>...</v>
      </c>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row>
    <row r="502" spans="1:59" x14ac:dyDescent="0.25">
      <c r="A502" s="1" t="str">
        <f>IF($G$442="Y",'Population Definitions'!$A$5,"...")</f>
        <v>...</v>
      </c>
      <c r="B502" s="4" t="str">
        <f>IF($G$442="Y","---&gt;","...")</f>
        <v>...</v>
      </c>
      <c r="C502" s="1" t="str">
        <f>IF($G$442="Y",'Population Definitions'!$A$7,"...")</f>
        <v>...</v>
      </c>
      <c r="E502" s="2"/>
      <c r="F502" s="3"/>
      <c r="G502" s="2"/>
      <c r="H502" s="4" t="str">
        <f>IF($G$442="Y","OR","...")</f>
        <v>...</v>
      </c>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row>
    <row r="503" spans="1:59" x14ac:dyDescent="0.25">
      <c r="A503" s="1" t="str">
        <f>IF($H$442="Y",'Population Definitions'!$A$5,"...")</f>
        <v>...</v>
      </c>
      <c r="B503" s="4" t="str">
        <f>IF($H$442="Y","---&gt;","...")</f>
        <v>...</v>
      </c>
      <c r="C503" s="1" t="str">
        <f>IF($H$442="Y",'Population Definitions'!$A$8,"...")</f>
        <v>...</v>
      </c>
      <c r="E503" s="2"/>
      <c r="F503" s="3"/>
      <c r="G503" s="2"/>
      <c r="H503" s="4" t="str">
        <f>IF($H$442="Y","OR","...")</f>
        <v>...</v>
      </c>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row>
    <row r="504" spans="1:59" x14ac:dyDescent="0.25">
      <c r="A504" s="1" t="str">
        <f>IF($I$442="Y",'Population Definitions'!$A$5,"...")</f>
        <v>...</v>
      </c>
      <c r="B504" s="4" t="str">
        <f>IF($I$442="Y","---&gt;","...")</f>
        <v>...</v>
      </c>
      <c r="C504" s="1" t="str">
        <f>IF($I$442="Y",'Population Definitions'!$A$9,"...")</f>
        <v>...</v>
      </c>
      <c r="E504" s="2"/>
      <c r="F504" s="3"/>
      <c r="G504" s="2"/>
      <c r="H504" s="4" t="str">
        <f>IF($I$442="Y","OR","...")</f>
        <v>...</v>
      </c>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row>
    <row r="505" spans="1:59" x14ac:dyDescent="0.25">
      <c r="A505" s="1" t="str">
        <f>IF($J$442="Y",'Population Definitions'!$A$5,"...")</f>
        <v>...</v>
      </c>
      <c r="B505" s="4" t="str">
        <f>IF($J$442="Y","---&gt;","...")</f>
        <v>...</v>
      </c>
      <c r="C505" s="1" t="str">
        <f>IF($J$442="Y",'Population Definitions'!$A$10,"...")</f>
        <v>...</v>
      </c>
      <c r="E505" s="2"/>
      <c r="F505" s="3"/>
      <c r="G505" s="2"/>
      <c r="H505" s="4" t="str">
        <f>IF($J$442="Y","OR","...")</f>
        <v>...</v>
      </c>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row>
    <row r="506" spans="1:59" x14ac:dyDescent="0.25">
      <c r="A506" s="1" t="str">
        <f>IF($K$442="Y",'Population Definitions'!$A$5,"...")</f>
        <v>...</v>
      </c>
      <c r="B506" s="4" t="str">
        <f>IF($K$442="Y","---&gt;","...")</f>
        <v>...</v>
      </c>
      <c r="C506" s="1" t="str">
        <f>IF($K$442="Y",'Population Definitions'!$A$11,"...")</f>
        <v>...</v>
      </c>
      <c r="E506" s="2"/>
      <c r="F506" s="3"/>
      <c r="G506" s="2"/>
      <c r="H506" s="4" t="str">
        <f>IF($K$442="Y","OR","...")</f>
        <v>...</v>
      </c>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row>
    <row r="507" spans="1:59" x14ac:dyDescent="0.25">
      <c r="A507" s="1" t="str">
        <f>IF($L$442="Y",'Population Definitions'!$A$5,"...")</f>
        <v>...</v>
      </c>
      <c r="B507" s="4" t="str">
        <f>IF($L$442="Y","---&gt;","...")</f>
        <v>...</v>
      </c>
      <c r="C507" s="1" t="str">
        <f>IF($L$442="Y",'Population Definitions'!$A$12,"...")</f>
        <v>...</v>
      </c>
      <c r="E507" s="2"/>
      <c r="F507" s="3"/>
      <c r="G507" s="2"/>
      <c r="H507" s="4" t="str">
        <f>IF($L$442="Y","OR","...")</f>
        <v>...</v>
      </c>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row>
    <row r="508" spans="1:59" x14ac:dyDescent="0.25">
      <c r="A508" s="1" t="str">
        <f>IF($M$442="Y",'Population Definitions'!$A$5,"...")</f>
        <v>...</v>
      </c>
      <c r="B508" s="4" t="str">
        <f>IF($M$442="Y","---&gt;","...")</f>
        <v>...</v>
      </c>
      <c r="C508" s="1" t="str">
        <f>IF($M$442="Y",'Population Definitions'!$A$13,"...")</f>
        <v>...</v>
      </c>
      <c r="E508" s="2"/>
      <c r="F508" s="3"/>
      <c r="G508" s="2"/>
      <c r="H508" s="4" t="str">
        <f>IF($M$442="Y","OR","...")</f>
        <v>...</v>
      </c>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row>
    <row r="509" spans="1:59" x14ac:dyDescent="0.25">
      <c r="A509" s="1" t="str">
        <f>IF($N$442="Y",'Population Definitions'!$A$5,"...")</f>
        <v>...</v>
      </c>
      <c r="B509" s="4" t="str">
        <f>IF($N$442="Y","---&gt;","...")</f>
        <v>...</v>
      </c>
      <c r="C509" s="1" t="str">
        <f>IF($N$442="Y",'Population Definitions'!$A$14,"...")</f>
        <v>...</v>
      </c>
      <c r="E509" s="2"/>
      <c r="F509" s="3"/>
      <c r="G509" s="2"/>
      <c r="H509" s="4" t="str">
        <f>IF($N$442="Y","OR","...")</f>
        <v>...</v>
      </c>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row>
    <row r="510" spans="1:59" x14ac:dyDescent="0.25">
      <c r="A510" s="1" t="str">
        <f>IF($O$442="Y",'Population Definitions'!$A$5,"...")</f>
        <v>...</v>
      </c>
      <c r="B510" s="4" t="str">
        <f>IF($O$442="Y","---&gt;","...")</f>
        <v>...</v>
      </c>
      <c r="C510" s="1" t="str">
        <f>IF($O$442="Y",'Population Definitions'!$A$15,"...")</f>
        <v>...</v>
      </c>
      <c r="E510" s="2"/>
      <c r="F510" s="3"/>
      <c r="G510" s="2"/>
      <c r="H510" s="4" t="str">
        <f>IF($O$442="Y","OR","...")</f>
        <v>...</v>
      </c>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row>
    <row r="511" spans="1:59" x14ac:dyDescent="0.25">
      <c r="A511" s="1" t="str">
        <f>IF($B$443="Y",'Population Definitions'!$A$6,"...")</f>
        <v>...</v>
      </c>
      <c r="B511" s="4" t="str">
        <f>IF($B$443="Y","---&gt;","...")</f>
        <v>...</v>
      </c>
      <c r="C511" s="1" t="str">
        <f>IF($B$443="Y",'Population Definitions'!$A$2,"...")</f>
        <v>...</v>
      </c>
      <c r="E511" s="2"/>
      <c r="F511" s="3"/>
      <c r="G511" s="2"/>
      <c r="H511" s="4" t="str">
        <f>IF($B$443="Y","OR","...")</f>
        <v>...</v>
      </c>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row>
    <row r="512" spans="1:59" x14ac:dyDescent="0.25">
      <c r="A512" s="1" t="str">
        <f>IF($C$443="Y",'Population Definitions'!$A$6,"...")</f>
        <v>...</v>
      </c>
      <c r="B512" s="4" t="str">
        <f>IF($C$443="Y","---&gt;","...")</f>
        <v>...</v>
      </c>
      <c r="C512" s="1" t="str">
        <f>IF($C$443="Y",'Population Definitions'!$A$3,"...")</f>
        <v>...</v>
      </c>
      <c r="E512" s="2"/>
      <c r="F512" s="3"/>
      <c r="G512" s="2"/>
      <c r="H512" s="4" t="str">
        <f>IF($C$443="Y","OR","...")</f>
        <v>...</v>
      </c>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row>
    <row r="513" spans="1:59" x14ac:dyDescent="0.25">
      <c r="A513" s="1" t="str">
        <f>IF($D$443="Y",'Population Definitions'!$A$6,"...")</f>
        <v>...</v>
      </c>
      <c r="B513" s="4" t="str">
        <f>IF($D$443="Y","---&gt;","...")</f>
        <v>...</v>
      </c>
      <c r="C513" s="1" t="str">
        <f>IF($D$443="Y",'Population Definitions'!$A$4,"...")</f>
        <v>...</v>
      </c>
      <c r="E513" s="2"/>
      <c r="F513" s="3"/>
      <c r="G513" s="2"/>
      <c r="H513" s="4" t="str">
        <f>IF($D$443="Y","OR","...")</f>
        <v>...</v>
      </c>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row>
    <row r="514" spans="1:59" x14ac:dyDescent="0.25">
      <c r="A514" s="1" t="str">
        <f>IF($E$443="Y",'Population Definitions'!$A$6,"...")</f>
        <v>...</v>
      </c>
      <c r="B514" s="4" t="str">
        <f>IF($E$443="Y","---&gt;","...")</f>
        <v>...</v>
      </c>
      <c r="C514" s="1" t="str">
        <f>IF($E$443="Y",'Population Definitions'!$A$5,"...")</f>
        <v>...</v>
      </c>
      <c r="E514" s="2"/>
      <c r="F514" s="3"/>
      <c r="G514" s="2"/>
      <c r="H514" s="4" t="str">
        <f>IF($E$443="Y","OR","...")</f>
        <v>...</v>
      </c>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row>
    <row r="515" spans="1:59" x14ac:dyDescent="0.25">
      <c r="A515" s="1" t="str">
        <f>IF($F$443="Y",'Population Definitions'!$A$6,"...")</f>
        <v>...</v>
      </c>
      <c r="B515" s="4" t="str">
        <f>IF($F$443="Y","---&gt;","...")</f>
        <v>...</v>
      </c>
      <c r="C515" s="1" t="str">
        <f>IF($F$443="Y",'Population Definitions'!$A$6,"...")</f>
        <v>...</v>
      </c>
      <c r="E515" s="2"/>
      <c r="F515" s="3"/>
      <c r="G515" s="2"/>
      <c r="H515" s="4" t="str">
        <f>IF($F$443="Y","OR","...")</f>
        <v>...</v>
      </c>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row>
    <row r="516" spans="1:59" x14ac:dyDescent="0.25">
      <c r="A516" s="1" t="str">
        <f>IF($G$443="Y",'Population Definitions'!$A$6,"...")</f>
        <v>...</v>
      </c>
      <c r="B516" s="4" t="str">
        <f>IF($G$443="Y","---&gt;","...")</f>
        <v>...</v>
      </c>
      <c r="C516" s="1" t="str">
        <f>IF($G$443="Y",'Population Definitions'!$A$7,"...")</f>
        <v>...</v>
      </c>
      <c r="E516" s="2"/>
      <c r="F516" s="3"/>
      <c r="G516" s="2"/>
      <c r="H516" s="4" t="str">
        <f>IF($G$443="Y","OR","...")</f>
        <v>...</v>
      </c>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row>
    <row r="517" spans="1:59" x14ac:dyDescent="0.25">
      <c r="A517" s="1" t="str">
        <f>IF($H$443="Y",'Population Definitions'!$A$6,"...")</f>
        <v>...</v>
      </c>
      <c r="B517" s="4" t="str">
        <f>IF($H$443="Y","---&gt;","...")</f>
        <v>...</v>
      </c>
      <c r="C517" s="1" t="str">
        <f>IF($H$443="Y",'Population Definitions'!$A$8,"...")</f>
        <v>...</v>
      </c>
      <c r="E517" s="2"/>
      <c r="F517" s="3"/>
      <c r="G517" s="2"/>
      <c r="H517" s="4" t="str">
        <f>IF($H$443="Y","OR","...")</f>
        <v>...</v>
      </c>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row>
    <row r="518" spans="1:59" x14ac:dyDescent="0.25">
      <c r="A518" s="1" t="str">
        <f>IF($I$443="Y",'Population Definitions'!$A$6,"...")</f>
        <v>...</v>
      </c>
      <c r="B518" s="4" t="str">
        <f>IF($I$443="Y","---&gt;","...")</f>
        <v>...</v>
      </c>
      <c r="C518" s="1" t="str">
        <f>IF($I$443="Y",'Population Definitions'!$A$9,"...")</f>
        <v>...</v>
      </c>
      <c r="E518" s="2"/>
      <c r="F518" s="3"/>
      <c r="G518" s="2"/>
      <c r="H518" s="4" t="str">
        <f>IF($I$443="Y","OR","...")</f>
        <v>...</v>
      </c>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row>
    <row r="519" spans="1:59" x14ac:dyDescent="0.25">
      <c r="A519" s="1" t="str">
        <f>IF($J$443="Y",'Population Definitions'!$A$6,"...")</f>
        <v>...</v>
      </c>
      <c r="B519" s="4" t="str">
        <f>IF($J$443="Y","---&gt;","...")</f>
        <v>...</v>
      </c>
      <c r="C519" s="1" t="str">
        <f>IF($J$443="Y",'Population Definitions'!$A$10,"...")</f>
        <v>...</v>
      </c>
      <c r="E519" s="2"/>
      <c r="F519" s="3"/>
      <c r="G519" s="2"/>
      <c r="H519" s="4" t="str">
        <f>IF($J$443="Y","OR","...")</f>
        <v>...</v>
      </c>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row>
    <row r="520" spans="1:59" x14ac:dyDescent="0.25">
      <c r="A520" s="1" t="str">
        <f>IF($K$443="Y",'Population Definitions'!$A$6,"...")</f>
        <v>...</v>
      </c>
      <c r="B520" s="4" t="str">
        <f>IF($K$443="Y","---&gt;","...")</f>
        <v>...</v>
      </c>
      <c r="C520" s="1" t="str">
        <f>IF($K$443="Y",'Population Definitions'!$A$11,"...")</f>
        <v>...</v>
      </c>
      <c r="E520" s="2"/>
      <c r="F520" s="3"/>
      <c r="G520" s="2"/>
      <c r="H520" s="4" t="str">
        <f>IF($K$443="Y","OR","...")</f>
        <v>...</v>
      </c>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row>
    <row r="521" spans="1:59" x14ac:dyDescent="0.25">
      <c r="A521" s="1" t="str">
        <f>IF($L$443="Y",'Population Definitions'!$A$6,"...")</f>
        <v>...</v>
      </c>
      <c r="B521" s="4" t="str">
        <f>IF($L$443="Y","---&gt;","...")</f>
        <v>...</v>
      </c>
      <c r="C521" s="1" t="str">
        <f>IF($L$443="Y",'Population Definitions'!$A$12,"...")</f>
        <v>...</v>
      </c>
      <c r="E521" s="2"/>
      <c r="F521" s="3"/>
      <c r="G521" s="2"/>
      <c r="H521" s="4" t="str">
        <f>IF($L$443="Y","OR","...")</f>
        <v>...</v>
      </c>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row>
    <row r="522" spans="1:59" x14ac:dyDescent="0.25">
      <c r="A522" s="1" t="str">
        <f>IF($M$443="Y",'Population Definitions'!$A$6,"...")</f>
        <v>...</v>
      </c>
      <c r="B522" s="4" t="str">
        <f>IF($M$443="Y","---&gt;","...")</f>
        <v>...</v>
      </c>
      <c r="C522" s="1" t="str">
        <f>IF($M$443="Y",'Population Definitions'!$A$13,"...")</f>
        <v>...</v>
      </c>
      <c r="E522" s="2"/>
      <c r="F522" s="3"/>
      <c r="G522" s="2"/>
      <c r="H522" s="4" t="str">
        <f>IF($M$443="Y","OR","...")</f>
        <v>...</v>
      </c>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row>
    <row r="523" spans="1:59" x14ac:dyDescent="0.25">
      <c r="A523" s="1" t="str">
        <f>IF($N$443="Y",'Population Definitions'!$A$6,"...")</f>
        <v>...</v>
      </c>
      <c r="B523" s="4" t="str">
        <f>IF($N$443="Y","---&gt;","...")</f>
        <v>...</v>
      </c>
      <c r="C523" s="1" t="str">
        <f>IF($N$443="Y",'Population Definitions'!$A$14,"...")</f>
        <v>...</v>
      </c>
      <c r="E523" s="2"/>
      <c r="F523" s="3"/>
      <c r="G523" s="2"/>
      <c r="H523" s="4" t="str">
        <f>IF($N$443="Y","OR","...")</f>
        <v>...</v>
      </c>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row>
    <row r="524" spans="1:59" x14ac:dyDescent="0.25">
      <c r="A524" s="1" t="str">
        <f>IF($O$443="Y",'Population Definitions'!$A$6,"...")</f>
        <v>...</v>
      </c>
      <c r="B524" s="4" t="str">
        <f>IF($O$443="Y","---&gt;","...")</f>
        <v>...</v>
      </c>
      <c r="C524" s="1" t="str">
        <f>IF($O$443="Y",'Population Definitions'!$A$15,"...")</f>
        <v>...</v>
      </c>
      <c r="E524" s="2"/>
      <c r="F524" s="3"/>
      <c r="G524" s="2"/>
      <c r="H524" s="4" t="str">
        <f>IF($O$443="Y","OR","...")</f>
        <v>...</v>
      </c>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row>
    <row r="525" spans="1:59" x14ac:dyDescent="0.25">
      <c r="A525" s="1" t="str">
        <f>IF($B$444="Y",'Population Definitions'!$A$7,"...")</f>
        <v>...</v>
      </c>
      <c r="B525" s="4" t="str">
        <f>IF($B$444="Y","---&gt;","...")</f>
        <v>...</v>
      </c>
      <c r="C525" s="1" t="str">
        <f>IF($B$444="Y",'Population Definitions'!$A$2,"...")</f>
        <v>...</v>
      </c>
      <c r="E525" s="2"/>
      <c r="F525" s="3"/>
      <c r="G525" s="2"/>
      <c r="H525" s="4" t="str">
        <f>IF($B$444="Y","OR","...")</f>
        <v>...</v>
      </c>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row>
    <row r="526" spans="1:59" x14ac:dyDescent="0.25">
      <c r="A526" s="1" t="str">
        <f>IF($C$444="Y",'Population Definitions'!$A$7,"...")</f>
        <v>...</v>
      </c>
      <c r="B526" s="4" t="str">
        <f>IF($C$444="Y","---&gt;","...")</f>
        <v>...</v>
      </c>
      <c r="C526" s="1" t="str">
        <f>IF($C$444="Y",'Population Definitions'!$A$3,"...")</f>
        <v>...</v>
      </c>
      <c r="E526" s="2"/>
      <c r="F526" s="3"/>
      <c r="G526" s="2"/>
      <c r="H526" s="4" t="str">
        <f>IF($C$444="Y","OR","...")</f>
        <v>...</v>
      </c>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row>
    <row r="527" spans="1:59" x14ac:dyDescent="0.25">
      <c r="A527" s="1" t="str">
        <f>IF($D$444="Y",'Population Definitions'!$A$7,"...")</f>
        <v>...</v>
      </c>
      <c r="B527" s="4" t="str">
        <f>IF($D$444="Y","---&gt;","...")</f>
        <v>...</v>
      </c>
      <c r="C527" s="1" t="str">
        <f>IF($D$444="Y",'Population Definitions'!$A$4,"...")</f>
        <v>...</v>
      </c>
      <c r="E527" s="2"/>
      <c r="F527" s="3"/>
      <c r="G527" s="2"/>
      <c r="H527" s="4" t="str">
        <f>IF($D$444="Y","OR","...")</f>
        <v>...</v>
      </c>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row>
    <row r="528" spans="1:59" x14ac:dyDescent="0.25">
      <c r="A528" s="1" t="str">
        <f>IF($E$444="Y",'Population Definitions'!$A$7,"...")</f>
        <v>...</v>
      </c>
      <c r="B528" s="4" t="str">
        <f>IF($E$444="Y","---&gt;","...")</f>
        <v>...</v>
      </c>
      <c r="C528" s="1" t="str">
        <f>IF($E$444="Y",'Population Definitions'!$A$5,"...")</f>
        <v>...</v>
      </c>
      <c r="E528" s="2"/>
      <c r="F528" s="3"/>
      <c r="G528" s="2"/>
      <c r="H528" s="4" t="str">
        <f>IF($E$444="Y","OR","...")</f>
        <v>...</v>
      </c>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row>
    <row r="529" spans="1:59" x14ac:dyDescent="0.25">
      <c r="A529" s="1" t="str">
        <f>IF($F$444="Y",'Population Definitions'!$A$7,"...")</f>
        <v>...</v>
      </c>
      <c r="B529" s="4" t="str">
        <f>IF($F$444="Y","---&gt;","...")</f>
        <v>...</v>
      </c>
      <c r="C529" s="1" t="str">
        <f>IF($F$444="Y",'Population Definitions'!$A$6,"...")</f>
        <v>...</v>
      </c>
      <c r="E529" s="2"/>
      <c r="F529" s="3"/>
      <c r="G529" s="2"/>
      <c r="H529" s="4" t="str">
        <f>IF($F$444="Y","OR","...")</f>
        <v>...</v>
      </c>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row>
    <row r="530" spans="1:59" x14ac:dyDescent="0.25">
      <c r="A530" s="1" t="str">
        <f>IF($G$444="Y",'Population Definitions'!$A$7,"...")</f>
        <v>...</v>
      </c>
      <c r="B530" s="4" t="str">
        <f>IF($G$444="Y","---&gt;","...")</f>
        <v>...</v>
      </c>
      <c r="C530" s="1" t="str">
        <f>IF($G$444="Y",'Population Definitions'!$A$7,"...")</f>
        <v>...</v>
      </c>
      <c r="E530" s="2"/>
      <c r="F530" s="3"/>
      <c r="G530" s="2"/>
      <c r="H530" s="4" t="str">
        <f>IF($G$444="Y","OR","...")</f>
        <v>...</v>
      </c>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row>
    <row r="531" spans="1:59" x14ac:dyDescent="0.25">
      <c r="A531" s="1" t="str">
        <f>IF($H$444="Y",'Population Definitions'!$A$7,"...")</f>
        <v>...</v>
      </c>
      <c r="B531" s="4" t="str">
        <f>IF($H$444="Y","---&gt;","...")</f>
        <v>...</v>
      </c>
      <c r="C531" s="1" t="str">
        <f>IF($H$444="Y",'Population Definitions'!$A$8,"...")</f>
        <v>...</v>
      </c>
      <c r="E531" s="2"/>
      <c r="F531" s="3"/>
      <c r="G531" s="2"/>
      <c r="H531" s="4" t="str">
        <f>IF($H$444="Y","OR","...")</f>
        <v>...</v>
      </c>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row>
    <row r="532" spans="1:59" x14ac:dyDescent="0.25">
      <c r="A532" s="1" t="str">
        <f>IF($I$444="Y",'Population Definitions'!$A$7,"...")</f>
        <v>...</v>
      </c>
      <c r="B532" s="4" t="str">
        <f>IF($I$444="Y","---&gt;","...")</f>
        <v>...</v>
      </c>
      <c r="C532" s="1" t="str">
        <f>IF($I$444="Y",'Population Definitions'!$A$9,"...")</f>
        <v>...</v>
      </c>
      <c r="E532" s="2"/>
      <c r="F532" s="3"/>
      <c r="G532" s="2"/>
      <c r="H532" s="4" t="str">
        <f>IF($I$444="Y","OR","...")</f>
        <v>...</v>
      </c>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row>
    <row r="533" spans="1:59" x14ac:dyDescent="0.25">
      <c r="A533" s="1" t="str">
        <f>IF($J$444="Y",'Population Definitions'!$A$7,"...")</f>
        <v>...</v>
      </c>
      <c r="B533" s="4" t="str">
        <f>IF($J$444="Y","---&gt;","...")</f>
        <v>...</v>
      </c>
      <c r="C533" s="1" t="str">
        <f>IF($J$444="Y",'Population Definitions'!$A$10,"...")</f>
        <v>...</v>
      </c>
      <c r="E533" s="2"/>
      <c r="F533" s="3"/>
      <c r="G533" s="2"/>
      <c r="H533" s="4" t="str">
        <f>IF($J$444="Y","OR","...")</f>
        <v>...</v>
      </c>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row>
    <row r="534" spans="1:59" x14ac:dyDescent="0.25">
      <c r="A534" s="1" t="str">
        <f>IF($K$444="Y",'Population Definitions'!$A$7,"...")</f>
        <v>...</v>
      </c>
      <c r="B534" s="4" t="str">
        <f>IF($K$444="Y","---&gt;","...")</f>
        <v>...</v>
      </c>
      <c r="C534" s="1" t="str">
        <f>IF($K$444="Y",'Population Definitions'!$A$11,"...")</f>
        <v>...</v>
      </c>
      <c r="E534" s="2"/>
      <c r="F534" s="3"/>
      <c r="G534" s="2"/>
      <c r="H534" s="4" t="str">
        <f>IF($K$444="Y","OR","...")</f>
        <v>...</v>
      </c>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row>
    <row r="535" spans="1:59" x14ac:dyDescent="0.25">
      <c r="A535" s="1" t="str">
        <f>IF($L$444="Y",'Population Definitions'!$A$7,"...")</f>
        <v>...</v>
      </c>
      <c r="B535" s="4" t="str">
        <f>IF($L$444="Y","---&gt;","...")</f>
        <v>...</v>
      </c>
      <c r="C535" s="1" t="str">
        <f>IF($L$444="Y",'Population Definitions'!$A$12,"...")</f>
        <v>...</v>
      </c>
      <c r="E535" s="2"/>
      <c r="F535" s="3"/>
      <c r="G535" s="2"/>
      <c r="H535" s="4" t="str">
        <f>IF($L$444="Y","OR","...")</f>
        <v>...</v>
      </c>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row>
    <row r="536" spans="1:59" x14ac:dyDescent="0.25">
      <c r="A536" s="1" t="str">
        <f>IF($M$444="Y",'Population Definitions'!$A$7,"...")</f>
        <v>...</v>
      </c>
      <c r="B536" s="4" t="str">
        <f>IF($M$444="Y","---&gt;","...")</f>
        <v>...</v>
      </c>
      <c r="C536" s="1" t="str">
        <f>IF($M$444="Y",'Population Definitions'!$A$13,"...")</f>
        <v>...</v>
      </c>
      <c r="E536" s="2"/>
      <c r="F536" s="3"/>
      <c r="G536" s="2"/>
      <c r="H536" s="4" t="str">
        <f>IF($M$444="Y","OR","...")</f>
        <v>...</v>
      </c>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row>
    <row r="537" spans="1:59" x14ac:dyDescent="0.25">
      <c r="A537" s="1" t="str">
        <f>IF($N$444="Y",'Population Definitions'!$A$7,"...")</f>
        <v>...</v>
      </c>
      <c r="B537" s="4" t="str">
        <f>IF($N$444="Y","---&gt;","...")</f>
        <v>...</v>
      </c>
      <c r="C537" s="1" t="str">
        <f>IF($N$444="Y",'Population Definitions'!$A$14,"...")</f>
        <v>...</v>
      </c>
      <c r="E537" s="2"/>
      <c r="F537" s="3"/>
      <c r="G537" s="2"/>
      <c r="H537" s="4" t="str">
        <f>IF($N$444="Y","OR","...")</f>
        <v>...</v>
      </c>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row>
    <row r="538" spans="1:59" x14ac:dyDescent="0.25">
      <c r="A538" s="1" t="str">
        <f>IF($O$444="Y",'Population Definitions'!$A$7,"...")</f>
        <v>...</v>
      </c>
      <c r="B538" s="4" t="str">
        <f>IF($O$444="Y","---&gt;","...")</f>
        <v>...</v>
      </c>
      <c r="C538" s="1" t="str">
        <f>IF($O$444="Y",'Population Definitions'!$A$15,"...")</f>
        <v>...</v>
      </c>
      <c r="E538" s="2"/>
      <c r="F538" s="3"/>
      <c r="G538" s="2"/>
      <c r="H538" s="4" t="str">
        <f>IF($O$444="Y","OR","...")</f>
        <v>...</v>
      </c>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row>
    <row r="539" spans="1:59" x14ac:dyDescent="0.25">
      <c r="A539" s="1" t="str">
        <f>IF($B$445="Y",'Population Definitions'!$A$8,"...")</f>
        <v>...</v>
      </c>
      <c r="B539" s="4" t="str">
        <f>IF($B$445="Y","---&gt;","...")</f>
        <v>...</v>
      </c>
      <c r="C539" s="1" t="str">
        <f>IF($B$445="Y",'Population Definitions'!$A$2,"...")</f>
        <v>...</v>
      </c>
      <c r="E539" s="2"/>
      <c r="F539" s="3"/>
      <c r="G539" s="2"/>
      <c r="H539" s="4" t="str">
        <f>IF($B$445="Y","OR","...")</f>
        <v>...</v>
      </c>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row>
    <row r="540" spans="1:59" x14ac:dyDescent="0.25">
      <c r="A540" s="1" t="str">
        <f>IF($C$445="Y",'Population Definitions'!$A$8,"...")</f>
        <v>...</v>
      </c>
      <c r="B540" s="4" t="str">
        <f>IF($C$445="Y","---&gt;","...")</f>
        <v>...</v>
      </c>
      <c r="C540" s="1" t="str">
        <f>IF($C$445="Y",'Population Definitions'!$A$3,"...")</f>
        <v>...</v>
      </c>
      <c r="E540" s="2"/>
      <c r="F540" s="3"/>
      <c r="G540" s="2"/>
      <c r="H540" s="4" t="str">
        <f>IF($C$445="Y","OR","...")</f>
        <v>...</v>
      </c>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row>
    <row r="541" spans="1:59" x14ac:dyDescent="0.25">
      <c r="A541" s="1" t="str">
        <f>IF($D$445="Y",'Population Definitions'!$A$8,"...")</f>
        <v>...</v>
      </c>
      <c r="B541" s="4" t="str">
        <f>IF($D$445="Y","---&gt;","...")</f>
        <v>...</v>
      </c>
      <c r="C541" s="1" t="str">
        <f>IF($D$445="Y",'Population Definitions'!$A$4,"...")</f>
        <v>...</v>
      </c>
      <c r="E541" s="2"/>
      <c r="F541" s="3"/>
      <c r="G541" s="2"/>
      <c r="H541" s="4" t="str">
        <f>IF($D$445="Y","OR","...")</f>
        <v>...</v>
      </c>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row>
    <row r="542" spans="1:59" x14ac:dyDescent="0.25">
      <c r="A542" s="1" t="str">
        <f>IF($E$445="Y",'Population Definitions'!$A$8,"...")</f>
        <v>...</v>
      </c>
      <c r="B542" s="4" t="str">
        <f>IF($E$445="Y","---&gt;","...")</f>
        <v>...</v>
      </c>
      <c r="C542" s="1" t="str">
        <f>IF($E$445="Y",'Population Definitions'!$A$5,"...")</f>
        <v>...</v>
      </c>
      <c r="E542" s="2"/>
      <c r="F542" s="3"/>
      <c r="G542" s="2"/>
      <c r="H542" s="4" t="str">
        <f>IF($E$445="Y","OR","...")</f>
        <v>...</v>
      </c>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row>
    <row r="543" spans="1:59" x14ac:dyDescent="0.25">
      <c r="A543" s="1" t="str">
        <f>IF($F$445="Y",'Population Definitions'!$A$8,"...")</f>
        <v>...</v>
      </c>
      <c r="B543" s="4" t="str">
        <f>IF($F$445="Y","---&gt;","...")</f>
        <v>...</v>
      </c>
      <c r="C543" s="1" t="str">
        <f>IF($F$445="Y",'Population Definitions'!$A$6,"...")</f>
        <v>...</v>
      </c>
      <c r="E543" s="2"/>
      <c r="F543" s="3"/>
      <c r="G543" s="2"/>
      <c r="H543" s="4" t="str">
        <f>IF($F$445="Y","OR","...")</f>
        <v>...</v>
      </c>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row>
    <row r="544" spans="1:59" x14ac:dyDescent="0.25">
      <c r="A544" s="1" t="str">
        <f>IF($G$445="Y",'Population Definitions'!$A$8,"...")</f>
        <v>...</v>
      </c>
      <c r="B544" s="4" t="str">
        <f>IF($G$445="Y","---&gt;","...")</f>
        <v>...</v>
      </c>
      <c r="C544" s="1" t="str">
        <f>IF($G$445="Y",'Population Definitions'!$A$7,"...")</f>
        <v>...</v>
      </c>
      <c r="E544" s="2"/>
      <c r="F544" s="3"/>
      <c r="G544" s="2"/>
      <c r="H544" s="4" t="str">
        <f>IF($G$445="Y","OR","...")</f>
        <v>...</v>
      </c>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row>
    <row r="545" spans="1:59" x14ac:dyDescent="0.25">
      <c r="A545" s="1" t="str">
        <f>IF($H$445="Y",'Population Definitions'!$A$8,"...")</f>
        <v>...</v>
      </c>
      <c r="B545" s="4" t="str">
        <f>IF($H$445="Y","---&gt;","...")</f>
        <v>...</v>
      </c>
      <c r="C545" s="1" t="str">
        <f>IF($H$445="Y",'Population Definitions'!$A$8,"...")</f>
        <v>...</v>
      </c>
      <c r="E545" s="2"/>
      <c r="F545" s="3"/>
      <c r="G545" s="2"/>
      <c r="H545" s="4" t="str">
        <f>IF($H$445="Y","OR","...")</f>
        <v>...</v>
      </c>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row>
    <row r="546" spans="1:59" x14ac:dyDescent="0.25">
      <c r="A546" s="1" t="str">
        <f>IF($I$445="Y",'Population Definitions'!$A$8,"...")</f>
        <v>...</v>
      </c>
      <c r="B546" s="4" t="str">
        <f>IF($I$445="Y","---&gt;","...")</f>
        <v>...</v>
      </c>
      <c r="C546" s="1" t="str">
        <f>IF($I$445="Y",'Population Definitions'!$A$9,"...")</f>
        <v>...</v>
      </c>
      <c r="E546" s="2"/>
      <c r="F546" s="3"/>
      <c r="G546" s="2"/>
      <c r="H546" s="4" t="str">
        <f>IF($I$445="Y","OR","...")</f>
        <v>...</v>
      </c>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row>
    <row r="547" spans="1:59" x14ac:dyDescent="0.25">
      <c r="A547" s="1" t="str">
        <f>IF($J$445="Y",'Population Definitions'!$A$8,"...")</f>
        <v>...</v>
      </c>
      <c r="B547" s="4" t="str">
        <f>IF($J$445="Y","---&gt;","...")</f>
        <v>...</v>
      </c>
      <c r="C547" s="1" t="str">
        <f>IF($J$445="Y",'Population Definitions'!$A$10,"...")</f>
        <v>...</v>
      </c>
      <c r="E547" s="2"/>
      <c r="F547" s="3"/>
      <c r="G547" s="2"/>
      <c r="H547" s="4" t="str">
        <f>IF($J$445="Y","OR","...")</f>
        <v>...</v>
      </c>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row>
    <row r="548" spans="1:59" x14ac:dyDescent="0.25">
      <c r="A548" s="1" t="str">
        <f>IF($K$445="Y",'Population Definitions'!$A$8,"...")</f>
        <v>...</v>
      </c>
      <c r="B548" s="4" t="str">
        <f>IF($K$445="Y","---&gt;","...")</f>
        <v>...</v>
      </c>
      <c r="C548" s="1" t="str">
        <f>IF($K$445="Y",'Population Definitions'!$A$11,"...")</f>
        <v>...</v>
      </c>
      <c r="E548" s="2"/>
      <c r="F548" s="3"/>
      <c r="G548" s="2"/>
      <c r="H548" s="4" t="str">
        <f>IF($K$445="Y","OR","...")</f>
        <v>...</v>
      </c>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row>
    <row r="549" spans="1:59" x14ac:dyDescent="0.25">
      <c r="A549" s="1" t="str">
        <f>IF($L$445="Y",'Population Definitions'!$A$8,"...")</f>
        <v>18-64_males</v>
      </c>
      <c r="B549" s="4" t="str">
        <f>IF($L$445="Y","---&gt;","...")</f>
        <v>---&gt;</v>
      </c>
      <c r="C549" s="1" t="str">
        <f>IF($L$445="Y",'Population Definitions'!$A$12,"...")</f>
        <v>Prisoners_males</v>
      </c>
      <c r="E549" s="3" t="s">
        <v>55</v>
      </c>
      <c r="F549" s="3"/>
      <c r="G549" s="3">
        <v>9.2492003784624237E-3</v>
      </c>
      <c r="H549" s="4" t="str">
        <f>IF($L$445="Y","OR","...")</f>
        <v>OR</v>
      </c>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row>
    <row r="550" spans="1:59" x14ac:dyDescent="0.25">
      <c r="A550" s="1" t="str">
        <f>IF($M$445="Y",'Population Definitions'!$A$8,"...")</f>
        <v>...</v>
      </c>
      <c r="B550" s="4" t="str">
        <f>IF($M$445="Y","---&gt;","...")</f>
        <v>...</v>
      </c>
      <c r="C550" s="1" t="str">
        <f>IF($M$445="Y",'Population Definitions'!$A$13,"...")</f>
        <v>...</v>
      </c>
      <c r="E550" s="2"/>
      <c r="F550" s="3"/>
      <c r="G550" s="2"/>
      <c r="H550" s="4" t="str">
        <f>IF($M$445="Y","OR","...")</f>
        <v>...</v>
      </c>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row>
    <row r="551" spans="1:59" x14ac:dyDescent="0.25">
      <c r="A551" s="1" t="str">
        <f>IF($N$445="Y",'Population Definitions'!$A$8,"...")</f>
        <v>...</v>
      </c>
      <c r="B551" s="4" t="str">
        <f>IF($N$445="Y","---&gt;","...")</f>
        <v>...</v>
      </c>
      <c r="C551" s="1" t="str">
        <f>IF($N$445="Y",'Population Definitions'!$A$14,"...")</f>
        <v>...</v>
      </c>
      <c r="E551" s="2"/>
      <c r="F551" s="3"/>
      <c r="G551" s="2"/>
      <c r="H551" s="4" t="str">
        <f>IF($N$445="Y","OR","...")</f>
        <v>...</v>
      </c>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row>
    <row r="552" spans="1:59" x14ac:dyDescent="0.25">
      <c r="A552" s="1" t="str">
        <f>IF($O$445="Y",'Population Definitions'!$A$8,"...")</f>
        <v>...</v>
      </c>
      <c r="B552" s="4" t="str">
        <f>IF($O$445="Y","---&gt;","...")</f>
        <v>...</v>
      </c>
      <c r="C552" s="1" t="str">
        <f>IF($O$445="Y",'Population Definitions'!$A$15,"...")</f>
        <v>...</v>
      </c>
      <c r="E552" s="2"/>
      <c r="F552" s="3"/>
      <c r="G552" s="2"/>
      <c r="H552" s="4" t="str">
        <f>IF($O$445="Y","OR","...")</f>
        <v>...</v>
      </c>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row>
    <row r="553" spans="1:59" x14ac:dyDescent="0.25">
      <c r="A553" s="1" t="str">
        <f>IF($B$446="Y",'Population Definitions'!$A$9,"...")</f>
        <v>...</v>
      </c>
      <c r="B553" s="4" t="str">
        <f>IF($B$446="Y","---&gt;","...")</f>
        <v>...</v>
      </c>
      <c r="C553" s="1" t="str">
        <f>IF($B$446="Y",'Population Definitions'!$A$2,"...")</f>
        <v>...</v>
      </c>
      <c r="E553" s="2"/>
      <c r="F553" s="3"/>
      <c r="G553" s="2"/>
      <c r="H553" s="4" t="str">
        <f>IF($B$446="Y","OR","...")</f>
        <v>...</v>
      </c>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row>
    <row r="554" spans="1:59" x14ac:dyDescent="0.25">
      <c r="A554" s="1" t="str">
        <f>IF($C$446="Y",'Population Definitions'!$A$9,"...")</f>
        <v>...</v>
      </c>
      <c r="B554" s="4" t="str">
        <f>IF($C$446="Y","---&gt;","...")</f>
        <v>...</v>
      </c>
      <c r="C554" s="1" t="str">
        <f>IF($C$446="Y",'Population Definitions'!$A$3,"...")</f>
        <v>...</v>
      </c>
      <c r="E554" s="2"/>
      <c r="F554" s="3"/>
      <c r="G554" s="2"/>
      <c r="H554" s="4" t="str">
        <f>IF($C$446="Y","OR","...")</f>
        <v>...</v>
      </c>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row>
    <row r="555" spans="1:59" x14ac:dyDescent="0.25">
      <c r="A555" s="1" t="str">
        <f>IF($D$446="Y",'Population Definitions'!$A$9,"...")</f>
        <v>...</v>
      </c>
      <c r="B555" s="4" t="str">
        <f>IF($D$446="Y","---&gt;","...")</f>
        <v>...</v>
      </c>
      <c r="C555" s="1" t="str">
        <f>IF($D$446="Y",'Population Definitions'!$A$4,"...")</f>
        <v>...</v>
      </c>
      <c r="E555" s="2"/>
      <c r="F555" s="3"/>
      <c r="G555" s="2"/>
      <c r="H555" s="4" t="str">
        <f>IF($D$446="Y","OR","...")</f>
        <v>...</v>
      </c>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row>
    <row r="556" spans="1:59" x14ac:dyDescent="0.25">
      <c r="A556" s="1" t="str">
        <f>IF($E$446="Y",'Population Definitions'!$A$9,"...")</f>
        <v>...</v>
      </c>
      <c r="B556" s="4" t="str">
        <f>IF($E$446="Y","---&gt;","...")</f>
        <v>...</v>
      </c>
      <c r="C556" s="1" t="str">
        <f>IF($E$446="Y",'Population Definitions'!$A$5,"...")</f>
        <v>...</v>
      </c>
      <c r="E556" s="2"/>
      <c r="F556" s="3"/>
      <c r="G556" s="2"/>
      <c r="H556" s="4" t="str">
        <f>IF($E$446="Y","OR","...")</f>
        <v>...</v>
      </c>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row>
    <row r="557" spans="1:59" x14ac:dyDescent="0.25">
      <c r="A557" s="1" t="str">
        <f>IF($F$446="Y",'Population Definitions'!$A$9,"...")</f>
        <v>...</v>
      </c>
      <c r="B557" s="4" t="str">
        <f>IF($F$446="Y","---&gt;","...")</f>
        <v>...</v>
      </c>
      <c r="C557" s="1" t="str">
        <f>IF($F$446="Y",'Population Definitions'!$A$6,"...")</f>
        <v>...</v>
      </c>
      <c r="E557" s="2"/>
      <c r="F557" s="3"/>
      <c r="G557" s="2"/>
      <c r="H557" s="4" t="str">
        <f>IF($F$446="Y","OR","...")</f>
        <v>...</v>
      </c>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row>
    <row r="558" spans="1:59" x14ac:dyDescent="0.25">
      <c r="A558" s="1" t="str">
        <f>IF($G$446="Y",'Population Definitions'!$A$9,"...")</f>
        <v>...</v>
      </c>
      <c r="B558" s="4" t="str">
        <f>IF($G$446="Y","---&gt;","...")</f>
        <v>...</v>
      </c>
      <c r="C558" s="1" t="str">
        <f>IF($G$446="Y",'Population Definitions'!$A$7,"...")</f>
        <v>...</v>
      </c>
      <c r="E558" s="2"/>
      <c r="F558" s="3"/>
      <c r="G558" s="2"/>
      <c r="H558" s="4" t="str">
        <f>IF($G$446="Y","OR","...")</f>
        <v>...</v>
      </c>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row>
    <row r="559" spans="1:59" x14ac:dyDescent="0.25">
      <c r="A559" s="1" t="str">
        <f>IF($H$446="Y",'Population Definitions'!$A$9,"...")</f>
        <v>...</v>
      </c>
      <c r="B559" s="4" t="str">
        <f>IF($H$446="Y","---&gt;","...")</f>
        <v>...</v>
      </c>
      <c r="C559" s="1" t="str">
        <f>IF($H$446="Y",'Population Definitions'!$A$8,"...")</f>
        <v>...</v>
      </c>
      <c r="E559" s="2"/>
      <c r="F559" s="3"/>
      <c r="G559" s="2"/>
      <c r="H559" s="4" t="str">
        <f>IF($H$446="Y","OR","...")</f>
        <v>...</v>
      </c>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row>
    <row r="560" spans="1:59" x14ac:dyDescent="0.25">
      <c r="A560" s="1" t="str">
        <f>IF($I$446="Y",'Population Definitions'!$A$9,"...")</f>
        <v>...</v>
      </c>
      <c r="B560" s="4" t="str">
        <f>IF($I$446="Y","---&gt;","...")</f>
        <v>...</v>
      </c>
      <c r="C560" s="1" t="str">
        <f>IF($I$446="Y",'Population Definitions'!$A$9,"...")</f>
        <v>...</v>
      </c>
      <c r="E560" s="2"/>
      <c r="F560" s="3"/>
      <c r="G560" s="2"/>
      <c r="H560" s="4" t="str">
        <f>IF($I$446="Y","OR","...")</f>
        <v>...</v>
      </c>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row>
    <row r="561" spans="1:59" x14ac:dyDescent="0.25">
      <c r="A561" s="1" t="str">
        <f>IF($J$446="Y",'Population Definitions'!$A$9,"...")</f>
        <v>...</v>
      </c>
      <c r="B561" s="4" t="str">
        <f>IF($J$446="Y","---&gt;","...")</f>
        <v>...</v>
      </c>
      <c r="C561" s="1" t="str">
        <f>IF($J$446="Y",'Population Definitions'!$A$10,"...")</f>
        <v>...</v>
      </c>
      <c r="E561" s="2"/>
      <c r="F561" s="3"/>
      <c r="G561" s="2"/>
      <c r="H561" s="4" t="str">
        <f>IF($J$446="Y","OR","...")</f>
        <v>...</v>
      </c>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row>
    <row r="562" spans="1:59" x14ac:dyDescent="0.25">
      <c r="A562" s="1" t="str">
        <f>IF($K$446="Y",'Population Definitions'!$A$9,"...")</f>
        <v>...</v>
      </c>
      <c r="B562" s="4" t="str">
        <f>IF($K$446="Y","---&gt;","...")</f>
        <v>...</v>
      </c>
      <c r="C562" s="1" t="str">
        <f>IF($K$446="Y",'Population Definitions'!$A$11,"...")</f>
        <v>...</v>
      </c>
      <c r="E562" s="2"/>
      <c r="F562" s="3"/>
      <c r="G562" s="2"/>
      <c r="H562" s="4" t="str">
        <f>IF($K$446="Y","OR","...")</f>
        <v>...</v>
      </c>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row>
    <row r="563" spans="1:59" x14ac:dyDescent="0.25">
      <c r="A563" s="1" t="str">
        <f>IF($L$446="Y",'Population Definitions'!$A$9,"...")</f>
        <v>...</v>
      </c>
      <c r="B563" s="4" t="str">
        <f>IF($L$446="Y","---&gt;","...")</f>
        <v>...</v>
      </c>
      <c r="C563" s="1" t="str">
        <f>IF($L$446="Y",'Population Definitions'!$A$12,"...")</f>
        <v>...</v>
      </c>
      <c r="E563" s="2"/>
      <c r="F563" s="3"/>
      <c r="G563" s="2"/>
      <c r="H563" s="4" t="str">
        <f>IF($L$446="Y","OR","...")</f>
        <v>...</v>
      </c>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row>
    <row r="564" spans="1:59" x14ac:dyDescent="0.25">
      <c r="A564" s="1" t="str">
        <f>IF($M$446="Y",'Population Definitions'!$A$9,"...")</f>
        <v>18-64_females</v>
      </c>
      <c r="B564" s="4" t="str">
        <f>IF($M$446="Y","---&gt;","...")</f>
        <v>---&gt;</v>
      </c>
      <c r="C564" s="1" t="str">
        <f>IF($M$446="Y",'Population Definitions'!$A$13,"...")</f>
        <v>Prisoners_females</v>
      </c>
      <c r="E564" s="3" t="s">
        <v>55</v>
      </c>
      <c r="F564" s="3"/>
      <c r="G564" s="3">
        <v>3.505316348560969E-4</v>
      </c>
      <c r="H564" s="4" t="str">
        <f>IF($M$446="Y","OR","...")</f>
        <v>OR</v>
      </c>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row>
    <row r="565" spans="1:59" x14ac:dyDescent="0.25">
      <c r="A565" s="1" t="str">
        <f>IF($N$446="Y",'Population Definitions'!$A$9,"...")</f>
        <v>...</v>
      </c>
      <c r="B565" s="4" t="str">
        <f>IF($N$446="Y","---&gt;","...")</f>
        <v>...</v>
      </c>
      <c r="C565" s="1" t="str">
        <f>IF($N$446="Y",'Population Definitions'!$A$14,"...")</f>
        <v>...</v>
      </c>
      <c r="E565" s="2"/>
      <c r="F565" s="3"/>
      <c r="G565" s="2"/>
      <c r="H565" s="4" t="str">
        <f>IF($N$446="Y","OR","...")</f>
        <v>...</v>
      </c>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row>
    <row r="566" spans="1:59" x14ac:dyDescent="0.25">
      <c r="A566" s="1" t="str">
        <f>IF($O$446="Y",'Population Definitions'!$A$9,"...")</f>
        <v>...</v>
      </c>
      <c r="B566" s="4" t="str">
        <f>IF($O$446="Y","---&gt;","...")</f>
        <v>...</v>
      </c>
      <c r="C566" s="1" t="str">
        <f>IF($O$446="Y",'Population Definitions'!$A$15,"...")</f>
        <v>...</v>
      </c>
      <c r="E566" s="2"/>
      <c r="F566" s="3"/>
      <c r="G566" s="2"/>
      <c r="H566" s="4" t="str">
        <f>IF($O$446="Y","OR","...")</f>
        <v>...</v>
      </c>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row>
    <row r="567" spans="1:59" x14ac:dyDescent="0.25">
      <c r="A567" s="1" t="str">
        <f>IF($B$447="Y",'Population Definitions'!$A$10,"...")</f>
        <v>...</v>
      </c>
      <c r="B567" s="4" t="str">
        <f>IF($B$447="Y","---&gt;","...")</f>
        <v>...</v>
      </c>
      <c r="C567" s="1" t="str">
        <f>IF($B$447="Y",'Population Definitions'!$A$2,"...")</f>
        <v>...</v>
      </c>
      <c r="E567" s="2"/>
      <c r="F567" s="3"/>
      <c r="G567" s="2"/>
      <c r="H567" s="4" t="str">
        <f>IF($B$447="Y","OR","...")</f>
        <v>...</v>
      </c>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row>
    <row r="568" spans="1:59" x14ac:dyDescent="0.25">
      <c r="A568" s="1" t="str">
        <f>IF($C$447="Y",'Population Definitions'!$A$10,"...")</f>
        <v>...</v>
      </c>
      <c r="B568" s="4" t="str">
        <f>IF($C$447="Y","---&gt;","...")</f>
        <v>...</v>
      </c>
      <c r="C568" s="1" t="str">
        <f>IF($C$447="Y",'Population Definitions'!$A$3,"...")</f>
        <v>...</v>
      </c>
      <c r="E568" s="2"/>
      <c r="F568" s="3"/>
      <c r="G568" s="2"/>
      <c r="H568" s="4" t="str">
        <f>IF($C$447="Y","OR","...")</f>
        <v>...</v>
      </c>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row>
    <row r="569" spans="1:59" x14ac:dyDescent="0.25">
      <c r="A569" s="1" t="str">
        <f>IF($D$447="Y",'Population Definitions'!$A$10,"...")</f>
        <v>...</v>
      </c>
      <c r="B569" s="4" t="str">
        <f>IF($D$447="Y","---&gt;","...")</f>
        <v>...</v>
      </c>
      <c r="C569" s="1" t="str">
        <f>IF($D$447="Y",'Population Definitions'!$A$4,"...")</f>
        <v>...</v>
      </c>
      <c r="E569" s="2"/>
      <c r="F569" s="3"/>
      <c r="G569" s="2"/>
      <c r="H569" s="4" t="str">
        <f>IF($D$447="Y","OR","...")</f>
        <v>...</v>
      </c>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row>
    <row r="570" spans="1:59" x14ac:dyDescent="0.25">
      <c r="A570" s="1" t="str">
        <f>IF($E$447="Y",'Population Definitions'!$A$10,"...")</f>
        <v>...</v>
      </c>
      <c r="B570" s="4" t="str">
        <f>IF($E$447="Y","---&gt;","...")</f>
        <v>...</v>
      </c>
      <c r="C570" s="1" t="str">
        <f>IF($E$447="Y",'Population Definitions'!$A$5,"...")</f>
        <v>...</v>
      </c>
      <c r="E570" s="2"/>
      <c r="F570" s="3"/>
      <c r="G570" s="2"/>
      <c r="H570" s="4" t="str">
        <f>IF($E$447="Y","OR","...")</f>
        <v>...</v>
      </c>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row>
    <row r="571" spans="1:59" x14ac:dyDescent="0.25">
      <c r="A571" s="1" t="str">
        <f>IF($F$447="Y",'Population Definitions'!$A$10,"...")</f>
        <v>...</v>
      </c>
      <c r="B571" s="4" t="str">
        <f>IF($F$447="Y","---&gt;","...")</f>
        <v>...</v>
      </c>
      <c r="C571" s="1" t="str">
        <f>IF($F$447="Y",'Population Definitions'!$A$6,"...")</f>
        <v>...</v>
      </c>
      <c r="E571" s="2"/>
      <c r="F571" s="3"/>
      <c r="G571" s="2"/>
      <c r="H571" s="4" t="str">
        <f>IF($F$447="Y","OR","...")</f>
        <v>...</v>
      </c>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row>
    <row r="572" spans="1:59" x14ac:dyDescent="0.25">
      <c r="A572" s="1" t="str">
        <f>IF($G$447="Y",'Population Definitions'!$A$10,"...")</f>
        <v>...</v>
      </c>
      <c r="B572" s="4" t="str">
        <f>IF($G$447="Y","---&gt;","...")</f>
        <v>...</v>
      </c>
      <c r="C572" s="1" t="str">
        <f>IF($G$447="Y",'Population Definitions'!$A$7,"...")</f>
        <v>...</v>
      </c>
      <c r="E572" s="2"/>
      <c r="F572" s="3"/>
      <c r="G572" s="2"/>
      <c r="H572" s="4" t="str">
        <f>IF($G$447="Y","OR","...")</f>
        <v>...</v>
      </c>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row>
    <row r="573" spans="1:59" x14ac:dyDescent="0.25">
      <c r="A573" s="1" t="str">
        <f>IF($H$447="Y",'Population Definitions'!$A$10,"...")</f>
        <v>...</v>
      </c>
      <c r="B573" s="4" t="str">
        <f>IF($H$447="Y","---&gt;","...")</f>
        <v>...</v>
      </c>
      <c r="C573" s="1" t="str">
        <f>IF($H$447="Y",'Population Definitions'!$A$8,"...")</f>
        <v>...</v>
      </c>
      <c r="E573" s="2"/>
      <c r="F573" s="3"/>
      <c r="G573" s="2"/>
      <c r="H573" s="4" t="str">
        <f>IF($H$447="Y","OR","...")</f>
        <v>...</v>
      </c>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row>
    <row r="574" spans="1:59" x14ac:dyDescent="0.25">
      <c r="A574" s="1" t="str">
        <f>IF($I$447="Y",'Population Definitions'!$A$10,"...")</f>
        <v>...</v>
      </c>
      <c r="B574" s="4" t="str">
        <f>IF($I$447="Y","---&gt;","...")</f>
        <v>...</v>
      </c>
      <c r="C574" s="1" t="str">
        <f>IF($I$447="Y",'Population Definitions'!$A$9,"...")</f>
        <v>...</v>
      </c>
      <c r="E574" s="2"/>
      <c r="F574" s="3"/>
      <c r="G574" s="2"/>
      <c r="H574" s="4" t="str">
        <f>IF($I$447="Y","OR","...")</f>
        <v>...</v>
      </c>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row>
    <row r="575" spans="1:59" x14ac:dyDescent="0.25">
      <c r="A575" s="1" t="str">
        <f>IF($J$447="Y",'Population Definitions'!$A$10,"...")</f>
        <v>...</v>
      </c>
      <c r="B575" s="4" t="str">
        <f>IF($J$447="Y","---&gt;","...")</f>
        <v>...</v>
      </c>
      <c r="C575" s="1" t="str">
        <f>IF($J$447="Y",'Population Definitions'!$A$10,"...")</f>
        <v>...</v>
      </c>
      <c r="E575" s="2"/>
      <c r="F575" s="3"/>
      <c r="G575" s="2"/>
      <c r="H575" s="4" t="str">
        <f>IF($J$447="Y","OR","...")</f>
        <v>...</v>
      </c>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row>
    <row r="576" spans="1:59" x14ac:dyDescent="0.25">
      <c r="A576" s="1" t="str">
        <f>IF($K$447="Y",'Population Definitions'!$A$10,"...")</f>
        <v>...</v>
      </c>
      <c r="B576" s="4" t="str">
        <f>IF($K$447="Y","---&gt;","...")</f>
        <v>...</v>
      </c>
      <c r="C576" s="1" t="str">
        <f>IF($K$447="Y",'Population Definitions'!$A$11,"...")</f>
        <v>...</v>
      </c>
      <c r="E576" s="2"/>
      <c r="F576" s="3"/>
      <c r="G576" s="2"/>
      <c r="H576" s="4" t="str">
        <f>IF($K$447="Y","OR","...")</f>
        <v>...</v>
      </c>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row>
    <row r="577" spans="1:59" x14ac:dyDescent="0.25">
      <c r="A577" s="1" t="str">
        <f>IF($L$447="Y",'Population Definitions'!$A$10,"...")</f>
        <v>...</v>
      </c>
      <c r="B577" s="4" t="str">
        <f>IF($L$447="Y","---&gt;","...")</f>
        <v>...</v>
      </c>
      <c r="C577" s="1" t="str">
        <f>IF($L$447="Y",'Population Definitions'!$A$12,"...")</f>
        <v>...</v>
      </c>
      <c r="E577" s="2"/>
      <c r="F577" s="3"/>
      <c r="G577" s="2"/>
      <c r="H577" s="4" t="str">
        <f>IF($L$447="Y","OR","...")</f>
        <v>...</v>
      </c>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row>
    <row r="578" spans="1:59" x14ac:dyDescent="0.25">
      <c r="A578" s="1" t="str">
        <f>IF($M$447="Y",'Population Definitions'!$A$10,"...")</f>
        <v>...</v>
      </c>
      <c r="B578" s="4" t="str">
        <f>IF($M$447="Y","---&gt;","...")</f>
        <v>...</v>
      </c>
      <c r="C578" s="1" t="str">
        <f>IF($M$447="Y",'Population Definitions'!$A$13,"...")</f>
        <v>...</v>
      </c>
      <c r="E578" s="2"/>
      <c r="F578" s="3"/>
      <c r="G578" s="2"/>
      <c r="H578" s="4" t="str">
        <f>IF($M$447="Y","OR","...")</f>
        <v>...</v>
      </c>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row>
    <row r="579" spans="1:59" x14ac:dyDescent="0.25">
      <c r="A579" s="1" t="str">
        <f>IF($N$447="Y",'Population Definitions'!$A$10,"...")</f>
        <v>...</v>
      </c>
      <c r="B579" s="4" t="str">
        <f>IF($N$447="Y","---&gt;","...")</f>
        <v>...</v>
      </c>
      <c r="C579" s="1" t="str">
        <f>IF($N$447="Y",'Population Definitions'!$A$14,"...")</f>
        <v>...</v>
      </c>
      <c r="E579" s="2"/>
      <c r="F579" s="3"/>
      <c r="G579" s="2"/>
      <c r="H579" s="4" t="str">
        <f>IF($N$447="Y","OR","...")</f>
        <v>...</v>
      </c>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row>
    <row r="580" spans="1:59" x14ac:dyDescent="0.25">
      <c r="A580" s="1" t="str">
        <f>IF($O$447="Y",'Population Definitions'!$A$10,"...")</f>
        <v>...</v>
      </c>
      <c r="B580" s="4" t="str">
        <f>IF($O$447="Y","---&gt;","...")</f>
        <v>...</v>
      </c>
      <c r="C580" s="1" t="str">
        <f>IF($O$447="Y",'Population Definitions'!$A$15,"...")</f>
        <v>...</v>
      </c>
      <c r="E580" s="2"/>
      <c r="F580" s="3"/>
      <c r="G580" s="2"/>
      <c r="H580" s="4" t="str">
        <f>IF($O$447="Y","OR","...")</f>
        <v>...</v>
      </c>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row>
    <row r="581" spans="1:59" x14ac:dyDescent="0.25">
      <c r="A581" s="1" t="str">
        <f>IF($B$448="Y",'Population Definitions'!$A$11,"...")</f>
        <v>...</v>
      </c>
      <c r="B581" s="4" t="str">
        <f>IF($B$448="Y","---&gt;","...")</f>
        <v>...</v>
      </c>
      <c r="C581" s="1" t="str">
        <f>IF($B$448="Y",'Population Definitions'!$A$2,"...")</f>
        <v>...</v>
      </c>
      <c r="E581" s="2"/>
      <c r="F581" s="3"/>
      <c r="G581" s="2"/>
      <c r="H581" s="4" t="str">
        <f>IF($B$448="Y","OR","...")</f>
        <v>...</v>
      </c>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row>
    <row r="582" spans="1:59" x14ac:dyDescent="0.25">
      <c r="A582" s="1" t="str">
        <f>IF($C$448="Y",'Population Definitions'!$A$11,"...")</f>
        <v>...</v>
      </c>
      <c r="B582" s="4" t="str">
        <f>IF($C$448="Y","---&gt;","...")</f>
        <v>...</v>
      </c>
      <c r="C582" s="1" t="str">
        <f>IF($C$448="Y",'Population Definitions'!$A$3,"...")</f>
        <v>...</v>
      </c>
      <c r="E582" s="2"/>
      <c r="F582" s="3"/>
      <c r="G582" s="2"/>
      <c r="H582" s="4" t="str">
        <f>IF($C$448="Y","OR","...")</f>
        <v>...</v>
      </c>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row>
    <row r="583" spans="1:59" x14ac:dyDescent="0.25">
      <c r="A583" s="1" t="str">
        <f>IF($D$448="Y",'Population Definitions'!$A$11,"...")</f>
        <v>...</v>
      </c>
      <c r="B583" s="4" t="str">
        <f>IF($D$448="Y","---&gt;","...")</f>
        <v>...</v>
      </c>
      <c r="C583" s="1" t="str">
        <f>IF($D$448="Y",'Population Definitions'!$A$4,"...")</f>
        <v>...</v>
      </c>
      <c r="E583" s="2"/>
      <c r="F583" s="3"/>
      <c r="G583" s="2"/>
      <c r="H583" s="4" t="str">
        <f>IF($D$448="Y","OR","...")</f>
        <v>...</v>
      </c>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row>
    <row r="584" spans="1:59" x14ac:dyDescent="0.25">
      <c r="A584" s="1" t="str">
        <f>IF($E$448="Y",'Population Definitions'!$A$11,"...")</f>
        <v>...</v>
      </c>
      <c r="B584" s="4" t="str">
        <f>IF($E$448="Y","---&gt;","...")</f>
        <v>...</v>
      </c>
      <c r="C584" s="1" t="str">
        <f>IF($E$448="Y",'Population Definitions'!$A$5,"...")</f>
        <v>...</v>
      </c>
      <c r="E584" s="2"/>
      <c r="F584" s="3"/>
      <c r="G584" s="2"/>
      <c r="H584" s="4" t="str">
        <f>IF($E$448="Y","OR","...")</f>
        <v>...</v>
      </c>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row>
    <row r="585" spans="1:59" x14ac:dyDescent="0.25">
      <c r="A585" s="1" t="str">
        <f>IF($F$448="Y",'Population Definitions'!$A$11,"...")</f>
        <v>...</v>
      </c>
      <c r="B585" s="4" t="str">
        <f>IF($F$448="Y","---&gt;","...")</f>
        <v>...</v>
      </c>
      <c r="C585" s="1" t="str">
        <f>IF($F$448="Y",'Population Definitions'!$A$6,"...")</f>
        <v>...</v>
      </c>
      <c r="E585" s="2"/>
      <c r="F585" s="3"/>
      <c r="G585" s="2"/>
      <c r="H585" s="4" t="str">
        <f>IF($F$448="Y","OR","...")</f>
        <v>...</v>
      </c>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row>
    <row r="586" spans="1:59" x14ac:dyDescent="0.25">
      <c r="A586" s="1" t="str">
        <f>IF($G$448="Y",'Population Definitions'!$A$11,"...")</f>
        <v>...</v>
      </c>
      <c r="B586" s="4" t="str">
        <f>IF($G$448="Y","---&gt;","...")</f>
        <v>...</v>
      </c>
      <c r="C586" s="1" t="str">
        <f>IF($G$448="Y",'Population Definitions'!$A$7,"...")</f>
        <v>...</v>
      </c>
      <c r="E586" s="2"/>
      <c r="F586" s="3"/>
      <c r="G586" s="2"/>
      <c r="H586" s="4" t="str">
        <f>IF($G$448="Y","OR","...")</f>
        <v>...</v>
      </c>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row>
    <row r="587" spans="1:59" x14ac:dyDescent="0.25">
      <c r="A587" s="1" t="str">
        <f>IF($H$448="Y",'Population Definitions'!$A$11,"...")</f>
        <v>...</v>
      </c>
      <c r="B587" s="4" t="str">
        <f>IF($H$448="Y","---&gt;","...")</f>
        <v>...</v>
      </c>
      <c r="C587" s="1" t="str">
        <f>IF($H$448="Y",'Population Definitions'!$A$8,"...")</f>
        <v>...</v>
      </c>
      <c r="E587" s="2"/>
      <c r="F587" s="3"/>
      <c r="G587" s="2"/>
      <c r="H587" s="4" t="str">
        <f>IF($H$448="Y","OR","...")</f>
        <v>...</v>
      </c>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row>
    <row r="588" spans="1:59" x14ac:dyDescent="0.25">
      <c r="A588" s="1" t="str">
        <f>IF($I$448="Y",'Population Definitions'!$A$11,"...")</f>
        <v>...</v>
      </c>
      <c r="B588" s="4" t="str">
        <f>IF($I$448="Y","---&gt;","...")</f>
        <v>...</v>
      </c>
      <c r="C588" s="1" t="str">
        <f>IF($I$448="Y",'Population Definitions'!$A$9,"...")</f>
        <v>...</v>
      </c>
      <c r="E588" s="2"/>
      <c r="F588" s="3"/>
      <c r="G588" s="2"/>
      <c r="H588" s="4" t="str">
        <f>IF($I$448="Y","OR","...")</f>
        <v>...</v>
      </c>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row>
    <row r="589" spans="1:59" x14ac:dyDescent="0.25">
      <c r="A589" s="1" t="str">
        <f>IF($J$448="Y",'Population Definitions'!$A$11,"...")</f>
        <v>...</v>
      </c>
      <c r="B589" s="4" t="str">
        <f>IF($J$448="Y","---&gt;","...")</f>
        <v>...</v>
      </c>
      <c r="C589" s="1" t="str">
        <f>IF($J$448="Y",'Population Definitions'!$A$10,"...")</f>
        <v>...</v>
      </c>
      <c r="E589" s="2"/>
      <c r="F589" s="3"/>
      <c r="G589" s="2"/>
      <c r="H589" s="4" t="str">
        <f>IF($J$448="Y","OR","...")</f>
        <v>...</v>
      </c>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row>
    <row r="590" spans="1:59" x14ac:dyDescent="0.25">
      <c r="A590" s="1" t="str">
        <f>IF($K$448="Y",'Population Definitions'!$A$11,"...")</f>
        <v>...</v>
      </c>
      <c r="B590" s="4" t="str">
        <f>IF($K$448="Y","---&gt;","...")</f>
        <v>...</v>
      </c>
      <c r="C590" s="1" t="str">
        <f>IF($K$448="Y",'Population Definitions'!$A$11,"...")</f>
        <v>...</v>
      </c>
      <c r="E590" s="2"/>
      <c r="F590" s="3"/>
      <c r="G590" s="2"/>
      <c r="H590" s="4" t="str">
        <f>IF($K$448="Y","OR","...")</f>
        <v>...</v>
      </c>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row>
    <row r="591" spans="1:59" x14ac:dyDescent="0.25">
      <c r="A591" s="1" t="str">
        <f>IF($L$448="Y",'Population Definitions'!$A$11,"...")</f>
        <v>...</v>
      </c>
      <c r="B591" s="4" t="str">
        <f>IF($L$448="Y","---&gt;","...")</f>
        <v>...</v>
      </c>
      <c r="C591" s="1" t="str">
        <f>IF($L$448="Y",'Population Definitions'!$A$12,"...")</f>
        <v>...</v>
      </c>
      <c r="E591" s="2"/>
      <c r="F591" s="3"/>
      <c r="G591" s="2"/>
      <c r="H591" s="4" t="str">
        <f>IF($L$448="Y","OR","...")</f>
        <v>...</v>
      </c>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row>
    <row r="592" spans="1:59" x14ac:dyDescent="0.25">
      <c r="A592" s="1" t="str">
        <f>IF($M$448="Y",'Population Definitions'!$A$11,"...")</f>
        <v>...</v>
      </c>
      <c r="B592" s="4" t="str">
        <f>IF($M$448="Y","---&gt;","...")</f>
        <v>...</v>
      </c>
      <c r="C592" s="1" t="str">
        <f>IF($M$448="Y",'Population Definitions'!$A$13,"...")</f>
        <v>...</v>
      </c>
      <c r="E592" s="2"/>
      <c r="F592" s="3"/>
      <c r="G592" s="2"/>
      <c r="H592" s="4" t="str">
        <f>IF($M$448="Y","OR","...")</f>
        <v>...</v>
      </c>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row>
    <row r="593" spans="1:59" x14ac:dyDescent="0.25">
      <c r="A593" s="1" t="str">
        <f>IF($N$448="Y",'Population Definitions'!$A$11,"...")</f>
        <v>...</v>
      </c>
      <c r="B593" s="4" t="str">
        <f>IF($N$448="Y","---&gt;","...")</f>
        <v>...</v>
      </c>
      <c r="C593" s="1" t="str">
        <f>IF($N$448="Y",'Population Definitions'!$A$14,"...")</f>
        <v>...</v>
      </c>
      <c r="E593" s="2"/>
      <c r="F593" s="3"/>
      <c r="G593" s="2"/>
      <c r="H593" s="4" t="str">
        <f>IF($N$448="Y","OR","...")</f>
        <v>...</v>
      </c>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row>
    <row r="594" spans="1:59" x14ac:dyDescent="0.25">
      <c r="A594" s="1" t="str">
        <f>IF($O$448="Y",'Population Definitions'!$A$11,"...")</f>
        <v>...</v>
      </c>
      <c r="B594" s="4" t="str">
        <f>IF($O$448="Y","---&gt;","...")</f>
        <v>...</v>
      </c>
      <c r="C594" s="1" t="str">
        <f>IF($O$448="Y",'Population Definitions'!$A$15,"...")</f>
        <v>...</v>
      </c>
      <c r="E594" s="2"/>
      <c r="F594" s="3"/>
      <c r="G594" s="2"/>
      <c r="H594" s="4" t="str">
        <f>IF($O$448="Y","OR","...")</f>
        <v>...</v>
      </c>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row>
    <row r="595" spans="1:59" x14ac:dyDescent="0.25">
      <c r="A595" s="1" t="str">
        <f>IF($B$449="Y",'Population Definitions'!$A$12,"...")</f>
        <v>...</v>
      </c>
      <c r="B595" s="4" t="str">
        <f>IF($B$449="Y","---&gt;","...")</f>
        <v>...</v>
      </c>
      <c r="C595" s="1" t="str">
        <f>IF($B$449="Y",'Population Definitions'!$A$2,"...")</f>
        <v>...</v>
      </c>
      <c r="E595" s="2"/>
      <c r="F595" s="3"/>
      <c r="G595" s="2"/>
      <c r="H595" s="4" t="str">
        <f>IF($B$449="Y","OR","...")</f>
        <v>...</v>
      </c>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row>
    <row r="596" spans="1:59" x14ac:dyDescent="0.25">
      <c r="A596" s="1" t="str">
        <f>IF($C$449="Y",'Population Definitions'!$A$12,"...")</f>
        <v>...</v>
      </c>
      <c r="B596" s="4" t="str">
        <f>IF($C$449="Y","---&gt;","...")</f>
        <v>...</v>
      </c>
      <c r="C596" s="1" t="str">
        <f>IF($C$449="Y",'Population Definitions'!$A$3,"...")</f>
        <v>...</v>
      </c>
      <c r="E596" s="2"/>
      <c r="F596" s="3"/>
      <c r="G596" s="2"/>
      <c r="H596" s="4" t="str">
        <f>IF($C$449="Y","OR","...")</f>
        <v>...</v>
      </c>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row>
    <row r="597" spans="1:59" x14ac:dyDescent="0.25">
      <c r="A597" s="1" t="str">
        <f>IF($D$449="Y",'Population Definitions'!$A$12,"...")</f>
        <v>...</v>
      </c>
      <c r="B597" s="4" t="str">
        <f>IF($D$449="Y","---&gt;","...")</f>
        <v>...</v>
      </c>
      <c r="C597" s="1" t="str">
        <f>IF($D$449="Y",'Population Definitions'!$A$4,"...")</f>
        <v>...</v>
      </c>
      <c r="E597" s="2"/>
      <c r="F597" s="3"/>
      <c r="G597" s="2"/>
      <c r="H597" s="4" t="str">
        <f>IF($D$449="Y","OR","...")</f>
        <v>...</v>
      </c>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row>
    <row r="598" spans="1:59" x14ac:dyDescent="0.25">
      <c r="A598" s="1" t="str">
        <f>IF($E$449="Y",'Population Definitions'!$A$12,"...")</f>
        <v>...</v>
      </c>
      <c r="B598" s="4" t="str">
        <f>IF($E$449="Y","---&gt;","...")</f>
        <v>...</v>
      </c>
      <c r="C598" s="1" t="str">
        <f>IF($E$449="Y",'Population Definitions'!$A$5,"...")</f>
        <v>...</v>
      </c>
      <c r="E598" s="2"/>
      <c r="F598" s="3"/>
      <c r="G598" s="2"/>
      <c r="H598" s="4" t="str">
        <f>IF($E$449="Y","OR","...")</f>
        <v>...</v>
      </c>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row>
    <row r="599" spans="1:59" x14ac:dyDescent="0.25">
      <c r="A599" s="1" t="str">
        <f>IF($F$449="Y",'Population Definitions'!$A$12,"...")</f>
        <v>...</v>
      </c>
      <c r="B599" s="4" t="str">
        <f>IF($F$449="Y","---&gt;","...")</f>
        <v>...</v>
      </c>
      <c r="C599" s="1" t="str">
        <f>IF($F$449="Y",'Population Definitions'!$A$6,"...")</f>
        <v>...</v>
      </c>
      <c r="E599" s="2"/>
      <c r="F599" s="3"/>
      <c r="G599" s="2"/>
      <c r="H599" s="4" t="str">
        <f>IF($F$449="Y","OR","...")</f>
        <v>...</v>
      </c>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row>
    <row r="600" spans="1:59" x14ac:dyDescent="0.25">
      <c r="A600" s="1" t="str">
        <f>IF($G$449="Y",'Population Definitions'!$A$12,"...")</f>
        <v>...</v>
      </c>
      <c r="B600" s="4" t="str">
        <f>IF($G$449="Y","---&gt;","...")</f>
        <v>...</v>
      </c>
      <c r="C600" s="1" t="str">
        <f>IF($G$449="Y",'Population Definitions'!$A$7,"...")</f>
        <v>...</v>
      </c>
      <c r="E600" s="2"/>
      <c r="F600" s="3"/>
      <c r="G600" s="2"/>
      <c r="H600" s="4" t="str">
        <f>IF($G$449="Y","OR","...")</f>
        <v>...</v>
      </c>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row>
    <row r="601" spans="1:59" x14ac:dyDescent="0.25">
      <c r="A601" s="1" t="str">
        <f>IF($H$449="Y",'Population Definitions'!$A$12,"...")</f>
        <v>Prisoners_males</v>
      </c>
      <c r="B601" s="4" t="str">
        <f>IF($H$449="Y","---&gt;","...")</f>
        <v>---&gt;</v>
      </c>
      <c r="C601" s="1" t="str">
        <f>IF($H$449="Y",'Population Definitions'!$A$8,"...")</f>
        <v>18-64_males</v>
      </c>
      <c r="E601" s="3" t="s">
        <v>55</v>
      </c>
      <c r="F601" s="3"/>
      <c r="G601" s="3">
        <v>2.687335178223011</v>
      </c>
      <c r="H601" s="4" t="str">
        <f>IF($H$449="Y","OR","...")</f>
        <v>OR</v>
      </c>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row>
    <row r="602" spans="1:59" x14ac:dyDescent="0.25">
      <c r="A602" s="1" t="str">
        <f>IF($I$449="Y",'Population Definitions'!$A$12,"...")</f>
        <v>...</v>
      </c>
      <c r="B602" s="4" t="str">
        <f>IF($I$449="Y","---&gt;","...")</f>
        <v>...</v>
      </c>
      <c r="C602" s="1" t="str">
        <f>IF($I$449="Y",'Population Definitions'!$A$9,"...")</f>
        <v>...</v>
      </c>
      <c r="E602" s="2"/>
      <c r="F602" s="3"/>
      <c r="G602" s="2"/>
      <c r="H602" s="4" t="str">
        <f>IF($I$449="Y","OR","...")</f>
        <v>...</v>
      </c>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row>
    <row r="603" spans="1:59" x14ac:dyDescent="0.25">
      <c r="A603" s="1" t="str">
        <f>IF($J$449="Y",'Population Definitions'!$A$12,"...")</f>
        <v>...</v>
      </c>
      <c r="B603" s="4" t="str">
        <f>IF($J$449="Y","---&gt;","...")</f>
        <v>...</v>
      </c>
      <c r="C603" s="1" t="str">
        <f>IF($J$449="Y",'Population Definitions'!$A$10,"...")</f>
        <v>...</v>
      </c>
      <c r="E603" s="2"/>
      <c r="F603" s="3"/>
      <c r="G603" s="2"/>
      <c r="H603" s="4" t="str">
        <f>IF($J$449="Y","OR","...")</f>
        <v>...</v>
      </c>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row>
    <row r="604" spans="1:59" x14ac:dyDescent="0.25">
      <c r="A604" s="1" t="str">
        <f>IF($K$449="Y",'Population Definitions'!$A$12,"...")</f>
        <v>...</v>
      </c>
      <c r="B604" s="4" t="str">
        <f>IF($K$449="Y","---&gt;","...")</f>
        <v>...</v>
      </c>
      <c r="C604" s="1" t="str">
        <f>IF($K$449="Y",'Population Definitions'!$A$11,"...")</f>
        <v>...</v>
      </c>
      <c r="E604" s="2"/>
      <c r="F604" s="3"/>
      <c r="G604" s="2"/>
      <c r="H604" s="4" t="str">
        <f>IF($K$449="Y","OR","...")</f>
        <v>...</v>
      </c>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row>
    <row r="605" spans="1:59" x14ac:dyDescent="0.25">
      <c r="A605" s="1" t="str">
        <f>IF($L$449="Y",'Population Definitions'!$A$12,"...")</f>
        <v>...</v>
      </c>
      <c r="B605" s="4" t="str">
        <f>IF($L$449="Y","---&gt;","...")</f>
        <v>...</v>
      </c>
      <c r="C605" s="1" t="str">
        <f>IF($L$449="Y",'Population Definitions'!$A$12,"...")</f>
        <v>...</v>
      </c>
      <c r="E605" s="2"/>
      <c r="F605" s="3"/>
      <c r="G605" s="2"/>
      <c r="H605" s="4" t="str">
        <f>IF($L$449="Y","OR","...")</f>
        <v>...</v>
      </c>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row>
    <row r="606" spans="1:59" x14ac:dyDescent="0.25">
      <c r="A606" s="1" t="str">
        <f>IF($M$449="Y",'Population Definitions'!$A$12,"...")</f>
        <v>...</v>
      </c>
      <c r="B606" s="4" t="str">
        <f>IF($M$449="Y","---&gt;","...")</f>
        <v>...</v>
      </c>
      <c r="C606" s="1" t="str">
        <f>IF($M$449="Y",'Population Definitions'!$A$13,"...")</f>
        <v>...</v>
      </c>
      <c r="E606" s="2"/>
      <c r="F606" s="3"/>
      <c r="G606" s="2"/>
      <c r="H606" s="4" t="str">
        <f>IF($M$449="Y","OR","...")</f>
        <v>...</v>
      </c>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row>
    <row r="607" spans="1:59" x14ac:dyDescent="0.25">
      <c r="A607" s="1" t="str">
        <f>IF($N$449="Y",'Population Definitions'!$A$12,"...")</f>
        <v>...</v>
      </c>
      <c r="B607" s="4" t="str">
        <f>IF($N$449="Y","---&gt;","...")</f>
        <v>...</v>
      </c>
      <c r="C607" s="1" t="str">
        <f>IF($N$449="Y",'Population Definitions'!$A$14,"...")</f>
        <v>...</v>
      </c>
      <c r="E607" s="2"/>
      <c r="F607" s="3"/>
      <c r="G607" s="2"/>
      <c r="H607" s="4" t="str">
        <f>IF($N$449="Y","OR","...")</f>
        <v>...</v>
      </c>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row>
    <row r="608" spans="1:59" x14ac:dyDescent="0.25">
      <c r="A608" s="1" t="str">
        <f>IF($O$449="Y",'Population Definitions'!$A$12,"...")</f>
        <v>...</v>
      </c>
      <c r="B608" s="4" t="str">
        <f>IF($O$449="Y","---&gt;","...")</f>
        <v>...</v>
      </c>
      <c r="C608" s="1" t="str">
        <f>IF($O$449="Y",'Population Definitions'!$A$15,"...")</f>
        <v>...</v>
      </c>
      <c r="E608" s="2"/>
      <c r="F608" s="3"/>
      <c r="G608" s="2"/>
      <c r="H608" s="4" t="str">
        <f>IF($O$449="Y","OR","...")</f>
        <v>...</v>
      </c>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row>
    <row r="609" spans="1:59" x14ac:dyDescent="0.25">
      <c r="A609" s="1" t="str">
        <f>IF($B$450="Y",'Population Definitions'!$A$13,"...")</f>
        <v>...</v>
      </c>
      <c r="B609" s="4" t="str">
        <f>IF($B$450="Y","---&gt;","...")</f>
        <v>...</v>
      </c>
      <c r="C609" s="1" t="str">
        <f>IF($B$450="Y",'Population Definitions'!$A$2,"...")</f>
        <v>...</v>
      </c>
      <c r="E609" s="2"/>
      <c r="F609" s="3"/>
      <c r="G609" s="2"/>
      <c r="H609" s="4" t="str">
        <f>IF($B$450="Y","OR","...")</f>
        <v>...</v>
      </c>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row>
    <row r="610" spans="1:59" x14ac:dyDescent="0.25">
      <c r="A610" s="1" t="str">
        <f>IF($C$450="Y",'Population Definitions'!$A$13,"...")</f>
        <v>...</v>
      </c>
      <c r="B610" s="4" t="str">
        <f>IF($C$450="Y","---&gt;","...")</f>
        <v>...</v>
      </c>
      <c r="C610" s="1" t="str">
        <f>IF($C$450="Y",'Population Definitions'!$A$3,"...")</f>
        <v>...</v>
      </c>
      <c r="E610" s="2"/>
      <c r="F610" s="3"/>
      <c r="G610" s="2"/>
      <c r="H610" s="4" t="str">
        <f>IF($C$450="Y","OR","...")</f>
        <v>...</v>
      </c>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row>
    <row r="611" spans="1:59" x14ac:dyDescent="0.25">
      <c r="A611" s="1" t="str">
        <f>IF($D$450="Y",'Population Definitions'!$A$13,"...")</f>
        <v>...</v>
      </c>
      <c r="B611" s="4" t="str">
        <f>IF($D$450="Y","---&gt;","...")</f>
        <v>...</v>
      </c>
      <c r="C611" s="1" t="str">
        <f>IF($D$450="Y",'Population Definitions'!$A$4,"...")</f>
        <v>...</v>
      </c>
      <c r="E611" s="2"/>
      <c r="F611" s="3"/>
      <c r="G611" s="2"/>
      <c r="H611" s="4" t="str">
        <f>IF($D$450="Y","OR","...")</f>
        <v>...</v>
      </c>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row>
    <row r="612" spans="1:59" x14ac:dyDescent="0.25">
      <c r="A612" s="1" t="str">
        <f>IF($E$450="Y",'Population Definitions'!$A$13,"...")</f>
        <v>...</v>
      </c>
      <c r="B612" s="4" t="str">
        <f>IF($E$450="Y","---&gt;","...")</f>
        <v>...</v>
      </c>
      <c r="C612" s="1" t="str">
        <f>IF($E$450="Y",'Population Definitions'!$A$5,"...")</f>
        <v>...</v>
      </c>
      <c r="E612" s="2"/>
      <c r="F612" s="3"/>
      <c r="G612" s="2"/>
      <c r="H612" s="4" t="str">
        <f>IF($E$450="Y","OR","...")</f>
        <v>...</v>
      </c>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row>
    <row r="613" spans="1:59" x14ac:dyDescent="0.25">
      <c r="A613" s="1" t="str">
        <f>IF($F$450="Y",'Population Definitions'!$A$13,"...")</f>
        <v>...</v>
      </c>
      <c r="B613" s="4" t="str">
        <f>IF($F$450="Y","---&gt;","...")</f>
        <v>...</v>
      </c>
      <c r="C613" s="1" t="str">
        <f>IF($F$450="Y",'Population Definitions'!$A$6,"...")</f>
        <v>...</v>
      </c>
      <c r="E613" s="2"/>
      <c r="F613" s="3"/>
      <c r="G613" s="2"/>
      <c r="H613" s="4" t="str">
        <f>IF($F$450="Y","OR","...")</f>
        <v>...</v>
      </c>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row>
    <row r="614" spans="1:59" x14ac:dyDescent="0.25">
      <c r="A614" s="1" t="str">
        <f>IF($G$450="Y",'Population Definitions'!$A$13,"...")</f>
        <v>...</v>
      </c>
      <c r="B614" s="4" t="str">
        <f>IF($G$450="Y","---&gt;","...")</f>
        <v>...</v>
      </c>
      <c r="C614" s="1" t="str">
        <f>IF($G$450="Y",'Population Definitions'!$A$7,"...")</f>
        <v>...</v>
      </c>
      <c r="E614" s="2"/>
      <c r="F614" s="3"/>
      <c r="G614" s="2"/>
      <c r="H614" s="4" t="str">
        <f>IF($G$450="Y","OR","...")</f>
        <v>...</v>
      </c>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row>
    <row r="615" spans="1:59" x14ac:dyDescent="0.25">
      <c r="A615" s="1" t="str">
        <f>IF($H$450="Y",'Population Definitions'!$A$13,"...")</f>
        <v>...</v>
      </c>
      <c r="B615" s="4" t="str">
        <f>IF($H$450="Y","---&gt;","...")</f>
        <v>...</v>
      </c>
      <c r="C615" s="1" t="str">
        <f>IF($H$450="Y",'Population Definitions'!$A$8,"...")</f>
        <v>...</v>
      </c>
      <c r="E615" s="2"/>
      <c r="F615" s="3"/>
      <c r="G615" s="2"/>
      <c r="H615" s="4" t="str">
        <f>IF($H$450="Y","OR","...")</f>
        <v>...</v>
      </c>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row>
    <row r="616" spans="1:59" x14ac:dyDescent="0.25">
      <c r="A616" s="1" t="str">
        <f>IF($I$450="Y",'Population Definitions'!$A$13,"...")</f>
        <v>Prisoners_females</v>
      </c>
      <c r="B616" s="4" t="str">
        <f>IF($I$450="Y","---&gt;","...")</f>
        <v>---&gt;</v>
      </c>
      <c r="C616" s="1" t="str">
        <f>IF($I$450="Y",'Population Definitions'!$A$9,"...")</f>
        <v>18-64_females</v>
      </c>
      <c r="E616" s="3" t="s">
        <v>55</v>
      </c>
      <c r="F616" s="3"/>
      <c r="G616" s="3">
        <v>2.6873351782230102</v>
      </c>
      <c r="H616" s="4" t="str">
        <f>IF($I$450="Y","OR","...")</f>
        <v>OR</v>
      </c>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row>
    <row r="617" spans="1:59" x14ac:dyDescent="0.25">
      <c r="A617" s="1" t="str">
        <f>IF($J$450="Y",'Population Definitions'!$A$13,"...")</f>
        <v>...</v>
      </c>
      <c r="B617" s="4" t="str">
        <f>IF($J$450="Y","---&gt;","...")</f>
        <v>...</v>
      </c>
      <c r="C617" s="1" t="str">
        <f>IF($J$450="Y",'Population Definitions'!$A$10,"...")</f>
        <v>...</v>
      </c>
      <c r="E617" s="2"/>
      <c r="F617" s="3"/>
      <c r="G617" s="2"/>
      <c r="H617" s="4" t="str">
        <f>IF($J$450="Y","OR","...")</f>
        <v>...</v>
      </c>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row>
    <row r="618" spans="1:59" x14ac:dyDescent="0.25">
      <c r="A618" s="1" t="str">
        <f>IF($K$450="Y",'Population Definitions'!$A$13,"...")</f>
        <v>...</v>
      </c>
      <c r="B618" s="4" t="str">
        <f>IF($K$450="Y","---&gt;","...")</f>
        <v>...</v>
      </c>
      <c r="C618" s="1" t="str">
        <f>IF($K$450="Y",'Population Definitions'!$A$11,"...")</f>
        <v>...</v>
      </c>
      <c r="E618" s="2"/>
      <c r="F618" s="3"/>
      <c r="G618" s="2"/>
      <c r="H618" s="4" t="str">
        <f>IF($K$450="Y","OR","...")</f>
        <v>...</v>
      </c>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row>
    <row r="619" spans="1:59" x14ac:dyDescent="0.25">
      <c r="A619" s="1" t="str">
        <f>IF($L$450="Y",'Population Definitions'!$A$13,"...")</f>
        <v>...</v>
      </c>
      <c r="B619" s="4" t="str">
        <f>IF($L$450="Y","---&gt;","...")</f>
        <v>...</v>
      </c>
      <c r="C619" s="1" t="str">
        <f>IF($L$450="Y",'Population Definitions'!$A$12,"...")</f>
        <v>...</v>
      </c>
      <c r="E619" s="2"/>
      <c r="F619" s="3"/>
      <c r="G619" s="2"/>
      <c r="H619" s="4" t="str">
        <f>IF($L$450="Y","OR","...")</f>
        <v>...</v>
      </c>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row>
    <row r="620" spans="1:59" x14ac:dyDescent="0.25">
      <c r="A620" s="1" t="str">
        <f>IF($M$450="Y",'Population Definitions'!$A$13,"...")</f>
        <v>...</v>
      </c>
      <c r="B620" s="4" t="str">
        <f>IF($M$450="Y","---&gt;","...")</f>
        <v>...</v>
      </c>
      <c r="C620" s="1" t="str">
        <f>IF($M$450="Y",'Population Definitions'!$A$13,"...")</f>
        <v>...</v>
      </c>
      <c r="E620" s="2"/>
      <c r="F620" s="3"/>
      <c r="G620" s="2"/>
      <c r="H620" s="4" t="str">
        <f>IF($M$450="Y","OR","...")</f>
        <v>...</v>
      </c>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row>
    <row r="621" spans="1:59" x14ac:dyDescent="0.25">
      <c r="A621" s="1" t="str">
        <f>IF($N$450="Y",'Population Definitions'!$A$13,"...")</f>
        <v>...</v>
      </c>
      <c r="B621" s="4" t="str">
        <f>IF($N$450="Y","---&gt;","...")</f>
        <v>...</v>
      </c>
      <c r="C621" s="1" t="str">
        <f>IF($N$450="Y",'Population Definitions'!$A$14,"...")</f>
        <v>...</v>
      </c>
      <c r="E621" s="2"/>
      <c r="F621" s="3"/>
      <c r="G621" s="2"/>
      <c r="H621" s="4" t="str">
        <f>IF($N$450="Y","OR","...")</f>
        <v>...</v>
      </c>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row>
    <row r="622" spans="1:59" x14ac:dyDescent="0.25">
      <c r="A622" s="1" t="str">
        <f>IF($O$450="Y",'Population Definitions'!$A$13,"...")</f>
        <v>...</v>
      </c>
      <c r="B622" s="4" t="str">
        <f>IF($O$450="Y","---&gt;","...")</f>
        <v>...</v>
      </c>
      <c r="C622" s="1" t="str">
        <f>IF($O$450="Y",'Population Definitions'!$A$15,"...")</f>
        <v>...</v>
      </c>
      <c r="E622" s="2"/>
      <c r="F622" s="3"/>
      <c r="G622" s="2"/>
      <c r="H622" s="4" t="str">
        <f>IF($O$450="Y","OR","...")</f>
        <v>...</v>
      </c>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row>
    <row r="623" spans="1:59" x14ac:dyDescent="0.25">
      <c r="A623" s="1" t="str">
        <f>IF($B$451="Y",'Population Definitions'!$A$14,"...")</f>
        <v>Prisoners_PWID_males</v>
      </c>
      <c r="B623" s="4" t="str">
        <f>IF($B$451="Y","---&gt;","...")</f>
        <v>---&gt;</v>
      </c>
      <c r="C623" s="1" t="str">
        <f>IF($B$451="Y",'Population Definitions'!$A$2,"...")</f>
        <v>PWID_males</v>
      </c>
      <c r="E623" s="3" t="s">
        <v>55</v>
      </c>
      <c r="F623" s="3"/>
      <c r="G623" s="3">
        <v>2.6873351782230102</v>
      </c>
      <c r="H623" s="4" t="str">
        <f>IF($B$451="Y","OR","...")</f>
        <v>OR</v>
      </c>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row>
    <row r="624" spans="1:59" x14ac:dyDescent="0.25">
      <c r="A624" s="1" t="str">
        <f>IF($C$451="Y",'Population Definitions'!$A$14,"...")</f>
        <v>...</v>
      </c>
      <c r="B624" s="4" t="str">
        <f>IF($C$451="Y","---&gt;","...")</f>
        <v>...</v>
      </c>
      <c r="C624" s="1" t="str">
        <f>IF($C$451="Y",'Population Definitions'!$A$3,"...")</f>
        <v>...</v>
      </c>
      <c r="E624" s="2"/>
      <c r="F624" s="3"/>
      <c r="G624" s="2"/>
      <c r="H624" s="4" t="str">
        <f>IF($C$451="Y","OR","...")</f>
        <v>...</v>
      </c>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row>
    <row r="625" spans="1:59" x14ac:dyDescent="0.25">
      <c r="A625" s="1" t="str">
        <f>IF($D$451="Y",'Population Definitions'!$A$14,"...")</f>
        <v>...</v>
      </c>
      <c r="B625" s="4" t="str">
        <f>IF($D$451="Y","---&gt;","...")</f>
        <v>...</v>
      </c>
      <c r="C625" s="1" t="str">
        <f>IF($D$451="Y",'Population Definitions'!$A$4,"...")</f>
        <v>...</v>
      </c>
      <c r="E625" s="2"/>
      <c r="F625" s="3"/>
      <c r="G625" s="2"/>
      <c r="H625" s="4" t="str">
        <f>IF($D$451="Y","OR","...")</f>
        <v>...</v>
      </c>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row>
    <row r="626" spans="1:59" x14ac:dyDescent="0.25">
      <c r="A626" s="1" t="str">
        <f>IF($E$451="Y",'Population Definitions'!$A$14,"...")</f>
        <v>...</v>
      </c>
      <c r="B626" s="4" t="str">
        <f>IF($E$451="Y","---&gt;","...")</f>
        <v>...</v>
      </c>
      <c r="C626" s="1" t="str">
        <f>IF($E$451="Y",'Population Definitions'!$A$5,"...")</f>
        <v>...</v>
      </c>
      <c r="E626" s="2"/>
      <c r="F626" s="3"/>
      <c r="G626" s="2"/>
      <c r="H626" s="4" t="str">
        <f>IF($E$451="Y","OR","...")</f>
        <v>...</v>
      </c>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row>
    <row r="627" spans="1:59" x14ac:dyDescent="0.25">
      <c r="A627" s="1" t="str">
        <f>IF($F$451="Y",'Population Definitions'!$A$14,"...")</f>
        <v>...</v>
      </c>
      <c r="B627" s="4" t="str">
        <f>IF($F$451="Y","---&gt;","...")</f>
        <v>...</v>
      </c>
      <c r="C627" s="1" t="str">
        <f>IF($F$451="Y",'Population Definitions'!$A$6,"...")</f>
        <v>...</v>
      </c>
      <c r="E627" s="2"/>
      <c r="F627" s="3"/>
      <c r="G627" s="2"/>
      <c r="H627" s="4" t="str">
        <f>IF($F$451="Y","OR","...")</f>
        <v>...</v>
      </c>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row>
    <row r="628" spans="1:59" x14ac:dyDescent="0.25">
      <c r="A628" s="1" t="str">
        <f>IF($G$451="Y",'Population Definitions'!$A$14,"...")</f>
        <v>...</v>
      </c>
      <c r="B628" s="4" t="str">
        <f>IF($G$451="Y","---&gt;","...")</f>
        <v>...</v>
      </c>
      <c r="C628" s="1" t="str">
        <f>IF($G$451="Y",'Population Definitions'!$A$7,"...")</f>
        <v>...</v>
      </c>
      <c r="E628" s="2"/>
      <c r="F628" s="3"/>
      <c r="G628" s="2"/>
      <c r="H628" s="4" t="str">
        <f>IF($G$451="Y","OR","...")</f>
        <v>...</v>
      </c>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row>
    <row r="629" spans="1:59" x14ac:dyDescent="0.25">
      <c r="A629" s="1" t="str">
        <f>IF($H$451="Y",'Population Definitions'!$A$14,"...")</f>
        <v>...</v>
      </c>
      <c r="B629" s="4" t="str">
        <f>IF($H$451="Y","---&gt;","...")</f>
        <v>...</v>
      </c>
      <c r="C629" s="1" t="str">
        <f>IF($H$451="Y",'Population Definitions'!$A$8,"...")</f>
        <v>...</v>
      </c>
      <c r="E629" s="2"/>
      <c r="F629" s="3"/>
      <c r="G629" s="2"/>
      <c r="H629" s="4" t="str">
        <f>IF($H$451="Y","OR","...")</f>
        <v>...</v>
      </c>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row>
    <row r="630" spans="1:59" x14ac:dyDescent="0.25">
      <c r="A630" s="1" t="str">
        <f>IF($I$451="Y",'Population Definitions'!$A$14,"...")</f>
        <v>...</v>
      </c>
      <c r="B630" s="4" t="str">
        <f>IF($I$451="Y","---&gt;","...")</f>
        <v>...</v>
      </c>
      <c r="C630" s="1" t="str">
        <f>IF($I$451="Y",'Population Definitions'!$A$9,"...")</f>
        <v>...</v>
      </c>
      <c r="E630" s="2"/>
      <c r="F630" s="3"/>
      <c r="G630" s="2"/>
      <c r="H630" s="4" t="str">
        <f>IF($I$451="Y","OR","...")</f>
        <v>...</v>
      </c>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row>
    <row r="631" spans="1:59" x14ac:dyDescent="0.25">
      <c r="A631" s="1" t="str">
        <f>IF($J$451="Y",'Population Definitions'!$A$14,"...")</f>
        <v>...</v>
      </c>
      <c r="B631" s="4" t="str">
        <f>IF($J$451="Y","---&gt;","...")</f>
        <v>...</v>
      </c>
      <c r="C631" s="1" t="str">
        <f>IF($J$451="Y",'Population Definitions'!$A$10,"...")</f>
        <v>...</v>
      </c>
      <c r="E631" s="2"/>
      <c r="F631" s="3"/>
      <c r="G631" s="2"/>
      <c r="H631" s="4" t="str">
        <f>IF($J$451="Y","OR","...")</f>
        <v>...</v>
      </c>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row>
    <row r="632" spans="1:59" x14ac:dyDescent="0.25">
      <c r="A632" s="1" t="str">
        <f>IF($K$451="Y",'Population Definitions'!$A$14,"...")</f>
        <v>...</v>
      </c>
      <c r="B632" s="4" t="str">
        <f>IF($K$451="Y","---&gt;","...")</f>
        <v>...</v>
      </c>
      <c r="C632" s="1" t="str">
        <f>IF($K$451="Y",'Population Definitions'!$A$11,"...")</f>
        <v>...</v>
      </c>
      <c r="E632" s="2"/>
      <c r="F632" s="3"/>
      <c r="G632" s="2"/>
      <c r="H632" s="4" t="str">
        <f>IF($K$451="Y","OR","...")</f>
        <v>...</v>
      </c>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row>
    <row r="633" spans="1:59" x14ac:dyDescent="0.25">
      <c r="A633" s="1" t="str">
        <f>IF($L$451="Y",'Population Definitions'!$A$14,"...")</f>
        <v>...</v>
      </c>
      <c r="B633" s="4" t="str">
        <f>IF($L$451="Y","---&gt;","...")</f>
        <v>...</v>
      </c>
      <c r="C633" s="1" t="str">
        <f>IF($L$451="Y",'Population Definitions'!$A$12,"...")</f>
        <v>...</v>
      </c>
      <c r="E633" s="2"/>
      <c r="F633" s="3"/>
      <c r="G633" s="2"/>
      <c r="H633" s="4" t="str">
        <f>IF($L$451="Y","OR","...")</f>
        <v>...</v>
      </c>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row>
    <row r="634" spans="1:59" x14ac:dyDescent="0.25">
      <c r="A634" s="1" t="str">
        <f>IF($M$451="Y",'Population Definitions'!$A$14,"...")</f>
        <v>...</v>
      </c>
      <c r="B634" s="4" t="str">
        <f>IF($M$451="Y","---&gt;","...")</f>
        <v>...</v>
      </c>
      <c r="C634" s="1" t="str">
        <f>IF($M$451="Y",'Population Definitions'!$A$13,"...")</f>
        <v>...</v>
      </c>
      <c r="E634" s="2"/>
      <c r="F634" s="3"/>
      <c r="G634" s="2"/>
      <c r="H634" s="4" t="str">
        <f>IF($M$451="Y","OR","...")</f>
        <v>...</v>
      </c>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row>
    <row r="635" spans="1:59" x14ac:dyDescent="0.25">
      <c r="A635" s="1" t="str">
        <f>IF($N$451="Y",'Population Definitions'!$A$14,"...")</f>
        <v>...</v>
      </c>
      <c r="B635" s="4" t="str">
        <f>IF($N$451="Y","---&gt;","...")</f>
        <v>...</v>
      </c>
      <c r="C635" s="1" t="str">
        <f>IF($N$451="Y",'Population Definitions'!$A$14,"...")</f>
        <v>...</v>
      </c>
      <c r="E635" s="2"/>
      <c r="F635" s="3"/>
      <c r="G635" s="2"/>
      <c r="H635" s="4" t="str">
        <f>IF($N$451="Y","OR","...")</f>
        <v>...</v>
      </c>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row>
    <row r="636" spans="1:59" x14ac:dyDescent="0.25">
      <c r="A636" s="1" t="str">
        <f>IF($O$451="Y",'Population Definitions'!$A$14,"...")</f>
        <v>...</v>
      </c>
      <c r="B636" s="4" t="str">
        <f>IF($O$451="Y","---&gt;","...")</f>
        <v>...</v>
      </c>
      <c r="C636" s="1" t="str">
        <f>IF($O$451="Y",'Population Definitions'!$A$15,"...")</f>
        <v>...</v>
      </c>
      <c r="E636" s="2"/>
      <c r="F636" s="3"/>
      <c r="G636" s="2"/>
      <c r="H636" s="4" t="str">
        <f>IF($O$451="Y","OR","...")</f>
        <v>...</v>
      </c>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row>
    <row r="637" spans="1:59" x14ac:dyDescent="0.25">
      <c r="A637" s="1" t="str">
        <f>IF($B$452="Y",'Population Definitions'!$A$15,"...")</f>
        <v>...</v>
      </c>
      <c r="B637" s="4" t="str">
        <f>IF($B$452="Y","---&gt;","...")</f>
        <v>...</v>
      </c>
      <c r="C637" s="1" t="str">
        <f>IF($B$452="Y",'Population Definitions'!$A$2,"...")</f>
        <v>...</v>
      </c>
      <c r="E637" s="2"/>
      <c r="F637" s="3"/>
      <c r="G637" s="2"/>
      <c r="H637" s="4" t="str">
        <f>IF($B$452="Y","OR","...")</f>
        <v>...</v>
      </c>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row>
    <row r="638" spans="1:59" x14ac:dyDescent="0.25">
      <c r="A638" s="1" t="str">
        <f>IF($C$452="Y",'Population Definitions'!$A$15,"...")</f>
        <v>Prisoners_PWID_females</v>
      </c>
      <c r="B638" s="4" t="str">
        <f>IF($C$452="Y","---&gt;","...")</f>
        <v>---&gt;</v>
      </c>
      <c r="C638" s="1" t="str">
        <f>IF($C$452="Y",'Population Definitions'!$A$3,"...")</f>
        <v>PWID_females</v>
      </c>
      <c r="E638" s="3" t="s">
        <v>55</v>
      </c>
      <c r="F638" s="3"/>
      <c r="G638" s="3">
        <v>2.687335178223011</v>
      </c>
      <c r="H638" s="4" t="str">
        <f>IF($C$452="Y","OR","...")</f>
        <v>OR</v>
      </c>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row>
    <row r="639" spans="1:59" x14ac:dyDescent="0.25">
      <c r="A639" s="1" t="str">
        <f>IF($D$452="Y",'Population Definitions'!$A$15,"...")</f>
        <v>...</v>
      </c>
      <c r="B639" s="4" t="str">
        <f>IF($D$452="Y","---&gt;","...")</f>
        <v>...</v>
      </c>
      <c r="C639" s="1" t="str">
        <f>IF($D$452="Y",'Population Definitions'!$A$4,"...")</f>
        <v>...</v>
      </c>
      <c r="E639" s="2"/>
      <c r="F639" s="3"/>
      <c r="G639" s="2"/>
      <c r="H639" s="4" t="str">
        <f>IF($D$452="Y","OR","...")</f>
        <v>...</v>
      </c>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row>
    <row r="640" spans="1:59" x14ac:dyDescent="0.25">
      <c r="A640" s="1" t="str">
        <f>IF($E$452="Y",'Population Definitions'!$A$15,"...")</f>
        <v>...</v>
      </c>
      <c r="B640" s="4" t="str">
        <f>IF($E$452="Y","---&gt;","...")</f>
        <v>...</v>
      </c>
      <c r="C640" s="1" t="str">
        <f>IF($E$452="Y",'Population Definitions'!$A$5,"...")</f>
        <v>...</v>
      </c>
      <c r="E640" s="2"/>
      <c r="F640" s="3"/>
      <c r="G640" s="2"/>
      <c r="H640" s="4" t="str">
        <f>IF($E$452="Y","OR","...")</f>
        <v>...</v>
      </c>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row>
    <row r="641" spans="1:59" x14ac:dyDescent="0.25">
      <c r="A641" s="1" t="str">
        <f>IF($F$452="Y",'Population Definitions'!$A$15,"...")</f>
        <v>...</v>
      </c>
      <c r="B641" s="4" t="str">
        <f>IF($F$452="Y","---&gt;","...")</f>
        <v>...</v>
      </c>
      <c r="C641" s="1" t="str">
        <f>IF($F$452="Y",'Population Definitions'!$A$6,"...")</f>
        <v>...</v>
      </c>
      <c r="E641" s="2"/>
      <c r="F641" s="3"/>
      <c r="G641" s="2"/>
      <c r="H641" s="4" t="str">
        <f>IF($F$452="Y","OR","...")</f>
        <v>...</v>
      </c>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row>
    <row r="642" spans="1:59" x14ac:dyDescent="0.25">
      <c r="A642" s="1" t="str">
        <f>IF($G$452="Y",'Population Definitions'!$A$15,"...")</f>
        <v>...</v>
      </c>
      <c r="B642" s="4" t="str">
        <f>IF($G$452="Y","---&gt;","...")</f>
        <v>...</v>
      </c>
      <c r="C642" s="1" t="str">
        <f>IF($G$452="Y",'Population Definitions'!$A$7,"...")</f>
        <v>...</v>
      </c>
      <c r="E642" s="2"/>
      <c r="F642" s="3"/>
      <c r="G642" s="2"/>
      <c r="H642" s="4" t="str">
        <f>IF($G$452="Y","OR","...")</f>
        <v>...</v>
      </c>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row>
    <row r="643" spans="1:59" x14ac:dyDescent="0.25">
      <c r="A643" s="1" t="str">
        <f>IF($H$452="Y",'Population Definitions'!$A$15,"...")</f>
        <v>...</v>
      </c>
      <c r="B643" s="4" t="str">
        <f>IF($H$452="Y","---&gt;","...")</f>
        <v>...</v>
      </c>
      <c r="C643" s="1" t="str">
        <f>IF($H$452="Y",'Population Definitions'!$A$8,"...")</f>
        <v>...</v>
      </c>
      <c r="E643" s="2"/>
      <c r="F643" s="3"/>
      <c r="G643" s="2"/>
      <c r="H643" s="4" t="str">
        <f>IF($H$452="Y","OR","...")</f>
        <v>...</v>
      </c>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row>
    <row r="644" spans="1:59" x14ac:dyDescent="0.25">
      <c r="A644" s="1" t="str">
        <f>IF($I$452="Y",'Population Definitions'!$A$15,"...")</f>
        <v>...</v>
      </c>
      <c r="B644" s="4" t="str">
        <f>IF($I$452="Y","---&gt;","...")</f>
        <v>...</v>
      </c>
      <c r="C644" s="1" t="str">
        <f>IF($I$452="Y",'Population Definitions'!$A$9,"...")</f>
        <v>...</v>
      </c>
      <c r="E644" s="2"/>
      <c r="F644" s="3"/>
      <c r="G644" s="2"/>
      <c r="H644" s="4" t="str">
        <f>IF($I$452="Y","OR","...")</f>
        <v>...</v>
      </c>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row>
    <row r="645" spans="1:59" x14ac:dyDescent="0.25">
      <c r="A645" s="1" t="str">
        <f>IF($J$452="Y",'Population Definitions'!$A$15,"...")</f>
        <v>...</v>
      </c>
      <c r="B645" s="4" t="str">
        <f>IF($J$452="Y","---&gt;","...")</f>
        <v>...</v>
      </c>
      <c r="C645" s="1" t="str">
        <f>IF($J$452="Y",'Population Definitions'!$A$10,"...")</f>
        <v>...</v>
      </c>
      <c r="E645" s="2"/>
      <c r="F645" s="3"/>
      <c r="G645" s="2"/>
      <c r="H645" s="4" t="str">
        <f>IF($J$452="Y","OR","...")</f>
        <v>...</v>
      </c>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row>
    <row r="646" spans="1:59" x14ac:dyDescent="0.25">
      <c r="A646" s="1" t="str">
        <f>IF($K$452="Y",'Population Definitions'!$A$15,"...")</f>
        <v>...</v>
      </c>
      <c r="B646" s="4" t="str">
        <f>IF($K$452="Y","---&gt;","...")</f>
        <v>...</v>
      </c>
      <c r="C646" s="1" t="str">
        <f>IF($K$452="Y",'Population Definitions'!$A$11,"...")</f>
        <v>...</v>
      </c>
      <c r="E646" s="2"/>
      <c r="F646" s="3"/>
      <c r="G646" s="2"/>
      <c r="H646" s="4" t="str">
        <f>IF($K$452="Y","OR","...")</f>
        <v>...</v>
      </c>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row>
    <row r="647" spans="1:59" x14ac:dyDescent="0.25">
      <c r="A647" s="1" t="str">
        <f>IF($L$452="Y",'Population Definitions'!$A$15,"...")</f>
        <v>...</v>
      </c>
      <c r="B647" s="4" t="str">
        <f>IF($L$452="Y","---&gt;","...")</f>
        <v>...</v>
      </c>
      <c r="C647" s="1" t="str">
        <f>IF($L$452="Y",'Population Definitions'!$A$12,"...")</f>
        <v>...</v>
      </c>
      <c r="E647" s="2"/>
      <c r="F647" s="3"/>
      <c r="G647" s="2"/>
      <c r="H647" s="4" t="str">
        <f>IF($L$452="Y","OR","...")</f>
        <v>...</v>
      </c>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row>
    <row r="648" spans="1:59" x14ac:dyDescent="0.25">
      <c r="A648" s="1" t="str">
        <f>IF($M$452="Y",'Population Definitions'!$A$15,"...")</f>
        <v>...</v>
      </c>
      <c r="B648" s="4" t="str">
        <f>IF($M$452="Y","---&gt;","...")</f>
        <v>...</v>
      </c>
      <c r="C648" s="1" t="str">
        <f>IF($M$452="Y",'Population Definitions'!$A$13,"...")</f>
        <v>...</v>
      </c>
      <c r="E648" s="2"/>
      <c r="F648" s="3"/>
      <c r="G648" s="2"/>
      <c r="H648" s="4" t="str">
        <f>IF($M$452="Y","OR","...")</f>
        <v>...</v>
      </c>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row>
    <row r="649" spans="1:59" x14ac:dyDescent="0.25">
      <c r="A649" s="1" t="str">
        <f>IF($N$452="Y",'Population Definitions'!$A$15,"...")</f>
        <v>...</v>
      </c>
      <c r="B649" s="4" t="str">
        <f>IF($N$452="Y","---&gt;","...")</f>
        <v>...</v>
      </c>
      <c r="C649" s="1" t="str">
        <f>IF($N$452="Y",'Population Definitions'!$A$14,"...")</f>
        <v>...</v>
      </c>
      <c r="E649" s="2"/>
      <c r="F649" s="3"/>
      <c r="G649" s="2"/>
      <c r="H649" s="4" t="str">
        <f>IF($N$452="Y","OR","...")</f>
        <v>...</v>
      </c>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row>
    <row r="650" spans="1:59" x14ac:dyDescent="0.25">
      <c r="A650" s="1" t="str">
        <f>IF($O$452="Y",'Population Definitions'!$A$15,"...")</f>
        <v>...</v>
      </c>
      <c r="B650" s="4" t="str">
        <f>IF($O$452="Y","---&gt;","...")</f>
        <v>...</v>
      </c>
      <c r="C650" s="1" t="str">
        <f>IF($O$452="Y",'Population Definitions'!$A$15,"...")</f>
        <v>...</v>
      </c>
      <c r="E650" s="2"/>
      <c r="F650" s="3"/>
      <c r="G650" s="2"/>
      <c r="H650" s="4" t="str">
        <f>IF($O$452="Y","OR","...")</f>
        <v>...</v>
      </c>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row>
  </sheetData>
  <conditionalFormatting sqref="B6:B18">
    <cfRule type="cellIs" dxfId="749" priority="27" operator="equal">
      <formula>"Y"</formula>
    </cfRule>
    <cfRule type="cellIs" dxfId="748" priority="28" operator="equal">
      <formula>"N"</formula>
    </cfRule>
  </conditionalFormatting>
  <conditionalFormatting sqref="B223:B235">
    <cfRule type="cellIs" dxfId="747" priority="979" operator="equal">
      <formula>"Y"</formula>
    </cfRule>
    <cfRule type="cellIs" dxfId="746" priority="980" operator="equal">
      <formula>"N"</formula>
    </cfRule>
  </conditionalFormatting>
  <conditionalFormatting sqref="B440:B452">
    <cfRule type="cellIs" dxfId="745" priority="1931" operator="equal">
      <formula>"Y"</formula>
    </cfRule>
    <cfRule type="cellIs" dxfId="744" priority="1932" operator="equal">
      <formula>"N"</formula>
    </cfRule>
  </conditionalFormatting>
  <conditionalFormatting sqref="C5">
    <cfRule type="cellIs" dxfId="743" priority="1" operator="equal">
      <formula>"Y"</formula>
    </cfRule>
    <cfRule type="cellIs" dxfId="742" priority="2" operator="equal">
      <formula>"N"</formula>
    </cfRule>
  </conditionalFormatting>
  <conditionalFormatting sqref="C7:C18">
    <cfRule type="cellIs" dxfId="741" priority="55" operator="equal">
      <formula>"Y"</formula>
    </cfRule>
    <cfRule type="cellIs" dxfId="740" priority="56" operator="equal">
      <formula>"N"</formula>
    </cfRule>
  </conditionalFormatting>
  <conditionalFormatting sqref="C222">
    <cfRule type="cellIs" dxfId="739" priority="953" operator="equal">
      <formula>"Y"</formula>
    </cfRule>
    <cfRule type="cellIs" dxfId="738" priority="954" operator="equal">
      <formula>"N"</formula>
    </cfRule>
  </conditionalFormatting>
  <conditionalFormatting sqref="C224:C235">
    <cfRule type="cellIs" dxfId="737" priority="1008" operator="equal">
      <formula>"N"</formula>
    </cfRule>
    <cfRule type="cellIs" dxfId="736" priority="1007" operator="equal">
      <formula>"Y"</formula>
    </cfRule>
  </conditionalFormatting>
  <conditionalFormatting sqref="C439">
    <cfRule type="cellIs" dxfId="735" priority="1906" operator="equal">
      <formula>"N"</formula>
    </cfRule>
    <cfRule type="cellIs" dxfId="734" priority="1905" operator="equal">
      <formula>"Y"</formula>
    </cfRule>
  </conditionalFormatting>
  <conditionalFormatting sqref="C441:C452">
    <cfRule type="cellIs" dxfId="733" priority="1959" operator="equal">
      <formula>"Y"</formula>
    </cfRule>
    <cfRule type="cellIs" dxfId="732" priority="1960" operator="equal">
      <formula>"N"</formula>
    </cfRule>
  </conditionalFormatting>
  <conditionalFormatting sqref="D5:D6">
    <cfRule type="cellIs" dxfId="731" priority="3" operator="equal">
      <formula>"Y"</formula>
    </cfRule>
    <cfRule type="cellIs" dxfId="730" priority="4" operator="equal">
      <formula>"N"</formula>
    </cfRule>
  </conditionalFormatting>
  <conditionalFormatting sqref="D8:D18">
    <cfRule type="cellIs" dxfId="729" priority="83" operator="equal">
      <formula>"Y"</formula>
    </cfRule>
    <cfRule type="cellIs" dxfId="728" priority="84" operator="equal">
      <formula>"N"</formula>
    </cfRule>
  </conditionalFormatting>
  <conditionalFormatting sqref="D222:D223">
    <cfRule type="cellIs" dxfId="727" priority="955" operator="equal">
      <formula>"Y"</formula>
    </cfRule>
    <cfRule type="cellIs" dxfId="726" priority="956" operator="equal">
      <formula>"N"</formula>
    </cfRule>
  </conditionalFormatting>
  <conditionalFormatting sqref="D225:D235">
    <cfRule type="cellIs" dxfId="725" priority="1036" operator="equal">
      <formula>"N"</formula>
    </cfRule>
    <cfRule type="cellIs" dxfId="724" priority="1035" operator="equal">
      <formula>"Y"</formula>
    </cfRule>
  </conditionalFormatting>
  <conditionalFormatting sqref="D439:D440">
    <cfRule type="cellIs" dxfId="723" priority="1908" operator="equal">
      <formula>"N"</formula>
    </cfRule>
    <cfRule type="cellIs" dxfId="722" priority="1907" operator="equal">
      <formula>"Y"</formula>
    </cfRule>
  </conditionalFormatting>
  <conditionalFormatting sqref="D442:D452">
    <cfRule type="cellIs" dxfId="721" priority="1988" operator="equal">
      <formula>"N"</formula>
    </cfRule>
    <cfRule type="cellIs" dxfId="720" priority="1987" operator="equal">
      <formula>"Y"</formula>
    </cfRule>
  </conditionalFormatting>
  <conditionalFormatting sqref="D21:BG21">
    <cfRule type="expression" dxfId="719" priority="367">
      <formula>$B$5&lt;&gt;"Y"</formula>
    </cfRule>
  </conditionalFormatting>
  <conditionalFormatting sqref="D22:BG22">
    <cfRule type="expression" dxfId="718" priority="370">
      <formula>$C$5&lt;&gt;"Y"</formula>
    </cfRule>
  </conditionalFormatting>
  <conditionalFormatting sqref="D23:BG23">
    <cfRule type="expression" dxfId="717" priority="373">
      <formula>$D$5&lt;&gt;"Y"</formula>
    </cfRule>
  </conditionalFormatting>
  <conditionalFormatting sqref="D24:BG24">
    <cfRule type="expression" dxfId="716" priority="376">
      <formula>$E$5&lt;&gt;"Y"</formula>
    </cfRule>
  </conditionalFormatting>
  <conditionalFormatting sqref="D25:BG25">
    <cfRule type="expression" dxfId="715" priority="379">
      <formula>$F$5&lt;&gt;"Y"</formula>
    </cfRule>
  </conditionalFormatting>
  <conditionalFormatting sqref="D26:BG26">
    <cfRule type="expression" dxfId="714" priority="382">
      <formula>$G$5&lt;&gt;"Y"</formula>
    </cfRule>
  </conditionalFormatting>
  <conditionalFormatting sqref="D27:BG27">
    <cfRule type="expression" dxfId="713" priority="385">
      <formula>$H$5&lt;&gt;"Y"</formula>
    </cfRule>
  </conditionalFormatting>
  <conditionalFormatting sqref="D28:BG28">
    <cfRule type="expression" dxfId="712" priority="388">
      <formula>$I$5&lt;&gt;"Y"</formula>
    </cfRule>
  </conditionalFormatting>
  <conditionalFormatting sqref="D29:BG29">
    <cfRule type="expression" dxfId="711" priority="391">
      <formula>$J$5&lt;&gt;"Y"</formula>
    </cfRule>
  </conditionalFormatting>
  <conditionalFormatting sqref="D30:BG30">
    <cfRule type="expression" dxfId="710" priority="394">
      <formula>$K$5&lt;&gt;"Y"</formula>
    </cfRule>
  </conditionalFormatting>
  <conditionalFormatting sqref="D31:BG31">
    <cfRule type="expression" dxfId="709" priority="397">
      <formula>$L$5&lt;&gt;"Y"</formula>
    </cfRule>
  </conditionalFormatting>
  <conditionalFormatting sqref="D32:BG32">
    <cfRule type="expression" dxfId="708" priority="400">
      <formula>$M$5&lt;&gt;"Y"</formula>
    </cfRule>
  </conditionalFormatting>
  <conditionalFormatting sqref="D33:BG33">
    <cfRule type="expression" dxfId="707" priority="403">
      <formula>$N$5&lt;&gt;"Y"</formula>
    </cfRule>
  </conditionalFormatting>
  <conditionalFormatting sqref="D34:BG34">
    <cfRule type="expression" dxfId="706" priority="406">
      <formula>$O$5&lt;&gt;"Y"</formula>
    </cfRule>
  </conditionalFormatting>
  <conditionalFormatting sqref="D35:BG35">
    <cfRule type="expression" dxfId="705" priority="409">
      <formula>$B$6&lt;&gt;"Y"</formula>
    </cfRule>
  </conditionalFormatting>
  <conditionalFormatting sqref="D36:BG36">
    <cfRule type="expression" dxfId="704" priority="412">
      <formula>$C$6&lt;&gt;"Y"</formula>
    </cfRule>
  </conditionalFormatting>
  <conditionalFormatting sqref="D37:BG37">
    <cfRule type="expression" dxfId="703" priority="415">
      <formula>$D$6&lt;&gt;"Y"</formula>
    </cfRule>
  </conditionalFormatting>
  <conditionalFormatting sqref="D38:BG38">
    <cfRule type="expression" dxfId="702" priority="418">
      <formula>$E$6&lt;&gt;"Y"</formula>
    </cfRule>
  </conditionalFormatting>
  <conditionalFormatting sqref="D39:BG39">
    <cfRule type="expression" dxfId="701" priority="421">
      <formula>$F$6&lt;&gt;"Y"</formula>
    </cfRule>
  </conditionalFormatting>
  <conditionalFormatting sqref="D40:BG40">
    <cfRule type="expression" dxfId="700" priority="424">
      <formula>$G$6&lt;&gt;"Y"</formula>
    </cfRule>
  </conditionalFormatting>
  <conditionalFormatting sqref="D41:BG41">
    <cfRule type="expression" dxfId="699" priority="427">
      <formula>$H$6&lt;&gt;"Y"</formula>
    </cfRule>
  </conditionalFormatting>
  <conditionalFormatting sqref="D42:BG42">
    <cfRule type="expression" dxfId="698" priority="430">
      <formula>$I$6&lt;&gt;"Y"</formula>
    </cfRule>
  </conditionalFormatting>
  <conditionalFormatting sqref="D43:BG43">
    <cfRule type="expression" dxfId="697" priority="433">
      <formula>$J$6&lt;&gt;"Y"</formula>
    </cfRule>
  </conditionalFormatting>
  <conditionalFormatting sqref="D44:BG44">
    <cfRule type="expression" dxfId="696" priority="436">
      <formula>$K$6&lt;&gt;"Y"</formula>
    </cfRule>
  </conditionalFormatting>
  <conditionalFormatting sqref="D45:BG45">
    <cfRule type="expression" dxfId="695" priority="439">
      <formula>$L$6&lt;&gt;"Y"</formula>
    </cfRule>
  </conditionalFormatting>
  <conditionalFormatting sqref="D46:BG46">
    <cfRule type="expression" dxfId="694" priority="442">
      <formula>$M$6&lt;&gt;"Y"</formula>
    </cfRule>
  </conditionalFormatting>
  <conditionalFormatting sqref="D47:BG47">
    <cfRule type="expression" dxfId="693" priority="445">
      <formula>$N$6&lt;&gt;"Y"</formula>
    </cfRule>
  </conditionalFormatting>
  <conditionalFormatting sqref="D48:BG48">
    <cfRule type="expression" dxfId="692" priority="448">
      <formula>$O$6&lt;&gt;"Y"</formula>
    </cfRule>
  </conditionalFormatting>
  <conditionalFormatting sqref="D49:BG49">
    <cfRule type="expression" dxfId="691" priority="451">
      <formula>$B$7&lt;&gt;"Y"</formula>
    </cfRule>
  </conditionalFormatting>
  <conditionalFormatting sqref="D50:BG50">
    <cfRule type="expression" dxfId="690" priority="454">
      <formula>$C$7&lt;&gt;"Y"</formula>
    </cfRule>
  </conditionalFormatting>
  <conditionalFormatting sqref="D51:BG51">
    <cfRule type="expression" dxfId="689" priority="457">
      <formula>$D$7&lt;&gt;"Y"</formula>
    </cfRule>
  </conditionalFormatting>
  <conditionalFormatting sqref="D52:BG52">
    <cfRule type="expression" dxfId="688" priority="460">
      <formula>$E$7&lt;&gt;"Y"</formula>
    </cfRule>
  </conditionalFormatting>
  <conditionalFormatting sqref="D53:BG53">
    <cfRule type="expression" dxfId="687" priority="463">
      <formula>$F$7&lt;&gt;"Y"</formula>
    </cfRule>
  </conditionalFormatting>
  <conditionalFormatting sqref="D54:BG54">
    <cfRule type="expression" dxfId="686" priority="466">
      <formula>$G$7&lt;&gt;"Y"</formula>
    </cfRule>
  </conditionalFormatting>
  <conditionalFormatting sqref="D55:BG55">
    <cfRule type="expression" dxfId="685" priority="469">
      <formula>$H$7&lt;&gt;"Y"</formula>
    </cfRule>
  </conditionalFormatting>
  <conditionalFormatting sqref="D56:BG56">
    <cfRule type="expression" dxfId="684" priority="472">
      <formula>$I$7&lt;&gt;"Y"</formula>
    </cfRule>
  </conditionalFormatting>
  <conditionalFormatting sqref="D57:BG57">
    <cfRule type="expression" dxfId="683" priority="475">
      <formula>$J$7&lt;&gt;"Y"</formula>
    </cfRule>
  </conditionalFormatting>
  <conditionalFormatting sqref="D58:BG58">
    <cfRule type="expression" dxfId="682" priority="478">
      <formula>$K$7&lt;&gt;"Y"</formula>
    </cfRule>
  </conditionalFormatting>
  <conditionalFormatting sqref="D59:BG59">
    <cfRule type="expression" dxfId="681" priority="481">
      <formula>$L$7&lt;&gt;"Y"</formula>
    </cfRule>
  </conditionalFormatting>
  <conditionalFormatting sqref="D60:BG60">
    <cfRule type="expression" dxfId="680" priority="484">
      <formula>$M$7&lt;&gt;"Y"</formula>
    </cfRule>
  </conditionalFormatting>
  <conditionalFormatting sqref="D61:BG61">
    <cfRule type="expression" dxfId="679" priority="487">
      <formula>$N$7&lt;&gt;"Y"</formula>
    </cfRule>
  </conditionalFormatting>
  <conditionalFormatting sqref="D62:BG62">
    <cfRule type="expression" dxfId="678" priority="490">
      <formula>$O$7&lt;&gt;"Y"</formula>
    </cfRule>
  </conditionalFormatting>
  <conditionalFormatting sqref="D63:BG63">
    <cfRule type="expression" dxfId="677" priority="493">
      <formula>$B$8&lt;&gt;"Y"</formula>
    </cfRule>
  </conditionalFormatting>
  <conditionalFormatting sqref="D64:BG64">
    <cfRule type="expression" dxfId="676" priority="496">
      <formula>$C$8&lt;&gt;"Y"</formula>
    </cfRule>
  </conditionalFormatting>
  <conditionalFormatting sqref="D65:BG65">
    <cfRule type="expression" dxfId="675" priority="499">
      <formula>$D$8&lt;&gt;"Y"</formula>
    </cfRule>
  </conditionalFormatting>
  <conditionalFormatting sqref="D66:BG66">
    <cfRule type="expression" dxfId="674" priority="502">
      <formula>$E$8&lt;&gt;"Y"</formula>
    </cfRule>
  </conditionalFormatting>
  <conditionalFormatting sqref="D67:BG67">
    <cfRule type="expression" dxfId="673" priority="505">
      <formula>$F$8&lt;&gt;"Y"</formula>
    </cfRule>
  </conditionalFormatting>
  <conditionalFormatting sqref="D68:BG68">
    <cfRule type="expression" dxfId="672" priority="508">
      <formula>$G$8&lt;&gt;"Y"</formula>
    </cfRule>
  </conditionalFormatting>
  <conditionalFormatting sqref="D69:BG69">
    <cfRule type="expression" dxfId="671" priority="511">
      <formula>$H$8&lt;&gt;"Y"</formula>
    </cfRule>
  </conditionalFormatting>
  <conditionalFormatting sqref="D70:BG70">
    <cfRule type="expression" dxfId="670" priority="514">
      <formula>$I$8&lt;&gt;"Y"</formula>
    </cfRule>
  </conditionalFormatting>
  <conditionalFormatting sqref="D71:BG71">
    <cfRule type="expression" dxfId="669" priority="517">
      <formula>$J$8&lt;&gt;"Y"</formula>
    </cfRule>
  </conditionalFormatting>
  <conditionalFormatting sqref="D72:BG72">
    <cfRule type="expression" dxfId="668" priority="520">
      <formula>$K$8&lt;&gt;"Y"</formula>
    </cfRule>
  </conditionalFormatting>
  <conditionalFormatting sqref="D73:BG73">
    <cfRule type="expression" dxfId="667" priority="523">
      <formula>$L$8&lt;&gt;"Y"</formula>
    </cfRule>
  </conditionalFormatting>
  <conditionalFormatting sqref="D74:BG74">
    <cfRule type="expression" dxfId="666" priority="526">
      <formula>$M$8&lt;&gt;"Y"</formula>
    </cfRule>
  </conditionalFormatting>
  <conditionalFormatting sqref="D75:BG75">
    <cfRule type="expression" dxfId="665" priority="529">
      <formula>$N$8&lt;&gt;"Y"</formula>
    </cfRule>
  </conditionalFormatting>
  <conditionalFormatting sqref="D76:BG76">
    <cfRule type="expression" dxfId="664" priority="532">
      <formula>$O$8&lt;&gt;"Y"</formula>
    </cfRule>
  </conditionalFormatting>
  <conditionalFormatting sqref="D77:BG77">
    <cfRule type="expression" dxfId="663" priority="535">
      <formula>$B$9&lt;&gt;"Y"</formula>
    </cfRule>
  </conditionalFormatting>
  <conditionalFormatting sqref="D78:BG78">
    <cfRule type="expression" dxfId="662" priority="538">
      <formula>$C$9&lt;&gt;"Y"</formula>
    </cfRule>
  </conditionalFormatting>
  <conditionalFormatting sqref="D79:BG79">
    <cfRule type="expression" dxfId="661" priority="541">
      <formula>$D$9&lt;&gt;"Y"</formula>
    </cfRule>
  </conditionalFormatting>
  <conditionalFormatting sqref="D80:BG80">
    <cfRule type="expression" dxfId="660" priority="544">
      <formula>$E$9&lt;&gt;"Y"</formula>
    </cfRule>
  </conditionalFormatting>
  <conditionalFormatting sqref="D81:BG81">
    <cfRule type="expression" dxfId="659" priority="547">
      <formula>$F$9&lt;&gt;"Y"</formula>
    </cfRule>
  </conditionalFormatting>
  <conditionalFormatting sqref="D82:BG82">
    <cfRule type="expression" dxfId="658" priority="550">
      <formula>$G$9&lt;&gt;"Y"</formula>
    </cfRule>
  </conditionalFormatting>
  <conditionalFormatting sqref="D83:BG83">
    <cfRule type="expression" dxfId="657" priority="553">
      <formula>$H$9&lt;&gt;"Y"</formula>
    </cfRule>
  </conditionalFormatting>
  <conditionalFormatting sqref="D84:BG84">
    <cfRule type="expression" dxfId="656" priority="556">
      <formula>$I$9&lt;&gt;"Y"</formula>
    </cfRule>
  </conditionalFormatting>
  <conditionalFormatting sqref="D85:BG85">
    <cfRule type="expression" dxfId="655" priority="559">
      <formula>$J$9&lt;&gt;"Y"</formula>
    </cfRule>
  </conditionalFormatting>
  <conditionalFormatting sqref="D86:BG86">
    <cfRule type="expression" dxfId="654" priority="562">
      <formula>$K$9&lt;&gt;"Y"</formula>
    </cfRule>
  </conditionalFormatting>
  <conditionalFormatting sqref="D87:BG87">
    <cfRule type="expression" dxfId="653" priority="565">
      <formula>$L$9&lt;&gt;"Y"</formula>
    </cfRule>
  </conditionalFormatting>
  <conditionalFormatting sqref="D88:BG88">
    <cfRule type="expression" dxfId="652" priority="568">
      <formula>$M$9&lt;&gt;"Y"</formula>
    </cfRule>
  </conditionalFormatting>
  <conditionalFormatting sqref="D89:BG89">
    <cfRule type="expression" dxfId="651" priority="571">
      <formula>$N$9&lt;&gt;"Y"</formula>
    </cfRule>
  </conditionalFormatting>
  <conditionalFormatting sqref="D90:BG90">
    <cfRule type="expression" dxfId="650" priority="574">
      <formula>$O$9&lt;&gt;"Y"</formula>
    </cfRule>
  </conditionalFormatting>
  <conditionalFormatting sqref="D91:BG91">
    <cfRule type="expression" dxfId="649" priority="577">
      <formula>$B$10&lt;&gt;"Y"</formula>
    </cfRule>
  </conditionalFormatting>
  <conditionalFormatting sqref="D92:BG92">
    <cfRule type="expression" dxfId="648" priority="580">
      <formula>$C$10&lt;&gt;"Y"</formula>
    </cfRule>
  </conditionalFormatting>
  <conditionalFormatting sqref="D93:BG93">
    <cfRule type="expression" dxfId="647" priority="583">
      <formula>$D$10&lt;&gt;"Y"</formula>
    </cfRule>
  </conditionalFormatting>
  <conditionalFormatting sqref="D94:BG94">
    <cfRule type="expression" dxfId="646" priority="586">
      <formula>$E$10&lt;&gt;"Y"</formula>
    </cfRule>
  </conditionalFormatting>
  <conditionalFormatting sqref="D95:BG95">
    <cfRule type="expression" dxfId="645" priority="589">
      <formula>$F$10&lt;&gt;"Y"</formula>
    </cfRule>
  </conditionalFormatting>
  <conditionalFormatting sqref="D96:BG96">
    <cfRule type="expression" dxfId="644" priority="592">
      <formula>$G$10&lt;&gt;"Y"</formula>
    </cfRule>
  </conditionalFormatting>
  <conditionalFormatting sqref="D97:BG97">
    <cfRule type="expression" dxfId="643" priority="595">
      <formula>$H$10&lt;&gt;"Y"</formula>
    </cfRule>
  </conditionalFormatting>
  <conditionalFormatting sqref="D98:BG98">
    <cfRule type="expression" dxfId="642" priority="598">
      <formula>$I$10&lt;&gt;"Y"</formula>
    </cfRule>
  </conditionalFormatting>
  <conditionalFormatting sqref="D99:BG99">
    <cfRule type="expression" dxfId="641" priority="601">
      <formula>$J$10&lt;&gt;"Y"</formula>
    </cfRule>
  </conditionalFormatting>
  <conditionalFormatting sqref="D100:BG100">
    <cfRule type="expression" dxfId="640" priority="604">
      <formula>$K$10&lt;&gt;"Y"</formula>
    </cfRule>
  </conditionalFormatting>
  <conditionalFormatting sqref="D101:BG101">
    <cfRule type="expression" dxfId="639" priority="607">
      <formula>$L$10&lt;&gt;"Y"</formula>
    </cfRule>
  </conditionalFormatting>
  <conditionalFormatting sqref="D102:BG102">
    <cfRule type="expression" dxfId="638" priority="610">
      <formula>$M$10&lt;&gt;"Y"</formula>
    </cfRule>
  </conditionalFormatting>
  <conditionalFormatting sqref="D103:BG103">
    <cfRule type="expression" dxfId="637" priority="613">
      <formula>$N$10&lt;&gt;"Y"</formula>
    </cfRule>
  </conditionalFormatting>
  <conditionalFormatting sqref="D104:BG104">
    <cfRule type="expression" dxfId="636" priority="616">
      <formula>$O$10&lt;&gt;"Y"</formula>
    </cfRule>
  </conditionalFormatting>
  <conditionalFormatting sqref="D105:BG105">
    <cfRule type="expression" dxfId="635" priority="619">
      <formula>$B$11&lt;&gt;"Y"</formula>
    </cfRule>
  </conditionalFormatting>
  <conditionalFormatting sqref="D106:BG106">
    <cfRule type="expression" dxfId="634" priority="622">
      <formula>$C$11&lt;&gt;"Y"</formula>
    </cfRule>
  </conditionalFormatting>
  <conditionalFormatting sqref="D107:BG107">
    <cfRule type="expression" dxfId="633" priority="625">
      <formula>$D$11&lt;&gt;"Y"</formula>
    </cfRule>
  </conditionalFormatting>
  <conditionalFormatting sqref="D108:BG108">
    <cfRule type="expression" dxfId="632" priority="628">
      <formula>$E$11&lt;&gt;"Y"</formula>
    </cfRule>
  </conditionalFormatting>
  <conditionalFormatting sqref="D109:BG109">
    <cfRule type="expression" dxfId="631" priority="631">
      <formula>$F$11&lt;&gt;"Y"</formula>
    </cfRule>
  </conditionalFormatting>
  <conditionalFormatting sqref="D110:BG110">
    <cfRule type="expression" dxfId="630" priority="634">
      <formula>$G$11&lt;&gt;"Y"</formula>
    </cfRule>
  </conditionalFormatting>
  <conditionalFormatting sqref="D111:BG111">
    <cfRule type="expression" dxfId="629" priority="637">
      <formula>$H$11&lt;&gt;"Y"</formula>
    </cfRule>
  </conditionalFormatting>
  <conditionalFormatting sqref="D112:BG112">
    <cfRule type="expression" dxfId="628" priority="640">
      <formula>$I$11&lt;&gt;"Y"</formula>
    </cfRule>
  </conditionalFormatting>
  <conditionalFormatting sqref="D113:BG113">
    <cfRule type="expression" dxfId="627" priority="643">
      <formula>$J$11&lt;&gt;"Y"</formula>
    </cfRule>
  </conditionalFormatting>
  <conditionalFormatting sqref="D114:BG114">
    <cfRule type="expression" dxfId="626" priority="646">
      <formula>$K$11&lt;&gt;"Y"</formula>
    </cfRule>
  </conditionalFormatting>
  <conditionalFormatting sqref="D115:BG115">
    <cfRule type="expression" dxfId="625" priority="649">
      <formula>$L$11&lt;&gt;"Y"</formula>
    </cfRule>
  </conditionalFormatting>
  <conditionalFormatting sqref="D116:BG116">
    <cfRule type="expression" dxfId="624" priority="652">
      <formula>$M$11&lt;&gt;"Y"</formula>
    </cfRule>
  </conditionalFormatting>
  <conditionalFormatting sqref="D117:BG117">
    <cfRule type="expression" dxfId="623" priority="655">
      <formula>$N$11&lt;&gt;"Y"</formula>
    </cfRule>
  </conditionalFormatting>
  <conditionalFormatting sqref="D118:BG118">
    <cfRule type="expression" dxfId="622" priority="658">
      <formula>$O$11&lt;&gt;"Y"</formula>
    </cfRule>
  </conditionalFormatting>
  <conditionalFormatting sqref="D119:BG119">
    <cfRule type="expression" dxfId="621" priority="661">
      <formula>$B$12&lt;&gt;"Y"</formula>
    </cfRule>
  </conditionalFormatting>
  <conditionalFormatting sqref="D120:BG120">
    <cfRule type="expression" dxfId="620" priority="664">
      <formula>$C$12&lt;&gt;"Y"</formula>
    </cfRule>
  </conditionalFormatting>
  <conditionalFormatting sqref="D121:BG121">
    <cfRule type="expression" dxfId="619" priority="667">
      <formula>$D$12&lt;&gt;"Y"</formula>
    </cfRule>
  </conditionalFormatting>
  <conditionalFormatting sqref="D122:BG122">
    <cfRule type="expression" dxfId="618" priority="670">
      <formula>$E$12&lt;&gt;"Y"</formula>
    </cfRule>
  </conditionalFormatting>
  <conditionalFormatting sqref="D123:BG123">
    <cfRule type="expression" dxfId="617" priority="673">
      <formula>$F$12&lt;&gt;"Y"</formula>
    </cfRule>
  </conditionalFormatting>
  <conditionalFormatting sqref="D124:BG124">
    <cfRule type="expression" dxfId="616" priority="676">
      <formula>$G$12&lt;&gt;"Y"</formula>
    </cfRule>
  </conditionalFormatting>
  <conditionalFormatting sqref="D125:BG125">
    <cfRule type="expression" dxfId="615" priority="679">
      <formula>$H$12&lt;&gt;"Y"</formula>
    </cfRule>
  </conditionalFormatting>
  <conditionalFormatting sqref="D126:BG126">
    <cfRule type="expression" dxfId="614" priority="682">
      <formula>$I$12&lt;&gt;"Y"</formula>
    </cfRule>
  </conditionalFormatting>
  <conditionalFormatting sqref="D127:BG127">
    <cfRule type="expression" dxfId="613" priority="685">
      <formula>$J$12&lt;&gt;"Y"</formula>
    </cfRule>
  </conditionalFormatting>
  <conditionalFormatting sqref="D128:BG128">
    <cfRule type="expression" dxfId="612" priority="688">
      <formula>$K$12&lt;&gt;"Y"</formula>
    </cfRule>
  </conditionalFormatting>
  <conditionalFormatting sqref="D129:BG129">
    <cfRule type="expression" dxfId="611" priority="691">
      <formula>$L$12&lt;&gt;"Y"</formula>
    </cfRule>
  </conditionalFormatting>
  <conditionalFormatting sqref="D130:BG130">
    <cfRule type="expression" dxfId="610" priority="694">
      <formula>$M$12&lt;&gt;"Y"</formula>
    </cfRule>
  </conditionalFormatting>
  <conditionalFormatting sqref="D131:BG131">
    <cfRule type="expression" dxfId="609" priority="697">
      <formula>$N$12&lt;&gt;"Y"</formula>
    </cfRule>
  </conditionalFormatting>
  <conditionalFormatting sqref="D132:BG132">
    <cfRule type="expression" dxfId="608" priority="700">
      <formula>$O$12&lt;&gt;"Y"</formula>
    </cfRule>
  </conditionalFormatting>
  <conditionalFormatting sqref="D133:BG133">
    <cfRule type="expression" dxfId="607" priority="703">
      <formula>$B$13&lt;&gt;"Y"</formula>
    </cfRule>
  </conditionalFormatting>
  <conditionalFormatting sqref="D134:BG134">
    <cfRule type="expression" dxfId="606" priority="706">
      <formula>$C$13&lt;&gt;"Y"</formula>
    </cfRule>
  </conditionalFormatting>
  <conditionalFormatting sqref="D135:BG135">
    <cfRule type="expression" dxfId="605" priority="709">
      <formula>$D$13&lt;&gt;"Y"</formula>
    </cfRule>
  </conditionalFormatting>
  <conditionalFormatting sqref="D136:BG136">
    <cfRule type="expression" dxfId="604" priority="712">
      <formula>$E$13&lt;&gt;"Y"</formula>
    </cfRule>
  </conditionalFormatting>
  <conditionalFormatting sqref="D137:BG137">
    <cfRule type="expression" dxfId="603" priority="715">
      <formula>$F$13&lt;&gt;"Y"</formula>
    </cfRule>
  </conditionalFormatting>
  <conditionalFormatting sqref="D138:BG138">
    <cfRule type="expression" dxfId="602" priority="718">
      <formula>$G$13&lt;&gt;"Y"</formula>
    </cfRule>
  </conditionalFormatting>
  <conditionalFormatting sqref="D139:BG139">
    <cfRule type="expression" dxfId="601" priority="721">
      <formula>$H$13&lt;&gt;"Y"</formula>
    </cfRule>
  </conditionalFormatting>
  <conditionalFormatting sqref="D140:BG140">
    <cfRule type="expression" dxfId="600" priority="724">
      <formula>$I$13&lt;&gt;"Y"</formula>
    </cfRule>
  </conditionalFormatting>
  <conditionalFormatting sqref="D141:BG141">
    <cfRule type="expression" dxfId="599" priority="727">
      <formula>$J$13&lt;&gt;"Y"</formula>
    </cfRule>
  </conditionalFormatting>
  <conditionalFormatting sqref="D142:BG142">
    <cfRule type="expression" dxfId="598" priority="730">
      <formula>$K$13&lt;&gt;"Y"</formula>
    </cfRule>
  </conditionalFormatting>
  <conditionalFormatting sqref="D143:BG143">
    <cfRule type="expression" dxfId="597" priority="733">
      <formula>$L$13&lt;&gt;"Y"</formula>
    </cfRule>
  </conditionalFormatting>
  <conditionalFormatting sqref="D144:BG144">
    <cfRule type="expression" dxfId="596" priority="736">
      <formula>$M$13&lt;&gt;"Y"</formula>
    </cfRule>
  </conditionalFormatting>
  <conditionalFormatting sqref="D145:BG145">
    <cfRule type="expression" dxfId="595" priority="739">
      <formula>$N$13&lt;&gt;"Y"</formula>
    </cfRule>
  </conditionalFormatting>
  <conditionalFormatting sqref="D146:BG146">
    <cfRule type="expression" dxfId="594" priority="742">
      <formula>$O$13&lt;&gt;"Y"</formula>
    </cfRule>
  </conditionalFormatting>
  <conditionalFormatting sqref="D147:BG147">
    <cfRule type="expression" dxfId="593" priority="745">
      <formula>$B$14&lt;&gt;"Y"</formula>
    </cfRule>
  </conditionalFormatting>
  <conditionalFormatting sqref="D148:BG148">
    <cfRule type="expression" dxfId="592" priority="748">
      <formula>$C$14&lt;&gt;"Y"</formula>
    </cfRule>
  </conditionalFormatting>
  <conditionalFormatting sqref="D149:BG149">
    <cfRule type="expression" dxfId="591" priority="751">
      <formula>$D$14&lt;&gt;"Y"</formula>
    </cfRule>
  </conditionalFormatting>
  <conditionalFormatting sqref="D150:BG150">
    <cfRule type="expression" dxfId="590" priority="754">
      <formula>$E$14&lt;&gt;"Y"</formula>
    </cfRule>
  </conditionalFormatting>
  <conditionalFormatting sqref="D151:BG151">
    <cfRule type="expression" dxfId="589" priority="757">
      <formula>$F$14&lt;&gt;"Y"</formula>
    </cfRule>
  </conditionalFormatting>
  <conditionalFormatting sqref="D152:BG152">
    <cfRule type="expression" dxfId="588" priority="760">
      <formula>$G$14&lt;&gt;"Y"</formula>
    </cfRule>
  </conditionalFormatting>
  <conditionalFormatting sqref="D153:BG153">
    <cfRule type="expression" dxfId="587" priority="763">
      <formula>$H$14&lt;&gt;"Y"</formula>
    </cfRule>
  </conditionalFormatting>
  <conditionalFormatting sqref="D154:BG154">
    <cfRule type="expression" dxfId="586" priority="766">
      <formula>$I$14&lt;&gt;"Y"</formula>
    </cfRule>
  </conditionalFormatting>
  <conditionalFormatting sqref="D155:BG155">
    <cfRule type="expression" dxfId="585" priority="769">
      <formula>$J$14&lt;&gt;"Y"</formula>
    </cfRule>
  </conditionalFormatting>
  <conditionalFormatting sqref="D156:BG156">
    <cfRule type="expression" dxfId="584" priority="772">
      <formula>$K$14&lt;&gt;"Y"</formula>
    </cfRule>
  </conditionalFormatting>
  <conditionalFormatting sqref="D157:BG157">
    <cfRule type="expression" dxfId="583" priority="775">
      <formula>$L$14&lt;&gt;"Y"</formula>
    </cfRule>
  </conditionalFormatting>
  <conditionalFormatting sqref="D158:BG158">
    <cfRule type="expression" dxfId="582" priority="778">
      <formula>$M$14&lt;&gt;"Y"</formula>
    </cfRule>
  </conditionalFormatting>
  <conditionalFormatting sqref="D159:BG159">
    <cfRule type="expression" dxfId="581" priority="781">
      <formula>$N$14&lt;&gt;"Y"</formula>
    </cfRule>
  </conditionalFormatting>
  <conditionalFormatting sqref="D160:BG160">
    <cfRule type="expression" dxfId="580" priority="784">
      <formula>$O$14&lt;&gt;"Y"</formula>
    </cfRule>
  </conditionalFormatting>
  <conditionalFormatting sqref="D161:BG161">
    <cfRule type="expression" dxfId="579" priority="787">
      <formula>$B$15&lt;&gt;"Y"</formula>
    </cfRule>
  </conditionalFormatting>
  <conditionalFormatting sqref="D162:BG162">
    <cfRule type="expression" dxfId="578" priority="790">
      <formula>$C$15&lt;&gt;"Y"</formula>
    </cfRule>
  </conditionalFormatting>
  <conditionalFormatting sqref="D163:BG163">
    <cfRule type="expression" dxfId="577" priority="793">
      <formula>$D$15&lt;&gt;"Y"</formula>
    </cfRule>
  </conditionalFormatting>
  <conditionalFormatting sqref="D164:BG164">
    <cfRule type="expression" dxfId="576" priority="796">
      <formula>$E$15&lt;&gt;"Y"</formula>
    </cfRule>
  </conditionalFormatting>
  <conditionalFormatting sqref="D165:BG165">
    <cfRule type="expression" dxfId="575" priority="799">
      <formula>$F$15&lt;&gt;"Y"</formula>
    </cfRule>
  </conditionalFormatting>
  <conditionalFormatting sqref="D166:BG166">
    <cfRule type="expression" dxfId="574" priority="802">
      <formula>$G$15&lt;&gt;"Y"</formula>
    </cfRule>
  </conditionalFormatting>
  <conditionalFormatting sqref="D167:BG167">
    <cfRule type="expression" dxfId="573" priority="805">
      <formula>$H$15&lt;&gt;"Y"</formula>
    </cfRule>
  </conditionalFormatting>
  <conditionalFormatting sqref="D168:BG168">
    <cfRule type="expression" dxfId="572" priority="808">
      <formula>$I$15&lt;&gt;"Y"</formula>
    </cfRule>
  </conditionalFormatting>
  <conditionalFormatting sqref="D169:BG169">
    <cfRule type="expression" dxfId="571" priority="811">
      <formula>$J$15&lt;&gt;"Y"</formula>
    </cfRule>
  </conditionalFormatting>
  <conditionalFormatting sqref="D170:BG170">
    <cfRule type="expression" dxfId="570" priority="814">
      <formula>$K$15&lt;&gt;"Y"</formula>
    </cfRule>
  </conditionalFormatting>
  <conditionalFormatting sqref="D171:BG171">
    <cfRule type="expression" dxfId="569" priority="817">
      <formula>$L$15&lt;&gt;"Y"</formula>
    </cfRule>
  </conditionalFormatting>
  <conditionalFormatting sqref="D172:BG172">
    <cfRule type="expression" dxfId="568" priority="820">
      <formula>$M$15&lt;&gt;"Y"</formula>
    </cfRule>
  </conditionalFormatting>
  <conditionalFormatting sqref="D173:BG173">
    <cfRule type="expression" dxfId="567" priority="823">
      <formula>$N$15&lt;&gt;"Y"</formula>
    </cfRule>
  </conditionalFormatting>
  <conditionalFormatting sqref="D174:BG174">
    <cfRule type="expression" dxfId="566" priority="826">
      <formula>$O$15&lt;&gt;"Y"</formula>
    </cfRule>
  </conditionalFormatting>
  <conditionalFormatting sqref="D175:BG175">
    <cfRule type="expression" dxfId="565" priority="829">
      <formula>$B$16&lt;&gt;"Y"</formula>
    </cfRule>
  </conditionalFormatting>
  <conditionalFormatting sqref="D176:BG176">
    <cfRule type="expression" dxfId="564" priority="832">
      <formula>$C$16&lt;&gt;"Y"</formula>
    </cfRule>
  </conditionalFormatting>
  <conditionalFormatting sqref="D177:BG177">
    <cfRule type="expression" dxfId="563" priority="835">
      <formula>$D$16&lt;&gt;"Y"</formula>
    </cfRule>
  </conditionalFormatting>
  <conditionalFormatting sqref="D178:BG178">
    <cfRule type="expression" dxfId="562" priority="838">
      <formula>$E$16&lt;&gt;"Y"</formula>
    </cfRule>
  </conditionalFormatting>
  <conditionalFormatting sqref="D179:BG179">
    <cfRule type="expression" dxfId="561" priority="841">
      <formula>$F$16&lt;&gt;"Y"</formula>
    </cfRule>
  </conditionalFormatting>
  <conditionalFormatting sqref="D180:BG180">
    <cfRule type="expression" dxfId="560" priority="844">
      <formula>$G$16&lt;&gt;"Y"</formula>
    </cfRule>
  </conditionalFormatting>
  <conditionalFormatting sqref="D181:BG181">
    <cfRule type="expression" dxfId="559" priority="847">
      <formula>$H$16&lt;&gt;"Y"</formula>
    </cfRule>
  </conditionalFormatting>
  <conditionalFormatting sqref="D182:BG182">
    <cfRule type="expression" dxfId="558" priority="850">
      <formula>$I$16&lt;&gt;"Y"</formula>
    </cfRule>
  </conditionalFormatting>
  <conditionalFormatting sqref="D183:BG183">
    <cfRule type="expression" dxfId="557" priority="853">
      <formula>$J$16&lt;&gt;"Y"</formula>
    </cfRule>
  </conditionalFormatting>
  <conditionalFormatting sqref="D184:BG184">
    <cfRule type="expression" dxfId="556" priority="856">
      <formula>$K$16&lt;&gt;"Y"</formula>
    </cfRule>
  </conditionalFormatting>
  <conditionalFormatting sqref="D185:BG185">
    <cfRule type="expression" dxfId="555" priority="859">
      <formula>$L$16&lt;&gt;"Y"</formula>
    </cfRule>
  </conditionalFormatting>
  <conditionalFormatting sqref="D186:BG186">
    <cfRule type="expression" dxfId="554" priority="862">
      <formula>$M$16&lt;&gt;"Y"</formula>
    </cfRule>
  </conditionalFormatting>
  <conditionalFormatting sqref="D187:BG187">
    <cfRule type="expression" dxfId="553" priority="865">
      <formula>$N$16&lt;&gt;"Y"</formula>
    </cfRule>
  </conditionalFormatting>
  <conditionalFormatting sqref="D188:BG188">
    <cfRule type="expression" dxfId="552" priority="868">
      <formula>$O$16&lt;&gt;"Y"</formula>
    </cfRule>
  </conditionalFormatting>
  <conditionalFormatting sqref="D189:BG189">
    <cfRule type="expression" dxfId="551" priority="871">
      <formula>$B$17&lt;&gt;"Y"</formula>
    </cfRule>
  </conditionalFormatting>
  <conditionalFormatting sqref="D190:BG190">
    <cfRule type="expression" dxfId="550" priority="874">
      <formula>$C$17&lt;&gt;"Y"</formula>
    </cfRule>
  </conditionalFormatting>
  <conditionalFormatting sqref="D191:BG191">
    <cfRule type="expression" dxfId="549" priority="877">
      <formula>$D$17&lt;&gt;"Y"</formula>
    </cfRule>
  </conditionalFormatting>
  <conditionalFormatting sqref="D192:BG192">
    <cfRule type="expression" dxfId="548" priority="880">
      <formula>$E$17&lt;&gt;"Y"</formula>
    </cfRule>
  </conditionalFormatting>
  <conditionalFormatting sqref="D193:BG193">
    <cfRule type="expression" dxfId="547" priority="883">
      <formula>$F$17&lt;&gt;"Y"</formula>
    </cfRule>
  </conditionalFormatting>
  <conditionalFormatting sqref="D194:BG194">
    <cfRule type="expression" dxfId="546" priority="886">
      <formula>$G$17&lt;&gt;"Y"</formula>
    </cfRule>
  </conditionalFormatting>
  <conditionalFormatting sqref="D195:BG195">
    <cfRule type="expression" dxfId="545" priority="889">
      <formula>$H$17&lt;&gt;"Y"</formula>
    </cfRule>
  </conditionalFormatting>
  <conditionalFormatting sqref="D196:BG196">
    <cfRule type="expression" dxfId="544" priority="892">
      <formula>$I$17&lt;&gt;"Y"</formula>
    </cfRule>
  </conditionalFormatting>
  <conditionalFormatting sqref="D197:BG197">
    <cfRule type="expression" dxfId="543" priority="895">
      <formula>$J$17&lt;&gt;"Y"</formula>
    </cfRule>
  </conditionalFormatting>
  <conditionalFormatting sqref="D198:BG198">
    <cfRule type="expression" dxfId="542" priority="898">
      <formula>$K$17&lt;&gt;"Y"</formula>
    </cfRule>
  </conditionalFormatting>
  <conditionalFormatting sqref="D199:BG199">
    <cfRule type="expression" dxfId="541" priority="901">
      <formula>$L$17&lt;&gt;"Y"</formula>
    </cfRule>
  </conditionalFormatting>
  <conditionalFormatting sqref="D200:BG200">
    <cfRule type="expression" dxfId="540" priority="904">
      <formula>$M$17&lt;&gt;"Y"</formula>
    </cfRule>
  </conditionalFormatting>
  <conditionalFormatting sqref="D201:BG201">
    <cfRule type="expression" dxfId="539" priority="907">
      <formula>$N$17&lt;&gt;"Y"</formula>
    </cfRule>
  </conditionalFormatting>
  <conditionalFormatting sqref="D202:BG202">
    <cfRule type="expression" dxfId="538" priority="910">
      <formula>$O$17&lt;&gt;"Y"</formula>
    </cfRule>
  </conditionalFormatting>
  <conditionalFormatting sqref="D203:BG203">
    <cfRule type="expression" dxfId="537" priority="913">
      <formula>$B$18&lt;&gt;"Y"</formula>
    </cfRule>
  </conditionalFormatting>
  <conditionalFormatting sqref="D204:BG204">
    <cfRule type="expression" dxfId="536" priority="916">
      <formula>$C$18&lt;&gt;"Y"</formula>
    </cfRule>
  </conditionalFormatting>
  <conditionalFormatting sqref="D205:BG205">
    <cfRule type="expression" dxfId="535" priority="919">
      <formula>$D$18&lt;&gt;"Y"</formula>
    </cfRule>
  </conditionalFormatting>
  <conditionalFormatting sqref="D206:BG206">
    <cfRule type="expression" dxfId="534" priority="922">
      <formula>$E$18&lt;&gt;"Y"</formula>
    </cfRule>
  </conditionalFormatting>
  <conditionalFormatting sqref="D207:BG207">
    <cfRule type="expression" dxfId="533" priority="925">
      <formula>$F$18&lt;&gt;"Y"</formula>
    </cfRule>
  </conditionalFormatting>
  <conditionalFormatting sqref="D208:BG208">
    <cfRule type="expression" dxfId="532" priority="928">
      <formula>$G$18&lt;&gt;"Y"</formula>
    </cfRule>
  </conditionalFormatting>
  <conditionalFormatting sqref="D209:BG209">
    <cfRule type="expression" dxfId="531" priority="931">
      <formula>$H$18&lt;&gt;"Y"</formula>
    </cfRule>
  </conditionalFormatting>
  <conditionalFormatting sqref="D210:BG210">
    <cfRule type="expression" dxfId="530" priority="934">
      <formula>$I$18&lt;&gt;"Y"</formula>
    </cfRule>
  </conditionalFormatting>
  <conditionalFormatting sqref="D211:BG211">
    <cfRule type="expression" dxfId="529" priority="937">
      <formula>$J$18&lt;&gt;"Y"</formula>
    </cfRule>
  </conditionalFormatting>
  <conditionalFormatting sqref="D212:BG212">
    <cfRule type="expression" dxfId="528" priority="940">
      <formula>$K$18&lt;&gt;"Y"</formula>
    </cfRule>
  </conditionalFormatting>
  <conditionalFormatting sqref="D213:BG213">
    <cfRule type="expression" dxfId="527" priority="943">
      <formula>$L$18&lt;&gt;"Y"</formula>
    </cfRule>
  </conditionalFormatting>
  <conditionalFormatting sqref="D214:BG214">
    <cfRule type="expression" dxfId="526" priority="946">
      <formula>$M$18&lt;&gt;"Y"</formula>
    </cfRule>
  </conditionalFormatting>
  <conditionalFormatting sqref="D215:BG215">
    <cfRule type="expression" dxfId="525" priority="949">
      <formula>$N$18&lt;&gt;"Y"</formula>
    </cfRule>
  </conditionalFormatting>
  <conditionalFormatting sqref="D216:BG216">
    <cfRule type="expression" dxfId="524" priority="952">
      <formula>$O$18&lt;&gt;"Y"</formula>
    </cfRule>
  </conditionalFormatting>
  <conditionalFormatting sqref="D238:BG238">
    <cfRule type="expression" dxfId="523" priority="1319">
      <formula>$B$222&lt;&gt;"Y"</formula>
    </cfRule>
  </conditionalFormatting>
  <conditionalFormatting sqref="D239:BG239">
    <cfRule type="expression" dxfId="522" priority="1322">
      <formula>$C$222&lt;&gt;"Y"</formula>
    </cfRule>
  </conditionalFormatting>
  <conditionalFormatting sqref="D240:BG240">
    <cfRule type="expression" dxfId="521" priority="1325">
      <formula>$D$222&lt;&gt;"Y"</formula>
    </cfRule>
  </conditionalFormatting>
  <conditionalFormatting sqref="D241:BG241">
    <cfRule type="expression" dxfId="520" priority="1328">
      <formula>$E$222&lt;&gt;"Y"</formula>
    </cfRule>
  </conditionalFormatting>
  <conditionalFormatting sqref="D242:BG242">
    <cfRule type="expression" dxfId="519" priority="1331">
      <formula>$F$222&lt;&gt;"Y"</formula>
    </cfRule>
  </conditionalFormatting>
  <conditionalFormatting sqref="D243:BG243">
    <cfRule type="expression" dxfId="518" priority="1334">
      <formula>$G$222&lt;&gt;"Y"</formula>
    </cfRule>
  </conditionalFormatting>
  <conditionalFormatting sqref="D244:BG244">
    <cfRule type="expression" dxfId="517" priority="1337">
      <formula>$H$222&lt;&gt;"Y"</formula>
    </cfRule>
  </conditionalFormatting>
  <conditionalFormatting sqref="D245:BG245">
    <cfRule type="expression" dxfId="516" priority="1340">
      <formula>$I$222&lt;&gt;"Y"</formula>
    </cfRule>
  </conditionalFormatting>
  <conditionalFormatting sqref="D246:BG246">
    <cfRule type="expression" dxfId="515" priority="1343">
      <formula>$J$222&lt;&gt;"Y"</formula>
    </cfRule>
  </conditionalFormatting>
  <conditionalFormatting sqref="D247:BG247">
    <cfRule type="expression" dxfId="514" priority="1346">
      <formula>$K$222&lt;&gt;"Y"</formula>
    </cfRule>
  </conditionalFormatting>
  <conditionalFormatting sqref="D248:BG248">
    <cfRule type="expression" dxfId="513" priority="1349">
      <formula>$L$222&lt;&gt;"Y"</formula>
    </cfRule>
  </conditionalFormatting>
  <conditionalFormatting sqref="D249:BG249">
    <cfRule type="expression" dxfId="512" priority="1352">
      <formula>$M$222&lt;&gt;"Y"</formula>
    </cfRule>
  </conditionalFormatting>
  <conditionalFormatting sqref="D250:BG250">
    <cfRule type="expression" dxfId="511" priority="1355">
      <formula>$N$222&lt;&gt;"Y"</formula>
    </cfRule>
  </conditionalFormatting>
  <conditionalFormatting sqref="D251:BG251">
    <cfRule type="expression" dxfId="510" priority="1358">
      <formula>$O$222&lt;&gt;"Y"</formula>
    </cfRule>
  </conditionalFormatting>
  <conditionalFormatting sqref="D252:BG252">
    <cfRule type="expression" dxfId="509" priority="1361">
      <formula>$B$223&lt;&gt;"Y"</formula>
    </cfRule>
  </conditionalFormatting>
  <conditionalFormatting sqref="D253:BG253">
    <cfRule type="expression" dxfId="508" priority="1364">
      <formula>$C$223&lt;&gt;"Y"</formula>
    </cfRule>
  </conditionalFormatting>
  <conditionalFormatting sqref="D254:BG254">
    <cfRule type="expression" dxfId="507" priority="1367">
      <formula>$D$223&lt;&gt;"Y"</formula>
    </cfRule>
  </conditionalFormatting>
  <conditionalFormatting sqref="D255:BG255">
    <cfRule type="expression" dxfId="506" priority="1370">
      <formula>$E$223&lt;&gt;"Y"</formula>
    </cfRule>
  </conditionalFormatting>
  <conditionalFormatting sqref="D256:BG256">
    <cfRule type="expression" dxfId="505" priority="1373">
      <formula>$F$223&lt;&gt;"Y"</formula>
    </cfRule>
  </conditionalFormatting>
  <conditionalFormatting sqref="D257:BG257">
    <cfRule type="expression" dxfId="504" priority="1376">
      <formula>$G$223&lt;&gt;"Y"</formula>
    </cfRule>
  </conditionalFormatting>
  <conditionalFormatting sqref="D258:BG258">
    <cfRule type="expression" dxfId="503" priority="1379">
      <formula>$H$223&lt;&gt;"Y"</formula>
    </cfRule>
  </conditionalFormatting>
  <conditionalFormatting sqref="D259:BG259">
    <cfRule type="expression" dxfId="502" priority="1382">
      <formula>$I$223&lt;&gt;"Y"</formula>
    </cfRule>
  </conditionalFormatting>
  <conditionalFormatting sqref="D260:BG260">
    <cfRule type="expression" dxfId="501" priority="1385">
      <formula>$J$223&lt;&gt;"Y"</formula>
    </cfRule>
  </conditionalFormatting>
  <conditionalFormatting sqref="D261:BG261">
    <cfRule type="expression" dxfId="500" priority="1388">
      <formula>$K$223&lt;&gt;"Y"</formula>
    </cfRule>
  </conditionalFormatting>
  <conditionalFormatting sqref="D262:BG262">
    <cfRule type="expression" dxfId="499" priority="1391">
      <formula>$L$223&lt;&gt;"Y"</formula>
    </cfRule>
  </conditionalFormatting>
  <conditionalFormatting sqref="D263:BG263">
    <cfRule type="expression" dxfId="498" priority="1394">
      <formula>$M$223&lt;&gt;"Y"</formula>
    </cfRule>
  </conditionalFormatting>
  <conditionalFormatting sqref="D264:BG264">
    <cfRule type="expression" dxfId="497" priority="1397">
      <formula>$N$223&lt;&gt;"Y"</formula>
    </cfRule>
  </conditionalFormatting>
  <conditionalFormatting sqref="D265:BG265">
    <cfRule type="expression" dxfId="496" priority="1400">
      <formula>$O$223&lt;&gt;"Y"</formula>
    </cfRule>
  </conditionalFormatting>
  <conditionalFormatting sqref="D266:BG266">
    <cfRule type="expression" dxfId="495" priority="1403">
      <formula>$B$224&lt;&gt;"Y"</formula>
    </cfRule>
  </conditionalFormatting>
  <conditionalFormatting sqref="D267:BG267">
    <cfRule type="expression" dxfId="494" priority="1406">
      <formula>$C$224&lt;&gt;"Y"</formula>
    </cfRule>
  </conditionalFormatting>
  <conditionalFormatting sqref="D268:BG268">
    <cfRule type="expression" dxfId="493" priority="1409">
      <formula>$D$224&lt;&gt;"Y"</formula>
    </cfRule>
  </conditionalFormatting>
  <conditionalFormatting sqref="D269:BG269">
    <cfRule type="expression" dxfId="492" priority="1412">
      <formula>$E$224&lt;&gt;"Y"</formula>
    </cfRule>
  </conditionalFormatting>
  <conditionalFormatting sqref="D270:BG270">
    <cfRule type="expression" dxfId="491" priority="1415">
      <formula>$F$224&lt;&gt;"Y"</formula>
    </cfRule>
  </conditionalFormatting>
  <conditionalFormatting sqref="D271:BG271">
    <cfRule type="expression" dxfId="490" priority="1418">
      <formula>$G$224&lt;&gt;"Y"</formula>
    </cfRule>
  </conditionalFormatting>
  <conditionalFormatting sqref="D272:BG272">
    <cfRule type="expression" dxfId="489" priority="1421">
      <formula>$H$224&lt;&gt;"Y"</formula>
    </cfRule>
  </conditionalFormatting>
  <conditionalFormatting sqref="D273:BG273">
    <cfRule type="expression" dxfId="488" priority="1424">
      <formula>$I$224&lt;&gt;"Y"</formula>
    </cfRule>
  </conditionalFormatting>
  <conditionalFormatting sqref="D274:BG274">
    <cfRule type="expression" dxfId="487" priority="1427">
      <formula>$J$224&lt;&gt;"Y"</formula>
    </cfRule>
  </conditionalFormatting>
  <conditionalFormatting sqref="D275:BG275">
    <cfRule type="expression" dxfId="486" priority="1430">
      <formula>$K$224&lt;&gt;"Y"</formula>
    </cfRule>
  </conditionalFormatting>
  <conditionalFormatting sqref="D276:BG276">
    <cfRule type="expression" dxfId="485" priority="1433">
      <formula>$L$224&lt;&gt;"Y"</formula>
    </cfRule>
  </conditionalFormatting>
  <conditionalFormatting sqref="D277:BG277">
    <cfRule type="expression" dxfId="484" priority="1436">
      <formula>$M$224&lt;&gt;"Y"</formula>
    </cfRule>
  </conditionalFormatting>
  <conditionalFormatting sqref="D278:BG278">
    <cfRule type="expression" dxfId="483" priority="1439">
      <formula>$N$224&lt;&gt;"Y"</formula>
    </cfRule>
  </conditionalFormatting>
  <conditionalFormatting sqref="D279:BG279">
    <cfRule type="expression" dxfId="482" priority="1442">
      <formula>$O$224&lt;&gt;"Y"</formula>
    </cfRule>
  </conditionalFormatting>
  <conditionalFormatting sqref="D280:BG280">
    <cfRule type="expression" dxfId="481" priority="1445">
      <formula>$B$225&lt;&gt;"Y"</formula>
    </cfRule>
  </conditionalFormatting>
  <conditionalFormatting sqref="D281:BG281">
    <cfRule type="expression" dxfId="480" priority="1448">
      <formula>$C$225&lt;&gt;"Y"</formula>
    </cfRule>
  </conditionalFormatting>
  <conditionalFormatting sqref="D282:BG282">
    <cfRule type="expression" dxfId="479" priority="1451">
      <formula>$D$225&lt;&gt;"Y"</formula>
    </cfRule>
  </conditionalFormatting>
  <conditionalFormatting sqref="D283:BG283">
    <cfRule type="expression" dxfId="478" priority="1454">
      <formula>$E$225&lt;&gt;"Y"</formula>
    </cfRule>
  </conditionalFormatting>
  <conditionalFormatting sqref="D284:BG284">
    <cfRule type="expression" dxfId="477" priority="1457">
      <formula>$F$225&lt;&gt;"Y"</formula>
    </cfRule>
  </conditionalFormatting>
  <conditionalFormatting sqref="D285:BG285">
    <cfRule type="expression" dxfId="476" priority="1460">
      <formula>$G$225&lt;&gt;"Y"</formula>
    </cfRule>
  </conditionalFormatting>
  <conditionalFormatting sqref="D286:BG286">
    <cfRule type="expression" dxfId="475" priority="1463">
      <formula>$H$225&lt;&gt;"Y"</formula>
    </cfRule>
  </conditionalFormatting>
  <conditionalFormatting sqref="D287:BG287">
    <cfRule type="expression" dxfId="474" priority="1466">
      <formula>$I$225&lt;&gt;"Y"</formula>
    </cfRule>
  </conditionalFormatting>
  <conditionalFormatting sqref="D288:BG288">
    <cfRule type="expression" dxfId="473" priority="1469">
      <formula>$J$225&lt;&gt;"Y"</formula>
    </cfRule>
  </conditionalFormatting>
  <conditionalFormatting sqref="D289:BG289">
    <cfRule type="expression" dxfId="472" priority="1472">
      <formula>$K$225&lt;&gt;"Y"</formula>
    </cfRule>
  </conditionalFormatting>
  <conditionalFormatting sqref="D290:BG290">
    <cfRule type="expression" dxfId="471" priority="1475">
      <formula>$L$225&lt;&gt;"Y"</formula>
    </cfRule>
  </conditionalFormatting>
  <conditionalFormatting sqref="D291:BG291">
    <cfRule type="expression" dxfId="470" priority="1478">
      <formula>$M$225&lt;&gt;"Y"</formula>
    </cfRule>
  </conditionalFormatting>
  <conditionalFormatting sqref="D292:BG292">
    <cfRule type="expression" dxfId="469" priority="1481">
      <formula>$N$225&lt;&gt;"Y"</formula>
    </cfRule>
  </conditionalFormatting>
  <conditionalFormatting sqref="D293:BG293">
    <cfRule type="expression" dxfId="468" priority="1484">
      <formula>$O$225&lt;&gt;"Y"</formula>
    </cfRule>
  </conditionalFormatting>
  <conditionalFormatting sqref="D294:BG294">
    <cfRule type="expression" dxfId="467" priority="1487">
      <formula>$B$226&lt;&gt;"Y"</formula>
    </cfRule>
  </conditionalFormatting>
  <conditionalFormatting sqref="D295:BG295">
    <cfRule type="expression" dxfId="466" priority="1490">
      <formula>$C$226&lt;&gt;"Y"</formula>
    </cfRule>
  </conditionalFormatting>
  <conditionalFormatting sqref="D296:BG296">
    <cfRule type="expression" dxfId="465" priority="1493">
      <formula>$D$226&lt;&gt;"Y"</formula>
    </cfRule>
  </conditionalFormatting>
  <conditionalFormatting sqref="D297:BG297">
    <cfRule type="expression" dxfId="464" priority="1496">
      <formula>$E$226&lt;&gt;"Y"</formula>
    </cfRule>
  </conditionalFormatting>
  <conditionalFormatting sqref="D298:BG298">
    <cfRule type="expression" dxfId="463" priority="1499">
      <formula>$F$226&lt;&gt;"Y"</formula>
    </cfRule>
  </conditionalFormatting>
  <conditionalFormatting sqref="D299:BG299">
    <cfRule type="expression" dxfId="462" priority="1502">
      <formula>$G$226&lt;&gt;"Y"</formula>
    </cfRule>
  </conditionalFormatting>
  <conditionalFormatting sqref="D300:BG300">
    <cfRule type="expression" dxfId="461" priority="1505">
      <formula>$H$226&lt;&gt;"Y"</formula>
    </cfRule>
  </conditionalFormatting>
  <conditionalFormatting sqref="D301:BG301">
    <cfRule type="expression" dxfId="460" priority="1508">
      <formula>$I$226&lt;&gt;"Y"</formula>
    </cfRule>
  </conditionalFormatting>
  <conditionalFormatting sqref="D302:BG302">
    <cfRule type="expression" dxfId="459" priority="1511">
      <formula>$J$226&lt;&gt;"Y"</formula>
    </cfRule>
  </conditionalFormatting>
  <conditionalFormatting sqref="D303:BG303">
    <cfRule type="expression" dxfId="458" priority="1514">
      <formula>$K$226&lt;&gt;"Y"</formula>
    </cfRule>
  </conditionalFormatting>
  <conditionalFormatting sqref="D304:BG304">
    <cfRule type="expression" dxfId="457" priority="1517">
      <formula>$L$226&lt;&gt;"Y"</formula>
    </cfRule>
  </conditionalFormatting>
  <conditionalFormatting sqref="D305:BG305">
    <cfRule type="expression" dxfId="456" priority="1520">
      <formula>$M$226&lt;&gt;"Y"</formula>
    </cfRule>
  </conditionalFormatting>
  <conditionalFormatting sqref="D306:BG306">
    <cfRule type="expression" dxfId="455" priority="1523">
      <formula>$N$226&lt;&gt;"Y"</formula>
    </cfRule>
  </conditionalFormatting>
  <conditionalFormatting sqref="D307:BG307">
    <cfRule type="expression" dxfId="454" priority="1526">
      <formula>$O$226&lt;&gt;"Y"</formula>
    </cfRule>
  </conditionalFormatting>
  <conditionalFormatting sqref="D308:BG308">
    <cfRule type="expression" dxfId="453" priority="1529">
      <formula>$B$227&lt;&gt;"Y"</formula>
    </cfRule>
  </conditionalFormatting>
  <conditionalFormatting sqref="D309:BG309">
    <cfRule type="expression" dxfId="452" priority="1532">
      <formula>$C$227&lt;&gt;"Y"</formula>
    </cfRule>
  </conditionalFormatting>
  <conditionalFormatting sqref="D310:BG310">
    <cfRule type="expression" dxfId="451" priority="1535">
      <formula>$D$227&lt;&gt;"Y"</formula>
    </cfRule>
  </conditionalFormatting>
  <conditionalFormatting sqref="D311:BG311">
    <cfRule type="expression" dxfId="450" priority="1538">
      <formula>$E$227&lt;&gt;"Y"</formula>
    </cfRule>
  </conditionalFormatting>
  <conditionalFormatting sqref="D312:BG312">
    <cfRule type="expression" dxfId="449" priority="1541">
      <formula>$F$227&lt;&gt;"Y"</formula>
    </cfRule>
  </conditionalFormatting>
  <conditionalFormatting sqref="D313:BG313">
    <cfRule type="expression" dxfId="448" priority="1544">
      <formula>$G$227&lt;&gt;"Y"</formula>
    </cfRule>
  </conditionalFormatting>
  <conditionalFormatting sqref="D314:BG314">
    <cfRule type="expression" dxfId="447" priority="1547">
      <formula>$H$227&lt;&gt;"Y"</formula>
    </cfRule>
  </conditionalFormatting>
  <conditionalFormatting sqref="D315:BG315">
    <cfRule type="expression" dxfId="446" priority="1550">
      <formula>$I$227&lt;&gt;"Y"</formula>
    </cfRule>
  </conditionalFormatting>
  <conditionalFormatting sqref="D316:BG316">
    <cfRule type="expression" dxfId="445" priority="1553">
      <formula>$J$227&lt;&gt;"Y"</formula>
    </cfRule>
  </conditionalFormatting>
  <conditionalFormatting sqref="D317:BG317">
    <cfRule type="expression" dxfId="444" priority="1556">
      <formula>$K$227&lt;&gt;"Y"</formula>
    </cfRule>
  </conditionalFormatting>
  <conditionalFormatting sqref="D318:BG318">
    <cfRule type="expression" dxfId="443" priority="1559">
      <formula>$L$227&lt;&gt;"Y"</formula>
    </cfRule>
  </conditionalFormatting>
  <conditionalFormatting sqref="D319:BG319">
    <cfRule type="expression" dxfId="442" priority="1562">
      <formula>$M$227&lt;&gt;"Y"</formula>
    </cfRule>
  </conditionalFormatting>
  <conditionalFormatting sqref="D320:BG320">
    <cfRule type="expression" dxfId="441" priority="1565">
      <formula>$N$227&lt;&gt;"Y"</formula>
    </cfRule>
  </conditionalFormatting>
  <conditionalFormatting sqref="D321:BG321">
    <cfRule type="expression" dxfId="440" priority="1568">
      <formula>$O$227&lt;&gt;"Y"</formula>
    </cfRule>
  </conditionalFormatting>
  <conditionalFormatting sqref="D322:BG322">
    <cfRule type="expression" dxfId="439" priority="1571">
      <formula>$B$228&lt;&gt;"Y"</formula>
    </cfRule>
  </conditionalFormatting>
  <conditionalFormatting sqref="D323:BG323">
    <cfRule type="expression" dxfId="438" priority="1574">
      <formula>$C$228&lt;&gt;"Y"</formula>
    </cfRule>
  </conditionalFormatting>
  <conditionalFormatting sqref="D324:BG324">
    <cfRule type="expression" dxfId="437" priority="1577">
      <formula>$D$228&lt;&gt;"Y"</formula>
    </cfRule>
  </conditionalFormatting>
  <conditionalFormatting sqref="D325:BG325">
    <cfRule type="expression" dxfId="436" priority="1580">
      <formula>$E$228&lt;&gt;"Y"</formula>
    </cfRule>
  </conditionalFormatting>
  <conditionalFormatting sqref="D326:BG326">
    <cfRule type="expression" dxfId="435" priority="1583">
      <formula>$F$228&lt;&gt;"Y"</formula>
    </cfRule>
  </conditionalFormatting>
  <conditionalFormatting sqref="D327:BG327">
    <cfRule type="expression" dxfId="434" priority="1586">
      <formula>$G$228&lt;&gt;"Y"</formula>
    </cfRule>
  </conditionalFormatting>
  <conditionalFormatting sqref="D328:BG328">
    <cfRule type="expression" dxfId="433" priority="1589">
      <formula>$H$228&lt;&gt;"Y"</formula>
    </cfRule>
  </conditionalFormatting>
  <conditionalFormatting sqref="D329:BG329">
    <cfRule type="expression" dxfId="432" priority="1592">
      <formula>$I$228&lt;&gt;"Y"</formula>
    </cfRule>
  </conditionalFormatting>
  <conditionalFormatting sqref="D330:BG330">
    <cfRule type="expression" dxfId="431" priority="1595">
      <formula>$J$228&lt;&gt;"Y"</formula>
    </cfRule>
  </conditionalFormatting>
  <conditionalFormatting sqref="D331:BG331">
    <cfRule type="expression" dxfId="430" priority="1598">
      <formula>$K$228&lt;&gt;"Y"</formula>
    </cfRule>
  </conditionalFormatting>
  <conditionalFormatting sqref="D332:BG332">
    <cfRule type="expression" dxfId="429" priority="1601">
      <formula>$L$228&lt;&gt;"Y"</formula>
    </cfRule>
  </conditionalFormatting>
  <conditionalFormatting sqref="D333:BG333">
    <cfRule type="expression" dxfId="428" priority="1604">
      <formula>$M$228&lt;&gt;"Y"</formula>
    </cfRule>
  </conditionalFormatting>
  <conditionalFormatting sqref="D334:BG334">
    <cfRule type="expression" dxfId="427" priority="1607">
      <formula>$N$228&lt;&gt;"Y"</formula>
    </cfRule>
  </conditionalFormatting>
  <conditionalFormatting sqref="D335:BG335">
    <cfRule type="expression" dxfId="426" priority="1610">
      <formula>$O$228&lt;&gt;"Y"</formula>
    </cfRule>
  </conditionalFormatting>
  <conditionalFormatting sqref="D336:BG336">
    <cfRule type="expression" dxfId="425" priority="1613">
      <formula>$B$229&lt;&gt;"Y"</formula>
    </cfRule>
  </conditionalFormatting>
  <conditionalFormatting sqref="D337:BG337">
    <cfRule type="expression" dxfId="424" priority="1616">
      <formula>$C$229&lt;&gt;"Y"</formula>
    </cfRule>
  </conditionalFormatting>
  <conditionalFormatting sqref="D338:BG338">
    <cfRule type="expression" dxfId="423" priority="1619">
      <formula>$D$229&lt;&gt;"Y"</formula>
    </cfRule>
  </conditionalFormatting>
  <conditionalFormatting sqref="D339:BG339">
    <cfRule type="expression" dxfId="422" priority="1622">
      <formula>$E$229&lt;&gt;"Y"</formula>
    </cfRule>
  </conditionalFormatting>
  <conditionalFormatting sqref="D340:BG340">
    <cfRule type="expression" dxfId="421" priority="1625">
      <formula>$F$229&lt;&gt;"Y"</formula>
    </cfRule>
  </conditionalFormatting>
  <conditionalFormatting sqref="D341:BG341">
    <cfRule type="expression" dxfId="420" priority="1628">
      <formula>$G$229&lt;&gt;"Y"</formula>
    </cfRule>
  </conditionalFormatting>
  <conditionalFormatting sqref="D342:BG342">
    <cfRule type="expression" dxfId="419" priority="1631">
      <formula>$H$229&lt;&gt;"Y"</formula>
    </cfRule>
  </conditionalFormatting>
  <conditionalFormatting sqref="D343:BG343">
    <cfRule type="expression" dxfId="418" priority="1634">
      <formula>$I$229&lt;&gt;"Y"</formula>
    </cfRule>
  </conditionalFormatting>
  <conditionalFormatting sqref="D344:BG344">
    <cfRule type="expression" dxfId="417" priority="1637">
      <formula>$J$229&lt;&gt;"Y"</formula>
    </cfRule>
  </conditionalFormatting>
  <conditionalFormatting sqref="D345:BG345">
    <cfRule type="expression" dxfId="416" priority="1640">
      <formula>$K$229&lt;&gt;"Y"</formula>
    </cfRule>
  </conditionalFormatting>
  <conditionalFormatting sqref="D346:BG346">
    <cfRule type="expression" dxfId="415" priority="1643">
      <formula>$L$229&lt;&gt;"Y"</formula>
    </cfRule>
  </conditionalFormatting>
  <conditionalFormatting sqref="D347:BG347">
    <cfRule type="expression" dxfId="414" priority="1646">
      <formula>$M$229&lt;&gt;"Y"</formula>
    </cfRule>
  </conditionalFormatting>
  <conditionalFormatting sqref="D348:BG348">
    <cfRule type="expression" dxfId="413" priority="1649">
      <formula>$N$229&lt;&gt;"Y"</formula>
    </cfRule>
  </conditionalFormatting>
  <conditionalFormatting sqref="D349:BG349">
    <cfRule type="expression" dxfId="412" priority="1652">
      <formula>$O$229&lt;&gt;"Y"</formula>
    </cfRule>
  </conditionalFormatting>
  <conditionalFormatting sqref="D350:BG350">
    <cfRule type="expression" dxfId="411" priority="1655">
      <formula>$B$230&lt;&gt;"Y"</formula>
    </cfRule>
  </conditionalFormatting>
  <conditionalFormatting sqref="D351:BG351">
    <cfRule type="expression" dxfId="410" priority="1658">
      <formula>$C$230&lt;&gt;"Y"</formula>
    </cfRule>
  </conditionalFormatting>
  <conditionalFormatting sqref="D352:BG352">
    <cfRule type="expression" dxfId="409" priority="1661">
      <formula>$D$230&lt;&gt;"Y"</formula>
    </cfRule>
  </conditionalFormatting>
  <conditionalFormatting sqref="D353:BG353">
    <cfRule type="expression" dxfId="408" priority="1664">
      <formula>$E$230&lt;&gt;"Y"</formula>
    </cfRule>
  </conditionalFormatting>
  <conditionalFormatting sqref="D354:BG354">
    <cfRule type="expression" dxfId="407" priority="1667">
      <formula>$F$230&lt;&gt;"Y"</formula>
    </cfRule>
  </conditionalFormatting>
  <conditionalFormatting sqref="D355:BG355">
    <cfRule type="expression" dxfId="406" priority="1670">
      <formula>$G$230&lt;&gt;"Y"</formula>
    </cfRule>
  </conditionalFormatting>
  <conditionalFormatting sqref="D356:BG356">
    <cfRule type="expression" dxfId="405" priority="1673">
      <formula>$H$230&lt;&gt;"Y"</formula>
    </cfRule>
  </conditionalFormatting>
  <conditionalFormatting sqref="D357:BG357">
    <cfRule type="expression" dxfId="404" priority="1676">
      <formula>$I$230&lt;&gt;"Y"</formula>
    </cfRule>
  </conditionalFormatting>
  <conditionalFormatting sqref="D358:BG358">
    <cfRule type="expression" dxfId="403" priority="1679">
      <formula>$J$230&lt;&gt;"Y"</formula>
    </cfRule>
  </conditionalFormatting>
  <conditionalFormatting sqref="D359:BG359">
    <cfRule type="expression" dxfId="402" priority="1682">
      <formula>$K$230&lt;&gt;"Y"</formula>
    </cfRule>
  </conditionalFormatting>
  <conditionalFormatting sqref="D360:BG360">
    <cfRule type="expression" dxfId="401" priority="1685">
      <formula>$L$230&lt;&gt;"Y"</formula>
    </cfRule>
  </conditionalFormatting>
  <conditionalFormatting sqref="D361:BG361">
    <cfRule type="expression" dxfId="400" priority="1688">
      <formula>$M$230&lt;&gt;"Y"</formula>
    </cfRule>
  </conditionalFormatting>
  <conditionalFormatting sqref="D362:BG362">
    <cfRule type="expression" dxfId="399" priority="1691">
      <formula>$N$230&lt;&gt;"Y"</formula>
    </cfRule>
  </conditionalFormatting>
  <conditionalFormatting sqref="D363:BG363">
    <cfRule type="expression" dxfId="398" priority="1694">
      <formula>$O$230&lt;&gt;"Y"</formula>
    </cfRule>
  </conditionalFormatting>
  <conditionalFormatting sqref="D364:BG364">
    <cfRule type="expression" dxfId="397" priority="1697">
      <formula>$B$231&lt;&gt;"Y"</formula>
    </cfRule>
  </conditionalFormatting>
  <conditionalFormatting sqref="D365:BG365">
    <cfRule type="expression" dxfId="396" priority="1700">
      <formula>$C$231&lt;&gt;"Y"</formula>
    </cfRule>
  </conditionalFormatting>
  <conditionalFormatting sqref="D366:BG366">
    <cfRule type="expression" dxfId="395" priority="1703">
      <formula>$D$231&lt;&gt;"Y"</formula>
    </cfRule>
  </conditionalFormatting>
  <conditionalFormatting sqref="D367:BG367">
    <cfRule type="expression" dxfId="394" priority="1706">
      <formula>$E$231&lt;&gt;"Y"</formula>
    </cfRule>
  </conditionalFormatting>
  <conditionalFormatting sqref="D368:BG368">
    <cfRule type="expression" dxfId="393" priority="1709">
      <formula>$F$231&lt;&gt;"Y"</formula>
    </cfRule>
  </conditionalFormatting>
  <conditionalFormatting sqref="D369:BG369">
    <cfRule type="expression" dxfId="392" priority="1712">
      <formula>$G$231&lt;&gt;"Y"</formula>
    </cfRule>
  </conditionalFormatting>
  <conditionalFormatting sqref="D370:BG370">
    <cfRule type="expression" dxfId="391" priority="1715">
      <formula>$H$231&lt;&gt;"Y"</formula>
    </cfRule>
  </conditionalFormatting>
  <conditionalFormatting sqref="D371:BG371">
    <cfRule type="expression" dxfId="390" priority="1718">
      <formula>$I$231&lt;&gt;"Y"</formula>
    </cfRule>
  </conditionalFormatting>
  <conditionalFormatting sqref="D372:BG372">
    <cfRule type="expression" dxfId="389" priority="1721">
      <formula>$J$231&lt;&gt;"Y"</formula>
    </cfRule>
  </conditionalFormatting>
  <conditionalFormatting sqref="D373:BG373">
    <cfRule type="expression" dxfId="388" priority="1724">
      <formula>$K$231&lt;&gt;"Y"</formula>
    </cfRule>
  </conditionalFormatting>
  <conditionalFormatting sqref="D374:BG374">
    <cfRule type="expression" dxfId="387" priority="1727">
      <formula>$L$231&lt;&gt;"Y"</formula>
    </cfRule>
  </conditionalFormatting>
  <conditionalFormatting sqref="D375:BG375">
    <cfRule type="expression" dxfId="386" priority="1730">
      <formula>$M$231&lt;&gt;"Y"</formula>
    </cfRule>
  </conditionalFormatting>
  <conditionalFormatting sqref="D376:BG376">
    <cfRule type="expression" dxfId="385" priority="1733">
      <formula>$N$231&lt;&gt;"Y"</formula>
    </cfRule>
  </conditionalFormatting>
  <conditionalFormatting sqref="D377:BG377">
    <cfRule type="expression" dxfId="384" priority="1736">
      <formula>$O$231&lt;&gt;"Y"</formula>
    </cfRule>
  </conditionalFormatting>
  <conditionalFormatting sqref="D378:BG378">
    <cfRule type="expression" dxfId="383" priority="1739">
      <formula>$B$232&lt;&gt;"Y"</formula>
    </cfRule>
  </conditionalFormatting>
  <conditionalFormatting sqref="D379:BG379">
    <cfRule type="expression" dxfId="382" priority="1742">
      <formula>$C$232&lt;&gt;"Y"</formula>
    </cfRule>
  </conditionalFormatting>
  <conditionalFormatting sqref="D380:BG380">
    <cfRule type="expression" dxfId="381" priority="1745">
      <formula>$D$232&lt;&gt;"Y"</formula>
    </cfRule>
  </conditionalFormatting>
  <conditionalFormatting sqref="D381:BG381">
    <cfRule type="expression" dxfId="380" priority="1748">
      <formula>$E$232&lt;&gt;"Y"</formula>
    </cfRule>
  </conditionalFormatting>
  <conditionalFormatting sqref="D382:BG382">
    <cfRule type="expression" dxfId="379" priority="1751">
      <formula>$F$232&lt;&gt;"Y"</formula>
    </cfRule>
  </conditionalFormatting>
  <conditionalFormatting sqref="D383:BG383">
    <cfRule type="expression" dxfId="378" priority="1754">
      <formula>$G$232&lt;&gt;"Y"</formula>
    </cfRule>
  </conditionalFormatting>
  <conditionalFormatting sqref="D384:BG384">
    <cfRule type="expression" dxfId="377" priority="1757">
      <formula>$H$232&lt;&gt;"Y"</formula>
    </cfRule>
  </conditionalFormatting>
  <conditionalFormatting sqref="D385:BG385">
    <cfRule type="expression" dxfId="376" priority="1760">
      <formula>$I$232&lt;&gt;"Y"</formula>
    </cfRule>
  </conditionalFormatting>
  <conditionalFormatting sqref="D386:BG386">
    <cfRule type="expression" dxfId="375" priority="1763">
      <formula>$J$232&lt;&gt;"Y"</formula>
    </cfRule>
  </conditionalFormatting>
  <conditionalFormatting sqref="D387:BG387">
    <cfRule type="expression" dxfId="374" priority="1766">
      <formula>$K$232&lt;&gt;"Y"</formula>
    </cfRule>
  </conditionalFormatting>
  <conditionalFormatting sqref="D388:BG388">
    <cfRule type="expression" dxfId="373" priority="1769">
      <formula>$L$232&lt;&gt;"Y"</formula>
    </cfRule>
  </conditionalFormatting>
  <conditionalFormatting sqref="D389:BG389">
    <cfRule type="expression" dxfId="372" priority="1772">
      <formula>$M$232&lt;&gt;"Y"</formula>
    </cfRule>
  </conditionalFormatting>
  <conditionalFormatting sqref="D390:BG390">
    <cfRule type="expression" dxfId="371" priority="1775">
      <formula>$N$232&lt;&gt;"Y"</formula>
    </cfRule>
  </conditionalFormatting>
  <conditionalFormatting sqref="D391:BG391">
    <cfRule type="expression" dxfId="370" priority="1778">
      <formula>$O$232&lt;&gt;"Y"</formula>
    </cfRule>
  </conditionalFormatting>
  <conditionalFormatting sqref="D392:BG392">
    <cfRule type="expression" dxfId="369" priority="1781">
      <formula>$B$233&lt;&gt;"Y"</formula>
    </cfRule>
  </conditionalFormatting>
  <conditionalFormatting sqref="D393:BG393">
    <cfRule type="expression" dxfId="368" priority="1784">
      <formula>$C$233&lt;&gt;"Y"</formula>
    </cfRule>
  </conditionalFormatting>
  <conditionalFormatting sqref="D394:BG394">
    <cfRule type="expression" dxfId="367" priority="1787">
      <formula>$D$233&lt;&gt;"Y"</formula>
    </cfRule>
  </conditionalFormatting>
  <conditionalFormatting sqref="D395:BG395">
    <cfRule type="expression" dxfId="366" priority="1790">
      <formula>$E$233&lt;&gt;"Y"</formula>
    </cfRule>
  </conditionalFormatting>
  <conditionalFormatting sqref="D396:BG396">
    <cfRule type="expression" dxfId="365" priority="1793">
      <formula>$F$233&lt;&gt;"Y"</formula>
    </cfRule>
  </conditionalFormatting>
  <conditionalFormatting sqref="D397:BG397">
    <cfRule type="expression" dxfId="364" priority="1796">
      <formula>$G$233&lt;&gt;"Y"</formula>
    </cfRule>
  </conditionalFormatting>
  <conditionalFormatting sqref="D398:BG398">
    <cfRule type="expression" dxfId="363" priority="1799">
      <formula>$H$233&lt;&gt;"Y"</formula>
    </cfRule>
  </conditionalFormatting>
  <conditionalFormatting sqref="D399:BG399">
    <cfRule type="expression" dxfId="362" priority="1802">
      <formula>$I$233&lt;&gt;"Y"</formula>
    </cfRule>
  </conditionalFormatting>
  <conditionalFormatting sqref="D400:BG400">
    <cfRule type="expression" dxfId="361" priority="1805">
      <formula>$J$233&lt;&gt;"Y"</formula>
    </cfRule>
  </conditionalFormatting>
  <conditionalFormatting sqref="D401:BG401">
    <cfRule type="expression" dxfId="360" priority="1808">
      <formula>$K$233&lt;&gt;"Y"</formula>
    </cfRule>
  </conditionalFormatting>
  <conditionalFormatting sqref="D402:BG402">
    <cfRule type="expression" dxfId="359" priority="1811">
      <formula>$L$233&lt;&gt;"Y"</formula>
    </cfRule>
  </conditionalFormatting>
  <conditionalFormatting sqref="D403:BG403">
    <cfRule type="expression" dxfId="358" priority="1814">
      <formula>$M$233&lt;&gt;"Y"</formula>
    </cfRule>
  </conditionalFormatting>
  <conditionalFormatting sqref="D404:BG404">
    <cfRule type="expression" dxfId="357" priority="1817">
      <formula>$N$233&lt;&gt;"Y"</formula>
    </cfRule>
  </conditionalFormatting>
  <conditionalFormatting sqref="D405:BG405">
    <cfRule type="expression" dxfId="356" priority="1820">
      <formula>$O$233&lt;&gt;"Y"</formula>
    </cfRule>
  </conditionalFormatting>
  <conditionalFormatting sqref="D406:BG406">
    <cfRule type="expression" dxfId="355" priority="1823">
      <formula>$B$234&lt;&gt;"Y"</formula>
    </cfRule>
  </conditionalFormatting>
  <conditionalFormatting sqref="D407:BG407">
    <cfRule type="expression" dxfId="354" priority="1826">
      <formula>$C$234&lt;&gt;"Y"</formula>
    </cfRule>
  </conditionalFormatting>
  <conditionalFormatting sqref="D408:BG408">
    <cfRule type="expression" dxfId="353" priority="1829">
      <formula>$D$234&lt;&gt;"Y"</formula>
    </cfRule>
  </conditionalFormatting>
  <conditionalFormatting sqref="D409:BG409">
    <cfRule type="expression" dxfId="352" priority="1832">
      <formula>$E$234&lt;&gt;"Y"</formula>
    </cfRule>
  </conditionalFormatting>
  <conditionalFormatting sqref="D410:BG410">
    <cfRule type="expression" dxfId="351" priority="1835">
      <formula>$F$234&lt;&gt;"Y"</formula>
    </cfRule>
  </conditionalFormatting>
  <conditionalFormatting sqref="D411:BG411">
    <cfRule type="expression" dxfId="350" priority="1838">
      <formula>$G$234&lt;&gt;"Y"</formula>
    </cfRule>
  </conditionalFormatting>
  <conditionalFormatting sqref="D412:BG412">
    <cfRule type="expression" dxfId="349" priority="1841">
      <formula>$H$234&lt;&gt;"Y"</formula>
    </cfRule>
  </conditionalFormatting>
  <conditionalFormatting sqref="D413:BG413">
    <cfRule type="expression" dxfId="348" priority="1844">
      <formula>$I$234&lt;&gt;"Y"</formula>
    </cfRule>
  </conditionalFormatting>
  <conditionalFormatting sqref="D414:BG414">
    <cfRule type="expression" dxfId="347" priority="1847">
      <formula>$J$234&lt;&gt;"Y"</formula>
    </cfRule>
  </conditionalFormatting>
  <conditionalFormatting sqref="D415:BG415">
    <cfRule type="expression" dxfId="346" priority="1850">
      <formula>$K$234&lt;&gt;"Y"</formula>
    </cfRule>
  </conditionalFormatting>
  <conditionalFormatting sqref="D416:BG416">
    <cfRule type="expression" dxfId="345" priority="1853">
      <formula>$L$234&lt;&gt;"Y"</formula>
    </cfRule>
  </conditionalFormatting>
  <conditionalFormatting sqref="D417:BG417">
    <cfRule type="expression" dxfId="344" priority="1856">
      <formula>$M$234&lt;&gt;"Y"</formula>
    </cfRule>
  </conditionalFormatting>
  <conditionalFormatting sqref="D418:BG418">
    <cfRule type="expression" dxfId="343" priority="1859">
      <formula>$N$234&lt;&gt;"Y"</formula>
    </cfRule>
  </conditionalFormatting>
  <conditionalFormatting sqref="D419:BG419">
    <cfRule type="expression" dxfId="342" priority="1862">
      <formula>$O$234&lt;&gt;"Y"</formula>
    </cfRule>
  </conditionalFormatting>
  <conditionalFormatting sqref="D420:BG420">
    <cfRule type="expression" dxfId="341" priority="1865">
      <formula>$B$235&lt;&gt;"Y"</formula>
    </cfRule>
  </conditionalFormatting>
  <conditionalFormatting sqref="D421:BG421">
    <cfRule type="expression" dxfId="340" priority="1868">
      <formula>$C$235&lt;&gt;"Y"</formula>
    </cfRule>
  </conditionalFormatting>
  <conditionalFormatting sqref="D422:BG422">
    <cfRule type="expression" dxfId="339" priority="1871">
      <formula>$D$235&lt;&gt;"Y"</formula>
    </cfRule>
  </conditionalFormatting>
  <conditionalFormatting sqref="D423:BG423">
    <cfRule type="expression" dxfId="338" priority="1874">
      <formula>$E$235&lt;&gt;"Y"</formula>
    </cfRule>
  </conditionalFormatting>
  <conditionalFormatting sqref="D424:BG424">
    <cfRule type="expression" dxfId="337" priority="1877">
      <formula>$F$235&lt;&gt;"Y"</formula>
    </cfRule>
  </conditionalFormatting>
  <conditionalFormatting sqref="D425:BG425">
    <cfRule type="expression" dxfId="336" priority="1880">
      <formula>$G$235&lt;&gt;"Y"</formula>
    </cfRule>
  </conditionalFormatting>
  <conditionalFormatting sqref="D426:BG426">
    <cfRule type="expression" dxfId="335" priority="1883">
      <formula>$H$235&lt;&gt;"Y"</formula>
    </cfRule>
  </conditionalFormatting>
  <conditionalFormatting sqref="D427:BG427">
    <cfRule type="expression" dxfId="334" priority="1886">
      <formula>$I$235&lt;&gt;"Y"</formula>
    </cfRule>
  </conditionalFormatting>
  <conditionalFormatting sqref="D428:BG428">
    <cfRule type="expression" dxfId="333" priority="1889">
      <formula>$J$235&lt;&gt;"Y"</formula>
    </cfRule>
  </conditionalFormatting>
  <conditionalFormatting sqref="D429:BG429">
    <cfRule type="expression" dxfId="332" priority="1892">
      <formula>$K$235&lt;&gt;"Y"</formula>
    </cfRule>
  </conditionalFormatting>
  <conditionalFormatting sqref="D430:BG430">
    <cfRule type="expression" dxfId="331" priority="1895">
      <formula>$L$235&lt;&gt;"Y"</formula>
    </cfRule>
  </conditionalFormatting>
  <conditionalFormatting sqref="D431:BG431">
    <cfRule type="expression" dxfId="330" priority="1898">
      <formula>$M$235&lt;&gt;"Y"</formula>
    </cfRule>
  </conditionalFormatting>
  <conditionalFormatting sqref="D432:BG432">
    <cfRule type="expression" dxfId="329" priority="1901">
      <formula>$N$235&lt;&gt;"Y"</formula>
    </cfRule>
  </conditionalFormatting>
  <conditionalFormatting sqref="D433:BG433">
    <cfRule type="expression" dxfId="328" priority="1904">
      <formula>$O$235&lt;&gt;"Y"</formula>
    </cfRule>
  </conditionalFormatting>
  <conditionalFormatting sqref="D455:BG455">
    <cfRule type="expression" dxfId="327" priority="2271">
      <formula>$B$439&lt;&gt;"Y"</formula>
    </cfRule>
  </conditionalFormatting>
  <conditionalFormatting sqref="D456:BG456">
    <cfRule type="expression" dxfId="326" priority="2274">
      <formula>$C$439&lt;&gt;"Y"</formula>
    </cfRule>
  </conditionalFormatting>
  <conditionalFormatting sqref="D457:BG457">
    <cfRule type="expression" dxfId="325" priority="2277">
      <formula>$D$439&lt;&gt;"Y"</formula>
    </cfRule>
  </conditionalFormatting>
  <conditionalFormatting sqref="D458:BG458">
    <cfRule type="expression" dxfId="324" priority="2280">
      <formula>$E$439&lt;&gt;"Y"</formula>
    </cfRule>
  </conditionalFormatting>
  <conditionalFormatting sqref="D459:BG459">
    <cfRule type="expression" dxfId="323" priority="2283">
      <formula>$F$439&lt;&gt;"Y"</formula>
    </cfRule>
  </conditionalFormatting>
  <conditionalFormatting sqref="D460:BG460">
    <cfRule type="expression" dxfId="322" priority="2286">
      <formula>$G$439&lt;&gt;"Y"</formula>
    </cfRule>
  </conditionalFormatting>
  <conditionalFormatting sqref="D461:BG461">
    <cfRule type="expression" dxfId="321" priority="2289">
      <formula>$H$439&lt;&gt;"Y"</formula>
    </cfRule>
  </conditionalFormatting>
  <conditionalFormatting sqref="D462:BG462">
    <cfRule type="expression" dxfId="320" priority="2292">
      <formula>$I$439&lt;&gt;"Y"</formula>
    </cfRule>
  </conditionalFormatting>
  <conditionalFormatting sqref="D463:BG463">
    <cfRule type="expression" dxfId="319" priority="2295">
      <formula>$J$439&lt;&gt;"Y"</formula>
    </cfRule>
  </conditionalFormatting>
  <conditionalFormatting sqref="D464:BG464">
    <cfRule type="expression" dxfId="318" priority="2298">
      <formula>$K$439&lt;&gt;"Y"</formula>
    </cfRule>
  </conditionalFormatting>
  <conditionalFormatting sqref="D465:BG465">
    <cfRule type="expression" dxfId="317" priority="2301">
      <formula>$L$439&lt;&gt;"Y"</formula>
    </cfRule>
  </conditionalFormatting>
  <conditionalFormatting sqref="D466:BG466">
    <cfRule type="expression" dxfId="316" priority="2304">
      <formula>$M$439&lt;&gt;"Y"</formula>
    </cfRule>
  </conditionalFormatting>
  <conditionalFormatting sqref="D467:BG467">
    <cfRule type="expression" dxfId="315" priority="2307">
      <formula>$N$439&lt;&gt;"Y"</formula>
    </cfRule>
  </conditionalFormatting>
  <conditionalFormatting sqref="D468:BG468">
    <cfRule type="expression" dxfId="314" priority="2310">
      <formula>$O$439&lt;&gt;"Y"</formula>
    </cfRule>
  </conditionalFormatting>
  <conditionalFormatting sqref="D469:BG469">
    <cfRule type="expression" dxfId="313" priority="2313">
      <formula>$B$440&lt;&gt;"Y"</formula>
    </cfRule>
  </conditionalFormatting>
  <conditionalFormatting sqref="D470:BG470">
    <cfRule type="expression" dxfId="312" priority="2316">
      <formula>$C$440&lt;&gt;"Y"</formula>
    </cfRule>
  </conditionalFormatting>
  <conditionalFormatting sqref="D471:BG471">
    <cfRule type="expression" dxfId="311" priority="2319">
      <formula>$D$440&lt;&gt;"Y"</formula>
    </cfRule>
  </conditionalFormatting>
  <conditionalFormatting sqref="D472:BG472">
    <cfRule type="expression" dxfId="310" priority="2322">
      <formula>$E$440&lt;&gt;"Y"</formula>
    </cfRule>
  </conditionalFormatting>
  <conditionalFormatting sqref="D473:BG473">
    <cfRule type="expression" dxfId="309" priority="2325">
      <formula>$F$440&lt;&gt;"Y"</formula>
    </cfRule>
  </conditionalFormatting>
  <conditionalFormatting sqref="D474:BG474">
    <cfRule type="expression" dxfId="308" priority="2328">
      <formula>$G$440&lt;&gt;"Y"</formula>
    </cfRule>
  </conditionalFormatting>
  <conditionalFormatting sqref="D475:BG475">
    <cfRule type="expression" dxfId="307" priority="2331">
      <formula>$H$440&lt;&gt;"Y"</formula>
    </cfRule>
  </conditionalFormatting>
  <conditionalFormatting sqref="D476:BG476">
    <cfRule type="expression" dxfId="306" priority="2334">
      <formula>$I$440&lt;&gt;"Y"</formula>
    </cfRule>
  </conditionalFormatting>
  <conditionalFormatting sqref="D477:BG477">
    <cfRule type="expression" dxfId="305" priority="2337">
      <formula>$J$440&lt;&gt;"Y"</formula>
    </cfRule>
  </conditionalFormatting>
  <conditionalFormatting sqref="D478:BG478">
    <cfRule type="expression" dxfId="304" priority="2340">
      <formula>$K$440&lt;&gt;"Y"</formula>
    </cfRule>
  </conditionalFormatting>
  <conditionalFormatting sqref="D479:BG479">
    <cfRule type="expression" dxfId="303" priority="2343">
      <formula>$L$440&lt;&gt;"Y"</formula>
    </cfRule>
  </conditionalFormatting>
  <conditionalFormatting sqref="D480:BG480">
    <cfRule type="expression" dxfId="302" priority="2346">
      <formula>$M$440&lt;&gt;"Y"</formula>
    </cfRule>
  </conditionalFormatting>
  <conditionalFormatting sqref="D481:BG481">
    <cfRule type="expression" dxfId="301" priority="2349">
      <formula>$N$440&lt;&gt;"Y"</formula>
    </cfRule>
  </conditionalFormatting>
  <conditionalFormatting sqref="D482:BG482">
    <cfRule type="expression" dxfId="300" priority="2352">
      <formula>$O$440&lt;&gt;"Y"</formula>
    </cfRule>
  </conditionalFormatting>
  <conditionalFormatting sqref="D483:BG483">
    <cfRule type="expression" dxfId="299" priority="2355">
      <formula>$B$441&lt;&gt;"Y"</formula>
    </cfRule>
  </conditionalFormatting>
  <conditionalFormatting sqref="D484:BG484">
    <cfRule type="expression" dxfId="298" priority="2358">
      <formula>$C$441&lt;&gt;"Y"</formula>
    </cfRule>
  </conditionalFormatting>
  <conditionalFormatting sqref="D485:BG485">
    <cfRule type="expression" dxfId="297" priority="2361">
      <formula>$D$441&lt;&gt;"Y"</formula>
    </cfRule>
  </conditionalFormatting>
  <conditionalFormatting sqref="D486:BG486">
    <cfRule type="expression" dxfId="296" priority="2364">
      <formula>$E$441&lt;&gt;"Y"</formula>
    </cfRule>
  </conditionalFormatting>
  <conditionalFormatting sqref="D487:BG487">
    <cfRule type="expression" dxfId="295" priority="2367">
      <formula>$F$441&lt;&gt;"Y"</formula>
    </cfRule>
  </conditionalFormatting>
  <conditionalFormatting sqref="D488:BG488">
    <cfRule type="expression" dxfId="294" priority="2370">
      <formula>$G$441&lt;&gt;"Y"</formula>
    </cfRule>
  </conditionalFormatting>
  <conditionalFormatting sqref="D489:BG489">
    <cfRule type="expression" dxfId="293" priority="2373">
      <formula>$H$441&lt;&gt;"Y"</formula>
    </cfRule>
  </conditionalFormatting>
  <conditionalFormatting sqref="D490:BG490">
    <cfRule type="expression" dxfId="292" priority="2376">
      <formula>$I$441&lt;&gt;"Y"</formula>
    </cfRule>
  </conditionalFormatting>
  <conditionalFormatting sqref="D491:BG491">
    <cfRule type="expression" dxfId="291" priority="2379">
      <formula>$J$441&lt;&gt;"Y"</formula>
    </cfRule>
  </conditionalFormatting>
  <conditionalFormatting sqref="D492:BG492">
    <cfRule type="expression" dxfId="290" priority="2382">
      <formula>$K$441&lt;&gt;"Y"</formula>
    </cfRule>
  </conditionalFormatting>
  <conditionalFormatting sqref="D493:BG493">
    <cfRule type="expression" dxfId="289" priority="2385">
      <formula>$L$441&lt;&gt;"Y"</formula>
    </cfRule>
  </conditionalFormatting>
  <conditionalFormatting sqref="D494:BG494">
    <cfRule type="expression" dxfId="288" priority="2388">
      <formula>$M$441&lt;&gt;"Y"</formula>
    </cfRule>
  </conditionalFormatting>
  <conditionalFormatting sqref="D495:BG495">
    <cfRule type="expression" dxfId="287" priority="2391">
      <formula>$N$441&lt;&gt;"Y"</formula>
    </cfRule>
  </conditionalFormatting>
  <conditionalFormatting sqref="D496:BG496">
    <cfRule type="expression" dxfId="286" priority="2394">
      <formula>$O$441&lt;&gt;"Y"</formula>
    </cfRule>
  </conditionalFormatting>
  <conditionalFormatting sqref="D497:BG497">
    <cfRule type="expression" dxfId="285" priority="2397">
      <formula>$B$442&lt;&gt;"Y"</formula>
    </cfRule>
  </conditionalFormatting>
  <conditionalFormatting sqref="D498:BG498">
    <cfRule type="expression" dxfId="284" priority="2400">
      <formula>$C$442&lt;&gt;"Y"</formula>
    </cfRule>
  </conditionalFormatting>
  <conditionalFormatting sqref="D499:BG499">
    <cfRule type="expression" dxfId="283" priority="2403">
      <formula>$D$442&lt;&gt;"Y"</formula>
    </cfRule>
  </conditionalFormatting>
  <conditionalFormatting sqref="D500:BG500">
    <cfRule type="expression" dxfId="282" priority="2406">
      <formula>$E$442&lt;&gt;"Y"</formula>
    </cfRule>
  </conditionalFormatting>
  <conditionalFormatting sqref="D501:BG501">
    <cfRule type="expression" dxfId="281" priority="2409">
      <formula>$F$442&lt;&gt;"Y"</formula>
    </cfRule>
  </conditionalFormatting>
  <conditionalFormatting sqref="D502:BG502">
    <cfRule type="expression" dxfId="280" priority="2412">
      <formula>$G$442&lt;&gt;"Y"</formula>
    </cfRule>
  </conditionalFormatting>
  <conditionalFormatting sqref="D503:BG503">
    <cfRule type="expression" dxfId="279" priority="2415">
      <formula>$H$442&lt;&gt;"Y"</formula>
    </cfRule>
  </conditionalFormatting>
  <conditionalFormatting sqref="D504:BG504">
    <cfRule type="expression" dxfId="278" priority="2418">
      <formula>$I$442&lt;&gt;"Y"</formula>
    </cfRule>
  </conditionalFormatting>
  <conditionalFormatting sqref="D505:BG505">
    <cfRule type="expression" dxfId="277" priority="2421">
      <formula>$J$442&lt;&gt;"Y"</formula>
    </cfRule>
  </conditionalFormatting>
  <conditionalFormatting sqref="D506:BG506">
    <cfRule type="expression" dxfId="276" priority="2424">
      <formula>$K$442&lt;&gt;"Y"</formula>
    </cfRule>
  </conditionalFormatting>
  <conditionalFormatting sqref="D507:BG507">
    <cfRule type="expression" dxfId="275" priority="2427">
      <formula>$L$442&lt;&gt;"Y"</formula>
    </cfRule>
  </conditionalFormatting>
  <conditionalFormatting sqref="D508:BG508">
    <cfRule type="expression" dxfId="274" priority="2430">
      <formula>$M$442&lt;&gt;"Y"</formula>
    </cfRule>
  </conditionalFormatting>
  <conditionalFormatting sqref="D509:BG509">
    <cfRule type="expression" dxfId="273" priority="2433">
      <formula>$N$442&lt;&gt;"Y"</formula>
    </cfRule>
  </conditionalFormatting>
  <conditionalFormatting sqref="D510:BG510">
    <cfRule type="expression" dxfId="272" priority="2436">
      <formula>$O$442&lt;&gt;"Y"</formula>
    </cfRule>
  </conditionalFormatting>
  <conditionalFormatting sqref="D511:BG511">
    <cfRule type="expression" dxfId="271" priority="2439">
      <formula>$B$443&lt;&gt;"Y"</formula>
    </cfRule>
  </conditionalFormatting>
  <conditionalFormatting sqref="D512:BG512">
    <cfRule type="expression" dxfId="270" priority="2442">
      <formula>$C$443&lt;&gt;"Y"</formula>
    </cfRule>
  </conditionalFormatting>
  <conditionalFormatting sqref="D513:BG513">
    <cfRule type="expression" dxfId="269" priority="2445">
      <formula>$D$443&lt;&gt;"Y"</formula>
    </cfRule>
  </conditionalFormatting>
  <conditionalFormatting sqref="D514:BG514">
    <cfRule type="expression" dxfId="268" priority="2448">
      <formula>$E$443&lt;&gt;"Y"</formula>
    </cfRule>
  </conditionalFormatting>
  <conditionalFormatting sqref="D515:BG515">
    <cfRule type="expression" dxfId="267" priority="2451">
      <formula>$F$443&lt;&gt;"Y"</formula>
    </cfRule>
  </conditionalFormatting>
  <conditionalFormatting sqref="D516:BG516">
    <cfRule type="expression" dxfId="266" priority="2454">
      <formula>$G$443&lt;&gt;"Y"</formula>
    </cfRule>
  </conditionalFormatting>
  <conditionalFormatting sqref="D517:BG517">
    <cfRule type="expression" dxfId="265" priority="2457">
      <formula>$H$443&lt;&gt;"Y"</formula>
    </cfRule>
  </conditionalFormatting>
  <conditionalFormatting sqref="D518:BG518">
    <cfRule type="expression" dxfId="264" priority="2460">
      <formula>$I$443&lt;&gt;"Y"</formula>
    </cfRule>
  </conditionalFormatting>
  <conditionalFormatting sqref="D519:BG519">
    <cfRule type="expression" dxfId="263" priority="2463">
      <formula>$J$443&lt;&gt;"Y"</formula>
    </cfRule>
  </conditionalFormatting>
  <conditionalFormatting sqref="D520:BG520">
    <cfRule type="expression" dxfId="262" priority="2466">
      <formula>$K$443&lt;&gt;"Y"</formula>
    </cfRule>
  </conditionalFormatting>
  <conditionalFormatting sqref="D521:BG521">
    <cfRule type="expression" dxfId="261" priority="2469">
      <formula>$L$443&lt;&gt;"Y"</formula>
    </cfRule>
  </conditionalFormatting>
  <conditionalFormatting sqref="D522:BG522">
    <cfRule type="expression" dxfId="260" priority="2472">
      <formula>$M$443&lt;&gt;"Y"</formula>
    </cfRule>
  </conditionalFormatting>
  <conditionalFormatting sqref="D523:BG523">
    <cfRule type="expression" dxfId="259" priority="2475">
      <formula>$N$443&lt;&gt;"Y"</formula>
    </cfRule>
  </conditionalFormatting>
  <conditionalFormatting sqref="D524:BG524">
    <cfRule type="expression" dxfId="258" priority="2478">
      <formula>$O$443&lt;&gt;"Y"</formula>
    </cfRule>
  </conditionalFormatting>
  <conditionalFormatting sqref="D525:BG525">
    <cfRule type="expression" dxfId="257" priority="2481">
      <formula>$B$444&lt;&gt;"Y"</formula>
    </cfRule>
  </conditionalFormatting>
  <conditionalFormatting sqref="D526:BG526">
    <cfRule type="expression" dxfId="256" priority="2484">
      <formula>$C$444&lt;&gt;"Y"</formula>
    </cfRule>
  </conditionalFormatting>
  <conditionalFormatting sqref="D527:BG527">
    <cfRule type="expression" dxfId="255" priority="2487">
      <formula>$D$444&lt;&gt;"Y"</formula>
    </cfRule>
  </conditionalFormatting>
  <conditionalFormatting sqref="D528:BG528">
    <cfRule type="expression" dxfId="254" priority="2490">
      <formula>$E$444&lt;&gt;"Y"</formula>
    </cfRule>
  </conditionalFormatting>
  <conditionalFormatting sqref="D529:BG529">
    <cfRule type="expression" dxfId="253" priority="2493">
      <formula>$F$444&lt;&gt;"Y"</formula>
    </cfRule>
  </conditionalFormatting>
  <conditionalFormatting sqref="D530:BG530">
    <cfRule type="expression" dxfId="252" priority="2496">
      <formula>$G$444&lt;&gt;"Y"</formula>
    </cfRule>
  </conditionalFormatting>
  <conditionalFormatting sqref="D531:BG531">
    <cfRule type="expression" dxfId="251" priority="2499">
      <formula>$H$444&lt;&gt;"Y"</formula>
    </cfRule>
  </conditionalFormatting>
  <conditionalFormatting sqref="D532:BG532">
    <cfRule type="expression" dxfId="250" priority="2502">
      <formula>$I$444&lt;&gt;"Y"</formula>
    </cfRule>
  </conditionalFormatting>
  <conditionalFormatting sqref="D533:BG533">
    <cfRule type="expression" dxfId="249" priority="2505">
      <formula>$J$444&lt;&gt;"Y"</formula>
    </cfRule>
  </conditionalFormatting>
  <conditionalFormatting sqref="D534:BG534">
    <cfRule type="expression" dxfId="248" priority="2508">
      <formula>$K$444&lt;&gt;"Y"</formula>
    </cfRule>
  </conditionalFormatting>
  <conditionalFormatting sqref="D535:BG535">
    <cfRule type="expression" dxfId="247" priority="2511">
      <formula>$L$444&lt;&gt;"Y"</formula>
    </cfRule>
  </conditionalFormatting>
  <conditionalFormatting sqref="D536:BG536">
    <cfRule type="expression" dxfId="246" priority="2514">
      <formula>$M$444&lt;&gt;"Y"</formula>
    </cfRule>
  </conditionalFormatting>
  <conditionalFormatting sqref="D537:BG537">
    <cfRule type="expression" dxfId="245" priority="2517">
      <formula>$N$444&lt;&gt;"Y"</formula>
    </cfRule>
  </conditionalFormatting>
  <conditionalFormatting sqref="D538:BG538">
    <cfRule type="expression" dxfId="244" priority="2520">
      <formula>$O$444&lt;&gt;"Y"</formula>
    </cfRule>
  </conditionalFormatting>
  <conditionalFormatting sqref="D539:BG539">
    <cfRule type="expression" dxfId="243" priority="2523">
      <formula>$B$445&lt;&gt;"Y"</formula>
    </cfRule>
  </conditionalFormatting>
  <conditionalFormatting sqref="D540:BG540">
    <cfRule type="expression" dxfId="242" priority="2526">
      <formula>$C$445&lt;&gt;"Y"</formula>
    </cfRule>
  </conditionalFormatting>
  <conditionalFormatting sqref="D541:BG541">
    <cfRule type="expression" dxfId="241" priority="2529">
      <formula>$D$445&lt;&gt;"Y"</formula>
    </cfRule>
  </conditionalFormatting>
  <conditionalFormatting sqref="D542:BG542">
    <cfRule type="expression" dxfId="240" priority="2532">
      <formula>$E$445&lt;&gt;"Y"</formula>
    </cfRule>
  </conditionalFormatting>
  <conditionalFormatting sqref="D543:BG543">
    <cfRule type="expression" dxfId="239" priority="2535">
      <formula>$F$445&lt;&gt;"Y"</formula>
    </cfRule>
  </conditionalFormatting>
  <conditionalFormatting sqref="D544:BG544">
    <cfRule type="expression" dxfId="238" priority="2538">
      <formula>$G$445&lt;&gt;"Y"</formula>
    </cfRule>
  </conditionalFormatting>
  <conditionalFormatting sqref="D545:BG545">
    <cfRule type="expression" dxfId="237" priority="2541">
      <formula>$H$445&lt;&gt;"Y"</formula>
    </cfRule>
  </conditionalFormatting>
  <conditionalFormatting sqref="D546:BG546">
    <cfRule type="expression" dxfId="236" priority="2544">
      <formula>$I$445&lt;&gt;"Y"</formula>
    </cfRule>
  </conditionalFormatting>
  <conditionalFormatting sqref="D547:BG547">
    <cfRule type="expression" dxfId="235" priority="2547">
      <formula>$J$445&lt;&gt;"Y"</formula>
    </cfRule>
  </conditionalFormatting>
  <conditionalFormatting sqref="D548:BG548">
    <cfRule type="expression" dxfId="234" priority="2550">
      <formula>$K$445&lt;&gt;"Y"</formula>
    </cfRule>
  </conditionalFormatting>
  <conditionalFormatting sqref="D549:BG549">
    <cfRule type="expression" dxfId="233" priority="2553">
      <formula>$L$445&lt;&gt;"Y"</formula>
    </cfRule>
  </conditionalFormatting>
  <conditionalFormatting sqref="D550:BG550">
    <cfRule type="expression" dxfId="232" priority="2556">
      <formula>$M$445&lt;&gt;"Y"</formula>
    </cfRule>
  </conditionalFormatting>
  <conditionalFormatting sqref="D551:BG551">
    <cfRule type="expression" dxfId="231" priority="2559">
      <formula>$N$445&lt;&gt;"Y"</formula>
    </cfRule>
  </conditionalFormatting>
  <conditionalFormatting sqref="D552:BG552">
    <cfRule type="expression" dxfId="230" priority="2562">
      <formula>$O$445&lt;&gt;"Y"</formula>
    </cfRule>
  </conditionalFormatting>
  <conditionalFormatting sqref="D553:BG553">
    <cfRule type="expression" dxfId="229" priority="2565">
      <formula>$B$446&lt;&gt;"Y"</formula>
    </cfRule>
  </conditionalFormatting>
  <conditionalFormatting sqref="D554:BG554">
    <cfRule type="expression" dxfId="228" priority="2568">
      <formula>$C$446&lt;&gt;"Y"</formula>
    </cfRule>
  </conditionalFormatting>
  <conditionalFormatting sqref="D555:BG555">
    <cfRule type="expression" dxfId="227" priority="2571">
      <formula>$D$446&lt;&gt;"Y"</formula>
    </cfRule>
  </conditionalFormatting>
  <conditionalFormatting sqref="D556:BG556">
    <cfRule type="expression" dxfId="226" priority="2574">
      <formula>$E$446&lt;&gt;"Y"</formula>
    </cfRule>
  </conditionalFormatting>
  <conditionalFormatting sqref="D557:BG557">
    <cfRule type="expression" dxfId="225" priority="2577">
      <formula>$F$446&lt;&gt;"Y"</formula>
    </cfRule>
  </conditionalFormatting>
  <conditionalFormatting sqref="D558:BG558">
    <cfRule type="expression" dxfId="224" priority="2580">
      <formula>$G$446&lt;&gt;"Y"</formula>
    </cfRule>
  </conditionalFormatting>
  <conditionalFormatting sqref="D559:BG559">
    <cfRule type="expression" dxfId="223" priority="2583">
      <formula>$H$446&lt;&gt;"Y"</formula>
    </cfRule>
  </conditionalFormatting>
  <conditionalFormatting sqref="D560:BG560">
    <cfRule type="expression" dxfId="222" priority="2586">
      <formula>$I$446&lt;&gt;"Y"</formula>
    </cfRule>
  </conditionalFormatting>
  <conditionalFormatting sqref="D561:BG561">
    <cfRule type="expression" dxfId="221" priority="2589">
      <formula>$J$446&lt;&gt;"Y"</formula>
    </cfRule>
  </conditionalFormatting>
  <conditionalFormatting sqref="D562:BG562">
    <cfRule type="expression" dxfId="220" priority="2592">
      <formula>$K$446&lt;&gt;"Y"</formula>
    </cfRule>
  </conditionalFormatting>
  <conditionalFormatting sqref="D563:BG563">
    <cfRule type="expression" dxfId="219" priority="2595">
      <formula>$L$446&lt;&gt;"Y"</formula>
    </cfRule>
  </conditionalFormatting>
  <conditionalFormatting sqref="D564:BG564">
    <cfRule type="expression" dxfId="218" priority="2598">
      <formula>$M$446&lt;&gt;"Y"</formula>
    </cfRule>
  </conditionalFormatting>
  <conditionalFormatting sqref="D565:BG565">
    <cfRule type="expression" dxfId="217" priority="2601">
      <formula>$N$446&lt;&gt;"Y"</formula>
    </cfRule>
  </conditionalFormatting>
  <conditionalFormatting sqref="D566:BG566">
    <cfRule type="expression" dxfId="216" priority="2604">
      <formula>$O$446&lt;&gt;"Y"</formula>
    </cfRule>
  </conditionalFormatting>
  <conditionalFormatting sqref="D567:BG567">
    <cfRule type="expression" dxfId="215" priority="2607">
      <formula>$B$447&lt;&gt;"Y"</formula>
    </cfRule>
  </conditionalFormatting>
  <conditionalFormatting sqref="D568:BG568">
    <cfRule type="expression" dxfId="214" priority="2610">
      <formula>$C$447&lt;&gt;"Y"</formula>
    </cfRule>
  </conditionalFormatting>
  <conditionalFormatting sqref="D569:BG569">
    <cfRule type="expression" dxfId="213" priority="2613">
      <formula>$D$447&lt;&gt;"Y"</formula>
    </cfRule>
  </conditionalFormatting>
  <conditionalFormatting sqref="D570:BG570">
    <cfRule type="expression" dxfId="212" priority="2616">
      <formula>$E$447&lt;&gt;"Y"</formula>
    </cfRule>
  </conditionalFormatting>
  <conditionalFormatting sqref="D571:BG571">
    <cfRule type="expression" dxfId="211" priority="2619">
      <formula>$F$447&lt;&gt;"Y"</formula>
    </cfRule>
  </conditionalFormatting>
  <conditionalFormatting sqref="D572:BG572">
    <cfRule type="expression" dxfId="210" priority="2622">
      <formula>$G$447&lt;&gt;"Y"</formula>
    </cfRule>
  </conditionalFormatting>
  <conditionalFormatting sqref="D573:BG573">
    <cfRule type="expression" dxfId="209" priority="2625">
      <formula>$H$447&lt;&gt;"Y"</formula>
    </cfRule>
  </conditionalFormatting>
  <conditionalFormatting sqref="D574:BG574">
    <cfRule type="expression" dxfId="208" priority="2628">
      <formula>$I$447&lt;&gt;"Y"</formula>
    </cfRule>
  </conditionalFormatting>
  <conditionalFormatting sqref="D575:BG575">
    <cfRule type="expression" dxfId="207" priority="2631">
      <formula>$J$447&lt;&gt;"Y"</formula>
    </cfRule>
  </conditionalFormatting>
  <conditionalFormatting sqref="D576:BG576">
    <cfRule type="expression" dxfId="206" priority="2634">
      <formula>$K$447&lt;&gt;"Y"</formula>
    </cfRule>
  </conditionalFormatting>
  <conditionalFormatting sqref="D577:BG577">
    <cfRule type="expression" dxfId="205" priority="2637">
      <formula>$L$447&lt;&gt;"Y"</formula>
    </cfRule>
  </conditionalFormatting>
  <conditionalFormatting sqref="D578:BG578">
    <cfRule type="expression" dxfId="204" priority="2640">
      <formula>$M$447&lt;&gt;"Y"</formula>
    </cfRule>
  </conditionalFormatting>
  <conditionalFormatting sqref="D579:BG579">
    <cfRule type="expression" dxfId="203" priority="2643">
      <formula>$N$447&lt;&gt;"Y"</formula>
    </cfRule>
  </conditionalFormatting>
  <conditionalFormatting sqref="D580:BG580">
    <cfRule type="expression" dxfId="202" priority="2646">
      <formula>$O$447&lt;&gt;"Y"</formula>
    </cfRule>
  </conditionalFormatting>
  <conditionalFormatting sqref="D581:BG581">
    <cfRule type="expression" dxfId="201" priority="2649">
      <formula>$B$448&lt;&gt;"Y"</formula>
    </cfRule>
  </conditionalFormatting>
  <conditionalFormatting sqref="D582:BG582">
    <cfRule type="expression" dxfId="200" priority="2652">
      <formula>$C$448&lt;&gt;"Y"</formula>
    </cfRule>
  </conditionalFormatting>
  <conditionalFormatting sqref="D583:BG583">
    <cfRule type="expression" dxfId="199" priority="2655">
      <formula>$D$448&lt;&gt;"Y"</formula>
    </cfRule>
  </conditionalFormatting>
  <conditionalFormatting sqref="D584:BG584">
    <cfRule type="expression" dxfId="198" priority="2658">
      <formula>$E$448&lt;&gt;"Y"</formula>
    </cfRule>
  </conditionalFormatting>
  <conditionalFormatting sqref="D585:BG585">
    <cfRule type="expression" dxfId="197" priority="2661">
      <formula>$F$448&lt;&gt;"Y"</formula>
    </cfRule>
  </conditionalFormatting>
  <conditionalFormatting sqref="D586:BG586">
    <cfRule type="expression" dxfId="196" priority="2664">
      <formula>$G$448&lt;&gt;"Y"</formula>
    </cfRule>
  </conditionalFormatting>
  <conditionalFormatting sqref="D587:BG587">
    <cfRule type="expression" dxfId="195" priority="2667">
      <formula>$H$448&lt;&gt;"Y"</formula>
    </cfRule>
  </conditionalFormatting>
  <conditionalFormatting sqref="D588:BG588">
    <cfRule type="expression" dxfId="194" priority="2670">
      <formula>$I$448&lt;&gt;"Y"</formula>
    </cfRule>
  </conditionalFormatting>
  <conditionalFormatting sqref="D589:BG589">
    <cfRule type="expression" dxfId="193" priority="2673">
      <formula>$J$448&lt;&gt;"Y"</formula>
    </cfRule>
  </conditionalFormatting>
  <conditionalFormatting sqref="D590:BG590">
    <cfRule type="expression" dxfId="192" priority="2676">
      <formula>$K$448&lt;&gt;"Y"</formula>
    </cfRule>
  </conditionalFormatting>
  <conditionalFormatting sqref="D591:BG591">
    <cfRule type="expression" dxfId="191" priority="2679">
      <formula>$L$448&lt;&gt;"Y"</formula>
    </cfRule>
  </conditionalFormatting>
  <conditionalFormatting sqref="D592:BG592">
    <cfRule type="expression" dxfId="190" priority="2682">
      <formula>$M$448&lt;&gt;"Y"</formula>
    </cfRule>
  </conditionalFormatting>
  <conditionalFormatting sqref="D593:BG593">
    <cfRule type="expression" dxfId="189" priority="2685">
      <formula>$N$448&lt;&gt;"Y"</formula>
    </cfRule>
  </conditionalFormatting>
  <conditionalFormatting sqref="D594:BG594">
    <cfRule type="expression" dxfId="188" priority="2688">
      <formula>$O$448&lt;&gt;"Y"</formula>
    </cfRule>
  </conditionalFormatting>
  <conditionalFormatting sqref="D595:BG595">
    <cfRule type="expression" dxfId="187" priority="2691">
      <formula>$B$449&lt;&gt;"Y"</formula>
    </cfRule>
  </conditionalFormatting>
  <conditionalFormatting sqref="D596:BG596">
    <cfRule type="expression" dxfId="186" priority="2694">
      <formula>$C$449&lt;&gt;"Y"</formula>
    </cfRule>
  </conditionalFormatting>
  <conditionalFormatting sqref="D597:BG597">
    <cfRule type="expression" dxfId="185" priority="2697">
      <formula>$D$449&lt;&gt;"Y"</formula>
    </cfRule>
  </conditionalFormatting>
  <conditionalFormatting sqref="D598:BG598">
    <cfRule type="expression" dxfId="184" priority="2700">
      <formula>$E$449&lt;&gt;"Y"</formula>
    </cfRule>
  </conditionalFormatting>
  <conditionalFormatting sqref="D599:BG599">
    <cfRule type="expression" dxfId="183" priority="2703">
      <formula>$F$449&lt;&gt;"Y"</formula>
    </cfRule>
  </conditionalFormatting>
  <conditionalFormatting sqref="D600:BG600">
    <cfRule type="expression" dxfId="182" priority="2706">
      <formula>$G$449&lt;&gt;"Y"</formula>
    </cfRule>
  </conditionalFormatting>
  <conditionalFormatting sqref="D601:BG601">
    <cfRule type="expression" dxfId="181" priority="2709">
      <formula>$H$449&lt;&gt;"Y"</formula>
    </cfRule>
  </conditionalFormatting>
  <conditionalFormatting sqref="D602:BG602">
    <cfRule type="expression" dxfId="180" priority="2712">
      <formula>$I$449&lt;&gt;"Y"</formula>
    </cfRule>
  </conditionalFormatting>
  <conditionalFormatting sqref="D603:BG603">
    <cfRule type="expression" dxfId="179" priority="2715">
      <formula>$J$449&lt;&gt;"Y"</formula>
    </cfRule>
  </conditionalFormatting>
  <conditionalFormatting sqref="D604:BG604">
    <cfRule type="expression" dxfId="178" priority="2718">
      <formula>$K$449&lt;&gt;"Y"</formula>
    </cfRule>
  </conditionalFormatting>
  <conditionalFormatting sqref="D605:BG605">
    <cfRule type="expression" dxfId="177" priority="2721">
      <formula>$L$449&lt;&gt;"Y"</formula>
    </cfRule>
  </conditionalFormatting>
  <conditionalFormatting sqref="D606:BG606">
    <cfRule type="expression" dxfId="176" priority="2724">
      <formula>$M$449&lt;&gt;"Y"</formula>
    </cfRule>
  </conditionalFormatting>
  <conditionalFormatting sqref="D607:BG607">
    <cfRule type="expression" dxfId="175" priority="2727">
      <formula>$N$449&lt;&gt;"Y"</formula>
    </cfRule>
  </conditionalFormatting>
  <conditionalFormatting sqref="D608:BG608">
    <cfRule type="expression" dxfId="174" priority="2730">
      <formula>$O$449&lt;&gt;"Y"</formula>
    </cfRule>
  </conditionalFormatting>
  <conditionalFormatting sqref="D609:BG609">
    <cfRule type="expression" dxfId="173" priority="2733">
      <formula>$B$450&lt;&gt;"Y"</formula>
    </cfRule>
  </conditionalFormatting>
  <conditionalFormatting sqref="D610:BG610">
    <cfRule type="expression" dxfId="172" priority="2736">
      <formula>$C$450&lt;&gt;"Y"</formula>
    </cfRule>
  </conditionalFormatting>
  <conditionalFormatting sqref="D611:BG611">
    <cfRule type="expression" dxfId="171" priority="2739">
      <formula>$D$450&lt;&gt;"Y"</formula>
    </cfRule>
  </conditionalFormatting>
  <conditionalFormatting sqref="D612:BG612">
    <cfRule type="expression" dxfId="170" priority="2742">
      <formula>$E$450&lt;&gt;"Y"</formula>
    </cfRule>
  </conditionalFormatting>
  <conditionalFormatting sqref="D613:BG613">
    <cfRule type="expression" dxfId="169" priority="2745">
      <formula>$F$450&lt;&gt;"Y"</formula>
    </cfRule>
  </conditionalFormatting>
  <conditionalFormatting sqref="D614:BG614">
    <cfRule type="expression" dxfId="168" priority="2748">
      <formula>$G$450&lt;&gt;"Y"</formula>
    </cfRule>
  </conditionalFormatting>
  <conditionalFormatting sqref="D615:BG615">
    <cfRule type="expression" dxfId="167" priority="2751">
      <formula>$H$450&lt;&gt;"Y"</formula>
    </cfRule>
  </conditionalFormatting>
  <conditionalFormatting sqref="D616:BG616">
    <cfRule type="expression" dxfId="166" priority="2754">
      <formula>$I$450&lt;&gt;"Y"</formula>
    </cfRule>
  </conditionalFormatting>
  <conditionalFormatting sqref="D617:BG617">
    <cfRule type="expression" dxfId="165" priority="2757">
      <formula>$J$450&lt;&gt;"Y"</formula>
    </cfRule>
  </conditionalFormatting>
  <conditionalFormatting sqref="D618:BG618">
    <cfRule type="expression" dxfId="164" priority="2760">
      <formula>$K$450&lt;&gt;"Y"</formula>
    </cfRule>
  </conditionalFormatting>
  <conditionalFormatting sqref="D619:BG619">
    <cfRule type="expression" dxfId="163" priority="2763">
      <formula>$L$450&lt;&gt;"Y"</formula>
    </cfRule>
  </conditionalFormatting>
  <conditionalFormatting sqref="D620:BG620">
    <cfRule type="expression" dxfId="162" priority="2766">
      <formula>$M$450&lt;&gt;"Y"</formula>
    </cfRule>
  </conditionalFormatting>
  <conditionalFormatting sqref="D621:BG621">
    <cfRule type="expression" dxfId="161" priority="2769">
      <formula>$N$450&lt;&gt;"Y"</formula>
    </cfRule>
  </conditionalFormatting>
  <conditionalFormatting sqref="D622:BG622">
    <cfRule type="expression" dxfId="160" priority="2772">
      <formula>$O$450&lt;&gt;"Y"</formula>
    </cfRule>
  </conditionalFormatting>
  <conditionalFormatting sqref="D623:BG623">
    <cfRule type="expression" dxfId="159" priority="2775">
      <formula>$B$451&lt;&gt;"Y"</formula>
    </cfRule>
  </conditionalFormatting>
  <conditionalFormatting sqref="D624:BG624">
    <cfRule type="expression" dxfId="158" priority="2778">
      <formula>$C$451&lt;&gt;"Y"</formula>
    </cfRule>
  </conditionalFormatting>
  <conditionalFormatting sqref="D625:BG625">
    <cfRule type="expression" dxfId="157" priority="2781">
      <formula>$D$451&lt;&gt;"Y"</formula>
    </cfRule>
  </conditionalFormatting>
  <conditionalFormatting sqref="D626:BG626">
    <cfRule type="expression" dxfId="156" priority="2784">
      <formula>$E$451&lt;&gt;"Y"</formula>
    </cfRule>
  </conditionalFormatting>
  <conditionalFormatting sqref="D627:BG627">
    <cfRule type="expression" dxfId="155" priority="2787">
      <formula>$F$451&lt;&gt;"Y"</formula>
    </cfRule>
  </conditionalFormatting>
  <conditionalFormatting sqref="D628:BG628">
    <cfRule type="expression" dxfId="154" priority="2790">
      <formula>$G$451&lt;&gt;"Y"</formula>
    </cfRule>
  </conditionalFormatting>
  <conditionalFormatting sqref="D629:BG629">
    <cfRule type="expression" dxfId="153" priority="2793">
      <formula>$H$451&lt;&gt;"Y"</formula>
    </cfRule>
  </conditionalFormatting>
  <conditionalFormatting sqref="D630:BG630">
    <cfRule type="expression" dxfId="152" priority="2796">
      <formula>$I$451&lt;&gt;"Y"</formula>
    </cfRule>
  </conditionalFormatting>
  <conditionalFormatting sqref="D631:BG631">
    <cfRule type="expression" dxfId="151" priority="2799">
      <formula>$J$451&lt;&gt;"Y"</formula>
    </cfRule>
  </conditionalFormatting>
  <conditionalFormatting sqref="D632:BG632">
    <cfRule type="expression" dxfId="150" priority="2802">
      <formula>$K$451&lt;&gt;"Y"</formula>
    </cfRule>
  </conditionalFormatting>
  <conditionalFormatting sqref="D633:BG633">
    <cfRule type="expression" dxfId="149" priority="2805">
      <formula>$L$451&lt;&gt;"Y"</formula>
    </cfRule>
  </conditionalFormatting>
  <conditionalFormatting sqref="D634:BG634">
    <cfRule type="expression" dxfId="148" priority="2808">
      <formula>$M$451&lt;&gt;"Y"</formula>
    </cfRule>
  </conditionalFormatting>
  <conditionalFormatting sqref="D635:BG635">
    <cfRule type="expression" dxfId="147" priority="2811">
      <formula>$N$451&lt;&gt;"Y"</formula>
    </cfRule>
  </conditionalFormatting>
  <conditionalFormatting sqref="D636:BG636">
    <cfRule type="expression" dxfId="146" priority="2814">
      <formula>$O$451&lt;&gt;"Y"</formula>
    </cfRule>
  </conditionalFormatting>
  <conditionalFormatting sqref="D637:BG637">
    <cfRule type="expression" dxfId="145" priority="2817">
      <formula>$B$452&lt;&gt;"Y"</formula>
    </cfRule>
  </conditionalFormatting>
  <conditionalFormatting sqref="D638:BG638">
    <cfRule type="expression" dxfId="144" priority="2820">
      <formula>$C$452&lt;&gt;"Y"</formula>
    </cfRule>
  </conditionalFormatting>
  <conditionalFormatting sqref="D639:BG639">
    <cfRule type="expression" dxfId="143" priority="2823">
      <formula>$D$452&lt;&gt;"Y"</formula>
    </cfRule>
  </conditionalFormatting>
  <conditionalFormatting sqref="D640:BG640">
    <cfRule type="expression" dxfId="142" priority="2826">
      <formula>$E$452&lt;&gt;"Y"</formula>
    </cfRule>
  </conditionalFormatting>
  <conditionalFormatting sqref="D641:BG641">
    <cfRule type="expression" dxfId="141" priority="2829">
      <formula>$F$452&lt;&gt;"Y"</formula>
    </cfRule>
  </conditionalFormatting>
  <conditionalFormatting sqref="D642:BG642">
    <cfRule type="expression" dxfId="140" priority="2832">
      <formula>$G$452&lt;&gt;"Y"</formula>
    </cfRule>
  </conditionalFormatting>
  <conditionalFormatting sqref="D643:BG643">
    <cfRule type="expression" dxfId="139" priority="2835">
      <formula>$H$452&lt;&gt;"Y"</formula>
    </cfRule>
  </conditionalFormatting>
  <conditionalFormatting sqref="D644:BG644">
    <cfRule type="expression" dxfId="138" priority="2838">
      <formula>$I$452&lt;&gt;"Y"</formula>
    </cfRule>
  </conditionalFormatting>
  <conditionalFormatting sqref="D645:BG645">
    <cfRule type="expression" dxfId="137" priority="2841">
      <formula>$J$452&lt;&gt;"Y"</formula>
    </cfRule>
  </conditionalFormatting>
  <conditionalFormatting sqref="D646:BG646">
    <cfRule type="expression" dxfId="136" priority="2844">
      <formula>$K$452&lt;&gt;"Y"</formula>
    </cfRule>
  </conditionalFormatting>
  <conditionalFormatting sqref="D647:BG647">
    <cfRule type="expression" dxfId="135" priority="2847">
      <formula>$L$452&lt;&gt;"Y"</formula>
    </cfRule>
  </conditionalFormatting>
  <conditionalFormatting sqref="D648:BG648">
    <cfRule type="expression" dxfId="134" priority="2850">
      <formula>$M$452&lt;&gt;"Y"</formula>
    </cfRule>
  </conditionalFormatting>
  <conditionalFormatting sqref="D649:BG649">
    <cfRule type="expression" dxfId="133" priority="2853">
      <formula>$N$452&lt;&gt;"Y"</formula>
    </cfRule>
  </conditionalFormatting>
  <conditionalFormatting sqref="D650:BG650">
    <cfRule type="expression" dxfId="132" priority="2856">
      <formula>$O$452&lt;&gt;"Y"</formula>
    </cfRule>
  </conditionalFormatting>
  <conditionalFormatting sqref="E5:E7">
    <cfRule type="cellIs" dxfId="131" priority="5" operator="equal">
      <formula>"Y"</formula>
    </cfRule>
    <cfRule type="cellIs" dxfId="130" priority="6" operator="equal">
      <formula>"N"</formula>
    </cfRule>
  </conditionalFormatting>
  <conditionalFormatting sqref="E9:E18">
    <cfRule type="cellIs" dxfId="129" priority="111" operator="equal">
      <formula>"Y"</formula>
    </cfRule>
    <cfRule type="cellIs" dxfId="128" priority="112" operator="equal">
      <formula>"N"</formula>
    </cfRule>
  </conditionalFormatting>
  <conditionalFormatting sqref="E222:E224">
    <cfRule type="cellIs" dxfId="127" priority="957" operator="equal">
      <formula>"Y"</formula>
    </cfRule>
    <cfRule type="cellIs" dxfId="126" priority="958" operator="equal">
      <formula>"N"</formula>
    </cfRule>
  </conditionalFormatting>
  <conditionalFormatting sqref="E226:E235">
    <cfRule type="cellIs" dxfId="125" priority="1063" operator="equal">
      <formula>"Y"</formula>
    </cfRule>
    <cfRule type="cellIs" dxfId="124" priority="1064" operator="equal">
      <formula>"N"</formula>
    </cfRule>
  </conditionalFormatting>
  <conditionalFormatting sqref="E439:E441">
    <cfRule type="cellIs" dxfId="123" priority="1910" operator="equal">
      <formula>"N"</formula>
    </cfRule>
    <cfRule type="cellIs" dxfId="122" priority="1909" operator="equal">
      <formula>"Y"</formula>
    </cfRule>
  </conditionalFormatting>
  <conditionalFormatting sqref="E443:E452">
    <cfRule type="cellIs" dxfId="121" priority="2016" operator="equal">
      <formula>"N"</formula>
    </cfRule>
    <cfRule type="cellIs" dxfId="120" priority="2015" operator="equal">
      <formula>"Y"</formula>
    </cfRule>
  </conditionalFormatting>
  <conditionalFormatting sqref="F5:F8">
    <cfRule type="cellIs" dxfId="119" priority="8" operator="equal">
      <formula>"N"</formula>
    </cfRule>
    <cfRule type="cellIs" dxfId="118" priority="7" operator="equal">
      <formula>"Y"</formula>
    </cfRule>
  </conditionalFormatting>
  <conditionalFormatting sqref="F10:F18">
    <cfRule type="cellIs" dxfId="117" priority="139" operator="equal">
      <formula>"Y"</formula>
    </cfRule>
    <cfRule type="cellIs" dxfId="116" priority="140" operator="equal">
      <formula>"N"</formula>
    </cfRule>
  </conditionalFormatting>
  <conditionalFormatting sqref="F222:F225">
    <cfRule type="cellIs" dxfId="115" priority="959" operator="equal">
      <formula>"Y"</formula>
    </cfRule>
    <cfRule type="cellIs" dxfId="114" priority="960" operator="equal">
      <formula>"N"</formula>
    </cfRule>
  </conditionalFormatting>
  <conditionalFormatting sqref="F227:F235">
    <cfRule type="cellIs" dxfId="113" priority="1092" operator="equal">
      <formula>"N"</formula>
    </cfRule>
    <cfRule type="cellIs" dxfId="112" priority="1091" operator="equal">
      <formula>"Y"</formula>
    </cfRule>
  </conditionalFormatting>
  <conditionalFormatting sqref="F439:F442">
    <cfRule type="cellIs" dxfId="111" priority="1911" operator="equal">
      <formula>"Y"</formula>
    </cfRule>
    <cfRule type="cellIs" dxfId="110" priority="1912" operator="equal">
      <formula>"N"</formula>
    </cfRule>
  </conditionalFormatting>
  <conditionalFormatting sqref="F444:F452">
    <cfRule type="cellIs" dxfId="109" priority="2043" operator="equal">
      <formula>"Y"</formula>
    </cfRule>
    <cfRule type="cellIs" dxfId="108" priority="2044" operator="equal">
      <formula>"N"</formula>
    </cfRule>
  </conditionalFormatting>
  <conditionalFormatting sqref="G5:G9">
    <cfRule type="cellIs" dxfId="107" priority="10" operator="equal">
      <formula>"N"</formula>
    </cfRule>
    <cfRule type="cellIs" dxfId="106" priority="9" operator="equal">
      <formula>"Y"</formula>
    </cfRule>
  </conditionalFormatting>
  <conditionalFormatting sqref="G11:G18">
    <cfRule type="cellIs" dxfId="105" priority="168" operator="equal">
      <formula>"N"</formula>
    </cfRule>
    <cfRule type="cellIs" dxfId="104" priority="167" operator="equal">
      <formula>"Y"</formula>
    </cfRule>
  </conditionalFormatting>
  <conditionalFormatting sqref="G21:G216">
    <cfRule type="expression" dxfId="103" priority="366">
      <formula>AND(COUNTIF(I21:BG21,"&lt;&gt;" &amp; "")&gt;0,NOT(ISBLANK(G21)))</formula>
    </cfRule>
    <cfRule type="expression" dxfId="102" priority="365">
      <formula>COUNTIF(I21:BG21,"&lt;&gt;" &amp; "")&gt;0</formula>
    </cfRule>
  </conditionalFormatting>
  <conditionalFormatting sqref="G222:G226">
    <cfRule type="cellIs" dxfId="101" priority="962" operator="equal">
      <formula>"N"</formula>
    </cfRule>
    <cfRule type="cellIs" dxfId="100" priority="961" operator="equal">
      <formula>"Y"</formula>
    </cfRule>
  </conditionalFormatting>
  <conditionalFormatting sqref="G228:G235">
    <cfRule type="cellIs" dxfId="99" priority="1120" operator="equal">
      <formula>"N"</formula>
    </cfRule>
    <cfRule type="cellIs" dxfId="98" priority="1119" operator="equal">
      <formula>"Y"</formula>
    </cfRule>
  </conditionalFormatting>
  <conditionalFormatting sqref="G238:G433">
    <cfRule type="expression" dxfId="97" priority="1317">
      <formula>COUNTIF(I238:BG238,"&lt;&gt;" &amp; "")&gt;0</formula>
    </cfRule>
    <cfRule type="expression" dxfId="96" priority="1318">
      <formula>AND(COUNTIF(I238:BG238,"&lt;&gt;" &amp; "")&gt;0,NOT(ISBLANK(G238)))</formula>
    </cfRule>
  </conditionalFormatting>
  <conditionalFormatting sqref="G439:G443">
    <cfRule type="cellIs" dxfId="95" priority="1913" operator="equal">
      <formula>"Y"</formula>
    </cfRule>
    <cfRule type="cellIs" dxfId="94" priority="1914" operator="equal">
      <formula>"N"</formula>
    </cfRule>
  </conditionalFormatting>
  <conditionalFormatting sqref="G445:G452">
    <cfRule type="cellIs" dxfId="93" priority="2071" operator="equal">
      <formula>"Y"</formula>
    </cfRule>
    <cfRule type="cellIs" dxfId="92" priority="2072" operator="equal">
      <formula>"N"</formula>
    </cfRule>
  </conditionalFormatting>
  <conditionalFormatting sqref="G455:G650">
    <cfRule type="expression" dxfId="91" priority="2269">
      <formula>COUNTIF(I455:BG455,"&lt;&gt;" &amp; "")&gt;0</formula>
    </cfRule>
    <cfRule type="expression" dxfId="90" priority="2270">
      <formula>AND(COUNTIF(I455:BG455,"&lt;&gt;" &amp; "")&gt;0,NOT(ISBLANK(G455)))</formula>
    </cfRule>
  </conditionalFormatting>
  <conditionalFormatting sqref="H5:H10">
    <cfRule type="cellIs" dxfId="89" priority="11" operator="equal">
      <formula>"Y"</formula>
    </cfRule>
    <cfRule type="cellIs" dxfId="88" priority="12" operator="equal">
      <formula>"N"</formula>
    </cfRule>
  </conditionalFormatting>
  <conditionalFormatting sqref="H12:H18">
    <cfRule type="cellIs" dxfId="87" priority="195" operator="equal">
      <formula>"Y"</formula>
    </cfRule>
    <cfRule type="cellIs" dxfId="86" priority="196" operator="equal">
      <formula>"N"</formula>
    </cfRule>
  </conditionalFormatting>
  <conditionalFormatting sqref="H222:H227">
    <cfRule type="cellIs" dxfId="85" priority="964" operator="equal">
      <formula>"N"</formula>
    </cfRule>
    <cfRule type="cellIs" dxfId="84" priority="963" operator="equal">
      <formula>"Y"</formula>
    </cfRule>
  </conditionalFormatting>
  <conditionalFormatting sqref="H229:H235">
    <cfRule type="cellIs" dxfId="83" priority="1148" operator="equal">
      <formula>"N"</formula>
    </cfRule>
    <cfRule type="cellIs" dxfId="82" priority="1147" operator="equal">
      <formula>"Y"</formula>
    </cfRule>
  </conditionalFormatting>
  <conditionalFormatting sqref="H439:H444">
    <cfRule type="cellIs" dxfId="81" priority="1915" operator="equal">
      <formula>"Y"</formula>
    </cfRule>
    <cfRule type="cellIs" dxfId="80" priority="1916" operator="equal">
      <formula>"N"</formula>
    </cfRule>
  </conditionalFormatting>
  <conditionalFormatting sqref="H446:H452">
    <cfRule type="cellIs" dxfId="79" priority="2099" operator="equal">
      <formula>"Y"</formula>
    </cfRule>
    <cfRule type="cellIs" dxfId="78" priority="2100" operator="equal">
      <formula>"N"</formula>
    </cfRule>
  </conditionalFormatting>
  <conditionalFormatting sqref="I5:I11">
    <cfRule type="cellIs" dxfId="77" priority="14" operator="equal">
      <formula>"N"</formula>
    </cfRule>
    <cfRule type="cellIs" dxfId="76" priority="13" operator="equal">
      <formula>"Y"</formula>
    </cfRule>
  </conditionalFormatting>
  <conditionalFormatting sqref="I13:I18">
    <cfRule type="cellIs" dxfId="75" priority="224" operator="equal">
      <formula>"N"</formula>
    </cfRule>
    <cfRule type="cellIs" dxfId="74" priority="223" operator="equal">
      <formula>"Y"</formula>
    </cfRule>
  </conditionalFormatting>
  <conditionalFormatting sqref="I222:I228">
    <cfRule type="cellIs" dxfId="73" priority="965" operator="equal">
      <formula>"Y"</formula>
    </cfRule>
    <cfRule type="cellIs" dxfId="72" priority="966" operator="equal">
      <formula>"N"</formula>
    </cfRule>
  </conditionalFormatting>
  <conditionalFormatting sqref="I230:I235">
    <cfRule type="cellIs" dxfId="71" priority="1176" operator="equal">
      <formula>"N"</formula>
    </cfRule>
    <cfRule type="cellIs" dxfId="70" priority="1175" operator="equal">
      <formula>"Y"</formula>
    </cfRule>
  </conditionalFormatting>
  <conditionalFormatting sqref="I439:I445">
    <cfRule type="cellIs" dxfId="69" priority="1918" operator="equal">
      <formula>"N"</formula>
    </cfRule>
    <cfRule type="cellIs" dxfId="68" priority="1917" operator="equal">
      <formula>"Y"</formula>
    </cfRule>
  </conditionalFormatting>
  <conditionalFormatting sqref="I447:I452">
    <cfRule type="cellIs" dxfId="67" priority="2128" operator="equal">
      <formula>"N"</formula>
    </cfRule>
    <cfRule type="cellIs" dxfId="66" priority="2127" operator="equal">
      <formula>"Y"</formula>
    </cfRule>
  </conditionalFormatting>
  <conditionalFormatting sqref="J5:J12">
    <cfRule type="cellIs" dxfId="65" priority="16" operator="equal">
      <formula>"N"</formula>
    </cfRule>
    <cfRule type="cellIs" dxfId="64" priority="15" operator="equal">
      <formula>"Y"</formula>
    </cfRule>
  </conditionalFormatting>
  <conditionalFormatting sqref="J14:J18">
    <cfRule type="cellIs" dxfId="63" priority="252" operator="equal">
      <formula>"N"</formula>
    </cfRule>
    <cfRule type="cellIs" dxfId="62" priority="251" operator="equal">
      <formula>"Y"</formula>
    </cfRule>
  </conditionalFormatting>
  <conditionalFormatting sqref="J222:J229">
    <cfRule type="cellIs" dxfId="61" priority="967" operator="equal">
      <formula>"Y"</formula>
    </cfRule>
    <cfRule type="cellIs" dxfId="60" priority="968" operator="equal">
      <formula>"N"</formula>
    </cfRule>
  </conditionalFormatting>
  <conditionalFormatting sqref="J231:J235">
    <cfRule type="cellIs" dxfId="59" priority="1204" operator="equal">
      <formula>"N"</formula>
    </cfRule>
    <cfRule type="cellIs" dxfId="58" priority="1203" operator="equal">
      <formula>"Y"</formula>
    </cfRule>
  </conditionalFormatting>
  <conditionalFormatting sqref="J439:J446">
    <cfRule type="cellIs" dxfId="57" priority="1919" operator="equal">
      <formula>"Y"</formula>
    </cfRule>
    <cfRule type="cellIs" dxfId="56" priority="1920" operator="equal">
      <formula>"N"</formula>
    </cfRule>
  </conditionalFormatting>
  <conditionalFormatting sqref="J448:J452">
    <cfRule type="cellIs" dxfId="55" priority="2155" operator="equal">
      <formula>"Y"</formula>
    </cfRule>
    <cfRule type="cellIs" dxfId="54" priority="2156" operator="equal">
      <formula>"N"</formula>
    </cfRule>
  </conditionalFormatting>
  <conditionalFormatting sqref="K5:K13">
    <cfRule type="cellIs" dxfId="53" priority="18" operator="equal">
      <formula>"N"</formula>
    </cfRule>
    <cfRule type="cellIs" dxfId="52" priority="17" operator="equal">
      <formula>"Y"</formula>
    </cfRule>
  </conditionalFormatting>
  <conditionalFormatting sqref="K15:K18">
    <cfRule type="cellIs" dxfId="51" priority="280" operator="equal">
      <formula>"N"</formula>
    </cfRule>
    <cfRule type="cellIs" dxfId="50" priority="279" operator="equal">
      <formula>"Y"</formula>
    </cfRule>
  </conditionalFormatting>
  <conditionalFormatting sqref="K222:K230">
    <cfRule type="cellIs" dxfId="49" priority="969" operator="equal">
      <formula>"Y"</formula>
    </cfRule>
    <cfRule type="cellIs" dxfId="48" priority="970" operator="equal">
      <formula>"N"</formula>
    </cfRule>
  </conditionalFormatting>
  <conditionalFormatting sqref="K232:K235">
    <cfRule type="cellIs" dxfId="47" priority="1232" operator="equal">
      <formula>"N"</formula>
    </cfRule>
    <cfRule type="cellIs" dxfId="46" priority="1231" operator="equal">
      <formula>"Y"</formula>
    </cfRule>
  </conditionalFormatting>
  <conditionalFormatting sqref="K439:K447">
    <cfRule type="cellIs" dxfId="45" priority="1922" operator="equal">
      <formula>"N"</formula>
    </cfRule>
    <cfRule type="cellIs" dxfId="44" priority="1921" operator="equal">
      <formula>"Y"</formula>
    </cfRule>
  </conditionalFormatting>
  <conditionalFormatting sqref="K449:K452">
    <cfRule type="cellIs" dxfId="43" priority="2183" operator="equal">
      <formula>"Y"</formula>
    </cfRule>
    <cfRule type="cellIs" dxfId="42" priority="2184" operator="equal">
      <formula>"N"</formula>
    </cfRule>
  </conditionalFormatting>
  <conditionalFormatting sqref="L5:L14">
    <cfRule type="cellIs" dxfId="41" priority="20" operator="equal">
      <formula>"N"</formula>
    </cfRule>
    <cfRule type="cellIs" dxfId="40" priority="19" operator="equal">
      <formula>"Y"</formula>
    </cfRule>
  </conditionalFormatting>
  <conditionalFormatting sqref="L16:L18">
    <cfRule type="cellIs" dxfId="39" priority="307" operator="equal">
      <formula>"Y"</formula>
    </cfRule>
    <cfRule type="cellIs" dxfId="38" priority="308" operator="equal">
      <formula>"N"</formula>
    </cfRule>
  </conditionalFormatting>
  <conditionalFormatting sqref="L222:L231">
    <cfRule type="cellIs" dxfId="37" priority="971" operator="equal">
      <formula>"Y"</formula>
    </cfRule>
    <cfRule type="cellIs" dxfId="36" priority="972" operator="equal">
      <formula>"N"</formula>
    </cfRule>
  </conditionalFormatting>
  <conditionalFormatting sqref="L233:L235">
    <cfRule type="cellIs" dxfId="35" priority="1260" operator="equal">
      <formula>"N"</formula>
    </cfRule>
    <cfRule type="cellIs" dxfId="34" priority="1259" operator="equal">
      <formula>"Y"</formula>
    </cfRule>
  </conditionalFormatting>
  <conditionalFormatting sqref="L439:L448">
    <cfRule type="cellIs" dxfId="33" priority="1923" operator="equal">
      <formula>"Y"</formula>
    </cfRule>
    <cfRule type="cellIs" dxfId="32" priority="1924" operator="equal">
      <formula>"N"</formula>
    </cfRule>
  </conditionalFormatting>
  <conditionalFormatting sqref="L450:L452">
    <cfRule type="cellIs" dxfId="31" priority="2211" operator="equal">
      <formula>"Y"</formula>
    </cfRule>
    <cfRule type="cellIs" dxfId="30" priority="2212" operator="equal">
      <formula>"N"</formula>
    </cfRule>
  </conditionalFormatting>
  <conditionalFormatting sqref="M5:M15">
    <cfRule type="cellIs" dxfId="29" priority="22" operator="equal">
      <formula>"N"</formula>
    </cfRule>
    <cfRule type="cellIs" dxfId="28" priority="21" operator="equal">
      <formula>"Y"</formula>
    </cfRule>
  </conditionalFormatting>
  <conditionalFormatting sqref="M17:M18">
    <cfRule type="cellIs" dxfId="27" priority="336" operator="equal">
      <formula>"N"</formula>
    </cfRule>
    <cfRule type="cellIs" dxfId="26" priority="335" operator="equal">
      <formula>"Y"</formula>
    </cfRule>
  </conditionalFormatting>
  <conditionalFormatting sqref="M222:M232">
    <cfRule type="cellIs" dxfId="25" priority="973" operator="equal">
      <formula>"Y"</formula>
    </cfRule>
    <cfRule type="cellIs" dxfId="24" priority="974" operator="equal">
      <formula>"N"</formula>
    </cfRule>
  </conditionalFormatting>
  <conditionalFormatting sqref="M234:M235">
    <cfRule type="cellIs" dxfId="23" priority="1287" operator="equal">
      <formula>"Y"</formula>
    </cfRule>
    <cfRule type="cellIs" dxfId="22" priority="1288" operator="equal">
      <formula>"N"</formula>
    </cfRule>
  </conditionalFormatting>
  <conditionalFormatting sqref="M439:M449">
    <cfRule type="cellIs" dxfId="21" priority="1926" operator="equal">
      <formula>"N"</formula>
    </cfRule>
    <cfRule type="cellIs" dxfId="20" priority="1925" operator="equal">
      <formula>"Y"</formula>
    </cfRule>
  </conditionalFormatting>
  <conditionalFormatting sqref="M451:M452">
    <cfRule type="cellIs" dxfId="19" priority="2239" operator="equal">
      <formula>"Y"</formula>
    </cfRule>
    <cfRule type="cellIs" dxfId="18" priority="2240" operator="equal">
      <formula>"N"</formula>
    </cfRule>
  </conditionalFormatting>
  <conditionalFormatting sqref="N5:N16">
    <cfRule type="cellIs" dxfId="17" priority="23" operator="equal">
      <formula>"Y"</formula>
    </cfRule>
    <cfRule type="cellIs" dxfId="16" priority="24" operator="equal">
      <formula>"N"</formula>
    </cfRule>
  </conditionalFormatting>
  <conditionalFormatting sqref="N18">
    <cfRule type="cellIs" dxfId="15" priority="363" operator="equal">
      <formula>"Y"</formula>
    </cfRule>
    <cfRule type="cellIs" dxfId="14" priority="364" operator="equal">
      <formula>"N"</formula>
    </cfRule>
  </conditionalFormatting>
  <conditionalFormatting sqref="N222:N233">
    <cfRule type="cellIs" dxfId="13" priority="976" operator="equal">
      <formula>"N"</formula>
    </cfRule>
    <cfRule type="cellIs" dxfId="12" priority="975" operator="equal">
      <formula>"Y"</formula>
    </cfRule>
  </conditionalFormatting>
  <conditionalFormatting sqref="N235">
    <cfRule type="cellIs" dxfId="11" priority="1315" operator="equal">
      <formula>"Y"</formula>
    </cfRule>
    <cfRule type="cellIs" dxfId="10" priority="1316" operator="equal">
      <formula>"N"</formula>
    </cfRule>
  </conditionalFormatting>
  <conditionalFormatting sqref="N439:N450">
    <cfRule type="cellIs" dxfId="9" priority="1927" operator="equal">
      <formula>"Y"</formula>
    </cfRule>
    <cfRule type="cellIs" dxfId="8" priority="1928" operator="equal">
      <formula>"N"</formula>
    </cfRule>
  </conditionalFormatting>
  <conditionalFormatting sqref="N452">
    <cfRule type="cellIs" dxfId="7" priority="2267" operator="equal">
      <formula>"Y"</formula>
    </cfRule>
    <cfRule type="cellIs" dxfId="6" priority="2268" operator="equal">
      <formula>"N"</formula>
    </cfRule>
  </conditionalFormatting>
  <conditionalFormatting sqref="O5:O17">
    <cfRule type="cellIs" dxfId="5" priority="26" operator="equal">
      <formula>"N"</formula>
    </cfRule>
    <cfRule type="cellIs" dxfId="4" priority="25" operator="equal">
      <formula>"Y"</formula>
    </cfRule>
  </conditionalFormatting>
  <conditionalFormatting sqref="O222:O234">
    <cfRule type="cellIs" dxfId="3" priority="978" operator="equal">
      <formula>"N"</formula>
    </cfRule>
    <cfRule type="cellIs" dxfId="2" priority="977" operator="equal">
      <formula>"Y"</formula>
    </cfRule>
  </conditionalFormatting>
  <conditionalFormatting sqref="O439:O451">
    <cfRule type="cellIs" dxfId="1" priority="1929" operator="equal">
      <formula>"Y"</formula>
    </cfRule>
    <cfRule type="cellIs" dxfId="0" priority="1930" operator="equal">
      <formula>"N"</formula>
    </cfRule>
  </conditionalFormatting>
  <dataValidations count="3">
    <dataValidation type="list" allowBlank="1" showInputMessage="1" showErrorMessage="1" sqref="B5 O452 N451 M450 L449 K448 J447 I446 H445 G444 F443 E442 D441 C440 B439 O235 N234 M233 L232 K231 J230 I229 H228 G227 F226 E225 D224 C223 B222 O18 N17 M16 L15 K14 J13 I12 H11 G10 F9 E8 D7 C6" xr:uid="{00000000-0002-0000-1000-000000000000}">
      <formula1>"N.A."</formula1>
    </dataValidation>
    <dataValidation type="list" allowBlank="1" showInputMessage="1" showErrorMessage="1" sqref="N452 O451 M451:M452 N450:O450 L450:L452 M449:O449 K449:K452 L448:O448 J448:J452 K447:O447 I447:I452 J446:O446 H446:H452 I445:O445 G445:G452 H444:O444 F444:F452 G443:O443 E443:E452 F442:O442 D442:D452 E441:O441 C441:C452 D440:O440 B440:B452 C439:O439 N235 O234 M234:M235 N233:O233 L233:L235 M232:O232 K232:K235 L231:O231 J231:J235 K230:O230 I230:I235 J229:O229 H229:H235 I228:O228 G228:G235 H227:O227 F227:F235 G226:O226 E226:E235 F225:O225 D225:D235 E224:O224 C224:C235 D223:O223 B223:B235 C222:O222 N18 O17 M17:M18 N16:O16 L16:L18 M15:O15 K15:K18 L14:O14 J14:J18 K13:O13 I13:I18 J12:O12 H12:H18 I11:O11 G11:G18 H10:O10 F10:F18 G9:O9 E9:E18 F8:O8 D8:D18 E7:O7 C7:C18 D6:O6 B6:B18 C5:O5" xr:uid="{00000000-0002-0000-1000-000001000000}">
      <formula1>"Y,N"</formula1>
    </dataValidation>
    <dataValidation type="list" allowBlank="1" showInputMessage="1" showErrorMessage="1" sqref="E455:E650 E238:E433 E21:E216" xr:uid="{00000000-0002-0000-1000-0000C4000000}">
      <formula1>"Number (years),Rate (per year),Duration (years)"</formula1>
    </dataValidation>
  </dataValidations>
  <hyperlinks>
    <hyperlink ref="C5" location="Transfers!B22" display="N" xr:uid="{00000000-0004-0000-1000-000000000000}"/>
    <hyperlink ref="D5" location="Transfers!B23" display="N" xr:uid="{00000000-0004-0000-1000-000001000000}"/>
    <hyperlink ref="E5" location="Transfers!B24" display="N" xr:uid="{00000000-0004-0000-1000-000002000000}"/>
    <hyperlink ref="F5" location="Transfers!B25" display="N" xr:uid="{00000000-0004-0000-1000-000003000000}"/>
    <hyperlink ref="G5" location="Transfers!B26" display="N" xr:uid="{00000000-0004-0000-1000-000004000000}"/>
    <hyperlink ref="H5" location="Transfers!B27" display="N" xr:uid="{00000000-0004-0000-1000-000005000000}"/>
    <hyperlink ref="I5" location="Transfers!B28" display="N" xr:uid="{00000000-0004-0000-1000-000006000000}"/>
    <hyperlink ref="J5" location="Transfers!B29" display="N" xr:uid="{00000000-0004-0000-1000-000007000000}"/>
    <hyperlink ref="K5" location="Transfers!B30" display="N" xr:uid="{00000000-0004-0000-1000-000008000000}"/>
    <hyperlink ref="L5" location="Transfers!B31" display="N" xr:uid="{00000000-0004-0000-1000-000009000000}"/>
    <hyperlink ref="M5" location="Transfers!B32" display="N" xr:uid="{00000000-0004-0000-1000-00000A000000}"/>
    <hyperlink ref="N5" location="Transfers!B33" display="N" xr:uid="{00000000-0004-0000-1000-00000B000000}"/>
    <hyperlink ref="O5" location="Transfers!B34" display="N" xr:uid="{00000000-0004-0000-1000-00000C000000}"/>
    <hyperlink ref="B6" location="Transfers!B35" display="N" xr:uid="{00000000-0004-0000-1000-00000D000000}"/>
    <hyperlink ref="D6" location="Transfers!B37" display="N" xr:uid="{00000000-0004-0000-1000-00000E000000}"/>
    <hyperlink ref="E6" location="Transfers!B38" display="N" xr:uid="{00000000-0004-0000-1000-00000F000000}"/>
    <hyperlink ref="F6" location="Transfers!B39" display="N" xr:uid="{00000000-0004-0000-1000-000010000000}"/>
    <hyperlink ref="G6" location="Transfers!B40" display="N" xr:uid="{00000000-0004-0000-1000-000011000000}"/>
    <hyperlink ref="H6" location="Transfers!B41" display="N" xr:uid="{00000000-0004-0000-1000-000012000000}"/>
    <hyperlink ref="I6" location="Transfers!B42" display="N" xr:uid="{00000000-0004-0000-1000-000013000000}"/>
    <hyperlink ref="J6" location="Transfers!B43" display="N" xr:uid="{00000000-0004-0000-1000-000014000000}"/>
    <hyperlink ref="K6" location="Transfers!B44" display="N" xr:uid="{00000000-0004-0000-1000-000015000000}"/>
    <hyperlink ref="L6" location="Transfers!B45" display="N" xr:uid="{00000000-0004-0000-1000-000016000000}"/>
    <hyperlink ref="M6" location="Transfers!B46" display="N" xr:uid="{00000000-0004-0000-1000-000017000000}"/>
    <hyperlink ref="N6" location="Transfers!B47" display="N" xr:uid="{00000000-0004-0000-1000-000018000000}"/>
    <hyperlink ref="O6" location="Transfers!B48" display="N" xr:uid="{00000000-0004-0000-1000-000019000000}"/>
    <hyperlink ref="B7" location="Transfers!B49" display="N" xr:uid="{00000000-0004-0000-1000-00001A000000}"/>
    <hyperlink ref="C7" location="Transfers!B50" display="N" xr:uid="{00000000-0004-0000-1000-00001B000000}"/>
    <hyperlink ref="E7" location="Transfers!B52" display="N" xr:uid="{00000000-0004-0000-1000-00001C000000}"/>
    <hyperlink ref="F7" location="Transfers!B53" display="Y" xr:uid="{00000000-0004-0000-1000-00001D000000}"/>
    <hyperlink ref="G7" location="Transfers!B54" display="N" xr:uid="{00000000-0004-0000-1000-00001E000000}"/>
    <hyperlink ref="H7" location="Transfers!B55" display="N" xr:uid="{00000000-0004-0000-1000-00001F000000}"/>
    <hyperlink ref="I7" location="Transfers!B56" display="N" xr:uid="{00000000-0004-0000-1000-000020000000}"/>
    <hyperlink ref="J7" location="Transfers!B57" display="N" xr:uid="{00000000-0004-0000-1000-000021000000}"/>
    <hyperlink ref="K7" location="Transfers!B58" display="N" xr:uid="{00000000-0004-0000-1000-000022000000}"/>
    <hyperlink ref="L7" location="Transfers!B59" display="N" xr:uid="{00000000-0004-0000-1000-000023000000}"/>
    <hyperlink ref="M7" location="Transfers!B60" display="N" xr:uid="{00000000-0004-0000-1000-000024000000}"/>
    <hyperlink ref="N7" location="Transfers!B61" display="N" xr:uid="{00000000-0004-0000-1000-000025000000}"/>
    <hyperlink ref="O7" location="Transfers!B62" display="N" xr:uid="{00000000-0004-0000-1000-000026000000}"/>
    <hyperlink ref="B8" location="Transfers!B63" display="N" xr:uid="{00000000-0004-0000-1000-000027000000}"/>
    <hyperlink ref="C8" location="Transfers!B64" display="N" xr:uid="{00000000-0004-0000-1000-000028000000}"/>
    <hyperlink ref="D8" location="Transfers!B65" display="N" xr:uid="{00000000-0004-0000-1000-000029000000}"/>
    <hyperlink ref="F8" location="Transfers!B67" display="N" xr:uid="{00000000-0004-0000-1000-00002A000000}"/>
    <hyperlink ref="G8" location="Transfers!B68" display="Y" xr:uid="{00000000-0004-0000-1000-00002B000000}"/>
    <hyperlink ref="H8" location="Transfers!B69" display="N" xr:uid="{00000000-0004-0000-1000-00002C000000}"/>
    <hyperlink ref="I8" location="Transfers!B70" display="N" xr:uid="{00000000-0004-0000-1000-00002D000000}"/>
    <hyperlink ref="J8" location="Transfers!B71" display="N" xr:uid="{00000000-0004-0000-1000-00002E000000}"/>
    <hyperlink ref="K8" location="Transfers!B72" display="N" xr:uid="{00000000-0004-0000-1000-00002F000000}"/>
    <hyperlink ref="L8" location="Transfers!B73" display="N" xr:uid="{00000000-0004-0000-1000-000030000000}"/>
    <hyperlink ref="M8" location="Transfers!B74" display="N" xr:uid="{00000000-0004-0000-1000-000031000000}"/>
    <hyperlink ref="N8" location="Transfers!B75" display="N" xr:uid="{00000000-0004-0000-1000-000032000000}"/>
    <hyperlink ref="O8" location="Transfers!B76" display="N" xr:uid="{00000000-0004-0000-1000-000033000000}"/>
    <hyperlink ref="B9" location="Transfers!B77" display="N" xr:uid="{00000000-0004-0000-1000-000034000000}"/>
    <hyperlink ref="C9" location="Transfers!B78" display="N" xr:uid="{00000000-0004-0000-1000-000035000000}"/>
    <hyperlink ref="D9" location="Transfers!B79" display="N" xr:uid="{00000000-0004-0000-1000-000036000000}"/>
    <hyperlink ref="E9" location="Transfers!B80" display="N" xr:uid="{00000000-0004-0000-1000-000037000000}"/>
    <hyperlink ref="G9" location="Transfers!B82" display="N" xr:uid="{00000000-0004-0000-1000-000038000000}"/>
    <hyperlink ref="H9" location="Transfers!B83" display="Y" xr:uid="{00000000-0004-0000-1000-000039000000}"/>
    <hyperlink ref="I9" location="Transfers!B84" display="N" xr:uid="{00000000-0004-0000-1000-00003A000000}"/>
    <hyperlink ref="J9" location="Transfers!B85" display="N" xr:uid="{00000000-0004-0000-1000-00003B000000}"/>
    <hyperlink ref="K9" location="Transfers!B86" display="N" xr:uid="{00000000-0004-0000-1000-00003C000000}"/>
    <hyperlink ref="L9" location="Transfers!B87" display="N" xr:uid="{00000000-0004-0000-1000-00003D000000}"/>
    <hyperlink ref="M9" location="Transfers!B88" display="N" xr:uid="{00000000-0004-0000-1000-00003E000000}"/>
    <hyperlink ref="N9" location="Transfers!B89" display="N" xr:uid="{00000000-0004-0000-1000-00003F000000}"/>
    <hyperlink ref="O9" location="Transfers!B90" display="N" xr:uid="{00000000-0004-0000-1000-000040000000}"/>
    <hyperlink ref="B10" location="Transfers!B91" display="N" xr:uid="{00000000-0004-0000-1000-000041000000}"/>
    <hyperlink ref="C10" location="Transfers!B92" display="N" xr:uid="{00000000-0004-0000-1000-000042000000}"/>
    <hyperlink ref="D10" location="Transfers!B93" display="N" xr:uid="{00000000-0004-0000-1000-000043000000}"/>
    <hyperlink ref="E10" location="Transfers!B94" display="N" xr:uid="{00000000-0004-0000-1000-000044000000}"/>
    <hyperlink ref="F10" location="Transfers!B95" display="N" xr:uid="{00000000-0004-0000-1000-000045000000}"/>
    <hyperlink ref="H10" location="Transfers!B97" display="N" xr:uid="{00000000-0004-0000-1000-000046000000}"/>
    <hyperlink ref="I10" location="Transfers!B98" display="Y" xr:uid="{00000000-0004-0000-1000-000047000000}"/>
    <hyperlink ref="J10" location="Transfers!B99" display="N" xr:uid="{00000000-0004-0000-1000-000048000000}"/>
    <hyperlink ref="K10" location="Transfers!B100" display="N" xr:uid="{00000000-0004-0000-1000-000049000000}"/>
    <hyperlink ref="L10" location="Transfers!B101" display="N" xr:uid="{00000000-0004-0000-1000-00004A000000}"/>
    <hyperlink ref="M10" location="Transfers!B102" display="N" xr:uid="{00000000-0004-0000-1000-00004B000000}"/>
    <hyperlink ref="N10" location="Transfers!B103" display="N" xr:uid="{00000000-0004-0000-1000-00004C000000}"/>
    <hyperlink ref="O10" location="Transfers!B104" display="N" xr:uid="{00000000-0004-0000-1000-00004D000000}"/>
    <hyperlink ref="B11" location="Transfers!B105" display="N" xr:uid="{00000000-0004-0000-1000-00004E000000}"/>
    <hyperlink ref="C11" location="Transfers!B106" display="N" xr:uid="{00000000-0004-0000-1000-00004F000000}"/>
    <hyperlink ref="D11" location="Transfers!B107" display="N" xr:uid="{00000000-0004-0000-1000-000050000000}"/>
    <hyperlink ref="E11" location="Transfers!B108" display="N" xr:uid="{00000000-0004-0000-1000-000051000000}"/>
    <hyperlink ref="F11" location="Transfers!B109" display="N" xr:uid="{00000000-0004-0000-1000-000052000000}"/>
    <hyperlink ref="G11" location="Transfers!B110" display="N" xr:uid="{00000000-0004-0000-1000-000053000000}"/>
    <hyperlink ref="I11" location="Transfers!B112" display="N" xr:uid="{00000000-0004-0000-1000-000054000000}"/>
    <hyperlink ref="J11" location="Transfers!B113" display="Y" xr:uid="{00000000-0004-0000-1000-000055000000}"/>
    <hyperlink ref="K11" location="Transfers!B114" display="N" xr:uid="{00000000-0004-0000-1000-000056000000}"/>
    <hyperlink ref="L11" location="Transfers!B115" display="N" xr:uid="{00000000-0004-0000-1000-000057000000}"/>
    <hyperlink ref="M11" location="Transfers!B116" display="N" xr:uid="{00000000-0004-0000-1000-000058000000}"/>
    <hyperlink ref="N11" location="Transfers!B117" display="N" xr:uid="{00000000-0004-0000-1000-000059000000}"/>
    <hyperlink ref="O11" location="Transfers!B118" display="N" xr:uid="{00000000-0004-0000-1000-00005A000000}"/>
    <hyperlink ref="B12" location="Transfers!B119" display="N" xr:uid="{00000000-0004-0000-1000-00005B000000}"/>
    <hyperlink ref="C12" location="Transfers!B120" display="N" xr:uid="{00000000-0004-0000-1000-00005C000000}"/>
    <hyperlink ref="D12" location="Transfers!B121" display="N" xr:uid="{00000000-0004-0000-1000-00005D000000}"/>
    <hyperlink ref="E12" location="Transfers!B122" display="N" xr:uid="{00000000-0004-0000-1000-00005E000000}"/>
    <hyperlink ref="F12" location="Transfers!B123" display="N" xr:uid="{00000000-0004-0000-1000-00005F000000}"/>
    <hyperlink ref="G12" location="Transfers!B124" display="N" xr:uid="{00000000-0004-0000-1000-000060000000}"/>
    <hyperlink ref="H12" location="Transfers!B125" display="N" xr:uid="{00000000-0004-0000-1000-000061000000}"/>
    <hyperlink ref="J12" location="Transfers!B127" display="N" xr:uid="{00000000-0004-0000-1000-000062000000}"/>
    <hyperlink ref="K12" location="Transfers!B128" display="Y" xr:uid="{00000000-0004-0000-1000-000063000000}"/>
    <hyperlink ref="L12" location="Transfers!B129" display="N" xr:uid="{00000000-0004-0000-1000-000064000000}"/>
    <hyperlink ref="M12" location="Transfers!B130" display="N" xr:uid="{00000000-0004-0000-1000-000065000000}"/>
    <hyperlink ref="N12" location="Transfers!B131" display="N" xr:uid="{00000000-0004-0000-1000-000066000000}"/>
    <hyperlink ref="O12" location="Transfers!B132" display="N" xr:uid="{00000000-0004-0000-1000-000067000000}"/>
    <hyperlink ref="B13" location="Transfers!B133" display="N" xr:uid="{00000000-0004-0000-1000-000068000000}"/>
    <hyperlink ref="C13" location="Transfers!B134" display="N" xr:uid="{00000000-0004-0000-1000-000069000000}"/>
    <hyperlink ref="D13" location="Transfers!B135" display="N" xr:uid="{00000000-0004-0000-1000-00006A000000}"/>
    <hyperlink ref="E13" location="Transfers!B136" display="N" xr:uid="{00000000-0004-0000-1000-00006B000000}"/>
    <hyperlink ref="F13" location="Transfers!B137" display="N" xr:uid="{00000000-0004-0000-1000-00006C000000}"/>
    <hyperlink ref="G13" location="Transfers!B138" display="N" xr:uid="{00000000-0004-0000-1000-00006D000000}"/>
    <hyperlink ref="H13" location="Transfers!B139" display="N" xr:uid="{00000000-0004-0000-1000-00006E000000}"/>
    <hyperlink ref="I13" location="Transfers!B140" display="N" xr:uid="{00000000-0004-0000-1000-00006F000000}"/>
    <hyperlink ref="K13" location="Transfers!B142" display="N" xr:uid="{00000000-0004-0000-1000-000070000000}"/>
    <hyperlink ref="L13" location="Transfers!B143" display="N" xr:uid="{00000000-0004-0000-1000-000071000000}"/>
    <hyperlink ref="M13" location="Transfers!B144" display="N" xr:uid="{00000000-0004-0000-1000-000072000000}"/>
    <hyperlink ref="N13" location="Transfers!B145" display="N" xr:uid="{00000000-0004-0000-1000-000073000000}"/>
    <hyperlink ref="O13" location="Transfers!B146" display="N" xr:uid="{00000000-0004-0000-1000-000074000000}"/>
    <hyperlink ref="B14" location="Transfers!B147" display="N" xr:uid="{00000000-0004-0000-1000-000075000000}"/>
    <hyperlink ref="C14" location="Transfers!B148" display="N" xr:uid="{00000000-0004-0000-1000-000076000000}"/>
    <hyperlink ref="D14" location="Transfers!B149" display="N" xr:uid="{00000000-0004-0000-1000-000077000000}"/>
    <hyperlink ref="E14" location="Transfers!B150" display="N" xr:uid="{00000000-0004-0000-1000-000078000000}"/>
    <hyperlink ref="F14" location="Transfers!B151" display="N" xr:uid="{00000000-0004-0000-1000-000079000000}"/>
    <hyperlink ref="G14" location="Transfers!B152" display="N" xr:uid="{00000000-0004-0000-1000-00007A000000}"/>
    <hyperlink ref="H14" location="Transfers!B153" display="N" xr:uid="{00000000-0004-0000-1000-00007B000000}"/>
    <hyperlink ref="I14" location="Transfers!B154" display="N" xr:uid="{00000000-0004-0000-1000-00007C000000}"/>
    <hyperlink ref="J14" location="Transfers!B155" display="N" xr:uid="{00000000-0004-0000-1000-00007D000000}"/>
    <hyperlink ref="L14" location="Transfers!B157" display="N" xr:uid="{00000000-0004-0000-1000-00007E000000}"/>
    <hyperlink ref="M14" location="Transfers!B158" display="N" xr:uid="{00000000-0004-0000-1000-00007F000000}"/>
    <hyperlink ref="N14" location="Transfers!B159" display="N" xr:uid="{00000000-0004-0000-1000-000080000000}"/>
    <hyperlink ref="O14" location="Transfers!B160" display="N" xr:uid="{00000000-0004-0000-1000-000081000000}"/>
    <hyperlink ref="B15" location="Transfers!B161" display="N" xr:uid="{00000000-0004-0000-1000-000082000000}"/>
    <hyperlink ref="C15" location="Transfers!B162" display="N" xr:uid="{00000000-0004-0000-1000-000083000000}"/>
    <hyperlink ref="D15" location="Transfers!B163" display="N" xr:uid="{00000000-0004-0000-1000-000084000000}"/>
    <hyperlink ref="E15" location="Transfers!B164" display="N" xr:uid="{00000000-0004-0000-1000-000085000000}"/>
    <hyperlink ref="F15" location="Transfers!B165" display="N" xr:uid="{00000000-0004-0000-1000-000086000000}"/>
    <hyperlink ref="G15" location="Transfers!B166" display="N" xr:uid="{00000000-0004-0000-1000-000087000000}"/>
    <hyperlink ref="H15" location="Transfers!B167" display="N" xr:uid="{00000000-0004-0000-1000-000088000000}"/>
    <hyperlink ref="I15" location="Transfers!B168" display="N" xr:uid="{00000000-0004-0000-1000-000089000000}"/>
    <hyperlink ref="J15" location="Transfers!B169" display="N" xr:uid="{00000000-0004-0000-1000-00008A000000}"/>
    <hyperlink ref="K15" location="Transfers!B170" display="N" xr:uid="{00000000-0004-0000-1000-00008B000000}"/>
    <hyperlink ref="M15" location="Transfers!B172" display="N" xr:uid="{00000000-0004-0000-1000-00008C000000}"/>
    <hyperlink ref="N15" location="Transfers!B173" display="N" xr:uid="{00000000-0004-0000-1000-00008D000000}"/>
    <hyperlink ref="O15" location="Transfers!B174" display="N" xr:uid="{00000000-0004-0000-1000-00008E000000}"/>
    <hyperlink ref="B16" location="Transfers!B175" display="N" xr:uid="{00000000-0004-0000-1000-00008F000000}"/>
    <hyperlink ref="C16" location="Transfers!B176" display="N" xr:uid="{00000000-0004-0000-1000-000090000000}"/>
    <hyperlink ref="D16" location="Transfers!B177" display="N" xr:uid="{00000000-0004-0000-1000-000091000000}"/>
    <hyperlink ref="E16" location="Transfers!B178" display="N" xr:uid="{00000000-0004-0000-1000-000092000000}"/>
    <hyperlink ref="F16" location="Transfers!B179" display="N" xr:uid="{00000000-0004-0000-1000-000093000000}"/>
    <hyperlink ref="G16" location="Transfers!B180" display="N" xr:uid="{00000000-0004-0000-1000-000094000000}"/>
    <hyperlink ref="H16" location="Transfers!B181" display="N" xr:uid="{00000000-0004-0000-1000-000095000000}"/>
    <hyperlink ref="I16" location="Transfers!B182" display="N" xr:uid="{00000000-0004-0000-1000-000096000000}"/>
    <hyperlink ref="J16" location="Transfers!B183" display="N" xr:uid="{00000000-0004-0000-1000-000097000000}"/>
    <hyperlink ref="K16" location="Transfers!B184" display="N" xr:uid="{00000000-0004-0000-1000-000098000000}"/>
    <hyperlink ref="L16" location="Transfers!B185" display="N" xr:uid="{00000000-0004-0000-1000-000099000000}"/>
    <hyperlink ref="N16" location="Transfers!B187" display="N" xr:uid="{00000000-0004-0000-1000-00009A000000}"/>
    <hyperlink ref="O16" location="Transfers!B188" display="N" xr:uid="{00000000-0004-0000-1000-00009B000000}"/>
    <hyperlink ref="B17" location="Transfers!B189" display="N" xr:uid="{00000000-0004-0000-1000-00009C000000}"/>
    <hyperlink ref="C17" location="Transfers!B190" display="N" xr:uid="{00000000-0004-0000-1000-00009D000000}"/>
    <hyperlink ref="D17" location="Transfers!B191" display="N" xr:uid="{00000000-0004-0000-1000-00009E000000}"/>
    <hyperlink ref="E17" location="Transfers!B192" display="N" xr:uid="{00000000-0004-0000-1000-00009F000000}"/>
    <hyperlink ref="F17" location="Transfers!B193" display="N" xr:uid="{00000000-0004-0000-1000-0000A0000000}"/>
    <hyperlink ref="G17" location="Transfers!B194" display="N" xr:uid="{00000000-0004-0000-1000-0000A1000000}"/>
    <hyperlink ref="H17" location="Transfers!B195" display="N" xr:uid="{00000000-0004-0000-1000-0000A2000000}"/>
    <hyperlink ref="I17" location="Transfers!B196" display="N" xr:uid="{00000000-0004-0000-1000-0000A3000000}"/>
    <hyperlink ref="J17" location="Transfers!B197" display="N" xr:uid="{00000000-0004-0000-1000-0000A4000000}"/>
    <hyperlink ref="K17" location="Transfers!B198" display="N" xr:uid="{00000000-0004-0000-1000-0000A5000000}"/>
    <hyperlink ref="L17" location="Transfers!B199" display="N" xr:uid="{00000000-0004-0000-1000-0000A6000000}"/>
    <hyperlink ref="M17" location="Transfers!B200" display="N" xr:uid="{00000000-0004-0000-1000-0000A7000000}"/>
    <hyperlink ref="O17" location="Transfers!B202" display="N" xr:uid="{00000000-0004-0000-1000-0000A8000000}"/>
    <hyperlink ref="B18" location="Transfers!B203" display="N" xr:uid="{00000000-0004-0000-1000-0000A9000000}"/>
    <hyperlink ref="C18" location="Transfers!B204" display="N" xr:uid="{00000000-0004-0000-1000-0000AA000000}"/>
    <hyperlink ref="D18" location="Transfers!B205" display="N" xr:uid="{00000000-0004-0000-1000-0000AB000000}"/>
    <hyperlink ref="E18" location="Transfers!B206" display="N" xr:uid="{00000000-0004-0000-1000-0000AC000000}"/>
    <hyperlink ref="F18" location="Transfers!B207" display="N" xr:uid="{00000000-0004-0000-1000-0000AD000000}"/>
    <hyperlink ref="G18" location="Transfers!B208" display="N" xr:uid="{00000000-0004-0000-1000-0000AE000000}"/>
    <hyperlink ref="H18" location="Transfers!B209" display="N" xr:uid="{00000000-0004-0000-1000-0000AF000000}"/>
    <hyperlink ref="I18" location="Transfers!B210" display="N" xr:uid="{00000000-0004-0000-1000-0000B0000000}"/>
    <hyperlink ref="J18" location="Transfers!B211" display="N" xr:uid="{00000000-0004-0000-1000-0000B1000000}"/>
    <hyperlink ref="K18" location="Transfers!B212" display="N" xr:uid="{00000000-0004-0000-1000-0000B2000000}"/>
    <hyperlink ref="L18" location="Transfers!B213" display="N" xr:uid="{00000000-0004-0000-1000-0000B3000000}"/>
    <hyperlink ref="M18" location="Transfers!B214" display="N" xr:uid="{00000000-0004-0000-1000-0000B4000000}"/>
    <hyperlink ref="N18" location="Transfers!B215" display="N" xr:uid="{00000000-0004-0000-1000-0000B5000000}"/>
    <hyperlink ref="B22" location="Transfers!$C$5" display="Transfers!$C$5" xr:uid="{00000000-0004-0000-1000-0000B6000000}"/>
    <hyperlink ref="B23" location="Transfers!$D$5" display="Transfers!$D$5" xr:uid="{00000000-0004-0000-1000-0000B7000000}"/>
    <hyperlink ref="B24" location="Transfers!$E$5" display="Transfers!$E$5" xr:uid="{00000000-0004-0000-1000-0000B8000000}"/>
    <hyperlink ref="B25" location="Transfers!$F$5" display="Transfers!$F$5" xr:uid="{00000000-0004-0000-1000-0000B9000000}"/>
    <hyperlink ref="B26" location="Transfers!$G$5" display="Transfers!$G$5" xr:uid="{00000000-0004-0000-1000-0000BA000000}"/>
    <hyperlink ref="B27" location="Transfers!$H$5" display="Transfers!$H$5" xr:uid="{00000000-0004-0000-1000-0000BB000000}"/>
    <hyperlink ref="B28" location="Transfers!$I$5" display="Transfers!$I$5" xr:uid="{00000000-0004-0000-1000-0000BC000000}"/>
    <hyperlink ref="B29" location="Transfers!$J$5" display="Transfers!$J$5" xr:uid="{00000000-0004-0000-1000-0000BD000000}"/>
    <hyperlink ref="B30" location="Transfers!$K$5" display="Transfers!$K$5" xr:uid="{00000000-0004-0000-1000-0000BE000000}"/>
    <hyperlink ref="B31" location="Transfers!$L$5" display="Transfers!$L$5" xr:uid="{00000000-0004-0000-1000-0000BF000000}"/>
    <hyperlink ref="B32" location="Transfers!$M$5" display="Transfers!$M$5" xr:uid="{00000000-0004-0000-1000-0000C0000000}"/>
    <hyperlink ref="B33" location="Transfers!$N$5" display="Transfers!$N$5" xr:uid="{00000000-0004-0000-1000-0000C1000000}"/>
    <hyperlink ref="B34" location="Transfers!$O$5" display="Transfers!$O$5" xr:uid="{00000000-0004-0000-1000-0000C2000000}"/>
    <hyperlink ref="B35" location="Transfers!$B$6" display="Transfers!$B$6" xr:uid="{00000000-0004-0000-1000-0000C3000000}"/>
    <hyperlink ref="B37" location="Transfers!$D$6" display="Transfers!$D$6" xr:uid="{00000000-0004-0000-1000-0000C4000000}"/>
    <hyperlink ref="B38" location="Transfers!$E$6" display="Transfers!$E$6" xr:uid="{00000000-0004-0000-1000-0000C5000000}"/>
    <hyperlink ref="B39" location="Transfers!$F$6" display="Transfers!$F$6" xr:uid="{00000000-0004-0000-1000-0000C6000000}"/>
    <hyperlink ref="B40" location="Transfers!$G$6" display="Transfers!$G$6" xr:uid="{00000000-0004-0000-1000-0000C7000000}"/>
    <hyperlink ref="B41" location="Transfers!$H$6" display="Transfers!$H$6" xr:uid="{00000000-0004-0000-1000-0000C8000000}"/>
    <hyperlink ref="B42" location="Transfers!$I$6" display="Transfers!$I$6" xr:uid="{00000000-0004-0000-1000-0000C9000000}"/>
    <hyperlink ref="B43" location="Transfers!$J$6" display="Transfers!$J$6" xr:uid="{00000000-0004-0000-1000-0000CA000000}"/>
    <hyperlink ref="B44" location="Transfers!$K$6" display="Transfers!$K$6" xr:uid="{00000000-0004-0000-1000-0000CB000000}"/>
    <hyperlink ref="B45" location="Transfers!$L$6" display="Transfers!$L$6" xr:uid="{00000000-0004-0000-1000-0000CC000000}"/>
    <hyperlink ref="B46" location="Transfers!$M$6" display="Transfers!$M$6" xr:uid="{00000000-0004-0000-1000-0000CD000000}"/>
    <hyperlink ref="B47" location="Transfers!$N$6" display="Transfers!$N$6" xr:uid="{00000000-0004-0000-1000-0000CE000000}"/>
    <hyperlink ref="B48" location="Transfers!$O$6" display="Transfers!$O$6" xr:uid="{00000000-0004-0000-1000-0000CF000000}"/>
    <hyperlink ref="B49" location="Transfers!$B$7" display="Transfers!$B$7" xr:uid="{00000000-0004-0000-1000-0000D0000000}"/>
    <hyperlink ref="B50" location="Transfers!$C$7" display="Transfers!$C$7" xr:uid="{00000000-0004-0000-1000-0000D1000000}"/>
    <hyperlink ref="B52" location="Transfers!$E$7" display="Transfers!$E$7" xr:uid="{00000000-0004-0000-1000-0000D2000000}"/>
    <hyperlink ref="B53" location="Transfers!$F$7" display="Transfers!$F$7" xr:uid="{00000000-0004-0000-1000-0000D3000000}"/>
    <hyperlink ref="B54" location="Transfers!$G$7" display="Transfers!$G$7" xr:uid="{00000000-0004-0000-1000-0000D4000000}"/>
    <hyperlink ref="B55" location="Transfers!$H$7" display="Transfers!$H$7" xr:uid="{00000000-0004-0000-1000-0000D5000000}"/>
    <hyperlink ref="B56" location="Transfers!$I$7" display="Transfers!$I$7" xr:uid="{00000000-0004-0000-1000-0000D6000000}"/>
    <hyperlink ref="B57" location="Transfers!$J$7" display="Transfers!$J$7" xr:uid="{00000000-0004-0000-1000-0000D7000000}"/>
    <hyperlink ref="B58" location="Transfers!$K$7" display="Transfers!$K$7" xr:uid="{00000000-0004-0000-1000-0000D8000000}"/>
    <hyperlink ref="B59" location="Transfers!$L$7" display="Transfers!$L$7" xr:uid="{00000000-0004-0000-1000-0000D9000000}"/>
    <hyperlink ref="B60" location="Transfers!$M$7" display="Transfers!$M$7" xr:uid="{00000000-0004-0000-1000-0000DA000000}"/>
    <hyperlink ref="B61" location="Transfers!$N$7" display="Transfers!$N$7" xr:uid="{00000000-0004-0000-1000-0000DB000000}"/>
    <hyperlink ref="B62" location="Transfers!$O$7" display="Transfers!$O$7" xr:uid="{00000000-0004-0000-1000-0000DC000000}"/>
    <hyperlink ref="B63" location="Transfers!$B$8" display="Transfers!$B$8" xr:uid="{00000000-0004-0000-1000-0000DD000000}"/>
    <hyperlink ref="B64" location="Transfers!$C$8" display="Transfers!$C$8" xr:uid="{00000000-0004-0000-1000-0000DE000000}"/>
    <hyperlink ref="B65" location="Transfers!$D$8" display="Transfers!$D$8" xr:uid="{00000000-0004-0000-1000-0000DF000000}"/>
    <hyperlink ref="B67" location="Transfers!$F$8" display="Transfers!$F$8" xr:uid="{00000000-0004-0000-1000-0000E0000000}"/>
    <hyperlink ref="B68" location="Transfers!$G$8" display="Transfers!$G$8" xr:uid="{00000000-0004-0000-1000-0000E1000000}"/>
    <hyperlink ref="B69" location="Transfers!$H$8" display="Transfers!$H$8" xr:uid="{00000000-0004-0000-1000-0000E2000000}"/>
    <hyperlink ref="B70" location="Transfers!$I$8" display="Transfers!$I$8" xr:uid="{00000000-0004-0000-1000-0000E3000000}"/>
    <hyperlink ref="B71" location="Transfers!$J$8" display="Transfers!$J$8" xr:uid="{00000000-0004-0000-1000-0000E4000000}"/>
    <hyperlink ref="B72" location="Transfers!$K$8" display="Transfers!$K$8" xr:uid="{00000000-0004-0000-1000-0000E5000000}"/>
    <hyperlink ref="B73" location="Transfers!$L$8" display="Transfers!$L$8" xr:uid="{00000000-0004-0000-1000-0000E6000000}"/>
    <hyperlink ref="B74" location="Transfers!$M$8" display="Transfers!$M$8" xr:uid="{00000000-0004-0000-1000-0000E7000000}"/>
    <hyperlink ref="B75" location="Transfers!$N$8" display="Transfers!$N$8" xr:uid="{00000000-0004-0000-1000-0000E8000000}"/>
    <hyperlink ref="B76" location="Transfers!$O$8" display="Transfers!$O$8" xr:uid="{00000000-0004-0000-1000-0000E9000000}"/>
    <hyperlink ref="B77" location="Transfers!$B$9" display="Transfers!$B$9" xr:uid="{00000000-0004-0000-1000-0000EA000000}"/>
    <hyperlink ref="B78" location="Transfers!$C$9" display="Transfers!$C$9" xr:uid="{00000000-0004-0000-1000-0000EB000000}"/>
    <hyperlink ref="B79" location="Transfers!$D$9" display="Transfers!$D$9" xr:uid="{00000000-0004-0000-1000-0000EC000000}"/>
    <hyperlink ref="B80" location="Transfers!$E$9" display="Transfers!$E$9" xr:uid="{00000000-0004-0000-1000-0000ED000000}"/>
    <hyperlink ref="B82" location="Transfers!$G$9" display="Transfers!$G$9" xr:uid="{00000000-0004-0000-1000-0000EE000000}"/>
    <hyperlink ref="B83" location="Transfers!$H$9" display="Transfers!$H$9" xr:uid="{00000000-0004-0000-1000-0000EF000000}"/>
    <hyperlink ref="B84" location="Transfers!$I$9" display="Transfers!$I$9" xr:uid="{00000000-0004-0000-1000-0000F0000000}"/>
    <hyperlink ref="B85" location="Transfers!$J$9" display="Transfers!$J$9" xr:uid="{00000000-0004-0000-1000-0000F1000000}"/>
    <hyperlink ref="B86" location="Transfers!$K$9" display="Transfers!$K$9" xr:uid="{00000000-0004-0000-1000-0000F2000000}"/>
    <hyperlink ref="B87" location="Transfers!$L$9" display="Transfers!$L$9" xr:uid="{00000000-0004-0000-1000-0000F3000000}"/>
    <hyperlink ref="B88" location="Transfers!$M$9" display="Transfers!$M$9" xr:uid="{00000000-0004-0000-1000-0000F4000000}"/>
    <hyperlink ref="B89" location="Transfers!$N$9" display="Transfers!$N$9" xr:uid="{00000000-0004-0000-1000-0000F5000000}"/>
    <hyperlink ref="B90" location="Transfers!$O$9" display="Transfers!$O$9" xr:uid="{00000000-0004-0000-1000-0000F6000000}"/>
    <hyperlink ref="B91" location="Transfers!$B$10" display="Transfers!$B$10" xr:uid="{00000000-0004-0000-1000-0000F7000000}"/>
    <hyperlink ref="B92" location="Transfers!$C$10" display="Transfers!$C$10" xr:uid="{00000000-0004-0000-1000-0000F8000000}"/>
    <hyperlink ref="B93" location="Transfers!$D$10" display="Transfers!$D$10" xr:uid="{00000000-0004-0000-1000-0000F9000000}"/>
    <hyperlink ref="B94" location="Transfers!$E$10" display="Transfers!$E$10" xr:uid="{00000000-0004-0000-1000-0000FA000000}"/>
    <hyperlink ref="B95" location="Transfers!$F$10" display="Transfers!$F$10" xr:uid="{00000000-0004-0000-1000-0000FB000000}"/>
    <hyperlink ref="B97" location="Transfers!$H$10" display="Transfers!$H$10" xr:uid="{00000000-0004-0000-1000-0000FC000000}"/>
    <hyperlink ref="B98" location="Transfers!$I$10" display="Transfers!$I$10" xr:uid="{00000000-0004-0000-1000-0000FD000000}"/>
    <hyperlink ref="B99" location="Transfers!$J$10" display="Transfers!$J$10" xr:uid="{00000000-0004-0000-1000-0000FE000000}"/>
    <hyperlink ref="B100" location="Transfers!$K$10" display="Transfers!$K$10" xr:uid="{00000000-0004-0000-1000-0000FF000000}"/>
    <hyperlink ref="B101" location="Transfers!$L$10" display="Transfers!$L$10" xr:uid="{00000000-0004-0000-1000-000000010000}"/>
    <hyperlink ref="B102" location="Transfers!$M$10" display="Transfers!$M$10" xr:uid="{00000000-0004-0000-1000-000001010000}"/>
    <hyperlink ref="B103" location="Transfers!$N$10" display="Transfers!$N$10" xr:uid="{00000000-0004-0000-1000-000002010000}"/>
    <hyperlink ref="B104" location="Transfers!$O$10" display="Transfers!$O$10" xr:uid="{00000000-0004-0000-1000-000003010000}"/>
    <hyperlink ref="B105" location="Transfers!$B$11" display="Transfers!$B$11" xr:uid="{00000000-0004-0000-1000-000004010000}"/>
    <hyperlink ref="B106" location="Transfers!$C$11" display="Transfers!$C$11" xr:uid="{00000000-0004-0000-1000-000005010000}"/>
    <hyperlink ref="B107" location="Transfers!$D$11" display="Transfers!$D$11" xr:uid="{00000000-0004-0000-1000-000006010000}"/>
    <hyperlink ref="B108" location="Transfers!$E$11" display="Transfers!$E$11" xr:uid="{00000000-0004-0000-1000-000007010000}"/>
    <hyperlink ref="B109" location="Transfers!$F$11" display="Transfers!$F$11" xr:uid="{00000000-0004-0000-1000-000008010000}"/>
    <hyperlink ref="B110" location="Transfers!$G$11" display="Transfers!$G$11" xr:uid="{00000000-0004-0000-1000-000009010000}"/>
    <hyperlink ref="B112" location="Transfers!$I$11" display="Transfers!$I$11" xr:uid="{00000000-0004-0000-1000-00000A010000}"/>
    <hyperlink ref="B113" location="Transfers!$J$11" display="Transfers!$J$11" xr:uid="{00000000-0004-0000-1000-00000B010000}"/>
    <hyperlink ref="B114" location="Transfers!$K$11" display="Transfers!$K$11" xr:uid="{00000000-0004-0000-1000-00000C010000}"/>
    <hyperlink ref="B115" location="Transfers!$L$11" display="Transfers!$L$11" xr:uid="{00000000-0004-0000-1000-00000D010000}"/>
    <hyperlink ref="B116" location="Transfers!$M$11" display="Transfers!$M$11" xr:uid="{00000000-0004-0000-1000-00000E010000}"/>
    <hyperlink ref="B117" location="Transfers!$N$11" display="Transfers!$N$11" xr:uid="{00000000-0004-0000-1000-00000F010000}"/>
    <hyperlink ref="B118" location="Transfers!$O$11" display="Transfers!$O$11" xr:uid="{00000000-0004-0000-1000-000010010000}"/>
    <hyperlink ref="B119" location="Transfers!$B$12" display="Transfers!$B$12" xr:uid="{00000000-0004-0000-1000-000011010000}"/>
    <hyperlink ref="B120" location="Transfers!$C$12" display="Transfers!$C$12" xr:uid="{00000000-0004-0000-1000-000012010000}"/>
    <hyperlink ref="B121" location="Transfers!$D$12" display="Transfers!$D$12" xr:uid="{00000000-0004-0000-1000-000013010000}"/>
    <hyperlink ref="B122" location="Transfers!$E$12" display="Transfers!$E$12" xr:uid="{00000000-0004-0000-1000-000014010000}"/>
    <hyperlink ref="B123" location="Transfers!$F$12" display="Transfers!$F$12" xr:uid="{00000000-0004-0000-1000-000015010000}"/>
    <hyperlink ref="B124" location="Transfers!$G$12" display="Transfers!$G$12" xr:uid="{00000000-0004-0000-1000-000016010000}"/>
    <hyperlink ref="B125" location="Transfers!$H$12" display="Transfers!$H$12" xr:uid="{00000000-0004-0000-1000-000017010000}"/>
    <hyperlink ref="B127" location="Transfers!$J$12" display="Transfers!$J$12" xr:uid="{00000000-0004-0000-1000-000018010000}"/>
    <hyperlink ref="B128" location="Transfers!$K$12" display="Transfers!$K$12" xr:uid="{00000000-0004-0000-1000-000019010000}"/>
    <hyperlink ref="B129" location="Transfers!$L$12" display="Transfers!$L$12" xr:uid="{00000000-0004-0000-1000-00001A010000}"/>
    <hyperlink ref="B130" location="Transfers!$M$12" display="Transfers!$M$12" xr:uid="{00000000-0004-0000-1000-00001B010000}"/>
    <hyperlink ref="B131" location="Transfers!$N$12" display="Transfers!$N$12" xr:uid="{00000000-0004-0000-1000-00001C010000}"/>
    <hyperlink ref="B132" location="Transfers!$O$12" display="Transfers!$O$12" xr:uid="{00000000-0004-0000-1000-00001D010000}"/>
    <hyperlink ref="B133" location="Transfers!$B$13" display="Transfers!$B$13" xr:uid="{00000000-0004-0000-1000-00001E010000}"/>
    <hyperlink ref="B134" location="Transfers!$C$13" display="Transfers!$C$13" xr:uid="{00000000-0004-0000-1000-00001F010000}"/>
    <hyperlink ref="B135" location="Transfers!$D$13" display="Transfers!$D$13" xr:uid="{00000000-0004-0000-1000-000020010000}"/>
    <hyperlink ref="B136" location="Transfers!$E$13" display="Transfers!$E$13" xr:uid="{00000000-0004-0000-1000-000021010000}"/>
    <hyperlink ref="B137" location="Transfers!$F$13" display="Transfers!$F$13" xr:uid="{00000000-0004-0000-1000-000022010000}"/>
    <hyperlink ref="B138" location="Transfers!$G$13" display="Transfers!$G$13" xr:uid="{00000000-0004-0000-1000-000023010000}"/>
    <hyperlink ref="B139" location="Transfers!$H$13" display="Transfers!$H$13" xr:uid="{00000000-0004-0000-1000-000024010000}"/>
    <hyperlink ref="B140" location="Transfers!$I$13" display="Transfers!$I$13" xr:uid="{00000000-0004-0000-1000-000025010000}"/>
    <hyperlink ref="B142" location="Transfers!$K$13" display="Transfers!$K$13" xr:uid="{00000000-0004-0000-1000-000026010000}"/>
    <hyperlink ref="B143" location="Transfers!$L$13" display="Transfers!$L$13" xr:uid="{00000000-0004-0000-1000-000027010000}"/>
    <hyperlink ref="B144" location="Transfers!$M$13" display="Transfers!$M$13" xr:uid="{00000000-0004-0000-1000-000028010000}"/>
    <hyperlink ref="B145" location="Transfers!$N$13" display="Transfers!$N$13" xr:uid="{00000000-0004-0000-1000-000029010000}"/>
    <hyperlink ref="B146" location="Transfers!$O$13" display="Transfers!$O$13" xr:uid="{00000000-0004-0000-1000-00002A010000}"/>
    <hyperlink ref="B147" location="Transfers!$B$14" display="Transfers!$B$14" xr:uid="{00000000-0004-0000-1000-00002B010000}"/>
    <hyperlink ref="B148" location="Transfers!$C$14" display="Transfers!$C$14" xr:uid="{00000000-0004-0000-1000-00002C010000}"/>
    <hyperlink ref="B149" location="Transfers!$D$14" display="Transfers!$D$14" xr:uid="{00000000-0004-0000-1000-00002D010000}"/>
    <hyperlink ref="B150" location="Transfers!$E$14" display="Transfers!$E$14" xr:uid="{00000000-0004-0000-1000-00002E010000}"/>
    <hyperlink ref="B151" location="Transfers!$F$14" display="Transfers!$F$14" xr:uid="{00000000-0004-0000-1000-00002F010000}"/>
    <hyperlink ref="B152" location="Transfers!$G$14" display="Transfers!$G$14" xr:uid="{00000000-0004-0000-1000-000030010000}"/>
    <hyperlink ref="B153" location="Transfers!$H$14" display="Transfers!$H$14" xr:uid="{00000000-0004-0000-1000-000031010000}"/>
    <hyperlink ref="B154" location="Transfers!$I$14" display="Transfers!$I$14" xr:uid="{00000000-0004-0000-1000-000032010000}"/>
    <hyperlink ref="B155" location="Transfers!$J$14" display="Transfers!$J$14" xr:uid="{00000000-0004-0000-1000-000033010000}"/>
    <hyperlink ref="B157" location="Transfers!$L$14" display="Transfers!$L$14" xr:uid="{00000000-0004-0000-1000-000034010000}"/>
    <hyperlink ref="B158" location="Transfers!$M$14" display="Transfers!$M$14" xr:uid="{00000000-0004-0000-1000-000035010000}"/>
    <hyperlink ref="B159" location="Transfers!$N$14" display="Transfers!$N$14" xr:uid="{00000000-0004-0000-1000-000036010000}"/>
    <hyperlink ref="B160" location="Transfers!$O$14" display="Transfers!$O$14" xr:uid="{00000000-0004-0000-1000-000037010000}"/>
    <hyperlink ref="B161" location="Transfers!$B$15" display="Transfers!$B$15" xr:uid="{00000000-0004-0000-1000-000038010000}"/>
    <hyperlink ref="B162" location="Transfers!$C$15" display="Transfers!$C$15" xr:uid="{00000000-0004-0000-1000-000039010000}"/>
    <hyperlink ref="B163" location="Transfers!$D$15" display="Transfers!$D$15" xr:uid="{00000000-0004-0000-1000-00003A010000}"/>
    <hyperlink ref="B164" location="Transfers!$E$15" display="Transfers!$E$15" xr:uid="{00000000-0004-0000-1000-00003B010000}"/>
    <hyperlink ref="B165" location="Transfers!$F$15" display="Transfers!$F$15" xr:uid="{00000000-0004-0000-1000-00003C010000}"/>
    <hyperlink ref="B166" location="Transfers!$G$15" display="Transfers!$G$15" xr:uid="{00000000-0004-0000-1000-00003D010000}"/>
    <hyperlink ref="B167" location="Transfers!$H$15" display="Transfers!$H$15" xr:uid="{00000000-0004-0000-1000-00003E010000}"/>
    <hyperlink ref="B168" location="Transfers!$I$15" display="Transfers!$I$15" xr:uid="{00000000-0004-0000-1000-00003F010000}"/>
    <hyperlink ref="B169" location="Transfers!$J$15" display="Transfers!$J$15" xr:uid="{00000000-0004-0000-1000-000040010000}"/>
    <hyperlink ref="B170" location="Transfers!$K$15" display="Transfers!$K$15" xr:uid="{00000000-0004-0000-1000-000041010000}"/>
    <hyperlink ref="B172" location="Transfers!$M$15" display="Transfers!$M$15" xr:uid="{00000000-0004-0000-1000-000042010000}"/>
    <hyperlink ref="B173" location="Transfers!$N$15" display="Transfers!$N$15" xr:uid="{00000000-0004-0000-1000-000043010000}"/>
    <hyperlink ref="B174" location="Transfers!$O$15" display="Transfers!$O$15" xr:uid="{00000000-0004-0000-1000-000044010000}"/>
    <hyperlink ref="B175" location="Transfers!$B$16" display="Transfers!$B$16" xr:uid="{00000000-0004-0000-1000-000045010000}"/>
    <hyperlink ref="B176" location="Transfers!$C$16" display="Transfers!$C$16" xr:uid="{00000000-0004-0000-1000-000046010000}"/>
    <hyperlink ref="B177" location="Transfers!$D$16" display="Transfers!$D$16" xr:uid="{00000000-0004-0000-1000-000047010000}"/>
    <hyperlink ref="B178" location="Transfers!$E$16" display="Transfers!$E$16" xr:uid="{00000000-0004-0000-1000-000048010000}"/>
    <hyperlink ref="B179" location="Transfers!$F$16" display="Transfers!$F$16" xr:uid="{00000000-0004-0000-1000-000049010000}"/>
    <hyperlink ref="B180" location="Transfers!$G$16" display="Transfers!$G$16" xr:uid="{00000000-0004-0000-1000-00004A010000}"/>
    <hyperlink ref="B181" location="Transfers!$H$16" display="Transfers!$H$16" xr:uid="{00000000-0004-0000-1000-00004B010000}"/>
    <hyperlink ref="B182" location="Transfers!$I$16" display="Transfers!$I$16" xr:uid="{00000000-0004-0000-1000-00004C010000}"/>
    <hyperlink ref="B183" location="Transfers!$J$16" display="Transfers!$J$16" xr:uid="{00000000-0004-0000-1000-00004D010000}"/>
    <hyperlink ref="B184" location="Transfers!$K$16" display="Transfers!$K$16" xr:uid="{00000000-0004-0000-1000-00004E010000}"/>
    <hyperlink ref="B185" location="Transfers!$L$16" display="Transfers!$L$16" xr:uid="{00000000-0004-0000-1000-00004F010000}"/>
    <hyperlink ref="B187" location="Transfers!$N$16" display="Transfers!$N$16" xr:uid="{00000000-0004-0000-1000-000050010000}"/>
    <hyperlink ref="B188" location="Transfers!$O$16" display="Transfers!$O$16" xr:uid="{00000000-0004-0000-1000-000051010000}"/>
    <hyperlink ref="B189" location="Transfers!$B$17" display="Transfers!$B$17" xr:uid="{00000000-0004-0000-1000-000052010000}"/>
    <hyperlink ref="B190" location="Transfers!$C$17" display="Transfers!$C$17" xr:uid="{00000000-0004-0000-1000-000053010000}"/>
    <hyperlink ref="B191" location="Transfers!$D$17" display="Transfers!$D$17" xr:uid="{00000000-0004-0000-1000-000054010000}"/>
    <hyperlink ref="B192" location="Transfers!$E$17" display="Transfers!$E$17" xr:uid="{00000000-0004-0000-1000-000055010000}"/>
    <hyperlink ref="B193" location="Transfers!$F$17" display="Transfers!$F$17" xr:uid="{00000000-0004-0000-1000-000056010000}"/>
    <hyperlink ref="B194" location="Transfers!$G$17" display="Transfers!$G$17" xr:uid="{00000000-0004-0000-1000-000057010000}"/>
    <hyperlink ref="B195" location="Transfers!$H$17" display="Transfers!$H$17" xr:uid="{00000000-0004-0000-1000-000058010000}"/>
    <hyperlink ref="B196" location="Transfers!$I$17" display="Transfers!$I$17" xr:uid="{00000000-0004-0000-1000-000059010000}"/>
    <hyperlink ref="B197" location="Transfers!$J$17" display="Transfers!$J$17" xr:uid="{00000000-0004-0000-1000-00005A010000}"/>
    <hyperlink ref="B198" location="Transfers!$K$17" display="Transfers!$K$17" xr:uid="{00000000-0004-0000-1000-00005B010000}"/>
    <hyperlink ref="B199" location="Transfers!$L$17" display="Transfers!$L$17" xr:uid="{00000000-0004-0000-1000-00005C010000}"/>
    <hyperlink ref="B200" location="Transfers!$M$17" display="Transfers!$M$17" xr:uid="{00000000-0004-0000-1000-00005D010000}"/>
    <hyperlink ref="B202" location="Transfers!$O$17" display="Transfers!$O$17" xr:uid="{00000000-0004-0000-1000-00005E010000}"/>
    <hyperlink ref="B203" location="Transfers!$B$18" display="Transfers!$B$18" xr:uid="{00000000-0004-0000-1000-00005F010000}"/>
    <hyperlink ref="B204" location="Transfers!$C$18" display="Transfers!$C$18" xr:uid="{00000000-0004-0000-1000-000060010000}"/>
    <hyperlink ref="B205" location="Transfers!$D$18" display="Transfers!$D$18" xr:uid="{00000000-0004-0000-1000-000061010000}"/>
    <hyperlink ref="B206" location="Transfers!$E$18" display="Transfers!$E$18" xr:uid="{00000000-0004-0000-1000-000062010000}"/>
    <hyperlink ref="B207" location="Transfers!$F$18" display="Transfers!$F$18" xr:uid="{00000000-0004-0000-1000-000063010000}"/>
    <hyperlink ref="B208" location="Transfers!$G$18" display="Transfers!$G$18" xr:uid="{00000000-0004-0000-1000-000064010000}"/>
    <hyperlink ref="B209" location="Transfers!$H$18" display="Transfers!$H$18" xr:uid="{00000000-0004-0000-1000-000065010000}"/>
    <hyperlink ref="B210" location="Transfers!$I$18" display="Transfers!$I$18" xr:uid="{00000000-0004-0000-1000-000066010000}"/>
    <hyperlink ref="B211" location="Transfers!$J$18" display="Transfers!$J$18" xr:uid="{00000000-0004-0000-1000-000067010000}"/>
    <hyperlink ref="B212" location="Transfers!$K$18" display="Transfers!$K$18" xr:uid="{00000000-0004-0000-1000-000068010000}"/>
    <hyperlink ref="B213" location="Transfers!$L$18" display="Transfers!$L$18" xr:uid="{00000000-0004-0000-1000-000069010000}"/>
    <hyperlink ref="B214" location="Transfers!$M$18" display="Transfers!$M$18" xr:uid="{00000000-0004-0000-1000-00006A010000}"/>
    <hyperlink ref="B215" location="Transfers!$N$18" display="Transfers!$N$18" xr:uid="{00000000-0004-0000-1000-00006B010000}"/>
    <hyperlink ref="C222" location="Transfers!B239" display="N" xr:uid="{00000000-0004-0000-1000-00006C010000}"/>
    <hyperlink ref="D222" location="Transfers!B240" display="N" xr:uid="{00000000-0004-0000-1000-00006D010000}"/>
    <hyperlink ref="E222" location="Transfers!B241" display="N" xr:uid="{00000000-0004-0000-1000-00006E010000}"/>
    <hyperlink ref="F222" location="Transfers!B242" display="N" xr:uid="{00000000-0004-0000-1000-00006F010000}"/>
    <hyperlink ref="G222" location="Transfers!B243" display="N" xr:uid="{00000000-0004-0000-1000-000070010000}"/>
    <hyperlink ref="H222" location="Transfers!B244" display="Y" xr:uid="{00000000-0004-0000-1000-000071010000}"/>
    <hyperlink ref="I222" location="Transfers!B245" display="N" xr:uid="{00000000-0004-0000-1000-000072010000}"/>
    <hyperlink ref="J222" location="Transfers!B246" display="N" xr:uid="{00000000-0004-0000-1000-000073010000}"/>
    <hyperlink ref="K222" location="Transfers!B247" display="N" xr:uid="{00000000-0004-0000-1000-000074010000}"/>
    <hyperlink ref="L222" location="Transfers!B248" display="N" xr:uid="{00000000-0004-0000-1000-000075010000}"/>
    <hyperlink ref="M222" location="Transfers!B249" display="N" xr:uid="{00000000-0004-0000-1000-000076010000}"/>
    <hyperlink ref="N222" location="Transfers!B250" display="N" xr:uid="{00000000-0004-0000-1000-000077010000}"/>
    <hyperlink ref="O222" location="Transfers!B251" display="N" xr:uid="{00000000-0004-0000-1000-000078010000}"/>
    <hyperlink ref="B223" location="Transfers!B252" display="N" xr:uid="{00000000-0004-0000-1000-000079010000}"/>
    <hyperlink ref="D223" location="Transfers!B254" display="N" xr:uid="{00000000-0004-0000-1000-00007A010000}"/>
    <hyperlink ref="E223" location="Transfers!B255" display="N" xr:uid="{00000000-0004-0000-1000-00007B010000}"/>
    <hyperlink ref="F223" location="Transfers!B256" display="N" xr:uid="{00000000-0004-0000-1000-00007C010000}"/>
    <hyperlink ref="G223" location="Transfers!B257" display="N" xr:uid="{00000000-0004-0000-1000-00007D010000}"/>
    <hyperlink ref="H223" location="Transfers!B258" display="N" xr:uid="{00000000-0004-0000-1000-00007E010000}"/>
    <hyperlink ref="I223" location="Transfers!B259" display="Y" xr:uid="{00000000-0004-0000-1000-00007F010000}"/>
    <hyperlink ref="J223" location="Transfers!B260" display="N" xr:uid="{00000000-0004-0000-1000-000080010000}"/>
    <hyperlink ref="K223" location="Transfers!B261" display="N" xr:uid="{00000000-0004-0000-1000-000081010000}"/>
    <hyperlink ref="L223" location="Transfers!B262" display="N" xr:uid="{00000000-0004-0000-1000-000082010000}"/>
    <hyperlink ref="M223" location="Transfers!B263" display="N" xr:uid="{00000000-0004-0000-1000-000083010000}"/>
    <hyperlink ref="N223" location="Transfers!B264" display="N" xr:uid="{00000000-0004-0000-1000-000084010000}"/>
    <hyperlink ref="O223" location="Transfers!B265" display="N" xr:uid="{00000000-0004-0000-1000-000085010000}"/>
    <hyperlink ref="B224" location="Transfers!B266" display="N" xr:uid="{00000000-0004-0000-1000-000086010000}"/>
    <hyperlink ref="C224" location="Transfers!B267" display="N" xr:uid="{00000000-0004-0000-1000-000087010000}"/>
    <hyperlink ref="E224" location="Transfers!B269" display="N" xr:uid="{00000000-0004-0000-1000-000088010000}"/>
    <hyperlink ref="F224" location="Transfers!B270" display="N" xr:uid="{00000000-0004-0000-1000-000089010000}"/>
    <hyperlink ref="G224" location="Transfers!B271" display="N" xr:uid="{00000000-0004-0000-1000-00008A010000}"/>
    <hyperlink ref="H224" location="Transfers!B272" display="N" xr:uid="{00000000-0004-0000-1000-00008B010000}"/>
    <hyperlink ref="I224" location="Transfers!B273" display="N" xr:uid="{00000000-0004-0000-1000-00008C010000}"/>
    <hyperlink ref="J224" location="Transfers!B274" display="N" xr:uid="{00000000-0004-0000-1000-00008D010000}"/>
    <hyperlink ref="K224" location="Transfers!B275" display="N" xr:uid="{00000000-0004-0000-1000-00008E010000}"/>
    <hyperlink ref="L224" location="Transfers!B276" display="N" xr:uid="{00000000-0004-0000-1000-00008F010000}"/>
    <hyperlink ref="M224" location="Transfers!B277" display="N" xr:uid="{00000000-0004-0000-1000-000090010000}"/>
    <hyperlink ref="N224" location="Transfers!B278" display="N" xr:uid="{00000000-0004-0000-1000-000091010000}"/>
    <hyperlink ref="O224" location="Transfers!B279" display="N" xr:uid="{00000000-0004-0000-1000-000092010000}"/>
    <hyperlink ref="B225" location="Transfers!B280" display="N" xr:uid="{00000000-0004-0000-1000-000093010000}"/>
    <hyperlink ref="C225" location="Transfers!B281" display="N" xr:uid="{00000000-0004-0000-1000-000094010000}"/>
    <hyperlink ref="D225" location="Transfers!B282" display="N" xr:uid="{00000000-0004-0000-1000-000095010000}"/>
    <hyperlink ref="F225" location="Transfers!B284" display="N" xr:uid="{00000000-0004-0000-1000-000096010000}"/>
    <hyperlink ref="G225" location="Transfers!B285" display="N" xr:uid="{00000000-0004-0000-1000-000097010000}"/>
    <hyperlink ref="H225" location="Transfers!B286" display="N" xr:uid="{00000000-0004-0000-1000-000098010000}"/>
    <hyperlink ref="I225" location="Transfers!B287" display="N" xr:uid="{00000000-0004-0000-1000-000099010000}"/>
    <hyperlink ref="J225" location="Transfers!B288" display="N" xr:uid="{00000000-0004-0000-1000-00009A010000}"/>
    <hyperlink ref="K225" location="Transfers!B289" display="N" xr:uid="{00000000-0004-0000-1000-00009B010000}"/>
    <hyperlink ref="L225" location="Transfers!B290" display="N" xr:uid="{00000000-0004-0000-1000-00009C010000}"/>
    <hyperlink ref="M225" location="Transfers!B291" display="N" xr:uid="{00000000-0004-0000-1000-00009D010000}"/>
    <hyperlink ref="N225" location="Transfers!B292" display="N" xr:uid="{00000000-0004-0000-1000-00009E010000}"/>
    <hyperlink ref="O225" location="Transfers!B293" display="N" xr:uid="{00000000-0004-0000-1000-00009F010000}"/>
    <hyperlink ref="B226" location="Transfers!B294" display="N" xr:uid="{00000000-0004-0000-1000-0000A0010000}"/>
    <hyperlink ref="C226" location="Transfers!B295" display="N" xr:uid="{00000000-0004-0000-1000-0000A1010000}"/>
    <hyperlink ref="D226" location="Transfers!B296" display="N" xr:uid="{00000000-0004-0000-1000-0000A2010000}"/>
    <hyperlink ref="E226" location="Transfers!B297" display="N" xr:uid="{00000000-0004-0000-1000-0000A3010000}"/>
    <hyperlink ref="G226" location="Transfers!B299" display="N" xr:uid="{00000000-0004-0000-1000-0000A4010000}"/>
    <hyperlink ref="H226" location="Transfers!B300" display="N" xr:uid="{00000000-0004-0000-1000-0000A5010000}"/>
    <hyperlink ref="I226" location="Transfers!B301" display="N" xr:uid="{00000000-0004-0000-1000-0000A6010000}"/>
    <hyperlink ref="J226" location="Transfers!B302" display="N" xr:uid="{00000000-0004-0000-1000-0000A7010000}"/>
    <hyperlink ref="K226" location="Transfers!B303" display="N" xr:uid="{00000000-0004-0000-1000-0000A8010000}"/>
    <hyperlink ref="L226" location="Transfers!B304" display="N" xr:uid="{00000000-0004-0000-1000-0000A9010000}"/>
    <hyperlink ref="M226" location="Transfers!B305" display="N" xr:uid="{00000000-0004-0000-1000-0000AA010000}"/>
    <hyperlink ref="N226" location="Transfers!B306" display="N" xr:uid="{00000000-0004-0000-1000-0000AB010000}"/>
    <hyperlink ref="O226" location="Transfers!B307" display="N" xr:uid="{00000000-0004-0000-1000-0000AC010000}"/>
    <hyperlink ref="B227" location="Transfers!B308" display="N" xr:uid="{00000000-0004-0000-1000-0000AD010000}"/>
    <hyperlink ref="C227" location="Transfers!B309" display="N" xr:uid="{00000000-0004-0000-1000-0000AE010000}"/>
    <hyperlink ref="D227" location="Transfers!B310" display="N" xr:uid="{00000000-0004-0000-1000-0000AF010000}"/>
    <hyperlink ref="E227" location="Transfers!B311" display="N" xr:uid="{00000000-0004-0000-1000-0000B0010000}"/>
    <hyperlink ref="F227" location="Transfers!B312" display="N" xr:uid="{00000000-0004-0000-1000-0000B1010000}"/>
    <hyperlink ref="H227" location="Transfers!B314" display="N" xr:uid="{00000000-0004-0000-1000-0000B2010000}"/>
    <hyperlink ref="I227" location="Transfers!B315" display="N" xr:uid="{00000000-0004-0000-1000-0000B3010000}"/>
    <hyperlink ref="J227" location="Transfers!B316" display="N" xr:uid="{00000000-0004-0000-1000-0000B4010000}"/>
    <hyperlink ref="K227" location="Transfers!B317" display="N" xr:uid="{00000000-0004-0000-1000-0000B5010000}"/>
    <hyperlink ref="L227" location="Transfers!B318" display="N" xr:uid="{00000000-0004-0000-1000-0000B6010000}"/>
    <hyperlink ref="M227" location="Transfers!B319" display="N" xr:uid="{00000000-0004-0000-1000-0000B7010000}"/>
    <hyperlink ref="N227" location="Transfers!B320" display="N" xr:uid="{00000000-0004-0000-1000-0000B8010000}"/>
    <hyperlink ref="O227" location="Transfers!B321" display="N" xr:uid="{00000000-0004-0000-1000-0000B9010000}"/>
    <hyperlink ref="B228" location="Transfers!B322" display="Y" xr:uid="{00000000-0004-0000-1000-0000BA010000}"/>
    <hyperlink ref="C228" location="Transfers!B323" display="N" xr:uid="{00000000-0004-0000-1000-0000BB010000}"/>
    <hyperlink ref="D228" location="Transfers!B324" display="N" xr:uid="{00000000-0004-0000-1000-0000BC010000}"/>
    <hyperlink ref="E228" location="Transfers!B325" display="N" xr:uid="{00000000-0004-0000-1000-0000BD010000}"/>
    <hyperlink ref="F228" location="Transfers!B326" display="N" xr:uid="{00000000-0004-0000-1000-0000BE010000}"/>
    <hyperlink ref="G228" location="Transfers!B327" display="N" xr:uid="{00000000-0004-0000-1000-0000BF010000}"/>
    <hyperlink ref="I228" location="Transfers!B329" display="N" xr:uid="{00000000-0004-0000-1000-0000C0010000}"/>
    <hyperlink ref="J228" location="Transfers!B330" display="N" xr:uid="{00000000-0004-0000-1000-0000C1010000}"/>
    <hyperlink ref="K228" location="Transfers!B331" display="N" xr:uid="{00000000-0004-0000-1000-0000C2010000}"/>
    <hyperlink ref="L228" location="Transfers!B332" display="N" xr:uid="{00000000-0004-0000-1000-0000C3010000}"/>
    <hyperlink ref="M228" location="Transfers!B333" display="N" xr:uid="{00000000-0004-0000-1000-0000C4010000}"/>
    <hyperlink ref="N228" location="Transfers!B334" display="N" xr:uid="{00000000-0004-0000-1000-0000C5010000}"/>
    <hyperlink ref="O228" location="Transfers!B335" display="N" xr:uid="{00000000-0004-0000-1000-0000C6010000}"/>
    <hyperlink ref="B229" location="Transfers!B336" display="N" xr:uid="{00000000-0004-0000-1000-0000C7010000}"/>
    <hyperlink ref="C229" location="Transfers!B337" display="Y" xr:uid="{00000000-0004-0000-1000-0000C8010000}"/>
    <hyperlink ref="D229" location="Transfers!B338" display="N" xr:uid="{00000000-0004-0000-1000-0000C9010000}"/>
    <hyperlink ref="E229" location="Transfers!B339" display="N" xr:uid="{00000000-0004-0000-1000-0000CA010000}"/>
    <hyperlink ref="F229" location="Transfers!B340" display="N" xr:uid="{00000000-0004-0000-1000-0000CB010000}"/>
    <hyperlink ref="G229" location="Transfers!B341" display="N" xr:uid="{00000000-0004-0000-1000-0000CC010000}"/>
    <hyperlink ref="H229" location="Transfers!B342" display="N" xr:uid="{00000000-0004-0000-1000-0000CD010000}"/>
    <hyperlink ref="J229" location="Transfers!B344" display="N" xr:uid="{00000000-0004-0000-1000-0000CE010000}"/>
    <hyperlink ref="K229" location="Transfers!B345" display="N" xr:uid="{00000000-0004-0000-1000-0000CF010000}"/>
    <hyperlink ref="L229" location="Transfers!B346" display="N" xr:uid="{00000000-0004-0000-1000-0000D0010000}"/>
    <hyperlink ref="M229" location="Transfers!B347" display="N" xr:uid="{00000000-0004-0000-1000-0000D1010000}"/>
    <hyperlink ref="N229" location="Transfers!B348" display="N" xr:uid="{00000000-0004-0000-1000-0000D2010000}"/>
    <hyperlink ref="O229" location="Transfers!B349" display="N" xr:uid="{00000000-0004-0000-1000-0000D3010000}"/>
    <hyperlink ref="B230" location="Transfers!B350" display="N" xr:uid="{00000000-0004-0000-1000-0000D4010000}"/>
    <hyperlink ref="C230" location="Transfers!B351" display="N" xr:uid="{00000000-0004-0000-1000-0000D5010000}"/>
    <hyperlink ref="D230" location="Transfers!B352" display="N" xr:uid="{00000000-0004-0000-1000-0000D6010000}"/>
    <hyperlink ref="E230" location="Transfers!B353" display="N" xr:uid="{00000000-0004-0000-1000-0000D7010000}"/>
    <hyperlink ref="F230" location="Transfers!B354" display="N" xr:uid="{00000000-0004-0000-1000-0000D8010000}"/>
    <hyperlink ref="G230" location="Transfers!B355" display="N" xr:uid="{00000000-0004-0000-1000-0000D9010000}"/>
    <hyperlink ref="H230" location="Transfers!B356" display="N" xr:uid="{00000000-0004-0000-1000-0000DA010000}"/>
    <hyperlink ref="I230" location="Transfers!B357" display="N" xr:uid="{00000000-0004-0000-1000-0000DB010000}"/>
    <hyperlink ref="K230" location="Transfers!B359" display="N" xr:uid="{00000000-0004-0000-1000-0000DC010000}"/>
    <hyperlink ref="L230" location="Transfers!B360" display="N" xr:uid="{00000000-0004-0000-1000-0000DD010000}"/>
    <hyperlink ref="M230" location="Transfers!B361" display="N" xr:uid="{00000000-0004-0000-1000-0000DE010000}"/>
    <hyperlink ref="N230" location="Transfers!B362" display="N" xr:uid="{00000000-0004-0000-1000-0000DF010000}"/>
    <hyperlink ref="O230" location="Transfers!B363" display="N" xr:uid="{00000000-0004-0000-1000-0000E0010000}"/>
    <hyperlink ref="B231" location="Transfers!B364" display="N" xr:uid="{00000000-0004-0000-1000-0000E1010000}"/>
    <hyperlink ref="C231" location="Transfers!B365" display="N" xr:uid="{00000000-0004-0000-1000-0000E2010000}"/>
    <hyperlink ref="D231" location="Transfers!B366" display="N" xr:uid="{00000000-0004-0000-1000-0000E3010000}"/>
    <hyperlink ref="E231" location="Transfers!B367" display="N" xr:uid="{00000000-0004-0000-1000-0000E4010000}"/>
    <hyperlink ref="F231" location="Transfers!B368" display="N" xr:uid="{00000000-0004-0000-1000-0000E5010000}"/>
    <hyperlink ref="G231" location="Transfers!B369" display="N" xr:uid="{00000000-0004-0000-1000-0000E6010000}"/>
    <hyperlink ref="H231" location="Transfers!B370" display="N" xr:uid="{00000000-0004-0000-1000-0000E7010000}"/>
    <hyperlink ref="I231" location="Transfers!B371" display="N" xr:uid="{00000000-0004-0000-1000-0000E8010000}"/>
    <hyperlink ref="J231" location="Transfers!B372" display="N" xr:uid="{00000000-0004-0000-1000-0000E9010000}"/>
    <hyperlink ref="L231" location="Transfers!B374" display="N" xr:uid="{00000000-0004-0000-1000-0000EA010000}"/>
    <hyperlink ref="M231" location="Transfers!B375" display="N" xr:uid="{00000000-0004-0000-1000-0000EB010000}"/>
    <hyperlink ref="N231" location="Transfers!B376" display="N" xr:uid="{00000000-0004-0000-1000-0000EC010000}"/>
    <hyperlink ref="O231" location="Transfers!B377" display="N" xr:uid="{00000000-0004-0000-1000-0000ED010000}"/>
    <hyperlink ref="B232" location="Transfers!B378" display="N" xr:uid="{00000000-0004-0000-1000-0000EE010000}"/>
    <hyperlink ref="C232" location="Transfers!B379" display="N" xr:uid="{00000000-0004-0000-1000-0000EF010000}"/>
    <hyperlink ref="D232" location="Transfers!B380" display="N" xr:uid="{00000000-0004-0000-1000-0000F0010000}"/>
    <hyperlink ref="E232" location="Transfers!B381" display="N" xr:uid="{00000000-0004-0000-1000-0000F1010000}"/>
    <hyperlink ref="F232" location="Transfers!B382" display="N" xr:uid="{00000000-0004-0000-1000-0000F2010000}"/>
    <hyperlink ref="G232" location="Transfers!B383" display="N" xr:uid="{00000000-0004-0000-1000-0000F3010000}"/>
    <hyperlink ref="H232" location="Transfers!B384" display="N" xr:uid="{00000000-0004-0000-1000-0000F4010000}"/>
    <hyperlink ref="I232" location="Transfers!B385" display="N" xr:uid="{00000000-0004-0000-1000-0000F5010000}"/>
    <hyperlink ref="J232" location="Transfers!B386" display="N" xr:uid="{00000000-0004-0000-1000-0000F6010000}"/>
    <hyperlink ref="K232" location="Transfers!B387" display="N" xr:uid="{00000000-0004-0000-1000-0000F7010000}"/>
    <hyperlink ref="M232" location="Transfers!B389" display="N" xr:uid="{00000000-0004-0000-1000-0000F8010000}"/>
    <hyperlink ref="N232" location="Transfers!B390" display="N" xr:uid="{00000000-0004-0000-1000-0000F9010000}"/>
    <hyperlink ref="O232" location="Transfers!B391" display="N" xr:uid="{00000000-0004-0000-1000-0000FA010000}"/>
    <hyperlink ref="B233" location="Transfers!B392" display="N" xr:uid="{00000000-0004-0000-1000-0000FB010000}"/>
    <hyperlink ref="C233" location="Transfers!B393" display="N" xr:uid="{00000000-0004-0000-1000-0000FC010000}"/>
    <hyperlink ref="D233" location="Transfers!B394" display="N" xr:uid="{00000000-0004-0000-1000-0000FD010000}"/>
    <hyperlink ref="E233" location="Transfers!B395" display="N" xr:uid="{00000000-0004-0000-1000-0000FE010000}"/>
    <hyperlink ref="F233" location="Transfers!B396" display="N" xr:uid="{00000000-0004-0000-1000-0000FF010000}"/>
    <hyperlink ref="G233" location="Transfers!B397" display="N" xr:uid="{00000000-0004-0000-1000-000000020000}"/>
    <hyperlink ref="H233" location="Transfers!B398" display="N" xr:uid="{00000000-0004-0000-1000-000001020000}"/>
    <hyperlink ref="I233" location="Transfers!B399" display="N" xr:uid="{00000000-0004-0000-1000-000002020000}"/>
    <hyperlink ref="J233" location="Transfers!B400" display="N" xr:uid="{00000000-0004-0000-1000-000003020000}"/>
    <hyperlink ref="K233" location="Transfers!B401" display="N" xr:uid="{00000000-0004-0000-1000-000004020000}"/>
    <hyperlink ref="L233" location="Transfers!B402" display="N" xr:uid="{00000000-0004-0000-1000-000005020000}"/>
    <hyperlink ref="N233" location="Transfers!B404" display="N" xr:uid="{00000000-0004-0000-1000-000006020000}"/>
    <hyperlink ref="O233" location="Transfers!B405" display="N" xr:uid="{00000000-0004-0000-1000-000007020000}"/>
    <hyperlink ref="B234" location="Transfers!B406" display="N" xr:uid="{00000000-0004-0000-1000-000008020000}"/>
    <hyperlink ref="C234" location="Transfers!B407" display="N" xr:uid="{00000000-0004-0000-1000-000009020000}"/>
    <hyperlink ref="D234" location="Transfers!B408" display="N" xr:uid="{00000000-0004-0000-1000-00000A020000}"/>
    <hyperlink ref="E234" location="Transfers!B409" display="N" xr:uid="{00000000-0004-0000-1000-00000B020000}"/>
    <hyperlink ref="F234" location="Transfers!B410" display="N" xr:uid="{00000000-0004-0000-1000-00000C020000}"/>
    <hyperlink ref="G234" location="Transfers!B411" display="N" xr:uid="{00000000-0004-0000-1000-00000D020000}"/>
    <hyperlink ref="H234" location="Transfers!B412" display="N" xr:uid="{00000000-0004-0000-1000-00000E020000}"/>
    <hyperlink ref="I234" location="Transfers!B413" display="N" xr:uid="{00000000-0004-0000-1000-00000F020000}"/>
    <hyperlink ref="J234" location="Transfers!B414" display="N" xr:uid="{00000000-0004-0000-1000-000010020000}"/>
    <hyperlink ref="K234" location="Transfers!B415" display="N" xr:uid="{00000000-0004-0000-1000-000011020000}"/>
    <hyperlink ref="L234" location="Transfers!B416" display="N" xr:uid="{00000000-0004-0000-1000-000012020000}"/>
    <hyperlink ref="M234" location="Transfers!B417" display="N" xr:uid="{00000000-0004-0000-1000-000013020000}"/>
    <hyperlink ref="O234" location="Transfers!B419" display="N" xr:uid="{00000000-0004-0000-1000-000014020000}"/>
    <hyperlink ref="B235" location="Transfers!B420" display="N" xr:uid="{00000000-0004-0000-1000-000015020000}"/>
    <hyperlink ref="C235" location="Transfers!B421" display="N" xr:uid="{00000000-0004-0000-1000-000016020000}"/>
    <hyperlink ref="D235" location="Transfers!B422" display="N" xr:uid="{00000000-0004-0000-1000-000017020000}"/>
    <hyperlink ref="E235" location="Transfers!B423" display="N" xr:uid="{00000000-0004-0000-1000-000018020000}"/>
    <hyperlink ref="F235" location="Transfers!B424" display="N" xr:uid="{00000000-0004-0000-1000-000019020000}"/>
    <hyperlink ref="G235" location="Transfers!B425" display="N" xr:uid="{00000000-0004-0000-1000-00001A020000}"/>
    <hyperlink ref="H235" location="Transfers!B426" display="N" xr:uid="{00000000-0004-0000-1000-00001B020000}"/>
    <hyperlink ref="I235" location="Transfers!B427" display="N" xr:uid="{00000000-0004-0000-1000-00001C020000}"/>
    <hyperlink ref="J235" location="Transfers!B428" display="N" xr:uid="{00000000-0004-0000-1000-00001D020000}"/>
    <hyperlink ref="K235" location="Transfers!B429" display="N" xr:uid="{00000000-0004-0000-1000-00001E020000}"/>
    <hyperlink ref="L235" location="Transfers!B430" display="N" xr:uid="{00000000-0004-0000-1000-00001F020000}"/>
    <hyperlink ref="M235" location="Transfers!B431" display="N" xr:uid="{00000000-0004-0000-1000-000020020000}"/>
    <hyperlink ref="N235" location="Transfers!B432" display="N" xr:uid="{00000000-0004-0000-1000-000021020000}"/>
    <hyperlink ref="B239" location="Transfers!$C$222" display="Transfers!$C$222" xr:uid="{00000000-0004-0000-1000-000022020000}"/>
    <hyperlink ref="B240" location="Transfers!$D$222" display="Transfers!$D$222" xr:uid="{00000000-0004-0000-1000-000023020000}"/>
    <hyperlink ref="B241" location="Transfers!$E$222" display="Transfers!$E$222" xr:uid="{00000000-0004-0000-1000-000024020000}"/>
    <hyperlink ref="B242" location="Transfers!$F$222" display="Transfers!$F$222" xr:uid="{00000000-0004-0000-1000-000025020000}"/>
    <hyperlink ref="B243" location="Transfers!$G$222" display="Transfers!$G$222" xr:uid="{00000000-0004-0000-1000-000026020000}"/>
    <hyperlink ref="B244" location="Transfers!$H$222" display="Transfers!$H$222" xr:uid="{00000000-0004-0000-1000-000027020000}"/>
    <hyperlink ref="B245" location="Transfers!$I$222" display="Transfers!$I$222" xr:uid="{00000000-0004-0000-1000-000028020000}"/>
    <hyperlink ref="B246" location="Transfers!$J$222" display="Transfers!$J$222" xr:uid="{00000000-0004-0000-1000-000029020000}"/>
    <hyperlink ref="B247" location="Transfers!$K$222" display="Transfers!$K$222" xr:uid="{00000000-0004-0000-1000-00002A020000}"/>
    <hyperlink ref="B248" location="Transfers!$L$222" display="Transfers!$L$222" xr:uid="{00000000-0004-0000-1000-00002B020000}"/>
    <hyperlink ref="B249" location="Transfers!$M$222" display="Transfers!$M$222" xr:uid="{00000000-0004-0000-1000-00002C020000}"/>
    <hyperlink ref="B250" location="Transfers!$N$222" display="Transfers!$N$222" xr:uid="{00000000-0004-0000-1000-00002D020000}"/>
    <hyperlink ref="B251" location="Transfers!$O$222" display="Transfers!$O$222" xr:uid="{00000000-0004-0000-1000-00002E020000}"/>
    <hyperlink ref="B252" location="Transfers!$B$223" display="Transfers!$B$223" xr:uid="{00000000-0004-0000-1000-00002F020000}"/>
    <hyperlink ref="B254" location="Transfers!$D$223" display="Transfers!$D$223" xr:uid="{00000000-0004-0000-1000-000030020000}"/>
    <hyperlink ref="B255" location="Transfers!$E$223" display="Transfers!$E$223" xr:uid="{00000000-0004-0000-1000-000031020000}"/>
    <hyperlink ref="B256" location="Transfers!$F$223" display="Transfers!$F$223" xr:uid="{00000000-0004-0000-1000-000032020000}"/>
    <hyperlink ref="B257" location="Transfers!$G$223" display="Transfers!$G$223" xr:uid="{00000000-0004-0000-1000-000033020000}"/>
    <hyperlink ref="B258" location="Transfers!$H$223" display="Transfers!$H$223" xr:uid="{00000000-0004-0000-1000-000034020000}"/>
    <hyperlink ref="B259" location="Transfers!$I$223" display="Transfers!$I$223" xr:uid="{00000000-0004-0000-1000-000035020000}"/>
    <hyperlink ref="B260" location="Transfers!$J$223" display="Transfers!$J$223" xr:uid="{00000000-0004-0000-1000-000036020000}"/>
    <hyperlink ref="B261" location="Transfers!$K$223" display="Transfers!$K$223" xr:uid="{00000000-0004-0000-1000-000037020000}"/>
    <hyperlink ref="B262" location="Transfers!$L$223" display="Transfers!$L$223" xr:uid="{00000000-0004-0000-1000-000038020000}"/>
    <hyperlink ref="B263" location="Transfers!$M$223" display="Transfers!$M$223" xr:uid="{00000000-0004-0000-1000-000039020000}"/>
    <hyperlink ref="B264" location="Transfers!$N$223" display="Transfers!$N$223" xr:uid="{00000000-0004-0000-1000-00003A020000}"/>
    <hyperlink ref="B265" location="Transfers!$O$223" display="Transfers!$O$223" xr:uid="{00000000-0004-0000-1000-00003B020000}"/>
    <hyperlink ref="B266" location="Transfers!$B$224" display="Transfers!$B$224" xr:uid="{00000000-0004-0000-1000-00003C020000}"/>
    <hyperlink ref="B267" location="Transfers!$C$224" display="Transfers!$C$224" xr:uid="{00000000-0004-0000-1000-00003D020000}"/>
    <hyperlink ref="B269" location="Transfers!$E$224" display="Transfers!$E$224" xr:uid="{00000000-0004-0000-1000-00003E020000}"/>
    <hyperlink ref="B270" location="Transfers!$F$224" display="Transfers!$F$224" xr:uid="{00000000-0004-0000-1000-00003F020000}"/>
    <hyperlink ref="B271" location="Transfers!$G$224" display="Transfers!$G$224" xr:uid="{00000000-0004-0000-1000-000040020000}"/>
    <hyperlink ref="B272" location="Transfers!$H$224" display="Transfers!$H$224" xr:uid="{00000000-0004-0000-1000-000041020000}"/>
    <hyperlink ref="B273" location="Transfers!$I$224" display="Transfers!$I$224" xr:uid="{00000000-0004-0000-1000-000042020000}"/>
    <hyperlink ref="B274" location="Transfers!$J$224" display="Transfers!$J$224" xr:uid="{00000000-0004-0000-1000-000043020000}"/>
    <hyperlink ref="B275" location="Transfers!$K$224" display="Transfers!$K$224" xr:uid="{00000000-0004-0000-1000-000044020000}"/>
    <hyperlink ref="B276" location="Transfers!$L$224" display="Transfers!$L$224" xr:uid="{00000000-0004-0000-1000-000045020000}"/>
    <hyperlink ref="B277" location="Transfers!$M$224" display="Transfers!$M$224" xr:uid="{00000000-0004-0000-1000-000046020000}"/>
    <hyperlink ref="B278" location="Transfers!$N$224" display="Transfers!$N$224" xr:uid="{00000000-0004-0000-1000-000047020000}"/>
    <hyperlink ref="B279" location="Transfers!$O$224" display="Transfers!$O$224" xr:uid="{00000000-0004-0000-1000-000048020000}"/>
    <hyperlink ref="B280" location="Transfers!$B$225" display="Transfers!$B$225" xr:uid="{00000000-0004-0000-1000-000049020000}"/>
    <hyperlink ref="B281" location="Transfers!$C$225" display="Transfers!$C$225" xr:uid="{00000000-0004-0000-1000-00004A020000}"/>
    <hyperlink ref="B282" location="Transfers!$D$225" display="Transfers!$D$225" xr:uid="{00000000-0004-0000-1000-00004B020000}"/>
    <hyperlink ref="B284" location="Transfers!$F$225" display="Transfers!$F$225" xr:uid="{00000000-0004-0000-1000-00004C020000}"/>
    <hyperlink ref="B285" location="Transfers!$G$225" display="Transfers!$G$225" xr:uid="{00000000-0004-0000-1000-00004D020000}"/>
    <hyperlink ref="B286" location="Transfers!$H$225" display="Transfers!$H$225" xr:uid="{00000000-0004-0000-1000-00004E020000}"/>
    <hyperlink ref="B287" location="Transfers!$I$225" display="Transfers!$I$225" xr:uid="{00000000-0004-0000-1000-00004F020000}"/>
    <hyperlink ref="B288" location="Transfers!$J$225" display="Transfers!$J$225" xr:uid="{00000000-0004-0000-1000-000050020000}"/>
    <hyperlink ref="B289" location="Transfers!$K$225" display="Transfers!$K$225" xr:uid="{00000000-0004-0000-1000-000051020000}"/>
    <hyperlink ref="B290" location="Transfers!$L$225" display="Transfers!$L$225" xr:uid="{00000000-0004-0000-1000-000052020000}"/>
    <hyperlink ref="B291" location="Transfers!$M$225" display="Transfers!$M$225" xr:uid="{00000000-0004-0000-1000-000053020000}"/>
    <hyperlink ref="B292" location="Transfers!$N$225" display="Transfers!$N$225" xr:uid="{00000000-0004-0000-1000-000054020000}"/>
    <hyperlink ref="B293" location="Transfers!$O$225" display="Transfers!$O$225" xr:uid="{00000000-0004-0000-1000-000055020000}"/>
    <hyperlink ref="B294" location="Transfers!$B$226" display="Transfers!$B$226" xr:uid="{00000000-0004-0000-1000-000056020000}"/>
    <hyperlink ref="B295" location="Transfers!$C$226" display="Transfers!$C$226" xr:uid="{00000000-0004-0000-1000-000057020000}"/>
    <hyperlink ref="B296" location="Transfers!$D$226" display="Transfers!$D$226" xr:uid="{00000000-0004-0000-1000-000058020000}"/>
    <hyperlink ref="B297" location="Transfers!$E$226" display="Transfers!$E$226" xr:uid="{00000000-0004-0000-1000-000059020000}"/>
    <hyperlink ref="B299" location="Transfers!$G$226" display="Transfers!$G$226" xr:uid="{00000000-0004-0000-1000-00005A020000}"/>
    <hyperlink ref="B300" location="Transfers!$H$226" display="Transfers!$H$226" xr:uid="{00000000-0004-0000-1000-00005B020000}"/>
    <hyperlink ref="B301" location="Transfers!$I$226" display="Transfers!$I$226" xr:uid="{00000000-0004-0000-1000-00005C020000}"/>
    <hyperlink ref="B302" location="Transfers!$J$226" display="Transfers!$J$226" xr:uid="{00000000-0004-0000-1000-00005D020000}"/>
    <hyperlink ref="B303" location="Transfers!$K$226" display="Transfers!$K$226" xr:uid="{00000000-0004-0000-1000-00005E020000}"/>
    <hyperlink ref="B304" location="Transfers!$L$226" display="Transfers!$L$226" xr:uid="{00000000-0004-0000-1000-00005F020000}"/>
    <hyperlink ref="B305" location="Transfers!$M$226" display="Transfers!$M$226" xr:uid="{00000000-0004-0000-1000-000060020000}"/>
    <hyperlink ref="B306" location="Transfers!$N$226" display="Transfers!$N$226" xr:uid="{00000000-0004-0000-1000-000061020000}"/>
    <hyperlink ref="B307" location="Transfers!$O$226" display="Transfers!$O$226" xr:uid="{00000000-0004-0000-1000-000062020000}"/>
    <hyperlink ref="B308" location="Transfers!$B$227" display="Transfers!$B$227" xr:uid="{00000000-0004-0000-1000-000063020000}"/>
    <hyperlink ref="B309" location="Transfers!$C$227" display="Transfers!$C$227" xr:uid="{00000000-0004-0000-1000-000064020000}"/>
    <hyperlink ref="B310" location="Transfers!$D$227" display="Transfers!$D$227" xr:uid="{00000000-0004-0000-1000-000065020000}"/>
    <hyperlink ref="B311" location="Transfers!$E$227" display="Transfers!$E$227" xr:uid="{00000000-0004-0000-1000-000066020000}"/>
    <hyperlink ref="B312" location="Transfers!$F$227" display="Transfers!$F$227" xr:uid="{00000000-0004-0000-1000-000067020000}"/>
    <hyperlink ref="B314" location="Transfers!$H$227" display="Transfers!$H$227" xr:uid="{00000000-0004-0000-1000-000068020000}"/>
    <hyperlink ref="B315" location="Transfers!$I$227" display="Transfers!$I$227" xr:uid="{00000000-0004-0000-1000-000069020000}"/>
    <hyperlink ref="B316" location="Transfers!$J$227" display="Transfers!$J$227" xr:uid="{00000000-0004-0000-1000-00006A020000}"/>
    <hyperlink ref="B317" location="Transfers!$K$227" display="Transfers!$K$227" xr:uid="{00000000-0004-0000-1000-00006B020000}"/>
    <hyperlink ref="B318" location="Transfers!$L$227" display="Transfers!$L$227" xr:uid="{00000000-0004-0000-1000-00006C020000}"/>
    <hyperlink ref="B319" location="Transfers!$M$227" display="Transfers!$M$227" xr:uid="{00000000-0004-0000-1000-00006D020000}"/>
    <hyperlink ref="B320" location="Transfers!$N$227" display="Transfers!$N$227" xr:uid="{00000000-0004-0000-1000-00006E020000}"/>
    <hyperlink ref="B321" location="Transfers!$O$227" display="Transfers!$O$227" xr:uid="{00000000-0004-0000-1000-00006F020000}"/>
    <hyperlink ref="B322" location="Transfers!$B$228" display="Transfers!$B$228" xr:uid="{00000000-0004-0000-1000-000070020000}"/>
    <hyperlink ref="B323" location="Transfers!$C$228" display="Transfers!$C$228" xr:uid="{00000000-0004-0000-1000-000071020000}"/>
    <hyperlink ref="B324" location="Transfers!$D$228" display="Transfers!$D$228" xr:uid="{00000000-0004-0000-1000-000072020000}"/>
    <hyperlink ref="B325" location="Transfers!$E$228" display="Transfers!$E$228" xr:uid="{00000000-0004-0000-1000-000073020000}"/>
    <hyperlink ref="B326" location="Transfers!$F$228" display="Transfers!$F$228" xr:uid="{00000000-0004-0000-1000-000074020000}"/>
    <hyperlink ref="B327" location="Transfers!$G$228" display="Transfers!$G$228" xr:uid="{00000000-0004-0000-1000-000075020000}"/>
    <hyperlink ref="B329" location="Transfers!$I$228" display="Transfers!$I$228" xr:uid="{00000000-0004-0000-1000-000076020000}"/>
    <hyperlink ref="B330" location="Transfers!$J$228" display="Transfers!$J$228" xr:uid="{00000000-0004-0000-1000-000077020000}"/>
    <hyperlink ref="B331" location="Transfers!$K$228" display="Transfers!$K$228" xr:uid="{00000000-0004-0000-1000-000078020000}"/>
    <hyperlink ref="B332" location="Transfers!$L$228" display="Transfers!$L$228" xr:uid="{00000000-0004-0000-1000-000079020000}"/>
    <hyperlink ref="B333" location="Transfers!$M$228" display="Transfers!$M$228" xr:uid="{00000000-0004-0000-1000-00007A020000}"/>
    <hyperlink ref="B334" location="Transfers!$N$228" display="Transfers!$N$228" xr:uid="{00000000-0004-0000-1000-00007B020000}"/>
    <hyperlink ref="B335" location="Transfers!$O$228" display="Transfers!$O$228" xr:uid="{00000000-0004-0000-1000-00007C020000}"/>
    <hyperlink ref="B336" location="Transfers!$B$229" display="Transfers!$B$229" xr:uid="{00000000-0004-0000-1000-00007D020000}"/>
    <hyperlink ref="B337" location="Transfers!$C$229" display="Transfers!$C$229" xr:uid="{00000000-0004-0000-1000-00007E020000}"/>
    <hyperlink ref="B338" location="Transfers!$D$229" display="Transfers!$D$229" xr:uid="{00000000-0004-0000-1000-00007F020000}"/>
    <hyperlink ref="B339" location="Transfers!$E$229" display="Transfers!$E$229" xr:uid="{00000000-0004-0000-1000-000080020000}"/>
    <hyperlink ref="B340" location="Transfers!$F$229" display="Transfers!$F$229" xr:uid="{00000000-0004-0000-1000-000081020000}"/>
    <hyperlink ref="B341" location="Transfers!$G$229" display="Transfers!$G$229" xr:uid="{00000000-0004-0000-1000-000082020000}"/>
    <hyperlink ref="B342" location="Transfers!$H$229" display="Transfers!$H$229" xr:uid="{00000000-0004-0000-1000-000083020000}"/>
    <hyperlink ref="B344" location="Transfers!$J$229" display="Transfers!$J$229" xr:uid="{00000000-0004-0000-1000-000084020000}"/>
    <hyperlink ref="B345" location="Transfers!$K$229" display="Transfers!$K$229" xr:uid="{00000000-0004-0000-1000-000085020000}"/>
    <hyperlink ref="B346" location="Transfers!$L$229" display="Transfers!$L$229" xr:uid="{00000000-0004-0000-1000-000086020000}"/>
    <hyperlink ref="B347" location="Transfers!$M$229" display="Transfers!$M$229" xr:uid="{00000000-0004-0000-1000-000087020000}"/>
    <hyperlink ref="B348" location="Transfers!$N$229" display="Transfers!$N$229" xr:uid="{00000000-0004-0000-1000-000088020000}"/>
    <hyperlink ref="B349" location="Transfers!$O$229" display="Transfers!$O$229" xr:uid="{00000000-0004-0000-1000-000089020000}"/>
    <hyperlink ref="B350" location="Transfers!$B$230" display="Transfers!$B$230" xr:uid="{00000000-0004-0000-1000-00008A020000}"/>
    <hyperlink ref="B351" location="Transfers!$C$230" display="Transfers!$C$230" xr:uid="{00000000-0004-0000-1000-00008B020000}"/>
    <hyperlink ref="B352" location="Transfers!$D$230" display="Transfers!$D$230" xr:uid="{00000000-0004-0000-1000-00008C020000}"/>
    <hyperlink ref="B353" location="Transfers!$E$230" display="Transfers!$E$230" xr:uid="{00000000-0004-0000-1000-00008D020000}"/>
    <hyperlink ref="B354" location="Transfers!$F$230" display="Transfers!$F$230" xr:uid="{00000000-0004-0000-1000-00008E020000}"/>
    <hyperlink ref="B355" location="Transfers!$G$230" display="Transfers!$G$230" xr:uid="{00000000-0004-0000-1000-00008F020000}"/>
    <hyperlink ref="B356" location="Transfers!$H$230" display="Transfers!$H$230" xr:uid="{00000000-0004-0000-1000-000090020000}"/>
    <hyperlink ref="B357" location="Transfers!$I$230" display="Transfers!$I$230" xr:uid="{00000000-0004-0000-1000-000091020000}"/>
    <hyperlink ref="B359" location="Transfers!$K$230" display="Transfers!$K$230" xr:uid="{00000000-0004-0000-1000-000092020000}"/>
    <hyperlink ref="B360" location="Transfers!$L$230" display="Transfers!$L$230" xr:uid="{00000000-0004-0000-1000-000093020000}"/>
    <hyperlink ref="B361" location="Transfers!$M$230" display="Transfers!$M$230" xr:uid="{00000000-0004-0000-1000-000094020000}"/>
    <hyperlink ref="B362" location="Transfers!$N$230" display="Transfers!$N$230" xr:uid="{00000000-0004-0000-1000-000095020000}"/>
    <hyperlink ref="B363" location="Transfers!$O$230" display="Transfers!$O$230" xr:uid="{00000000-0004-0000-1000-000096020000}"/>
    <hyperlink ref="B364" location="Transfers!$B$231" display="Transfers!$B$231" xr:uid="{00000000-0004-0000-1000-000097020000}"/>
    <hyperlink ref="B365" location="Transfers!$C$231" display="Transfers!$C$231" xr:uid="{00000000-0004-0000-1000-000098020000}"/>
    <hyperlink ref="B366" location="Transfers!$D$231" display="Transfers!$D$231" xr:uid="{00000000-0004-0000-1000-000099020000}"/>
    <hyperlink ref="B367" location="Transfers!$E$231" display="Transfers!$E$231" xr:uid="{00000000-0004-0000-1000-00009A020000}"/>
    <hyperlink ref="B368" location="Transfers!$F$231" display="Transfers!$F$231" xr:uid="{00000000-0004-0000-1000-00009B020000}"/>
    <hyperlink ref="B369" location="Transfers!$G$231" display="Transfers!$G$231" xr:uid="{00000000-0004-0000-1000-00009C020000}"/>
    <hyperlink ref="B370" location="Transfers!$H$231" display="Transfers!$H$231" xr:uid="{00000000-0004-0000-1000-00009D020000}"/>
    <hyperlink ref="B371" location="Transfers!$I$231" display="Transfers!$I$231" xr:uid="{00000000-0004-0000-1000-00009E020000}"/>
    <hyperlink ref="B372" location="Transfers!$J$231" display="Transfers!$J$231" xr:uid="{00000000-0004-0000-1000-00009F020000}"/>
    <hyperlink ref="B374" location="Transfers!$L$231" display="Transfers!$L$231" xr:uid="{00000000-0004-0000-1000-0000A0020000}"/>
    <hyperlink ref="B375" location="Transfers!$M$231" display="Transfers!$M$231" xr:uid="{00000000-0004-0000-1000-0000A1020000}"/>
    <hyperlink ref="B376" location="Transfers!$N$231" display="Transfers!$N$231" xr:uid="{00000000-0004-0000-1000-0000A2020000}"/>
    <hyperlink ref="B377" location="Transfers!$O$231" display="Transfers!$O$231" xr:uid="{00000000-0004-0000-1000-0000A3020000}"/>
    <hyperlink ref="B378" location="Transfers!$B$232" display="Transfers!$B$232" xr:uid="{00000000-0004-0000-1000-0000A4020000}"/>
    <hyperlink ref="B379" location="Transfers!$C$232" display="Transfers!$C$232" xr:uid="{00000000-0004-0000-1000-0000A5020000}"/>
    <hyperlink ref="B380" location="Transfers!$D$232" display="Transfers!$D$232" xr:uid="{00000000-0004-0000-1000-0000A6020000}"/>
    <hyperlink ref="B381" location="Transfers!$E$232" display="Transfers!$E$232" xr:uid="{00000000-0004-0000-1000-0000A7020000}"/>
    <hyperlink ref="B382" location="Transfers!$F$232" display="Transfers!$F$232" xr:uid="{00000000-0004-0000-1000-0000A8020000}"/>
    <hyperlink ref="B383" location="Transfers!$G$232" display="Transfers!$G$232" xr:uid="{00000000-0004-0000-1000-0000A9020000}"/>
    <hyperlink ref="B384" location="Transfers!$H$232" display="Transfers!$H$232" xr:uid="{00000000-0004-0000-1000-0000AA020000}"/>
    <hyperlink ref="B385" location="Transfers!$I$232" display="Transfers!$I$232" xr:uid="{00000000-0004-0000-1000-0000AB020000}"/>
    <hyperlink ref="B386" location="Transfers!$J$232" display="Transfers!$J$232" xr:uid="{00000000-0004-0000-1000-0000AC020000}"/>
    <hyperlink ref="B387" location="Transfers!$K$232" display="Transfers!$K$232" xr:uid="{00000000-0004-0000-1000-0000AD020000}"/>
    <hyperlink ref="B389" location="Transfers!$M$232" display="Transfers!$M$232" xr:uid="{00000000-0004-0000-1000-0000AE020000}"/>
    <hyperlink ref="B390" location="Transfers!$N$232" display="Transfers!$N$232" xr:uid="{00000000-0004-0000-1000-0000AF020000}"/>
    <hyperlink ref="B391" location="Transfers!$O$232" display="Transfers!$O$232" xr:uid="{00000000-0004-0000-1000-0000B0020000}"/>
    <hyperlink ref="B392" location="Transfers!$B$233" display="Transfers!$B$233" xr:uid="{00000000-0004-0000-1000-0000B1020000}"/>
    <hyperlink ref="B393" location="Transfers!$C$233" display="Transfers!$C$233" xr:uid="{00000000-0004-0000-1000-0000B2020000}"/>
    <hyperlink ref="B394" location="Transfers!$D$233" display="Transfers!$D$233" xr:uid="{00000000-0004-0000-1000-0000B3020000}"/>
    <hyperlink ref="B395" location="Transfers!$E$233" display="Transfers!$E$233" xr:uid="{00000000-0004-0000-1000-0000B4020000}"/>
    <hyperlink ref="B396" location="Transfers!$F$233" display="Transfers!$F$233" xr:uid="{00000000-0004-0000-1000-0000B5020000}"/>
    <hyperlink ref="B397" location="Transfers!$G$233" display="Transfers!$G$233" xr:uid="{00000000-0004-0000-1000-0000B6020000}"/>
    <hyperlink ref="B398" location="Transfers!$H$233" display="Transfers!$H$233" xr:uid="{00000000-0004-0000-1000-0000B7020000}"/>
    <hyperlink ref="B399" location="Transfers!$I$233" display="Transfers!$I$233" xr:uid="{00000000-0004-0000-1000-0000B8020000}"/>
    <hyperlink ref="B400" location="Transfers!$J$233" display="Transfers!$J$233" xr:uid="{00000000-0004-0000-1000-0000B9020000}"/>
    <hyperlink ref="B401" location="Transfers!$K$233" display="Transfers!$K$233" xr:uid="{00000000-0004-0000-1000-0000BA020000}"/>
    <hyperlink ref="B402" location="Transfers!$L$233" display="Transfers!$L$233" xr:uid="{00000000-0004-0000-1000-0000BB020000}"/>
    <hyperlink ref="B404" location="Transfers!$N$233" display="Transfers!$N$233" xr:uid="{00000000-0004-0000-1000-0000BC020000}"/>
    <hyperlink ref="B405" location="Transfers!$O$233" display="Transfers!$O$233" xr:uid="{00000000-0004-0000-1000-0000BD020000}"/>
    <hyperlink ref="B406" location="Transfers!$B$234" display="Transfers!$B$234" xr:uid="{00000000-0004-0000-1000-0000BE020000}"/>
    <hyperlink ref="B407" location="Transfers!$C$234" display="Transfers!$C$234" xr:uid="{00000000-0004-0000-1000-0000BF020000}"/>
    <hyperlink ref="B408" location="Transfers!$D$234" display="Transfers!$D$234" xr:uid="{00000000-0004-0000-1000-0000C0020000}"/>
    <hyperlink ref="B409" location="Transfers!$E$234" display="Transfers!$E$234" xr:uid="{00000000-0004-0000-1000-0000C1020000}"/>
    <hyperlink ref="B410" location="Transfers!$F$234" display="Transfers!$F$234" xr:uid="{00000000-0004-0000-1000-0000C2020000}"/>
    <hyperlink ref="B411" location="Transfers!$G$234" display="Transfers!$G$234" xr:uid="{00000000-0004-0000-1000-0000C3020000}"/>
    <hyperlink ref="B412" location="Transfers!$H$234" display="Transfers!$H$234" xr:uid="{00000000-0004-0000-1000-0000C4020000}"/>
    <hyperlink ref="B413" location="Transfers!$I$234" display="Transfers!$I$234" xr:uid="{00000000-0004-0000-1000-0000C5020000}"/>
    <hyperlink ref="B414" location="Transfers!$J$234" display="Transfers!$J$234" xr:uid="{00000000-0004-0000-1000-0000C6020000}"/>
    <hyperlink ref="B415" location="Transfers!$K$234" display="Transfers!$K$234" xr:uid="{00000000-0004-0000-1000-0000C7020000}"/>
    <hyperlink ref="B416" location="Transfers!$L$234" display="Transfers!$L$234" xr:uid="{00000000-0004-0000-1000-0000C8020000}"/>
    <hyperlink ref="B417" location="Transfers!$M$234" display="Transfers!$M$234" xr:uid="{00000000-0004-0000-1000-0000C9020000}"/>
    <hyperlink ref="B419" location="Transfers!$O$234" display="Transfers!$O$234" xr:uid="{00000000-0004-0000-1000-0000CA020000}"/>
    <hyperlink ref="B420" location="Transfers!$B$235" display="Transfers!$B$235" xr:uid="{00000000-0004-0000-1000-0000CB020000}"/>
    <hyperlink ref="B421" location="Transfers!$C$235" display="Transfers!$C$235" xr:uid="{00000000-0004-0000-1000-0000CC020000}"/>
    <hyperlink ref="B422" location="Transfers!$D$235" display="Transfers!$D$235" xr:uid="{00000000-0004-0000-1000-0000CD020000}"/>
    <hyperlink ref="B423" location="Transfers!$E$235" display="Transfers!$E$235" xr:uid="{00000000-0004-0000-1000-0000CE020000}"/>
    <hyperlink ref="B424" location="Transfers!$F$235" display="Transfers!$F$235" xr:uid="{00000000-0004-0000-1000-0000CF020000}"/>
    <hyperlink ref="B425" location="Transfers!$G$235" display="Transfers!$G$235" xr:uid="{00000000-0004-0000-1000-0000D0020000}"/>
    <hyperlink ref="B426" location="Transfers!$H$235" display="Transfers!$H$235" xr:uid="{00000000-0004-0000-1000-0000D1020000}"/>
    <hyperlink ref="B427" location="Transfers!$I$235" display="Transfers!$I$235" xr:uid="{00000000-0004-0000-1000-0000D2020000}"/>
    <hyperlink ref="B428" location="Transfers!$J$235" display="Transfers!$J$235" xr:uid="{00000000-0004-0000-1000-0000D3020000}"/>
    <hyperlink ref="B429" location="Transfers!$K$235" display="Transfers!$K$235" xr:uid="{00000000-0004-0000-1000-0000D4020000}"/>
    <hyperlink ref="B430" location="Transfers!$L$235" display="Transfers!$L$235" xr:uid="{00000000-0004-0000-1000-0000D5020000}"/>
    <hyperlink ref="B431" location="Transfers!$M$235" display="Transfers!$M$235" xr:uid="{00000000-0004-0000-1000-0000D6020000}"/>
    <hyperlink ref="B432" location="Transfers!$N$235" display="Transfers!$N$235" xr:uid="{00000000-0004-0000-1000-0000D7020000}"/>
    <hyperlink ref="C439" location="Transfers!B456" display="N" xr:uid="{00000000-0004-0000-1000-0000D8020000}"/>
    <hyperlink ref="D439" location="Transfers!B457" display="N" xr:uid="{00000000-0004-0000-1000-0000D9020000}"/>
    <hyperlink ref="E439" location="Transfers!B458" display="N" xr:uid="{00000000-0004-0000-1000-0000DA020000}"/>
    <hyperlink ref="F439" location="Transfers!B459" display="N" xr:uid="{00000000-0004-0000-1000-0000DB020000}"/>
    <hyperlink ref="G439" location="Transfers!B460" display="N" xr:uid="{00000000-0004-0000-1000-0000DC020000}"/>
    <hyperlink ref="H439" location="Transfers!B461" display="N" xr:uid="{00000000-0004-0000-1000-0000DD020000}"/>
    <hyperlink ref="I439" location="Transfers!B462" display="N" xr:uid="{00000000-0004-0000-1000-0000DE020000}"/>
    <hyperlink ref="J439" location="Transfers!B463" display="N" xr:uid="{00000000-0004-0000-1000-0000DF020000}"/>
    <hyperlink ref="K439" location="Transfers!B464" display="N" xr:uid="{00000000-0004-0000-1000-0000E0020000}"/>
    <hyperlink ref="L439" location="Transfers!B465" display="N" xr:uid="{00000000-0004-0000-1000-0000E1020000}"/>
    <hyperlink ref="M439" location="Transfers!B466" display="N" xr:uid="{00000000-0004-0000-1000-0000E2020000}"/>
    <hyperlink ref="N439" location="Transfers!B467" display="Y" xr:uid="{00000000-0004-0000-1000-0000E3020000}"/>
    <hyperlink ref="O439" location="Transfers!B468" display="N" xr:uid="{00000000-0004-0000-1000-0000E4020000}"/>
    <hyperlink ref="B440" location="Transfers!B469" display="N" xr:uid="{00000000-0004-0000-1000-0000E5020000}"/>
    <hyperlink ref="D440" location="Transfers!B471" display="N" xr:uid="{00000000-0004-0000-1000-0000E6020000}"/>
    <hyperlink ref="E440" location="Transfers!B472" display="N" xr:uid="{00000000-0004-0000-1000-0000E7020000}"/>
    <hyperlink ref="F440" location="Transfers!B473" display="N" xr:uid="{00000000-0004-0000-1000-0000E8020000}"/>
    <hyperlink ref="G440" location="Transfers!B474" display="N" xr:uid="{00000000-0004-0000-1000-0000E9020000}"/>
    <hyperlink ref="H440" location="Transfers!B475" display="N" xr:uid="{00000000-0004-0000-1000-0000EA020000}"/>
    <hyperlink ref="I440" location="Transfers!B476" display="N" xr:uid="{00000000-0004-0000-1000-0000EB020000}"/>
    <hyperlink ref="J440" location="Transfers!B477" display="N" xr:uid="{00000000-0004-0000-1000-0000EC020000}"/>
    <hyperlink ref="K440" location="Transfers!B478" display="N" xr:uid="{00000000-0004-0000-1000-0000ED020000}"/>
    <hyperlink ref="L440" location="Transfers!B479" display="N" xr:uid="{00000000-0004-0000-1000-0000EE020000}"/>
    <hyperlink ref="M440" location="Transfers!B480" display="N" xr:uid="{00000000-0004-0000-1000-0000EF020000}"/>
    <hyperlink ref="N440" location="Transfers!B481" display="N" xr:uid="{00000000-0004-0000-1000-0000F0020000}"/>
    <hyperlink ref="O440" location="Transfers!B482" display="Y" xr:uid="{00000000-0004-0000-1000-0000F1020000}"/>
    <hyperlink ref="B441" location="Transfers!B483" display="N" xr:uid="{00000000-0004-0000-1000-0000F2020000}"/>
    <hyperlink ref="C441" location="Transfers!B484" display="N" xr:uid="{00000000-0004-0000-1000-0000F3020000}"/>
    <hyperlink ref="E441" location="Transfers!B486" display="N" xr:uid="{00000000-0004-0000-1000-0000F4020000}"/>
    <hyperlink ref="F441" location="Transfers!B487" display="N" xr:uid="{00000000-0004-0000-1000-0000F5020000}"/>
    <hyperlink ref="G441" location="Transfers!B488" display="N" xr:uid="{00000000-0004-0000-1000-0000F6020000}"/>
    <hyperlink ref="H441" location="Transfers!B489" display="N" xr:uid="{00000000-0004-0000-1000-0000F7020000}"/>
    <hyperlink ref="I441" location="Transfers!B490" display="N" xr:uid="{00000000-0004-0000-1000-0000F8020000}"/>
    <hyperlink ref="J441" location="Transfers!B491" display="N" xr:uid="{00000000-0004-0000-1000-0000F9020000}"/>
    <hyperlink ref="K441" location="Transfers!B492" display="N" xr:uid="{00000000-0004-0000-1000-0000FA020000}"/>
    <hyperlink ref="L441" location="Transfers!B493" display="N" xr:uid="{00000000-0004-0000-1000-0000FB020000}"/>
    <hyperlink ref="M441" location="Transfers!B494" display="N" xr:uid="{00000000-0004-0000-1000-0000FC020000}"/>
    <hyperlink ref="N441" location="Transfers!B495" display="N" xr:uid="{00000000-0004-0000-1000-0000FD020000}"/>
    <hyperlink ref="O441" location="Transfers!B496" display="N" xr:uid="{00000000-0004-0000-1000-0000FE020000}"/>
    <hyperlink ref="B442" location="Transfers!B497" display="N" xr:uid="{00000000-0004-0000-1000-0000FF020000}"/>
    <hyperlink ref="C442" location="Transfers!B498" display="N" xr:uid="{00000000-0004-0000-1000-000000030000}"/>
    <hyperlink ref="D442" location="Transfers!B499" display="N" xr:uid="{00000000-0004-0000-1000-000001030000}"/>
    <hyperlink ref="F442" location="Transfers!B501" display="N" xr:uid="{00000000-0004-0000-1000-000002030000}"/>
    <hyperlink ref="G442" location="Transfers!B502" display="N" xr:uid="{00000000-0004-0000-1000-000003030000}"/>
    <hyperlink ref="H442" location="Transfers!B503" display="N" xr:uid="{00000000-0004-0000-1000-000004030000}"/>
    <hyperlink ref="I442" location="Transfers!B504" display="N" xr:uid="{00000000-0004-0000-1000-000005030000}"/>
    <hyperlink ref="J442" location="Transfers!B505" display="N" xr:uid="{00000000-0004-0000-1000-000006030000}"/>
    <hyperlink ref="K442" location="Transfers!B506" display="N" xr:uid="{00000000-0004-0000-1000-000007030000}"/>
    <hyperlink ref="L442" location="Transfers!B507" display="N" xr:uid="{00000000-0004-0000-1000-000008030000}"/>
    <hyperlink ref="M442" location="Transfers!B508" display="N" xr:uid="{00000000-0004-0000-1000-000009030000}"/>
    <hyperlink ref="N442" location="Transfers!B509" display="N" xr:uid="{00000000-0004-0000-1000-00000A030000}"/>
    <hyperlink ref="O442" location="Transfers!B510" display="N" xr:uid="{00000000-0004-0000-1000-00000B030000}"/>
    <hyperlink ref="B443" location="Transfers!B511" display="N" xr:uid="{00000000-0004-0000-1000-00000C030000}"/>
    <hyperlink ref="C443" location="Transfers!B512" display="N" xr:uid="{00000000-0004-0000-1000-00000D030000}"/>
    <hyperlink ref="D443" location="Transfers!B513" display="N" xr:uid="{00000000-0004-0000-1000-00000E030000}"/>
    <hyperlink ref="E443" location="Transfers!B514" display="N" xr:uid="{00000000-0004-0000-1000-00000F030000}"/>
    <hyperlink ref="G443" location="Transfers!B516" display="N" xr:uid="{00000000-0004-0000-1000-000010030000}"/>
    <hyperlink ref="H443" location="Transfers!B517" display="N" xr:uid="{00000000-0004-0000-1000-000011030000}"/>
    <hyperlink ref="I443" location="Transfers!B518" display="N" xr:uid="{00000000-0004-0000-1000-000012030000}"/>
    <hyperlink ref="J443" location="Transfers!B519" display="N" xr:uid="{00000000-0004-0000-1000-000013030000}"/>
    <hyperlink ref="K443" location="Transfers!B520" display="N" xr:uid="{00000000-0004-0000-1000-000014030000}"/>
    <hyperlink ref="L443" location="Transfers!B521" display="N" xr:uid="{00000000-0004-0000-1000-000015030000}"/>
    <hyperlink ref="M443" location="Transfers!B522" display="N" xr:uid="{00000000-0004-0000-1000-000016030000}"/>
    <hyperlink ref="N443" location="Transfers!B523" display="N" xr:uid="{00000000-0004-0000-1000-000017030000}"/>
    <hyperlink ref="O443" location="Transfers!B524" display="N" xr:uid="{00000000-0004-0000-1000-000018030000}"/>
    <hyperlink ref="B444" location="Transfers!B525" display="N" xr:uid="{00000000-0004-0000-1000-000019030000}"/>
    <hyperlink ref="C444" location="Transfers!B526" display="N" xr:uid="{00000000-0004-0000-1000-00001A030000}"/>
    <hyperlink ref="D444" location="Transfers!B527" display="N" xr:uid="{00000000-0004-0000-1000-00001B030000}"/>
    <hyperlink ref="E444" location="Transfers!B528" display="N" xr:uid="{00000000-0004-0000-1000-00001C030000}"/>
    <hyperlink ref="F444" location="Transfers!B529" display="N" xr:uid="{00000000-0004-0000-1000-00001D030000}"/>
    <hyperlink ref="H444" location="Transfers!B531" display="N" xr:uid="{00000000-0004-0000-1000-00001E030000}"/>
    <hyperlink ref="I444" location="Transfers!B532" display="N" xr:uid="{00000000-0004-0000-1000-00001F030000}"/>
    <hyperlink ref="J444" location="Transfers!B533" display="N" xr:uid="{00000000-0004-0000-1000-000020030000}"/>
    <hyperlink ref="K444" location="Transfers!B534" display="N" xr:uid="{00000000-0004-0000-1000-000021030000}"/>
    <hyperlink ref="L444" location="Transfers!B535" display="N" xr:uid="{00000000-0004-0000-1000-000022030000}"/>
    <hyperlink ref="M444" location="Transfers!B536" display="N" xr:uid="{00000000-0004-0000-1000-000023030000}"/>
    <hyperlink ref="N444" location="Transfers!B537" display="N" xr:uid="{00000000-0004-0000-1000-000024030000}"/>
    <hyperlink ref="O444" location="Transfers!B538" display="N" xr:uid="{00000000-0004-0000-1000-000025030000}"/>
    <hyperlink ref="B445" location="Transfers!B539" display="N" xr:uid="{00000000-0004-0000-1000-000026030000}"/>
    <hyperlink ref="C445" location="Transfers!B540" display="N" xr:uid="{00000000-0004-0000-1000-000027030000}"/>
    <hyperlink ref="D445" location="Transfers!B541" display="N" xr:uid="{00000000-0004-0000-1000-000028030000}"/>
    <hyperlink ref="E445" location="Transfers!B542" display="N" xr:uid="{00000000-0004-0000-1000-000029030000}"/>
    <hyperlink ref="F445" location="Transfers!B543" display="N" xr:uid="{00000000-0004-0000-1000-00002A030000}"/>
    <hyperlink ref="G445" location="Transfers!B544" display="N" xr:uid="{00000000-0004-0000-1000-00002B030000}"/>
    <hyperlink ref="I445" location="Transfers!B546" display="N" xr:uid="{00000000-0004-0000-1000-00002C030000}"/>
    <hyperlink ref="J445" location="Transfers!B547" display="N" xr:uid="{00000000-0004-0000-1000-00002D030000}"/>
    <hyperlink ref="K445" location="Transfers!B548" display="N" xr:uid="{00000000-0004-0000-1000-00002E030000}"/>
    <hyperlink ref="L445" location="Transfers!B549" display="Y" xr:uid="{00000000-0004-0000-1000-00002F030000}"/>
    <hyperlink ref="M445" location="Transfers!B550" display="N" xr:uid="{00000000-0004-0000-1000-000030030000}"/>
    <hyperlink ref="N445" location="Transfers!B551" display="N" xr:uid="{00000000-0004-0000-1000-000031030000}"/>
    <hyperlink ref="O445" location="Transfers!B552" display="N" xr:uid="{00000000-0004-0000-1000-000032030000}"/>
    <hyperlink ref="B446" location="Transfers!B553" display="N" xr:uid="{00000000-0004-0000-1000-000033030000}"/>
    <hyperlink ref="C446" location="Transfers!B554" display="N" xr:uid="{00000000-0004-0000-1000-000034030000}"/>
    <hyperlink ref="D446" location="Transfers!B555" display="N" xr:uid="{00000000-0004-0000-1000-000035030000}"/>
    <hyperlink ref="E446" location="Transfers!B556" display="N" xr:uid="{00000000-0004-0000-1000-000036030000}"/>
    <hyperlink ref="F446" location="Transfers!B557" display="N" xr:uid="{00000000-0004-0000-1000-000037030000}"/>
    <hyperlink ref="G446" location="Transfers!B558" display="N" xr:uid="{00000000-0004-0000-1000-000038030000}"/>
    <hyperlink ref="H446" location="Transfers!B559" display="N" xr:uid="{00000000-0004-0000-1000-000039030000}"/>
    <hyperlink ref="J446" location="Transfers!B561" display="N" xr:uid="{00000000-0004-0000-1000-00003A030000}"/>
    <hyperlink ref="K446" location="Transfers!B562" display="N" xr:uid="{00000000-0004-0000-1000-00003B030000}"/>
    <hyperlink ref="L446" location="Transfers!B563" display="N" xr:uid="{00000000-0004-0000-1000-00003C030000}"/>
    <hyperlink ref="M446" location="Transfers!B564" display="Y" xr:uid="{00000000-0004-0000-1000-00003D030000}"/>
    <hyperlink ref="N446" location="Transfers!B565" display="N" xr:uid="{00000000-0004-0000-1000-00003E030000}"/>
    <hyperlink ref="O446" location="Transfers!B566" display="N" xr:uid="{00000000-0004-0000-1000-00003F030000}"/>
    <hyperlink ref="B447" location="Transfers!B567" display="N" xr:uid="{00000000-0004-0000-1000-000040030000}"/>
    <hyperlink ref="C447" location="Transfers!B568" display="N" xr:uid="{00000000-0004-0000-1000-000041030000}"/>
    <hyperlink ref="D447" location="Transfers!B569" display="N" xr:uid="{00000000-0004-0000-1000-000042030000}"/>
    <hyperlink ref="E447" location="Transfers!B570" display="N" xr:uid="{00000000-0004-0000-1000-000043030000}"/>
    <hyperlink ref="F447" location="Transfers!B571" display="N" xr:uid="{00000000-0004-0000-1000-000044030000}"/>
    <hyperlink ref="G447" location="Transfers!B572" display="N" xr:uid="{00000000-0004-0000-1000-000045030000}"/>
    <hyperlink ref="H447" location="Transfers!B573" display="N" xr:uid="{00000000-0004-0000-1000-000046030000}"/>
    <hyperlink ref="I447" location="Transfers!B574" display="N" xr:uid="{00000000-0004-0000-1000-000047030000}"/>
    <hyperlink ref="K447" location="Transfers!B576" display="N" xr:uid="{00000000-0004-0000-1000-000048030000}"/>
    <hyperlink ref="L447" location="Transfers!B577" display="N" xr:uid="{00000000-0004-0000-1000-000049030000}"/>
    <hyperlink ref="M447" location="Transfers!B578" display="N" xr:uid="{00000000-0004-0000-1000-00004A030000}"/>
    <hyperlink ref="N447" location="Transfers!B579" display="N" xr:uid="{00000000-0004-0000-1000-00004B030000}"/>
    <hyperlink ref="O447" location="Transfers!B580" display="N" xr:uid="{00000000-0004-0000-1000-00004C030000}"/>
    <hyperlink ref="B448" location="Transfers!B581" display="N" xr:uid="{00000000-0004-0000-1000-00004D030000}"/>
    <hyperlink ref="C448" location="Transfers!B582" display="N" xr:uid="{00000000-0004-0000-1000-00004E030000}"/>
    <hyperlink ref="D448" location="Transfers!B583" display="N" xr:uid="{00000000-0004-0000-1000-00004F030000}"/>
    <hyperlink ref="E448" location="Transfers!B584" display="N" xr:uid="{00000000-0004-0000-1000-000050030000}"/>
    <hyperlink ref="F448" location="Transfers!B585" display="N" xr:uid="{00000000-0004-0000-1000-000051030000}"/>
    <hyperlink ref="G448" location="Transfers!B586" display="N" xr:uid="{00000000-0004-0000-1000-000052030000}"/>
    <hyperlink ref="H448" location="Transfers!B587" display="N" xr:uid="{00000000-0004-0000-1000-000053030000}"/>
    <hyperlink ref="I448" location="Transfers!B588" display="N" xr:uid="{00000000-0004-0000-1000-000054030000}"/>
    <hyperlink ref="J448" location="Transfers!B589" display="N" xr:uid="{00000000-0004-0000-1000-000055030000}"/>
    <hyperlink ref="L448" location="Transfers!B591" display="N" xr:uid="{00000000-0004-0000-1000-000056030000}"/>
    <hyperlink ref="M448" location="Transfers!B592" display="N" xr:uid="{00000000-0004-0000-1000-000057030000}"/>
    <hyperlink ref="N448" location="Transfers!B593" display="N" xr:uid="{00000000-0004-0000-1000-000058030000}"/>
    <hyperlink ref="O448" location="Transfers!B594" display="N" xr:uid="{00000000-0004-0000-1000-000059030000}"/>
    <hyperlink ref="B449" location="Transfers!B595" display="N" xr:uid="{00000000-0004-0000-1000-00005A030000}"/>
    <hyperlink ref="C449" location="Transfers!B596" display="N" xr:uid="{00000000-0004-0000-1000-00005B030000}"/>
    <hyperlink ref="D449" location="Transfers!B597" display="N" xr:uid="{00000000-0004-0000-1000-00005C030000}"/>
    <hyperlink ref="E449" location="Transfers!B598" display="N" xr:uid="{00000000-0004-0000-1000-00005D030000}"/>
    <hyperlink ref="F449" location="Transfers!B599" display="N" xr:uid="{00000000-0004-0000-1000-00005E030000}"/>
    <hyperlink ref="G449" location="Transfers!B600" display="N" xr:uid="{00000000-0004-0000-1000-00005F030000}"/>
    <hyperlink ref="H449" location="Transfers!B601" display="Y" xr:uid="{00000000-0004-0000-1000-000060030000}"/>
    <hyperlink ref="I449" location="Transfers!B602" display="N" xr:uid="{00000000-0004-0000-1000-000061030000}"/>
    <hyperlink ref="J449" location="Transfers!B603" display="N" xr:uid="{00000000-0004-0000-1000-000062030000}"/>
    <hyperlink ref="K449" location="Transfers!B604" display="N" xr:uid="{00000000-0004-0000-1000-000063030000}"/>
    <hyperlink ref="M449" location="Transfers!B606" display="N" xr:uid="{00000000-0004-0000-1000-000064030000}"/>
    <hyperlink ref="N449" location="Transfers!B607" display="N" xr:uid="{00000000-0004-0000-1000-000065030000}"/>
    <hyperlink ref="O449" location="Transfers!B608" display="N" xr:uid="{00000000-0004-0000-1000-000066030000}"/>
    <hyperlink ref="B450" location="Transfers!B609" display="N" xr:uid="{00000000-0004-0000-1000-000067030000}"/>
    <hyperlink ref="C450" location="Transfers!B610" display="N" xr:uid="{00000000-0004-0000-1000-000068030000}"/>
    <hyperlink ref="D450" location="Transfers!B611" display="N" xr:uid="{00000000-0004-0000-1000-000069030000}"/>
    <hyperlink ref="E450" location="Transfers!B612" display="N" xr:uid="{00000000-0004-0000-1000-00006A030000}"/>
    <hyperlink ref="F450" location="Transfers!B613" display="N" xr:uid="{00000000-0004-0000-1000-00006B030000}"/>
    <hyperlink ref="G450" location="Transfers!B614" display="N" xr:uid="{00000000-0004-0000-1000-00006C030000}"/>
    <hyperlink ref="H450" location="Transfers!B615" display="N" xr:uid="{00000000-0004-0000-1000-00006D030000}"/>
    <hyperlink ref="I450" location="Transfers!B616" display="Y" xr:uid="{00000000-0004-0000-1000-00006E030000}"/>
    <hyperlink ref="J450" location="Transfers!B617" display="N" xr:uid="{00000000-0004-0000-1000-00006F030000}"/>
    <hyperlink ref="K450" location="Transfers!B618" display="N" xr:uid="{00000000-0004-0000-1000-000070030000}"/>
    <hyperlink ref="L450" location="Transfers!B619" display="N" xr:uid="{00000000-0004-0000-1000-000071030000}"/>
    <hyperlink ref="N450" location="Transfers!B621" display="N" xr:uid="{00000000-0004-0000-1000-000072030000}"/>
    <hyperlink ref="O450" location="Transfers!B622" display="N" xr:uid="{00000000-0004-0000-1000-000073030000}"/>
    <hyperlink ref="B451" location="Transfers!B623" display="Y" xr:uid="{00000000-0004-0000-1000-000074030000}"/>
    <hyperlink ref="C451" location="Transfers!B624" display="N" xr:uid="{00000000-0004-0000-1000-000075030000}"/>
    <hyperlink ref="D451" location="Transfers!B625" display="N" xr:uid="{00000000-0004-0000-1000-000076030000}"/>
    <hyperlink ref="E451" location="Transfers!B626" display="N" xr:uid="{00000000-0004-0000-1000-000077030000}"/>
    <hyperlink ref="F451" location="Transfers!B627" display="N" xr:uid="{00000000-0004-0000-1000-000078030000}"/>
    <hyperlink ref="G451" location="Transfers!B628" display="N" xr:uid="{00000000-0004-0000-1000-000079030000}"/>
    <hyperlink ref="H451" location="Transfers!B629" display="N" xr:uid="{00000000-0004-0000-1000-00007A030000}"/>
    <hyperlink ref="I451" location="Transfers!B630" display="N" xr:uid="{00000000-0004-0000-1000-00007B030000}"/>
    <hyperlink ref="J451" location="Transfers!B631" display="N" xr:uid="{00000000-0004-0000-1000-00007C030000}"/>
    <hyperlink ref="K451" location="Transfers!B632" display="N" xr:uid="{00000000-0004-0000-1000-00007D030000}"/>
    <hyperlink ref="L451" location="Transfers!B633" display="N" xr:uid="{00000000-0004-0000-1000-00007E030000}"/>
    <hyperlink ref="M451" location="Transfers!B634" display="N" xr:uid="{00000000-0004-0000-1000-00007F030000}"/>
    <hyperlink ref="O451" location="Transfers!B636" display="N" xr:uid="{00000000-0004-0000-1000-000080030000}"/>
    <hyperlink ref="B452" location="Transfers!B637" display="N" xr:uid="{00000000-0004-0000-1000-000081030000}"/>
    <hyperlink ref="C452" location="Transfers!B638" display="Y" xr:uid="{00000000-0004-0000-1000-000082030000}"/>
    <hyperlink ref="D452" location="Transfers!B639" display="N" xr:uid="{00000000-0004-0000-1000-000083030000}"/>
    <hyperlink ref="E452" location="Transfers!B640" display="N" xr:uid="{00000000-0004-0000-1000-000084030000}"/>
    <hyperlink ref="F452" location="Transfers!B641" display="N" xr:uid="{00000000-0004-0000-1000-000085030000}"/>
    <hyperlink ref="G452" location="Transfers!B642" display="N" xr:uid="{00000000-0004-0000-1000-000086030000}"/>
    <hyperlink ref="H452" location="Transfers!B643" display="N" xr:uid="{00000000-0004-0000-1000-000087030000}"/>
    <hyperlink ref="I452" location="Transfers!B644" display="N" xr:uid="{00000000-0004-0000-1000-000088030000}"/>
    <hyperlink ref="J452" location="Transfers!B645" display="N" xr:uid="{00000000-0004-0000-1000-000089030000}"/>
    <hyperlink ref="K452" location="Transfers!B646" display="N" xr:uid="{00000000-0004-0000-1000-00008A030000}"/>
    <hyperlink ref="L452" location="Transfers!B647" display="N" xr:uid="{00000000-0004-0000-1000-00008B030000}"/>
    <hyperlink ref="M452" location="Transfers!B648" display="N" xr:uid="{00000000-0004-0000-1000-00008C030000}"/>
    <hyperlink ref="N452" location="Transfers!B649" display="N" xr:uid="{00000000-0004-0000-1000-00008D030000}"/>
    <hyperlink ref="B456" location="Transfers!$C$439" display="Transfers!$C$439" xr:uid="{00000000-0004-0000-1000-00008E030000}"/>
    <hyperlink ref="B457" location="Transfers!$D$439" display="Transfers!$D$439" xr:uid="{00000000-0004-0000-1000-00008F030000}"/>
    <hyperlink ref="B458" location="Transfers!$E$439" display="Transfers!$E$439" xr:uid="{00000000-0004-0000-1000-000090030000}"/>
    <hyperlink ref="B459" location="Transfers!$F$439" display="Transfers!$F$439" xr:uid="{00000000-0004-0000-1000-000091030000}"/>
    <hyperlink ref="B460" location="Transfers!$G$439" display="Transfers!$G$439" xr:uid="{00000000-0004-0000-1000-000092030000}"/>
    <hyperlink ref="B461" location="Transfers!$H$439" display="Transfers!$H$439" xr:uid="{00000000-0004-0000-1000-000093030000}"/>
    <hyperlink ref="B462" location="Transfers!$I$439" display="Transfers!$I$439" xr:uid="{00000000-0004-0000-1000-000094030000}"/>
    <hyperlink ref="B463" location="Transfers!$J$439" display="Transfers!$J$439" xr:uid="{00000000-0004-0000-1000-000095030000}"/>
    <hyperlink ref="B464" location="Transfers!$K$439" display="Transfers!$K$439" xr:uid="{00000000-0004-0000-1000-000096030000}"/>
    <hyperlink ref="B465" location="Transfers!$L$439" display="Transfers!$L$439" xr:uid="{00000000-0004-0000-1000-000097030000}"/>
    <hyperlink ref="B466" location="Transfers!$M$439" display="Transfers!$M$439" xr:uid="{00000000-0004-0000-1000-000098030000}"/>
    <hyperlink ref="B467" location="Transfers!$N$439" display="Transfers!$N$439" xr:uid="{00000000-0004-0000-1000-000099030000}"/>
    <hyperlink ref="B468" location="Transfers!$O$439" display="Transfers!$O$439" xr:uid="{00000000-0004-0000-1000-00009A030000}"/>
    <hyperlink ref="B469" location="Transfers!$B$440" display="Transfers!$B$440" xr:uid="{00000000-0004-0000-1000-00009B030000}"/>
    <hyperlink ref="B471" location="Transfers!$D$440" display="Transfers!$D$440" xr:uid="{00000000-0004-0000-1000-00009C030000}"/>
    <hyperlink ref="B472" location="Transfers!$E$440" display="Transfers!$E$440" xr:uid="{00000000-0004-0000-1000-00009D030000}"/>
    <hyperlink ref="B473" location="Transfers!$F$440" display="Transfers!$F$440" xr:uid="{00000000-0004-0000-1000-00009E030000}"/>
    <hyperlink ref="B474" location="Transfers!$G$440" display="Transfers!$G$440" xr:uid="{00000000-0004-0000-1000-00009F030000}"/>
    <hyperlink ref="B475" location="Transfers!$H$440" display="Transfers!$H$440" xr:uid="{00000000-0004-0000-1000-0000A0030000}"/>
    <hyperlink ref="B476" location="Transfers!$I$440" display="Transfers!$I$440" xr:uid="{00000000-0004-0000-1000-0000A1030000}"/>
    <hyperlink ref="B477" location="Transfers!$J$440" display="Transfers!$J$440" xr:uid="{00000000-0004-0000-1000-0000A2030000}"/>
    <hyperlink ref="B478" location="Transfers!$K$440" display="Transfers!$K$440" xr:uid="{00000000-0004-0000-1000-0000A3030000}"/>
    <hyperlink ref="B479" location="Transfers!$L$440" display="Transfers!$L$440" xr:uid="{00000000-0004-0000-1000-0000A4030000}"/>
    <hyperlink ref="B480" location="Transfers!$M$440" display="Transfers!$M$440" xr:uid="{00000000-0004-0000-1000-0000A5030000}"/>
    <hyperlink ref="B481" location="Transfers!$N$440" display="Transfers!$N$440" xr:uid="{00000000-0004-0000-1000-0000A6030000}"/>
    <hyperlink ref="B482" location="Transfers!$O$440" display="Transfers!$O$440" xr:uid="{00000000-0004-0000-1000-0000A7030000}"/>
    <hyperlink ref="B483" location="Transfers!$B$441" display="Transfers!$B$441" xr:uid="{00000000-0004-0000-1000-0000A8030000}"/>
    <hyperlink ref="B484" location="Transfers!$C$441" display="Transfers!$C$441" xr:uid="{00000000-0004-0000-1000-0000A9030000}"/>
    <hyperlink ref="B486" location="Transfers!$E$441" display="Transfers!$E$441" xr:uid="{00000000-0004-0000-1000-0000AA030000}"/>
    <hyperlink ref="B487" location="Transfers!$F$441" display="Transfers!$F$441" xr:uid="{00000000-0004-0000-1000-0000AB030000}"/>
    <hyperlink ref="B488" location="Transfers!$G$441" display="Transfers!$G$441" xr:uid="{00000000-0004-0000-1000-0000AC030000}"/>
    <hyperlink ref="B489" location="Transfers!$H$441" display="Transfers!$H$441" xr:uid="{00000000-0004-0000-1000-0000AD030000}"/>
    <hyperlink ref="B490" location="Transfers!$I$441" display="Transfers!$I$441" xr:uid="{00000000-0004-0000-1000-0000AE030000}"/>
    <hyperlink ref="B491" location="Transfers!$J$441" display="Transfers!$J$441" xr:uid="{00000000-0004-0000-1000-0000AF030000}"/>
    <hyperlink ref="B492" location="Transfers!$K$441" display="Transfers!$K$441" xr:uid="{00000000-0004-0000-1000-0000B0030000}"/>
    <hyperlink ref="B493" location="Transfers!$L$441" display="Transfers!$L$441" xr:uid="{00000000-0004-0000-1000-0000B1030000}"/>
    <hyperlink ref="B494" location="Transfers!$M$441" display="Transfers!$M$441" xr:uid="{00000000-0004-0000-1000-0000B2030000}"/>
    <hyperlink ref="B495" location="Transfers!$N$441" display="Transfers!$N$441" xr:uid="{00000000-0004-0000-1000-0000B3030000}"/>
    <hyperlink ref="B496" location="Transfers!$O$441" display="Transfers!$O$441" xr:uid="{00000000-0004-0000-1000-0000B4030000}"/>
    <hyperlink ref="B497" location="Transfers!$B$442" display="Transfers!$B$442" xr:uid="{00000000-0004-0000-1000-0000B5030000}"/>
    <hyperlink ref="B498" location="Transfers!$C$442" display="Transfers!$C$442" xr:uid="{00000000-0004-0000-1000-0000B6030000}"/>
    <hyperlink ref="B499" location="Transfers!$D$442" display="Transfers!$D$442" xr:uid="{00000000-0004-0000-1000-0000B7030000}"/>
    <hyperlink ref="B501" location="Transfers!$F$442" display="Transfers!$F$442" xr:uid="{00000000-0004-0000-1000-0000B8030000}"/>
    <hyperlink ref="B502" location="Transfers!$G$442" display="Transfers!$G$442" xr:uid="{00000000-0004-0000-1000-0000B9030000}"/>
    <hyperlink ref="B503" location="Transfers!$H$442" display="Transfers!$H$442" xr:uid="{00000000-0004-0000-1000-0000BA030000}"/>
    <hyperlink ref="B504" location="Transfers!$I$442" display="Transfers!$I$442" xr:uid="{00000000-0004-0000-1000-0000BB030000}"/>
    <hyperlink ref="B505" location="Transfers!$J$442" display="Transfers!$J$442" xr:uid="{00000000-0004-0000-1000-0000BC030000}"/>
    <hyperlink ref="B506" location="Transfers!$K$442" display="Transfers!$K$442" xr:uid="{00000000-0004-0000-1000-0000BD030000}"/>
    <hyperlink ref="B507" location="Transfers!$L$442" display="Transfers!$L$442" xr:uid="{00000000-0004-0000-1000-0000BE030000}"/>
    <hyperlink ref="B508" location="Transfers!$M$442" display="Transfers!$M$442" xr:uid="{00000000-0004-0000-1000-0000BF030000}"/>
    <hyperlink ref="B509" location="Transfers!$N$442" display="Transfers!$N$442" xr:uid="{00000000-0004-0000-1000-0000C0030000}"/>
    <hyperlink ref="B510" location="Transfers!$O$442" display="Transfers!$O$442" xr:uid="{00000000-0004-0000-1000-0000C1030000}"/>
    <hyperlink ref="B511" location="Transfers!$B$443" display="Transfers!$B$443" xr:uid="{00000000-0004-0000-1000-0000C2030000}"/>
    <hyperlink ref="B512" location="Transfers!$C$443" display="Transfers!$C$443" xr:uid="{00000000-0004-0000-1000-0000C3030000}"/>
    <hyperlink ref="B513" location="Transfers!$D$443" display="Transfers!$D$443" xr:uid="{00000000-0004-0000-1000-0000C4030000}"/>
    <hyperlink ref="B514" location="Transfers!$E$443" display="Transfers!$E$443" xr:uid="{00000000-0004-0000-1000-0000C5030000}"/>
    <hyperlink ref="B516" location="Transfers!$G$443" display="Transfers!$G$443" xr:uid="{00000000-0004-0000-1000-0000C6030000}"/>
    <hyperlink ref="B517" location="Transfers!$H$443" display="Transfers!$H$443" xr:uid="{00000000-0004-0000-1000-0000C7030000}"/>
    <hyperlink ref="B518" location="Transfers!$I$443" display="Transfers!$I$443" xr:uid="{00000000-0004-0000-1000-0000C8030000}"/>
    <hyperlink ref="B519" location="Transfers!$J$443" display="Transfers!$J$443" xr:uid="{00000000-0004-0000-1000-0000C9030000}"/>
    <hyperlink ref="B520" location="Transfers!$K$443" display="Transfers!$K$443" xr:uid="{00000000-0004-0000-1000-0000CA030000}"/>
    <hyperlink ref="B521" location="Transfers!$L$443" display="Transfers!$L$443" xr:uid="{00000000-0004-0000-1000-0000CB030000}"/>
    <hyperlink ref="B522" location="Transfers!$M$443" display="Transfers!$M$443" xr:uid="{00000000-0004-0000-1000-0000CC030000}"/>
    <hyperlink ref="B523" location="Transfers!$N$443" display="Transfers!$N$443" xr:uid="{00000000-0004-0000-1000-0000CD030000}"/>
    <hyperlink ref="B524" location="Transfers!$O$443" display="Transfers!$O$443" xr:uid="{00000000-0004-0000-1000-0000CE030000}"/>
    <hyperlink ref="B525" location="Transfers!$B$444" display="Transfers!$B$444" xr:uid="{00000000-0004-0000-1000-0000CF030000}"/>
    <hyperlink ref="B526" location="Transfers!$C$444" display="Transfers!$C$444" xr:uid="{00000000-0004-0000-1000-0000D0030000}"/>
    <hyperlink ref="B527" location="Transfers!$D$444" display="Transfers!$D$444" xr:uid="{00000000-0004-0000-1000-0000D1030000}"/>
    <hyperlink ref="B528" location="Transfers!$E$444" display="Transfers!$E$444" xr:uid="{00000000-0004-0000-1000-0000D2030000}"/>
    <hyperlink ref="B529" location="Transfers!$F$444" display="Transfers!$F$444" xr:uid="{00000000-0004-0000-1000-0000D3030000}"/>
    <hyperlink ref="B531" location="Transfers!$H$444" display="Transfers!$H$444" xr:uid="{00000000-0004-0000-1000-0000D4030000}"/>
    <hyperlink ref="B532" location="Transfers!$I$444" display="Transfers!$I$444" xr:uid="{00000000-0004-0000-1000-0000D5030000}"/>
    <hyperlink ref="B533" location="Transfers!$J$444" display="Transfers!$J$444" xr:uid="{00000000-0004-0000-1000-0000D6030000}"/>
    <hyperlink ref="B534" location="Transfers!$K$444" display="Transfers!$K$444" xr:uid="{00000000-0004-0000-1000-0000D7030000}"/>
    <hyperlink ref="B535" location="Transfers!$L$444" display="Transfers!$L$444" xr:uid="{00000000-0004-0000-1000-0000D8030000}"/>
    <hyperlink ref="B536" location="Transfers!$M$444" display="Transfers!$M$444" xr:uid="{00000000-0004-0000-1000-0000D9030000}"/>
    <hyperlink ref="B537" location="Transfers!$N$444" display="Transfers!$N$444" xr:uid="{00000000-0004-0000-1000-0000DA030000}"/>
    <hyperlink ref="B538" location="Transfers!$O$444" display="Transfers!$O$444" xr:uid="{00000000-0004-0000-1000-0000DB030000}"/>
    <hyperlink ref="B539" location="Transfers!$B$445" display="Transfers!$B$445" xr:uid="{00000000-0004-0000-1000-0000DC030000}"/>
    <hyperlink ref="B540" location="Transfers!$C$445" display="Transfers!$C$445" xr:uid="{00000000-0004-0000-1000-0000DD030000}"/>
    <hyperlink ref="B541" location="Transfers!$D$445" display="Transfers!$D$445" xr:uid="{00000000-0004-0000-1000-0000DE030000}"/>
    <hyperlink ref="B542" location="Transfers!$E$445" display="Transfers!$E$445" xr:uid="{00000000-0004-0000-1000-0000DF030000}"/>
    <hyperlink ref="B543" location="Transfers!$F$445" display="Transfers!$F$445" xr:uid="{00000000-0004-0000-1000-0000E0030000}"/>
    <hyperlink ref="B544" location="Transfers!$G$445" display="Transfers!$G$445" xr:uid="{00000000-0004-0000-1000-0000E1030000}"/>
    <hyperlink ref="B546" location="Transfers!$I$445" display="Transfers!$I$445" xr:uid="{00000000-0004-0000-1000-0000E2030000}"/>
    <hyperlink ref="B547" location="Transfers!$J$445" display="Transfers!$J$445" xr:uid="{00000000-0004-0000-1000-0000E3030000}"/>
    <hyperlink ref="B548" location="Transfers!$K$445" display="Transfers!$K$445" xr:uid="{00000000-0004-0000-1000-0000E4030000}"/>
    <hyperlink ref="B549" location="Transfers!$L$445" display="Transfers!$L$445" xr:uid="{00000000-0004-0000-1000-0000E5030000}"/>
    <hyperlink ref="B550" location="Transfers!$M$445" display="Transfers!$M$445" xr:uid="{00000000-0004-0000-1000-0000E6030000}"/>
    <hyperlink ref="B551" location="Transfers!$N$445" display="Transfers!$N$445" xr:uid="{00000000-0004-0000-1000-0000E7030000}"/>
    <hyperlink ref="B552" location="Transfers!$O$445" display="Transfers!$O$445" xr:uid="{00000000-0004-0000-1000-0000E8030000}"/>
    <hyperlink ref="B553" location="Transfers!$B$446" display="Transfers!$B$446" xr:uid="{00000000-0004-0000-1000-0000E9030000}"/>
    <hyperlink ref="B554" location="Transfers!$C$446" display="Transfers!$C$446" xr:uid="{00000000-0004-0000-1000-0000EA030000}"/>
    <hyperlink ref="B555" location="Transfers!$D$446" display="Transfers!$D$446" xr:uid="{00000000-0004-0000-1000-0000EB030000}"/>
    <hyperlink ref="B556" location="Transfers!$E$446" display="Transfers!$E$446" xr:uid="{00000000-0004-0000-1000-0000EC030000}"/>
    <hyperlink ref="B557" location="Transfers!$F$446" display="Transfers!$F$446" xr:uid="{00000000-0004-0000-1000-0000ED030000}"/>
    <hyperlink ref="B558" location="Transfers!$G$446" display="Transfers!$G$446" xr:uid="{00000000-0004-0000-1000-0000EE030000}"/>
    <hyperlink ref="B559" location="Transfers!$H$446" display="Transfers!$H$446" xr:uid="{00000000-0004-0000-1000-0000EF030000}"/>
    <hyperlink ref="B561" location="Transfers!$J$446" display="Transfers!$J$446" xr:uid="{00000000-0004-0000-1000-0000F0030000}"/>
    <hyperlink ref="B562" location="Transfers!$K$446" display="Transfers!$K$446" xr:uid="{00000000-0004-0000-1000-0000F1030000}"/>
    <hyperlink ref="B563" location="Transfers!$L$446" display="Transfers!$L$446" xr:uid="{00000000-0004-0000-1000-0000F2030000}"/>
    <hyperlink ref="B564" location="Transfers!$M$446" display="Transfers!$M$446" xr:uid="{00000000-0004-0000-1000-0000F3030000}"/>
    <hyperlink ref="B565" location="Transfers!$N$446" display="Transfers!$N$446" xr:uid="{00000000-0004-0000-1000-0000F4030000}"/>
    <hyperlink ref="B566" location="Transfers!$O$446" display="Transfers!$O$446" xr:uid="{00000000-0004-0000-1000-0000F5030000}"/>
    <hyperlink ref="B567" location="Transfers!$B$447" display="Transfers!$B$447" xr:uid="{00000000-0004-0000-1000-0000F6030000}"/>
    <hyperlink ref="B568" location="Transfers!$C$447" display="Transfers!$C$447" xr:uid="{00000000-0004-0000-1000-0000F7030000}"/>
    <hyperlink ref="B569" location="Transfers!$D$447" display="Transfers!$D$447" xr:uid="{00000000-0004-0000-1000-0000F8030000}"/>
    <hyperlink ref="B570" location="Transfers!$E$447" display="Transfers!$E$447" xr:uid="{00000000-0004-0000-1000-0000F9030000}"/>
    <hyperlink ref="B571" location="Transfers!$F$447" display="Transfers!$F$447" xr:uid="{00000000-0004-0000-1000-0000FA030000}"/>
    <hyperlink ref="B572" location="Transfers!$G$447" display="Transfers!$G$447" xr:uid="{00000000-0004-0000-1000-0000FB030000}"/>
    <hyperlink ref="B573" location="Transfers!$H$447" display="Transfers!$H$447" xr:uid="{00000000-0004-0000-1000-0000FC030000}"/>
    <hyperlink ref="B574" location="Transfers!$I$447" display="Transfers!$I$447" xr:uid="{00000000-0004-0000-1000-0000FD030000}"/>
    <hyperlink ref="B576" location="Transfers!$K$447" display="Transfers!$K$447" xr:uid="{00000000-0004-0000-1000-0000FE030000}"/>
    <hyperlink ref="B577" location="Transfers!$L$447" display="Transfers!$L$447" xr:uid="{00000000-0004-0000-1000-0000FF030000}"/>
    <hyperlink ref="B578" location="Transfers!$M$447" display="Transfers!$M$447" xr:uid="{00000000-0004-0000-1000-000000040000}"/>
    <hyperlink ref="B579" location="Transfers!$N$447" display="Transfers!$N$447" xr:uid="{00000000-0004-0000-1000-000001040000}"/>
    <hyperlink ref="B580" location="Transfers!$O$447" display="Transfers!$O$447" xr:uid="{00000000-0004-0000-1000-000002040000}"/>
    <hyperlink ref="B581" location="Transfers!$B$448" display="Transfers!$B$448" xr:uid="{00000000-0004-0000-1000-000003040000}"/>
    <hyperlink ref="B582" location="Transfers!$C$448" display="Transfers!$C$448" xr:uid="{00000000-0004-0000-1000-000004040000}"/>
    <hyperlink ref="B583" location="Transfers!$D$448" display="Transfers!$D$448" xr:uid="{00000000-0004-0000-1000-000005040000}"/>
    <hyperlink ref="B584" location="Transfers!$E$448" display="Transfers!$E$448" xr:uid="{00000000-0004-0000-1000-000006040000}"/>
    <hyperlink ref="B585" location="Transfers!$F$448" display="Transfers!$F$448" xr:uid="{00000000-0004-0000-1000-000007040000}"/>
    <hyperlink ref="B586" location="Transfers!$G$448" display="Transfers!$G$448" xr:uid="{00000000-0004-0000-1000-000008040000}"/>
    <hyperlink ref="B587" location="Transfers!$H$448" display="Transfers!$H$448" xr:uid="{00000000-0004-0000-1000-000009040000}"/>
    <hyperlink ref="B588" location="Transfers!$I$448" display="Transfers!$I$448" xr:uid="{00000000-0004-0000-1000-00000A040000}"/>
    <hyperlink ref="B589" location="Transfers!$J$448" display="Transfers!$J$448" xr:uid="{00000000-0004-0000-1000-00000B040000}"/>
    <hyperlink ref="B591" location="Transfers!$L$448" display="Transfers!$L$448" xr:uid="{00000000-0004-0000-1000-00000C040000}"/>
    <hyperlink ref="B592" location="Transfers!$M$448" display="Transfers!$M$448" xr:uid="{00000000-0004-0000-1000-00000D040000}"/>
    <hyperlink ref="B593" location="Transfers!$N$448" display="Transfers!$N$448" xr:uid="{00000000-0004-0000-1000-00000E040000}"/>
    <hyperlink ref="B594" location="Transfers!$O$448" display="Transfers!$O$448" xr:uid="{00000000-0004-0000-1000-00000F040000}"/>
    <hyperlink ref="B595" location="Transfers!$B$449" display="Transfers!$B$449" xr:uid="{00000000-0004-0000-1000-000010040000}"/>
    <hyperlink ref="B596" location="Transfers!$C$449" display="Transfers!$C$449" xr:uid="{00000000-0004-0000-1000-000011040000}"/>
    <hyperlink ref="B597" location="Transfers!$D$449" display="Transfers!$D$449" xr:uid="{00000000-0004-0000-1000-000012040000}"/>
    <hyperlink ref="B598" location="Transfers!$E$449" display="Transfers!$E$449" xr:uid="{00000000-0004-0000-1000-000013040000}"/>
    <hyperlink ref="B599" location="Transfers!$F$449" display="Transfers!$F$449" xr:uid="{00000000-0004-0000-1000-000014040000}"/>
    <hyperlink ref="B600" location="Transfers!$G$449" display="Transfers!$G$449" xr:uid="{00000000-0004-0000-1000-000015040000}"/>
    <hyperlink ref="B601" location="Transfers!$H$449" display="Transfers!$H$449" xr:uid="{00000000-0004-0000-1000-000016040000}"/>
    <hyperlink ref="B602" location="Transfers!$I$449" display="Transfers!$I$449" xr:uid="{00000000-0004-0000-1000-000017040000}"/>
    <hyperlink ref="B603" location="Transfers!$J$449" display="Transfers!$J$449" xr:uid="{00000000-0004-0000-1000-000018040000}"/>
    <hyperlink ref="B604" location="Transfers!$K$449" display="Transfers!$K$449" xr:uid="{00000000-0004-0000-1000-000019040000}"/>
    <hyperlink ref="B606" location="Transfers!$M$449" display="Transfers!$M$449" xr:uid="{00000000-0004-0000-1000-00001A040000}"/>
    <hyperlink ref="B607" location="Transfers!$N$449" display="Transfers!$N$449" xr:uid="{00000000-0004-0000-1000-00001B040000}"/>
    <hyperlink ref="B608" location="Transfers!$O$449" display="Transfers!$O$449" xr:uid="{00000000-0004-0000-1000-00001C040000}"/>
    <hyperlink ref="B609" location="Transfers!$B$450" display="Transfers!$B$450" xr:uid="{00000000-0004-0000-1000-00001D040000}"/>
    <hyperlink ref="B610" location="Transfers!$C$450" display="Transfers!$C$450" xr:uid="{00000000-0004-0000-1000-00001E040000}"/>
    <hyperlink ref="B611" location="Transfers!$D$450" display="Transfers!$D$450" xr:uid="{00000000-0004-0000-1000-00001F040000}"/>
    <hyperlink ref="B612" location="Transfers!$E$450" display="Transfers!$E$450" xr:uid="{00000000-0004-0000-1000-000020040000}"/>
    <hyperlink ref="B613" location="Transfers!$F$450" display="Transfers!$F$450" xr:uid="{00000000-0004-0000-1000-000021040000}"/>
    <hyperlink ref="B614" location="Transfers!$G$450" display="Transfers!$G$450" xr:uid="{00000000-0004-0000-1000-000022040000}"/>
    <hyperlink ref="B615" location="Transfers!$H$450" display="Transfers!$H$450" xr:uid="{00000000-0004-0000-1000-000023040000}"/>
    <hyperlink ref="B616" location="Transfers!$I$450" display="Transfers!$I$450" xr:uid="{00000000-0004-0000-1000-000024040000}"/>
    <hyperlink ref="B617" location="Transfers!$J$450" display="Transfers!$J$450" xr:uid="{00000000-0004-0000-1000-000025040000}"/>
    <hyperlink ref="B618" location="Transfers!$K$450" display="Transfers!$K$450" xr:uid="{00000000-0004-0000-1000-000026040000}"/>
    <hyperlink ref="B619" location="Transfers!$L$450" display="Transfers!$L$450" xr:uid="{00000000-0004-0000-1000-000027040000}"/>
    <hyperlink ref="B621" location="Transfers!$N$450" display="Transfers!$N$450" xr:uid="{00000000-0004-0000-1000-000028040000}"/>
    <hyperlink ref="B622" location="Transfers!$O$450" display="Transfers!$O$450" xr:uid="{00000000-0004-0000-1000-000029040000}"/>
    <hyperlink ref="B623" location="Transfers!$B$451" display="Transfers!$B$451" xr:uid="{00000000-0004-0000-1000-00002A040000}"/>
    <hyperlink ref="B624" location="Transfers!$C$451" display="Transfers!$C$451" xr:uid="{00000000-0004-0000-1000-00002B040000}"/>
    <hyperlink ref="B625" location="Transfers!$D$451" display="Transfers!$D$451" xr:uid="{00000000-0004-0000-1000-00002C040000}"/>
    <hyperlink ref="B626" location="Transfers!$E$451" display="Transfers!$E$451" xr:uid="{00000000-0004-0000-1000-00002D040000}"/>
    <hyperlink ref="B627" location="Transfers!$F$451" display="Transfers!$F$451" xr:uid="{00000000-0004-0000-1000-00002E040000}"/>
    <hyperlink ref="B628" location="Transfers!$G$451" display="Transfers!$G$451" xr:uid="{00000000-0004-0000-1000-00002F040000}"/>
    <hyperlink ref="B629" location="Transfers!$H$451" display="Transfers!$H$451" xr:uid="{00000000-0004-0000-1000-000030040000}"/>
    <hyperlink ref="B630" location="Transfers!$I$451" display="Transfers!$I$451" xr:uid="{00000000-0004-0000-1000-000031040000}"/>
    <hyperlink ref="B631" location="Transfers!$J$451" display="Transfers!$J$451" xr:uid="{00000000-0004-0000-1000-000032040000}"/>
    <hyperlink ref="B632" location="Transfers!$K$451" display="Transfers!$K$451" xr:uid="{00000000-0004-0000-1000-000033040000}"/>
    <hyperlink ref="B633" location="Transfers!$L$451" display="Transfers!$L$451" xr:uid="{00000000-0004-0000-1000-000034040000}"/>
    <hyperlink ref="B634" location="Transfers!$M$451" display="Transfers!$M$451" xr:uid="{00000000-0004-0000-1000-000035040000}"/>
    <hyperlink ref="B636" location="Transfers!$O$451" display="Transfers!$O$451" xr:uid="{00000000-0004-0000-1000-000036040000}"/>
    <hyperlink ref="B637" location="Transfers!$B$452" display="Transfers!$B$452" xr:uid="{00000000-0004-0000-1000-000037040000}"/>
    <hyperlink ref="B638" location="Transfers!$C$452" display="Transfers!$C$452" xr:uid="{00000000-0004-0000-1000-000038040000}"/>
    <hyperlink ref="B639" location="Transfers!$D$452" display="Transfers!$D$452" xr:uid="{00000000-0004-0000-1000-000039040000}"/>
    <hyperlink ref="B640" location="Transfers!$E$452" display="Transfers!$E$452" xr:uid="{00000000-0004-0000-1000-00003A040000}"/>
    <hyperlink ref="B641" location="Transfers!$F$452" display="Transfers!$F$452" xr:uid="{00000000-0004-0000-1000-00003B040000}"/>
    <hyperlink ref="B642" location="Transfers!$G$452" display="Transfers!$G$452" xr:uid="{00000000-0004-0000-1000-00003C040000}"/>
    <hyperlink ref="B643" location="Transfers!$H$452" display="Transfers!$H$452" xr:uid="{00000000-0004-0000-1000-00003D040000}"/>
    <hyperlink ref="B644" location="Transfers!$I$452" display="Transfers!$I$452" xr:uid="{00000000-0004-0000-1000-00003E040000}"/>
    <hyperlink ref="B645" location="Transfers!$J$452" display="Transfers!$J$452" xr:uid="{00000000-0004-0000-1000-00003F040000}"/>
    <hyperlink ref="B646" location="Transfers!$K$452" display="Transfers!$K$452" xr:uid="{00000000-0004-0000-1000-000040040000}"/>
    <hyperlink ref="B647" location="Transfers!$L$452" display="Transfers!$L$452" xr:uid="{00000000-0004-0000-1000-000041040000}"/>
    <hyperlink ref="B648" location="Transfers!$M$452" display="Transfers!$M$452" xr:uid="{00000000-0004-0000-1000-000042040000}"/>
    <hyperlink ref="B649" location="Transfers!$N$452" display="Transfers!$N$452" xr:uid="{00000000-0004-0000-1000-00004304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DC9346A4EFF44B9278E035670E998A" ma:contentTypeVersion="9" ma:contentTypeDescription="Create a new document." ma:contentTypeScope="" ma:versionID="3ea114dc596d1f8aca293d9c865b8436">
  <xsd:schema xmlns:xsd="http://www.w3.org/2001/XMLSchema" xmlns:xs="http://www.w3.org/2001/XMLSchema" xmlns:p="http://schemas.microsoft.com/office/2006/metadata/properties" xmlns:ns2="460e4ad2-c64b-4f67-8552-094351f252e3" targetNamespace="http://schemas.microsoft.com/office/2006/metadata/properties" ma:root="true" ma:fieldsID="f2696a91d61813cf9d23a1caa16d0c5e" ns2:_="">
    <xsd:import namespace="460e4ad2-c64b-4f67-8552-094351f252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0e4ad2-c64b-4f67-8552-094351f252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012861f-df9c-4ac0-92bd-da4c61c7cfda"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60e4ad2-c64b-4f67-8552-094351f252e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08F6BEB-2B61-4B46-B662-76C24A74FB99}"/>
</file>

<file path=customXml/itemProps2.xml><?xml version="1.0" encoding="utf-8"?>
<ds:datastoreItem xmlns:ds="http://schemas.openxmlformats.org/officeDocument/2006/customXml" ds:itemID="{59C9F925-2B93-4A8F-BAE8-16D444C0D65F}"/>
</file>

<file path=customXml/itemProps3.xml><?xml version="1.0" encoding="utf-8"?>
<ds:datastoreItem xmlns:ds="http://schemas.openxmlformats.org/officeDocument/2006/customXml" ds:itemID="{87B456C8-913B-4448-84A0-4C782BE7DC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Population Definitions</vt:lpstr>
      <vt:lpstr>Disease Burden</vt:lpstr>
      <vt:lpstr>Demographics</vt:lpstr>
      <vt:lpstr>Infectiousness</vt:lpstr>
      <vt:lpstr>Disease Progression</vt:lpstr>
      <vt:lpstr>Diagnosis</vt:lpstr>
      <vt:lpstr>Loss to follow-up</vt:lpstr>
      <vt:lpstr>Re-engagement</vt:lpstr>
      <vt:lpstr>Treatment</vt:lpstr>
      <vt:lpstr>Liver Transplant</vt:lpstr>
      <vt:lpstr>Overall Indicators</vt:lpstr>
      <vt:lpstr>Initialization</vt:lpstr>
      <vt:lpstr>Care Cascade</vt:lpstr>
      <vt:lpstr>Other intermediate pars</vt:lpstr>
      <vt:lpstr>Vaccine parameters</vt:lpstr>
      <vt:lpstr>Interactions</vt:lpstr>
      <vt:lpstr>Transfers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Farah Houdroge</cp:lastModifiedBy>
  <dcterms:created xsi:type="dcterms:W3CDTF">2026-02-15T22:23:27Z</dcterms:created>
  <dcterms:modified xsi:type="dcterms:W3CDTF">2026-02-16T02:27:06Z</dcterms:modified>
  <cp:category>atomica:databook</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0x01010042DC9346A4EFF44B9278E035670E998A</vt:lpwstr>
  </property>
</Properties>
</file>