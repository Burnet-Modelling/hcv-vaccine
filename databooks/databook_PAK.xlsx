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029"/>
  <workbookPr defaultThemeVersion="124226"/>
  <mc:AlternateContent xmlns:mc="http://schemas.openxmlformats.org/markup-compatibility/2006">
    <mc:Choice Requires="x15">
      <x15ac:absPath xmlns:x15ac="http://schemas.microsoft.com/office/spreadsheetml/2010/11/ac" url="https://burnetinstitute.sharepoint.com/sites/WG-Modelling-HCVvaccinemodel/Shared Documents/HCV vaccine model/HCV vaccine model/databooks/"/>
    </mc:Choice>
  </mc:AlternateContent>
  <xr:revisionPtr revIDLastSave="14" documentId="11_822F2C13D7DB2DF25B2F00624279AB4EB2EFF395" xr6:coauthVersionLast="47" xr6:coauthVersionMax="47" xr10:uidLastSave="{EFAFF365-7796-455B-8035-BE60AB59A379}"/>
  <bookViews>
    <workbookView xWindow="-120" yWindow="-120" windowWidth="29040" windowHeight="15840" activeTab="3" xr2:uid="{00000000-000D-0000-FFFF-FFFF00000000}"/>
  </bookViews>
  <sheets>
    <sheet name="Population Definitions" sheetId="1" r:id="rId1"/>
    <sheet name="Disease Burden" sheetId="2" r:id="rId2"/>
    <sheet name="Demographics" sheetId="3" r:id="rId3"/>
    <sheet name="Infectiousness" sheetId="4" r:id="rId4"/>
    <sheet name="Disease Progression" sheetId="5" r:id="rId5"/>
    <sheet name="Diagnosis" sheetId="6" r:id="rId6"/>
    <sheet name="Loss to follow-up" sheetId="7" r:id="rId7"/>
    <sheet name="Re-engagement" sheetId="8" r:id="rId8"/>
    <sheet name="Treatment" sheetId="9" r:id="rId9"/>
    <sheet name="Liver Transplant" sheetId="10" r:id="rId10"/>
    <sheet name="Overall Indicators" sheetId="11" r:id="rId11"/>
    <sheet name="Initialization" sheetId="12" r:id="rId12"/>
    <sheet name="Care Cascade" sheetId="13" r:id="rId13"/>
    <sheet name="Other intermediate pars" sheetId="14" r:id="rId14"/>
    <sheet name="Vaccine parameters" sheetId="15" r:id="rId15"/>
    <sheet name="Interactions" sheetId="16" r:id="rId16"/>
    <sheet name="Transfers"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88" i="17" l="1"/>
  <c r="C488" i="17"/>
  <c r="B488" i="17"/>
  <c r="A488" i="17"/>
  <c r="H487" i="17"/>
  <c r="C487" i="17"/>
  <c r="B487" i="17"/>
  <c r="A487" i="17"/>
  <c r="H486" i="17"/>
  <c r="C486" i="17"/>
  <c r="B486" i="17"/>
  <c r="A486" i="17"/>
  <c r="H485" i="17"/>
  <c r="C485" i="17"/>
  <c r="B485" i="17"/>
  <c r="A485" i="17"/>
  <c r="H484" i="17"/>
  <c r="C484" i="17"/>
  <c r="B484" i="17"/>
  <c r="A484" i="17"/>
  <c r="H483" i="17"/>
  <c r="C483" i="17"/>
  <c r="B483" i="17"/>
  <c r="A483" i="17"/>
  <c r="H482" i="17"/>
  <c r="C482" i="17"/>
  <c r="B482" i="17"/>
  <c r="A482" i="17"/>
  <c r="H481" i="17"/>
  <c r="C481" i="17"/>
  <c r="B481" i="17"/>
  <c r="A481" i="17"/>
  <c r="H480" i="17"/>
  <c r="C480" i="17"/>
  <c r="B480" i="17"/>
  <c r="A480" i="17"/>
  <c r="H479" i="17"/>
  <c r="C479" i="17"/>
  <c r="B479" i="17"/>
  <c r="A479" i="17"/>
  <c r="H478" i="17"/>
  <c r="C478" i="17"/>
  <c r="B478" i="17"/>
  <c r="A478" i="17"/>
  <c r="H477" i="17"/>
  <c r="C477" i="17"/>
  <c r="B477" i="17"/>
  <c r="A477" i="17"/>
  <c r="H476" i="17"/>
  <c r="C476" i="17"/>
  <c r="B476" i="17"/>
  <c r="A476" i="17"/>
  <c r="H475" i="17"/>
  <c r="C475" i="17"/>
  <c r="B475" i="17"/>
  <c r="A475" i="17"/>
  <c r="H474" i="17"/>
  <c r="C474" i="17"/>
  <c r="B474" i="17"/>
  <c r="A474" i="17"/>
  <c r="H473" i="17"/>
  <c r="C473" i="17"/>
  <c r="B473" i="17"/>
  <c r="A473" i="17"/>
  <c r="H472" i="17"/>
  <c r="C472" i="17"/>
  <c r="B472" i="17"/>
  <c r="A472" i="17"/>
  <c r="H471" i="17"/>
  <c r="C471" i="17"/>
  <c r="B471" i="17"/>
  <c r="A471" i="17"/>
  <c r="H470" i="17"/>
  <c r="C470" i="17"/>
  <c r="B470" i="17"/>
  <c r="A470" i="17"/>
  <c r="H469" i="17"/>
  <c r="C469" i="17"/>
  <c r="B469" i="17"/>
  <c r="A469" i="17"/>
  <c r="H468" i="17"/>
  <c r="C468" i="17"/>
  <c r="B468" i="17"/>
  <c r="A468" i="17"/>
  <c r="H467" i="17"/>
  <c r="C467" i="17"/>
  <c r="B467" i="17"/>
  <c r="A467" i="17"/>
  <c r="H466" i="17"/>
  <c r="C466" i="17"/>
  <c r="B466" i="17"/>
  <c r="A466" i="17"/>
  <c r="H465" i="17"/>
  <c r="C465" i="17"/>
  <c r="B465" i="17"/>
  <c r="A465" i="17"/>
  <c r="H464" i="17"/>
  <c r="C464" i="17"/>
  <c r="B464" i="17"/>
  <c r="A464" i="17"/>
  <c r="H463" i="17"/>
  <c r="C463" i="17"/>
  <c r="B463" i="17"/>
  <c r="A463" i="17"/>
  <c r="H462" i="17"/>
  <c r="C462" i="17"/>
  <c r="B462" i="17"/>
  <c r="A462" i="17"/>
  <c r="H461" i="17"/>
  <c r="C461" i="17"/>
  <c r="B461" i="17"/>
  <c r="A461" i="17"/>
  <c r="H460" i="17"/>
  <c r="C460" i="17"/>
  <c r="B460" i="17"/>
  <c r="A460" i="17"/>
  <c r="H459" i="17"/>
  <c r="C459" i="17"/>
  <c r="B459" i="17"/>
  <c r="A459" i="17"/>
  <c r="H458" i="17"/>
  <c r="C458" i="17"/>
  <c r="B458" i="17"/>
  <c r="A458" i="17"/>
  <c r="H457" i="17"/>
  <c r="C457" i="17"/>
  <c r="B457" i="17"/>
  <c r="A457" i="17"/>
  <c r="H456" i="17"/>
  <c r="C456" i="17"/>
  <c r="B456" i="17"/>
  <c r="A456" i="17"/>
  <c r="H455" i="17"/>
  <c r="C455" i="17"/>
  <c r="B455" i="17"/>
  <c r="A455" i="17"/>
  <c r="H454" i="17"/>
  <c r="C454" i="17"/>
  <c r="B454" i="17"/>
  <c r="A454" i="17"/>
  <c r="H453" i="17"/>
  <c r="C453" i="17"/>
  <c r="B453" i="17"/>
  <c r="A453" i="17"/>
  <c r="H452" i="17"/>
  <c r="C452" i="17"/>
  <c r="B452" i="17"/>
  <c r="A452" i="17"/>
  <c r="H451" i="17"/>
  <c r="C451" i="17"/>
  <c r="B451" i="17"/>
  <c r="A451" i="17"/>
  <c r="H450" i="17"/>
  <c r="C450" i="17"/>
  <c r="B450" i="17"/>
  <c r="A450" i="17"/>
  <c r="H449" i="17"/>
  <c r="C449" i="17"/>
  <c r="B449" i="17"/>
  <c r="A449" i="17"/>
  <c r="H448" i="17"/>
  <c r="C448" i="17"/>
  <c r="B448" i="17"/>
  <c r="A448" i="17"/>
  <c r="H447" i="17"/>
  <c r="C447" i="17"/>
  <c r="B447" i="17"/>
  <c r="A447" i="17"/>
  <c r="H446" i="17"/>
  <c r="C446" i="17"/>
  <c r="B446" i="17"/>
  <c r="A446" i="17"/>
  <c r="H445" i="17"/>
  <c r="C445" i="17"/>
  <c r="B445" i="17"/>
  <c r="A445" i="17"/>
  <c r="H444" i="17"/>
  <c r="C444" i="17"/>
  <c r="B444" i="17"/>
  <c r="A444" i="17"/>
  <c r="H443" i="17"/>
  <c r="C443" i="17"/>
  <c r="B443" i="17"/>
  <c r="A443" i="17"/>
  <c r="H442" i="17"/>
  <c r="C442" i="17"/>
  <c r="B442" i="17"/>
  <c r="A442" i="17"/>
  <c r="H441" i="17"/>
  <c r="C441" i="17"/>
  <c r="B441" i="17"/>
  <c r="A441" i="17"/>
  <c r="H440" i="17"/>
  <c r="C440" i="17"/>
  <c r="B440" i="17"/>
  <c r="A440" i="17"/>
  <c r="H439" i="17"/>
  <c r="C439" i="17"/>
  <c r="B439" i="17"/>
  <c r="A439" i="17"/>
  <c r="H438" i="17"/>
  <c r="C438" i="17"/>
  <c r="B438" i="17"/>
  <c r="A438" i="17"/>
  <c r="H437" i="17"/>
  <c r="C437" i="17"/>
  <c r="B437" i="17"/>
  <c r="A437" i="17"/>
  <c r="H436" i="17"/>
  <c r="C436" i="17"/>
  <c r="B436" i="17"/>
  <c r="A436" i="17"/>
  <c r="H435" i="17"/>
  <c r="C435" i="17"/>
  <c r="B435" i="17"/>
  <c r="A435" i="17"/>
  <c r="H434" i="17"/>
  <c r="C434" i="17"/>
  <c r="B434" i="17"/>
  <c r="A434" i="17"/>
  <c r="H433" i="17"/>
  <c r="C433" i="17"/>
  <c r="B433" i="17"/>
  <c r="A433" i="17"/>
  <c r="H432" i="17"/>
  <c r="C432" i="17"/>
  <c r="B432" i="17"/>
  <c r="A432" i="17"/>
  <c r="H431" i="17"/>
  <c r="C431" i="17"/>
  <c r="B431" i="17"/>
  <c r="A431" i="17"/>
  <c r="H430" i="17"/>
  <c r="C430" i="17"/>
  <c r="B430" i="17"/>
  <c r="A430" i="17"/>
  <c r="H429" i="17"/>
  <c r="C429" i="17"/>
  <c r="B429" i="17"/>
  <c r="A429" i="17"/>
  <c r="H428" i="17"/>
  <c r="C428" i="17"/>
  <c r="B428" i="17"/>
  <c r="A428" i="17"/>
  <c r="H427" i="17"/>
  <c r="C427" i="17"/>
  <c r="B427" i="17"/>
  <c r="A427" i="17"/>
  <c r="H426" i="17"/>
  <c r="C426" i="17"/>
  <c r="B426" i="17"/>
  <c r="A426" i="17"/>
  <c r="H425" i="17"/>
  <c r="C425" i="17"/>
  <c r="B425" i="17"/>
  <c r="A425" i="17"/>
  <c r="H424" i="17"/>
  <c r="C424" i="17"/>
  <c r="B424" i="17"/>
  <c r="A424" i="17"/>
  <c r="H423" i="17"/>
  <c r="C423" i="17"/>
  <c r="B423" i="17"/>
  <c r="A423" i="17"/>
  <c r="H422" i="17"/>
  <c r="C422" i="17"/>
  <c r="B422" i="17"/>
  <c r="A422" i="17"/>
  <c r="H421" i="17"/>
  <c r="C421" i="17"/>
  <c r="B421" i="17"/>
  <c r="A421" i="17"/>
  <c r="H420" i="17"/>
  <c r="C420" i="17"/>
  <c r="B420" i="17"/>
  <c r="A420" i="17"/>
  <c r="H419" i="17"/>
  <c r="C419" i="17"/>
  <c r="B419" i="17"/>
  <c r="A419" i="17"/>
  <c r="H418" i="17"/>
  <c r="C418" i="17"/>
  <c r="B418" i="17"/>
  <c r="A418" i="17"/>
  <c r="H417" i="17"/>
  <c r="C417" i="17"/>
  <c r="B417" i="17"/>
  <c r="A417" i="17"/>
  <c r="H416" i="17"/>
  <c r="C416" i="17"/>
  <c r="B416" i="17"/>
  <c r="A416" i="17"/>
  <c r="H415" i="17"/>
  <c r="C415" i="17"/>
  <c r="B415" i="17"/>
  <c r="A415" i="17"/>
  <c r="H414" i="17"/>
  <c r="C414" i="17"/>
  <c r="B414" i="17"/>
  <c r="A414" i="17"/>
  <c r="H413" i="17"/>
  <c r="C413" i="17"/>
  <c r="B413" i="17"/>
  <c r="A413" i="17"/>
  <c r="H412" i="17"/>
  <c r="C412" i="17"/>
  <c r="B412" i="17"/>
  <c r="A412" i="17"/>
  <c r="H411" i="17"/>
  <c r="C411" i="17"/>
  <c r="B411" i="17"/>
  <c r="A411" i="17"/>
  <c r="H410" i="17"/>
  <c r="C410" i="17"/>
  <c r="B410" i="17"/>
  <c r="A410" i="17"/>
  <c r="H409" i="17"/>
  <c r="C409" i="17"/>
  <c r="B409" i="17"/>
  <c r="A409" i="17"/>
  <c r="H408" i="17"/>
  <c r="C408" i="17"/>
  <c r="B408" i="17"/>
  <c r="A408" i="17"/>
  <c r="H407" i="17"/>
  <c r="C407" i="17"/>
  <c r="B407" i="17"/>
  <c r="A407" i="17"/>
  <c r="H406" i="17"/>
  <c r="C406" i="17"/>
  <c r="B406" i="17"/>
  <c r="A406" i="17"/>
  <c r="H405" i="17"/>
  <c r="C405" i="17"/>
  <c r="B405" i="17"/>
  <c r="A405" i="17"/>
  <c r="H404" i="17"/>
  <c r="C404" i="17"/>
  <c r="B404" i="17"/>
  <c r="A404" i="17"/>
  <c r="H403" i="17"/>
  <c r="C403" i="17"/>
  <c r="B403" i="17"/>
  <c r="A403" i="17"/>
  <c r="H402" i="17"/>
  <c r="C402" i="17"/>
  <c r="B402" i="17"/>
  <c r="A402" i="17"/>
  <c r="H401" i="17"/>
  <c r="C401" i="17"/>
  <c r="B401" i="17"/>
  <c r="A401" i="17"/>
  <c r="H400" i="17"/>
  <c r="C400" i="17"/>
  <c r="B400" i="17"/>
  <c r="A400" i="17"/>
  <c r="H399" i="17"/>
  <c r="C399" i="17"/>
  <c r="B399" i="17"/>
  <c r="A399" i="17"/>
  <c r="H398" i="17"/>
  <c r="C398" i="17"/>
  <c r="B398" i="17"/>
  <c r="A398" i="17"/>
  <c r="H397" i="17"/>
  <c r="C397" i="17"/>
  <c r="B397" i="17"/>
  <c r="A397" i="17"/>
  <c r="H396" i="17"/>
  <c r="C396" i="17"/>
  <c r="B396" i="17"/>
  <c r="A396" i="17"/>
  <c r="H395" i="17"/>
  <c r="C395" i="17"/>
  <c r="B395" i="17"/>
  <c r="A395" i="17"/>
  <c r="H394" i="17"/>
  <c r="C394" i="17"/>
  <c r="B394" i="17"/>
  <c r="A394" i="17"/>
  <c r="H393" i="17"/>
  <c r="C393" i="17"/>
  <c r="B393" i="17"/>
  <c r="A393" i="17"/>
  <c r="H392" i="17"/>
  <c r="C392" i="17"/>
  <c r="B392" i="17"/>
  <c r="A392" i="17"/>
  <c r="H391" i="17"/>
  <c r="C391" i="17"/>
  <c r="B391" i="17"/>
  <c r="A391" i="17"/>
  <c r="H390" i="17"/>
  <c r="C390" i="17"/>
  <c r="B390" i="17"/>
  <c r="A390" i="17"/>
  <c r="H389" i="17"/>
  <c r="C389" i="17"/>
  <c r="B389" i="17"/>
  <c r="A389" i="17"/>
  <c r="H388" i="17"/>
  <c r="C388" i="17"/>
  <c r="B388" i="17"/>
  <c r="A388" i="17"/>
  <c r="H387" i="17"/>
  <c r="C387" i="17"/>
  <c r="B387" i="17"/>
  <c r="A387" i="17"/>
  <c r="H386" i="17"/>
  <c r="C386" i="17"/>
  <c r="B386" i="17"/>
  <c r="A386" i="17"/>
  <c r="H385" i="17"/>
  <c r="C385" i="17"/>
  <c r="B385" i="17"/>
  <c r="A385" i="17"/>
  <c r="H384" i="17"/>
  <c r="C384" i="17"/>
  <c r="B384" i="17"/>
  <c r="A384" i="17"/>
  <c r="H383" i="17"/>
  <c r="C383" i="17"/>
  <c r="B383" i="17"/>
  <c r="A383" i="17"/>
  <c r="H382" i="17"/>
  <c r="C382" i="17"/>
  <c r="B382" i="17"/>
  <c r="A382" i="17"/>
  <c r="H381" i="17"/>
  <c r="C381" i="17"/>
  <c r="B381" i="17"/>
  <c r="A381" i="17"/>
  <c r="H380" i="17"/>
  <c r="C380" i="17"/>
  <c r="B380" i="17"/>
  <c r="A380" i="17"/>
  <c r="H379" i="17"/>
  <c r="C379" i="17"/>
  <c r="B379" i="17"/>
  <c r="A379" i="17"/>
  <c r="H378" i="17"/>
  <c r="C378" i="17"/>
  <c r="B378" i="17"/>
  <c r="A378" i="17"/>
  <c r="H377" i="17"/>
  <c r="C377" i="17"/>
  <c r="B377" i="17"/>
  <c r="A377" i="17"/>
  <c r="H376" i="17"/>
  <c r="C376" i="17"/>
  <c r="B376" i="17"/>
  <c r="A376" i="17"/>
  <c r="H375" i="17"/>
  <c r="C375" i="17"/>
  <c r="B375" i="17"/>
  <c r="A375" i="17"/>
  <c r="H374" i="17"/>
  <c r="C374" i="17"/>
  <c r="B374" i="17"/>
  <c r="A374" i="17"/>
  <c r="H373" i="17"/>
  <c r="C373" i="17"/>
  <c r="B373" i="17"/>
  <c r="A373" i="17"/>
  <c r="H372" i="17"/>
  <c r="C372" i="17"/>
  <c r="B372" i="17"/>
  <c r="A372" i="17"/>
  <c r="H371" i="17"/>
  <c r="C371" i="17"/>
  <c r="B371" i="17"/>
  <c r="A371" i="17"/>
  <c r="H370" i="17"/>
  <c r="C370" i="17"/>
  <c r="B370" i="17"/>
  <c r="A370" i="17"/>
  <c r="H369" i="17"/>
  <c r="C369" i="17"/>
  <c r="B369" i="17"/>
  <c r="A369" i="17"/>
  <c r="H368" i="17"/>
  <c r="C368" i="17"/>
  <c r="B368" i="17"/>
  <c r="A368" i="17"/>
  <c r="H367" i="17"/>
  <c r="C367" i="17"/>
  <c r="B367" i="17"/>
  <c r="A367" i="17"/>
  <c r="H366" i="17"/>
  <c r="C366" i="17"/>
  <c r="B366" i="17"/>
  <c r="A366" i="17"/>
  <c r="H365" i="17"/>
  <c r="C365" i="17"/>
  <c r="B365" i="17"/>
  <c r="A365" i="17"/>
  <c r="H364" i="17"/>
  <c r="C364" i="17"/>
  <c r="B364" i="17"/>
  <c r="A364" i="17"/>
  <c r="H363" i="17"/>
  <c r="C363" i="17"/>
  <c r="B363" i="17"/>
  <c r="A363" i="17"/>
  <c r="H362" i="17"/>
  <c r="C362" i="17"/>
  <c r="B362" i="17"/>
  <c r="A362" i="17"/>
  <c r="H361" i="17"/>
  <c r="C361" i="17"/>
  <c r="B361" i="17"/>
  <c r="A361" i="17"/>
  <c r="H360" i="17"/>
  <c r="C360" i="17"/>
  <c r="B360" i="17"/>
  <c r="A360" i="17"/>
  <c r="H359" i="17"/>
  <c r="C359" i="17"/>
  <c r="B359" i="17"/>
  <c r="A359" i="17"/>
  <c r="H358" i="17"/>
  <c r="C358" i="17"/>
  <c r="B358" i="17"/>
  <c r="A358" i="17"/>
  <c r="H357" i="17"/>
  <c r="C357" i="17"/>
  <c r="B357" i="17"/>
  <c r="A357" i="17"/>
  <c r="H356" i="17"/>
  <c r="C356" i="17"/>
  <c r="B356" i="17"/>
  <c r="A356" i="17"/>
  <c r="H355" i="17"/>
  <c r="C355" i="17"/>
  <c r="B355" i="17"/>
  <c r="A355" i="17"/>
  <c r="H354" i="17"/>
  <c r="C354" i="17"/>
  <c r="B354" i="17"/>
  <c r="A354" i="17"/>
  <c r="H353" i="17"/>
  <c r="C353" i="17"/>
  <c r="B353" i="17"/>
  <c r="A353" i="17"/>
  <c r="H352" i="17"/>
  <c r="C352" i="17"/>
  <c r="B352" i="17"/>
  <c r="A352" i="17"/>
  <c r="H351" i="17"/>
  <c r="C351" i="17"/>
  <c r="B351" i="17"/>
  <c r="A351" i="17"/>
  <c r="H350" i="17"/>
  <c r="C350" i="17"/>
  <c r="B350" i="17"/>
  <c r="A350" i="17"/>
  <c r="H349" i="17"/>
  <c r="C349" i="17"/>
  <c r="B349" i="17"/>
  <c r="A349" i="17"/>
  <c r="H348" i="17"/>
  <c r="C348" i="17"/>
  <c r="B348" i="17"/>
  <c r="A348" i="17"/>
  <c r="H347" i="17"/>
  <c r="C347" i="17"/>
  <c r="B347" i="17"/>
  <c r="A347" i="17"/>
  <c r="H346" i="17"/>
  <c r="C346" i="17"/>
  <c r="B346" i="17"/>
  <c r="A346" i="17"/>
  <c r="H345" i="17"/>
  <c r="C345" i="17"/>
  <c r="B345" i="17"/>
  <c r="A345" i="17"/>
  <c r="A342" i="17"/>
  <c r="A341" i="17"/>
  <c r="A340" i="17"/>
  <c r="A339" i="17"/>
  <c r="A338" i="17"/>
  <c r="A337" i="17"/>
  <c r="A336" i="17"/>
  <c r="A335" i="17"/>
  <c r="A334" i="17"/>
  <c r="A333" i="17"/>
  <c r="A332" i="17"/>
  <c r="A331" i="17"/>
  <c r="M330" i="17"/>
  <c r="L330" i="17"/>
  <c r="K330" i="17"/>
  <c r="J330" i="17"/>
  <c r="I330" i="17"/>
  <c r="H330" i="17"/>
  <c r="G330" i="17"/>
  <c r="F330" i="17"/>
  <c r="E330" i="17"/>
  <c r="D330" i="17"/>
  <c r="C330" i="17"/>
  <c r="B330" i="17"/>
  <c r="H325" i="17"/>
  <c r="C325" i="17"/>
  <c r="B325" i="17"/>
  <c r="A325" i="17"/>
  <c r="H324" i="17"/>
  <c r="C324" i="17"/>
  <c r="B324" i="17"/>
  <c r="A324" i="17"/>
  <c r="H323" i="17"/>
  <c r="C323" i="17"/>
  <c r="B323" i="17"/>
  <c r="A323" i="17"/>
  <c r="H322" i="17"/>
  <c r="C322" i="17"/>
  <c r="B322" i="17"/>
  <c r="A322" i="17"/>
  <c r="H321" i="17"/>
  <c r="C321" i="17"/>
  <c r="B321" i="17"/>
  <c r="A321" i="17"/>
  <c r="H320" i="17"/>
  <c r="C320" i="17"/>
  <c r="B320" i="17"/>
  <c r="A320" i="17"/>
  <c r="H319" i="17"/>
  <c r="C319" i="17"/>
  <c r="B319" i="17"/>
  <c r="A319" i="17"/>
  <c r="H318" i="17"/>
  <c r="C318" i="17"/>
  <c r="B318" i="17"/>
  <c r="A318" i="17"/>
  <c r="H317" i="17"/>
  <c r="C317" i="17"/>
  <c r="B317" i="17"/>
  <c r="A317" i="17"/>
  <c r="H316" i="17"/>
  <c r="C316" i="17"/>
  <c r="B316" i="17"/>
  <c r="A316" i="17"/>
  <c r="H315" i="17"/>
  <c r="C315" i="17"/>
  <c r="B315" i="17"/>
  <c r="A315" i="17"/>
  <c r="H314" i="17"/>
  <c r="C314" i="17"/>
  <c r="B314" i="17"/>
  <c r="A314" i="17"/>
  <c r="H313" i="17"/>
  <c r="C313" i="17"/>
  <c r="B313" i="17"/>
  <c r="A313" i="17"/>
  <c r="H312" i="17"/>
  <c r="C312" i="17"/>
  <c r="B312" i="17"/>
  <c r="A312" i="17"/>
  <c r="H311" i="17"/>
  <c r="C311" i="17"/>
  <c r="B311" i="17"/>
  <c r="A311" i="17"/>
  <c r="H310" i="17"/>
  <c r="C310" i="17"/>
  <c r="B310" i="17"/>
  <c r="A310" i="17"/>
  <c r="H309" i="17"/>
  <c r="C309" i="17"/>
  <c r="B309" i="17"/>
  <c r="A309" i="17"/>
  <c r="H308" i="17"/>
  <c r="C308" i="17"/>
  <c r="B308" i="17"/>
  <c r="A308" i="17"/>
  <c r="H307" i="17"/>
  <c r="C307" i="17"/>
  <c r="B307" i="17"/>
  <c r="A307" i="17"/>
  <c r="H306" i="17"/>
  <c r="C306" i="17"/>
  <c r="B306" i="17"/>
  <c r="A306" i="17"/>
  <c r="H305" i="17"/>
  <c r="C305" i="17"/>
  <c r="B305" i="17"/>
  <c r="A305" i="17"/>
  <c r="H304" i="17"/>
  <c r="C304" i="17"/>
  <c r="B304" i="17"/>
  <c r="A304" i="17"/>
  <c r="H303" i="17"/>
  <c r="C303" i="17"/>
  <c r="B303" i="17"/>
  <c r="A303" i="17"/>
  <c r="H302" i="17"/>
  <c r="C302" i="17"/>
  <c r="B302" i="17"/>
  <c r="A302" i="17"/>
  <c r="H301" i="17"/>
  <c r="C301" i="17"/>
  <c r="B301" i="17"/>
  <c r="A301" i="17"/>
  <c r="H300" i="17"/>
  <c r="C300" i="17"/>
  <c r="B300" i="17"/>
  <c r="A300" i="17"/>
  <c r="H299" i="17"/>
  <c r="C299" i="17"/>
  <c r="B299" i="17"/>
  <c r="A299" i="17"/>
  <c r="H298" i="17"/>
  <c r="C298" i="17"/>
  <c r="B298" i="17"/>
  <c r="A298" i="17"/>
  <c r="H297" i="17"/>
  <c r="C297" i="17"/>
  <c r="B297" i="17"/>
  <c r="A297" i="17"/>
  <c r="H296" i="17"/>
  <c r="C296" i="17"/>
  <c r="B296" i="17"/>
  <c r="A296" i="17"/>
  <c r="H295" i="17"/>
  <c r="C295" i="17"/>
  <c r="B295" i="17"/>
  <c r="A295" i="17"/>
  <c r="H294" i="17"/>
  <c r="C294" i="17"/>
  <c r="B294" i="17"/>
  <c r="A294" i="17"/>
  <c r="H293" i="17"/>
  <c r="C293" i="17"/>
  <c r="B293" i="17"/>
  <c r="A293" i="17"/>
  <c r="H292" i="17"/>
  <c r="C292" i="17"/>
  <c r="B292" i="17"/>
  <c r="A292" i="17"/>
  <c r="H291" i="17"/>
  <c r="C291" i="17"/>
  <c r="B291" i="17"/>
  <c r="A291" i="17"/>
  <c r="H290" i="17"/>
  <c r="C290" i="17"/>
  <c r="B290" i="17"/>
  <c r="A290" i="17"/>
  <c r="H289" i="17"/>
  <c r="C289" i="17"/>
  <c r="B289" i="17"/>
  <c r="A289" i="17"/>
  <c r="H288" i="17"/>
  <c r="C288" i="17"/>
  <c r="B288" i="17"/>
  <c r="A288" i="17"/>
  <c r="H287" i="17"/>
  <c r="C287" i="17"/>
  <c r="B287" i="17"/>
  <c r="A287" i="17"/>
  <c r="H286" i="17"/>
  <c r="C286" i="17"/>
  <c r="B286" i="17"/>
  <c r="A286" i="17"/>
  <c r="H285" i="17"/>
  <c r="C285" i="17"/>
  <c r="B285" i="17"/>
  <c r="A285" i="17"/>
  <c r="H284" i="17"/>
  <c r="C284" i="17"/>
  <c r="B284" i="17"/>
  <c r="A284" i="17"/>
  <c r="H283" i="17"/>
  <c r="C283" i="17"/>
  <c r="B283" i="17"/>
  <c r="A283" i="17"/>
  <c r="H282" i="17"/>
  <c r="C282" i="17"/>
  <c r="B282" i="17"/>
  <c r="A282" i="17"/>
  <c r="H281" i="17"/>
  <c r="C281" i="17"/>
  <c r="B281" i="17"/>
  <c r="A281" i="17"/>
  <c r="H280" i="17"/>
  <c r="C280" i="17"/>
  <c r="B280" i="17"/>
  <c r="A280" i="17"/>
  <c r="H279" i="17"/>
  <c r="C279" i="17"/>
  <c r="B279" i="17"/>
  <c r="A279" i="17"/>
  <c r="H278" i="17"/>
  <c r="C278" i="17"/>
  <c r="B278" i="17"/>
  <c r="A278" i="17"/>
  <c r="H277" i="17"/>
  <c r="C277" i="17"/>
  <c r="B277" i="17"/>
  <c r="A277" i="17"/>
  <c r="H276" i="17"/>
  <c r="C276" i="17"/>
  <c r="B276" i="17"/>
  <c r="A276" i="17"/>
  <c r="H275" i="17"/>
  <c r="C275" i="17"/>
  <c r="B275" i="17"/>
  <c r="A275" i="17"/>
  <c r="H274" i="17"/>
  <c r="C274" i="17"/>
  <c r="B274" i="17"/>
  <c r="A274" i="17"/>
  <c r="H273" i="17"/>
  <c r="C273" i="17"/>
  <c r="B273" i="17"/>
  <c r="A273" i="17"/>
  <c r="H272" i="17"/>
  <c r="C272" i="17"/>
  <c r="B272" i="17"/>
  <c r="A272" i="17"/>
  <c r="H271" i="17"/>
  <c r="C271" i="17"/>
  <c r="B271" i="17"/>
  <c r="A271" i="17"/>
  <c r="H270" i="17"/>
  <c r="C270" i="17"/>
  <c r="B270" i="17"/>
  <c r="A270" i="17"/>
  <c r="H269" i="17"/>
  <c r="C269" i="17"/>
  <c r="B269" i="17"/>
  <c r="A269" i="17"/>
  <c r="H268" i="17"/>
  <c r="C268" i="17"/>
  <c r="B268" i="17"/>
  <c r="A268" i="17"/>
  <c r="H267" i="17"/>
  <c r="C267" i="17"/>
  <c r="B267" i="17"/>
  <c r="A267" i="17"/>
  <c r="H266" i="17"/>
  <c r="C266" i="17"/>
  <c r="B266" i="17"/>
  <c r="A266" i="17"/>
  <c r="H265" i="17"/>
  <c r="C265" i="17"/>
  <c r="B265" i="17"/>
  <c r="A265" i="17"/>
  <c r="H264" i="17"/>
  <c r="C264" i="17"/>
  <c r="B264" i="17"/>
  <c r="A264" i="17"/>
  <c r="H263" i="17"/>
  <c r="C263" i="17"/>
  <c r="B263" i="17"/>
  <c r="A263" i="17"/>
  <c r="H262" i="17"/>
  <c r="C262" i="17"/>
  <c r="B262" i="17"/>
  <c r="A262" i="17"/>
  <c r="H261" i="17"/>
  <c r="C261" i="17"/>
  <c r="B261" i="17"/>
  <c r="A261" i="17"/>
  <c r="H260" i="17"/>
  <c r="C260" i="17"/>
  <c r="B260" i="17"/>
  <c r="A260" i="17"/>
  <c r="H259" i="17"/>
  <c r="C259" i="17"/>
  <c r="B259" i="17"/>
  <c r="A259" i="17"/>
  <c r="H258" i="17"/>
  <c r="C258" i="17"/>
  <c r="B258" i="17"/>
  <c r="A258" i="17"/>
  <c r="H257" i="17"/>
  <c r="C257" i="17"/>
  <c r="B257" i="17"/>
  <c r="A257" i="17"/>
  <c r="H256" i="17"/>
  <c r="C256" i="17"/>
  <c r="B256" i="17"/>
  <c r="A256" i="17"/>
  <c r="H255" i="17"/>
  <c r="C255" i="17"/>
  <c r="B255" i="17"/>
  <c r="A255" i="17"/>
  <c r="H254" i="17"/>
  <c r="C254" i="17"/>
  <c r="B254" i="17"/>
  <c r="A254" i="17"/>
  <c r="H253" i="17"/>
  <c r="C253" i="17"/>
  <c r="B253" i="17"/>
  <c r="A253" i="17"/>
  <c r="H252" i="17"/>
  <c r="C252" i="17"/>
  <c r="B252" i="17"/>
  <c r="A252" i="17"/>
  <c r="H251" i="17"/>
  <c r="C251" i="17"/>
  <c r="B251" i="17"/>
  <c r="A251" i="17"/>
  <c r="H250" i="17"/>
  <c r="C250" i="17"/>
  <c r="B250" i="17"/>
  <c r="A250" i="17"/>
  <c r="H249" i="17"/>
  <c r="C249" i="17"/>
  <c r="B249" i="17"/>
  <c r="A249" i="17"/>
  <c r="H248" i="17"/>
  <c r="C248" i="17"/>
  <c r="B248" i="17"/>
  <c r="A248" i="17"/>
  <c r="H247" i="17"/>
  <c r="C247" i="17"/>
  <c r="B247" i="17"/>
  <c r="A247" i="17"/>
  <c r="H246" i="17"/>
  <c r="C246" i="17"/>
  <c r="B246" i="17"/>
  <c r="A246" i="17"/>
  <c r="H245" i="17"/>
  <c r="C245" i="17"/>
  <c r="B245" i="17"/>
  <c r="A245" i="17"/>
  <c r="H244" i="17"/>
  <c r="C244" i="17"/>
  <c r="B244" i="17"/>
  <c r="A244" i="17"/>
  <c r="H243" i="17"/>
  <c r="C243" i="17"/>
  <c r="B243" i="17"/>
  <c r="A243" i="17"/>
  <c r="H242" i="17"/>
  <c r="C242" i="17"/>
  <c r="B242" i="17"/>
  <c r="A242" i="17"/>
  <c r="H241" i="17"/>
  <c r="C241" i="17"/>
  <c r="B241" i="17"/>
  <c r="A241" i="17"/>
  <c r="H240" i="17"/>
  <c r="C240" i="17"/>
  <c r="B240" i="17"/>
  <c r="A240" i="17"/>
  <c r="H239" i="17"/>
  <c r="C239" i="17"/>
  <c r="B239" i="17"/>
  <c r="A239" i="17"/>
  <c r="H238" i="17"/>
  <c r="C238" i="17"/>
  <c r="B238" i="17"/>
  <c r="A238" i="17"/>
  <c r="H237" i="17"/>
  <c r="C237" i="17"/>
  <c r="B237" i="17"/>
  <c r="A237" i="17"/>
  <c r="H236" i="17"/>
  <c r="C236" i="17"/>
  <c r="B236" i="17"/>
  <c r="A236" i="17"/>
  <c r="H235" i="17"/>
  <c r="C235" i="17"/>
  <c r="B235" i="17"/>
  <c r="A235" i="17"/>
  <c r="H234" i="17"/>
  <c r="C234" i="17"/>
  <c r="B234" i="17"/>
  <c r="A234" i="17"/>
  <c r="H233" i="17"/>
  <c r="C233" i="17"/>
  <c r="B233" i="17"/>
  <c r="A233" i="17"/>
  <c r="H232" i="17"/>
  <c r="C232" i="17"/>
  <c r="B232" i="17"/>
  <c r="A232" i="17"/>
  <c r="H231" i="17"/>
  <c r="C231" i="17"/>
  <c r="B231" i="17"/>
  <c r="A231" i="17"/>
  <c r="H230" i="17"/>
  <c r="C230" i="17"/>
  <c r="B230" i="17"/>
  <c r="A230" i="17"/>
  <c r="H229" i="17"/>
  <c r="C229" i="17"/>
  <c r="B229" i="17"/>
  <c r="A229" i="17"/>
  <c r="H228" i="17"/>
  <c r="C228" i="17"/>
  <c r="B228" i="17"/>
  <c r="A228" i="17"/>
  <c r="H227" i="17"/>
  <c r="C227" i="17"/>
  <c r="B227" i="17"/>
  <c r="A227" i="17"/>
  <c r="H226" i="17"/>
  <c r="C226" i="17"/>
  <c r="B226" i="17"/>
  <c r="A226" i="17"/>
  <c r="H225" i="17"/>
  <c r="C225" i="17"/>
  <c r="B225" i="17"/>
  <c r="A225" i="17"/>
  <c r="H224" i="17"/>
  <c r="C224" i="17"/>
  <c r="B224" i="17"/>
  <c r="A224" i="17"/>
  <c r="H223" i="17"/>
  <c r="C223" i="17"/>
  <c r="B223" i="17"/>
  <c r="A223" i="17"/>
  <c r="H222" i="17"/>
  <c r="C222" i="17"/>
  <c r="B222" i="17"/>
  <c r="A222" i="17"/>
  <c r="H221" i="17"/>
  <c r="C221" i="17"/>
  <c r="B221" i="17"/>
  <c r="A221" i="17"/>
  <c r="H220" i="17"/>
  <c r="C220" i="17"/>
  <c r="B220" i="17"/>
  <c r="A220" i="17"/>
  <c r="H219" i="17"/>
  <c r="C219" i="17"/>
  <c r="B219" i="17"/>
  <c r="A219" i="17"/>
  <c r="H218" i="17"/>
  <c r="C218" i="17"/>
  <c r="B218" i="17"/>
  <c r="A218" i="17"/>
  <c r="H217" i="17"/>
  <c r="C217" i="17"/>
  <c r="B217" i="17"/>
  <c r="A217" i="17"/>
  <c r="H216" i="17"/>
  <c r="C216" i="17"/>
  <c r="B216" i="17"/>
  <c r="A216" i="17"/>
  <c r="H215" i="17"/>
  <c r="C215" i="17"/>
  <c r="B215" i="17"/>
  <c r="A215" i="17"/>
  <c r="H214" i="17"/>
  <c r="C214" i="17"/>
  <c r="B214" i="17"/>
  <c r="A214" i="17"/>
  <c r="H213" i="17"/>
  <c r="C213" i="17"/>
  <c r="B213" i="17"/>
  <c r="A213" i="17"/>
  <c r="H212" i="17"/>
  <c r="C212" i="17"/>
  <c r="B212" i="17"/>
  <c r="A212" i="17"/>
  <c r="H211" i="17"/>
  <c r="C211" i="17"/>
  <c r="B211" i="17"/>
  <c r="A211" i="17"/>
  <c r="H210" i="17"/>
  <c r="C210" i="17"/>
  <c r="B210" i="17"/>
  <c r="A210" i="17"/>
  <c r="H209" i="17"/>
  <c r="C209" i="17"/>
  <c r="B209" i="17"/>
  <c r="A209" i="17"/>
  <c r="H208" i="17"/>
  <c r="C208" i="17"/>
  <c r="B208" i="17"/>
  <c r="A208" i="17"/>
  <c r="H207" i="17"/>
  <c r="C207" i="17"/>
  <c r="B207" i="17"/>
  <c r="A207" i="17"/>
  <c r="H206" i="17"/>
  <c r="C206" i="17"/>
  <c r="B206" i="17"/>
  <c r="A206" i="17"/>
  <c r="H205" i="17"/>
  <c r="C205" i="17"/>
  <c r="B205" i="17"/>
  <c r="A205" i="17"/>
  <c r="H204" i="17"/>
  <c r="C204" i="17"/>
  <c r="B204" i="17"/>
  <c r="A204" i="17"/>
  <c r="H203" i="17"/>
  <c r="C203" i="17"/>
  <c r="B203" i="17"/>
  <c r="A203" i="17"/>
  <c r="H202" i="17"/>
  <c r="C202" i="17"/>
  <c r="B202" i="17"/>
  <c r="A202" i="17"/>
  <c r="H201" i="17"/>
  <c r="C201" i="17"/>
  <c r="B201" i="17"/>
  <c r="A201" i="17"/>
  <c r="H200" i="17"/>
  <c r="C200" i="17"/>
  <c r="B200" i="17"/>
  <c r="A200" i="17"/>
  <c r="H199" i="17"/>
  <c r="C199" i="17"/>
  <c r="B199" i="17"/>
  <c r="A199" i="17"/>
  <c r="H198" i="17"/>
  <c r="C198" i="17"/>
  <c r="B198" i="17"/>
  <c r="A198" i="17"/>
  <c r="H197" i="17"/>
  <c r="C197" i="17"/>
  <c r="B197" i="17"/>
  <c r="A197" i="17"/>
  <c r="H196" i="17"/>
  <c r="C196" i="17"/>
  <c r="B196" i="17"/>
  <c r="A196" i="17"/>
  <c r="H195" i="17"/>
  <c r="C195" i="17"/>
  <c r="B195" i="17"/>
  <c r="A195" i="17"/>
  <c r="H194" i="17"/>
  <c r="C194" i="17"/>
  <c r="B194" i="17"/>
  <c r="A194" i="17"/>
  <c r="H193" i="17"/>
  <c r="C193" i="17"/>
  <c r="B193" i="17"/>
  <c r="A193" i="17"/>
  <c r="H192" i="17"/>
  <c r="C192" i="17"/>
  <c r="B192" i="17"/>
  <c r="A192" i="17"/>
  <c r="H191" i="17"/>
  <c r="C191" i="17"/>
  <c r="B191" i="17"/>
  <c r="A191" i="17"/>
  <c r="H190" i="17"/>
  <c r="C190" i="17"/>
  <c r="B190" i="17"/>
  <c r="A190" i="17"/>
  <c r="H189" i="17"/>
  <c r="C189" i="17"/>
  <c r="B189" i="17"/>
  <c r="A189" i="17"/>
  <c r="H188" i="17"/>
  <c r="C188" i="17"/>
  <c r="B188" i="17"/>
  <c r="A188" i="17"/>
  <c r="H187" i="17"/>
  <c r="C187" i="17"/>
  <c r="B187" i="17"/>
  <c r="A187" i="17"/>
  <c r="H186" i="17"/>
  <c r="C186" i="17"/>
  <c r="B186" i="17"/>
  <c r="A186" i="17"/>
  <c r="H185" i="17"/>
  <c r="C185" i="17"/>
  <c r="B185" i="17"/>
  <c r="A185" i="17"/>
  <c r="H184" i="17"/>
  <c r="C184" i="17"/>
  <c r="B184" i="17"/>
  <c r="A184" i="17"/>
  <c r="H183" i="17"/>
  <c r="C183" i="17"/>
  <c r="B183" i="17"/>
  <c r="A183" i="17"/>
  <c r="H182" i="17"/>
  <c r="C182" i="17"/>
  <c r="B182" i="17"/>
  <c r="A182" i="17"/>
  <c r="A179" i="17"/>
  <c r="A178" i="17"/>
  <c r="A177" i="17"/>
  <c r="A176" i="17"/>
  <c r="A175" i="17"/>
  <c r="A174" i="17"/>
  <c r="A173" i="17"/>
  <c r="A172" i="17"/>
  <c r="A171" i="17"/>
  <c r="A170" i="17"/>
  <c r="A169" i="17"/>
  <c r="A168" i="17"/>
  <c r="M167" i="17"/>
  <c r="L167" i="17"/>
  <c r="K167" i="17"/>
  <c r="J167" i="17"/>
  <c r="I167" i="17"/>
  <c r="H167" i="17"/>
  <c r="G167" i="17"/>
  <c r="F167" i="17"/>
  <c r="E167" i="17"/>
  <c r="D167" i="17"/>
  <c r="C167" i="17"/>
  <c r="B167" i="17"/>
  <c r="H162" i="17"/>
  <c r="C162" i="17"/>
  <c r="B162" i="17"/>
  <c r="A162" i="17"/>
  <c r="H161" i="17"/>
  <c r="C161" i="17"/>
  <c r="B161" i="17"/>
  <c r="A161" i="17"/>
  <c r="H160" i="17"/>
  <c r="C160" i="17"/>
  <c r="B160" i="17"/>
  <c r="A160" i="17"/>
  <c r="H159" i="17"/>
  <c r="C159" i="17"/>
  <c r="B159" i="17"/>
  <c r="A159" i="17"/>
  <c r="H158" i="17"/>
  <c r="C158" i="17"/>
  <c r="B158" i="17"/>
  <c r="A158" i="17"/>
  <c r="H157" i="17"/>
  <c r="C157" i="17"/>
  <c r="B157" i="17"/>
  <c r="A157" i="17"/>
  <c r="H156" i="17"/>
  <c r="C156" i="17"/>
  <c r="B156" i="17"/>
  <c r="A156" i="17"/>
  <c r="H155" i="17"/>
  <c r="C155" i="17"/>
  <c r="B155" i="17"/>
  <c r="A155" i="17"/>
  <c r="H154" i="17"/>
  <c r="C154" i="17"/>
  <c r="B154" i="17"/>
  <c r="A154" i="17"/>
  <c r="H153" i="17"/>
  <c r="C153" i="17"/>
  <c r="B153" i="17"/>
  <c r="A153" i="17"/>
  <c r="H152" i="17"/>
  <c r="C152" i="17"/>
  <c r="B152" i="17"/>
  <c r="A152" i="17"/>
  <c r="H151" i="17"/>
  <c r="C151" i="17"/>
  <c r="B151" i="17"/>
  <c r="A151" i="17"/>
  <c r="H150" i="17"/>
  <c r="C150" i="17"/>
  <c r="B150" i="17"/>
  <c r="A150" i="17"/>
  <c r="H149" i="17"/>
  <c r="C149" i="17"/>
  <c r="B149" i="17"/>
  <c r="A149" i="17"/>
  <c r="H148" i="17"/>
  <c r="C148" i="17"/>
  <c r="B148" i="17"/>
  <c r="A148" i="17"/>
  <c r="H147" i="17"/>
  <c r="C147" i="17"/>
  <c r="B147" i="17"/>
  <c r="A147" i="17"/>
  <c r="H146" i="17"/>
  <c r="C146" i="17"/>
  <c r="B146" i="17"/>
  <c r="A146" i="17"/>
  <c r="H145" i="17"/>
  <c r="C145" i="17"/>
  <c r="B145" i="17"/>
  <c r="A145" i="17"/>
  <c r="H144" i="17"/>
  <c r="C144" i="17"/>
  <c r="B144" i="17"/>
  <c r="A144" i="17"/>
  <c r="H143" i="17"/>
  <c r="C143" i="17"/>
  <c r="B143" i="17"/>
  <c r="A143" i="17"/>
  <c r="H142" i="17"/>
  <c r="C142" i="17"/>
  <c r="B142" i="17"/>
  <c r="A142" i="17"/>
  <c r="H141" i="17"/>
  <c r="C141" i="17"/>
  <c r="B141" i="17"/>
  <c r="A141" i="17"/>
  <c r="H140" i="17"/>
  <c r="C140" i="17"/>
  <c r="B140" i="17"/>
  <c r="A140" i="17"/>
  <c r="H139" i="17"/>
  <c r="C139" i="17"/>
  <c r="B139" i="17"/>
  <c r="A139" i="17"/>
  <c r="H138" i="17"/>
  <c r="C138" i="17"/>
  <c r="B138" i="17"/>
  <c r="A138" i="17"/>
  <c r="H137" i="17"/>
  <c r="C137" i="17"/>
  <c r="B137" i="17"/>
  <c r="A137" i="17"/>
  <c r="H136" i="17"/>
  <c r="C136" i="17"/>
  <c r="B136" i="17"/>
  <c r="A136" i="17"/>
  <c r="H135" i="17"/>
  <c r="C135" i="17"/>
  <c r="B135" i="17"/>
  <c r="A135" i="17"/>
  <c r="H134" i="17"/>
  <c r="C134" i="17"/>
  <c r="B134" i="17"/>
  <c r="A134" i="17"/>
  <c r="H133" i="17"/>
  <c r="C133" i="17"/>
  <c r="B133" i="17"/>
  <c r="A133" i="17"/>
  <c r="H132" i="17"/>
  <c r="C132" i="17"/>
  <c r="B132" i="17"/>
  <c r="A132" i="17"/>
  <c r="H131" i="17"/>
  <c r="C131" i="17"/>
  <c r="B131" i="17"/>
  <c r="A131" i="17"/>
  <c r="H130" i="17"/>
  <c r="C130" i="17"/>
  <c r="B130" i="17"/>
  <c r="A130" i="17"/>
  <c r="H129" i="17"/>
  <c r="C129" i="17"/>
  <c r="B129" i="17"/>
  <c r="A129" i="17"/>
  <c r="H128" i="17"/>
  <c r="C128" i="17"/>
  <c r="B128" i="17"/>
  <c r="A128" i="17"/>
  <c r="H127" i="17"/>
  <c r="C127" i="17"/>
  <c r="B127" i="17"/>
  <c r="A127" i="17"/>
  <c r="H126" i="17"/>
  <c r="C126" i="17"/>
  <c r="B126" i="17"/>
  <c r="A126" i="17"/>
  <c r="H125" i="17"/>
  <c r="C125" i="17"/>
  <c r="B125" i="17"/>
  <c r="A125" i="17"/>
  <c r="H124" i="17"/>
  <c r="C124" i="17"/>
  <c r="B124" i="17"/>
  <c r="A124" i="17"/>
  <c r="H123" i="17"/>
  <c r="C123" i="17"/>
  <c r="B123" i="17"/>
  <c r="A123" i="17"/>
  <c r="H122" i="17"/>
  <c r="C122" i="17"/>
  <c r="B122" i="17"/>
  <c r="A122" i="17"/>
  <c r="H121" i="17"/>
  <c r="C121" i="17"/>
  <c r="B121" i="17"/>
  <c r="A121" i="17"/>
  <c r="H120" i="17"/>
  <c r="C120" i="17"/>
  <c r="B120" i="17"/>
  <c r="A120" i="17"/>
  <c r="H119" i="17"/>
  <c r="C119" i="17"/>
  <c r="B119" i="17"/>
  <c r="A119" i="17"/>
  <c r="H118" i="17"/>
  <c r="C118" i="17"/>
  <c r="B118" i="17"/>
  <c r="A118" i="17"/>
  <c r="H117" i="17"/>
  <c r="C117" i="17"/>
  <c r="B117" i="17"/>
  <c r="A117" i="17"/>
  <c r="H116" i="17"/>
  <c r="C116" i="17"/>
  <c r="B116" i="17"/>
  <c r="A116" i="17"/>
  <c r="H115" i="17"/>
  <c r="C115" i="17"/>
  <c r="B115" i="17"/>
  <c r="A115" i="17"/>
  <c r="H114" i="17"/>
  <c r="C114" i="17"/>
  <c r="B114" i="17"/>
  <c r="A114" i="17"/>
  <c r="H113" i="17"/>
  <c r="C113" i="17"/>
  <c r="B113" i="17"/>
  <c r="A113" i="17"/>
  <c r="H112" i="17"/>
  <c r="C112" i="17"/>
  <c r="B112" i="17"/>
  <c r="A112" i="17"/>
  <c r="H111" i="17"/>
  <c r="C111" i="17"/>
  <c r="B111" i="17"/>
  <c r="A111" i="17"/>
  <c r="H110" i="17"/>
  <c r="C110" i="17"/>
  <c r="B110" i="17"/>
  <c r="A110" i="17"/>
  <c r="H109" i="17"/>
  <c r="C109" i="17"/>
  <c r="B109" i="17"/>
  <c r="A109" i="17"/>
  <c r="H108" i="17"/>
  <c r="C108" i="17"/>
  <c r="B108" i="17"/>
  <c r="A108" i="17"/>
  <c r="H107" i="17"/>
  <c r="C107" i="17"/>
  <c r="B107" i="17"/>
  <c r="A107" i="17"/>
  <c r="H106" i="17"/>
  <c r="C106" i="17"/>
  <c r="B106" i="17"/>
  <c r="A106" i="17"/>
  <c r="H105" i="17"/>
  <c r="C105" i="17"/>
  <c r="B105" i="17"/>
  <c r="A105" i="17"/>
  <c r="H104" i="17"/>
  <c r="C104" i="17"/>
  <c r="B104" i="17"/>
  <c r="A104" i="17"/>
  <c r="H103" i="17"/>
  <c r="C103" i="17"/>
  <c r="B103" i="17"/>
  <c r="A103" i="17"/>
  <c r="H102" i="17"/>
  <c r="C102" i="17"/>
  <c r="B102" i="17"/>
  <c r="A102" i="17"/>
  <c r="H101" i="17"/>
  <c r="C101" i="17"/>
  <c r="B101" i="17"/>
  <c r="A101" i="17"/>
  <c r="H100" i="17"/>
  <c r="C100" i="17"/>
  <c r="B100" i="17"/>
  <c r="A100" i="17"/>
  <c r="H99" i="17"/>
  <c r="C99" i="17"/>
  <c r="B99" i="17"/>
  <c r="A99" i="17"/>
  <c r="H98" i="17"/>
  <c r="C98" i="17"/>
  <c r="B98" i="17"/>
  <c r="A98" i="17"/>
  <c r="H97" i="17"/>
  <c r="C97" i="17"/>
  <c r="B97" i="17"/>
  <c r="A97" i="17"/>
  <c r="H96" i="17"/>
  <c r="C96" i="17"/>
  <c r="B96" i="17"/>
  <c r="A96" i="17"/>
  <c r="H95" i="17"/>
  <c r="C95" i="17"/>
  <c r="B95" i="17"/>
  <c r="A95" i="17"/>
  <c r="H94" i="17"/>
  <c r="C94" i="17"/>
  <c r="B94" i="17"/>
  <c r="A94" i="17"/>
  <c r="H93" i="17"/>
  <c r="C93" i="17"/>
  <c r="B93" i="17"/>
  <c r="A93" i="17"/>
  <c r="H92" i="17"/>
  <c r="C92" i="17"/>
  <c r="B92" i="17"/>
  <c r="A92" i="17"/>
  <c r="H91" i="17"/>
  <c r="C91" i="17"/>
  <c r="B91" i="17"/>
  <c r="A91" i="17"/>
  <c r="H90" i="17"/>
  <c r="C90" i="17"/>
  <c r="B90" i="17"/>
  <c r="A90" i="17"/>
  <c r="H89" i="17"/>
  <c r="C89" i="17"/>
  <c r="B89" i="17"/>
  <c r="A89" i="17"/>
  <c r="H88" i="17"/>
  <c r="C88" i="17"/>
  <c r="B88" i="17"/>
  <c r="A88" i="17"/>
  <c r="H87" i="17"/>
  <c r="C87" i="17"/>
  <c r="B87" i="17"/>
  <c r="A87" i="17"/>
  <c r="H86" i="17"/>
  <c r="C86" i="17"/>
  <c r="B86" i="17"/>
  <c r="A86" i="17"/>
  <c r="H85" i="17"/>
  <c r="C85" i="17"/>
  <c r="B85" i="17"/>
  <c r="A85" i="17"/>
  <c r="H84" i="17"/>
  <c r="C84" i="17"/>
  <c r="B84" i="17"/>
  <c r="A84" i="17"/>
  <c r="H83" i="17"/>
  <c r="C83" i="17"/>
  <c r="B83" i="17"/>
  <c r="A83" i="17"/>
  <c r="H82" i="17"/>
  <c r="C82" i="17"/>
  <c r="B82" i="17"/>
  <c r="A82" i="17"/>
  <c r="H81" i="17"/>
  <c r="C81" i="17"/>
  <c r="B81" i="17"/>
  <c r="A81" i="17"/>
  <c r="H80" i="17"/>
  <c r="C80" i="17"/>
  <c r="B80" i="17"/>
  <c r="A80" i="17"/>
  <c r="H79" i="17"/>
  <c r="C79" i="17"/>
  <c r="B79" i="17"/>
  <c r="A79" i="17"/>
  <c r="H78" i="17"/>
  <c r="C78" i="17"/>
  <c r="B78" i="17"/>
  <c r="A78" i="17"/>
  <c r="H77" i="17"/>
  <c r="C77" i="17"/>
  <c r="B77" i="17"/>
  <c r="A77" i="17"/>
  <c r="H76" i="17"/>
  <c r="C76" i="17"/>
  <c r="B76" i="17"/>
  <c r="A76" i="17"/>
  <c r="H75" i="17"/>
  <c r="C75" i="17"/>
  <c r="B75" i="17"/>
  <c r="A75" i="17"/>
  <c r="H74" i="17"/>
  <c r="C74" i="17"/>
  <c r="B74" i="17"/>
  <c r="A74" i="17"/>
  <c r="H73" i="17"/>
  <c r="C73" i="17"/>
  <c r="B73" i="17"/>
  <c r="A73" i="17"/>
  <c r="H72" i="17"/>
  <c r="C72" i="17"/>
  <c r="B72" i="17"/>
  <c r="A72" i="17"/>
  <c r="H71" i="17"/>
  <c r="C71" i="17"/>
  <c r="B71" i="17"/>
  <c r="A71" i="17"/>
  <c r="H70" i="17"/>
  <c r="C70" i="17"/>
  <c r="B70" i="17"/>
  <c r="A70" i="17"/>
  <c r="H69" i="17"/>
  <c r="C69" i="17"/>
  <c r="B69" i="17"/>
  <c r="A69" i="17"/>
  <c r="H68" i="17"/>
  <c r="C68" i="17"/>
  <c r="B68" i="17"/>
  <c r="A68" i="17"/>
  <c r="H67" i="17"/>
  <c r="C67" i="17"/>
  <c r="B67" i="17"/>
  <c r="A67" i="17"/>
  <c r="H66" i="17"/>
  <c r="C66" i="17"/>
  <c r="B66" i="17"/>
  <c r="A66" i="17"/>
  <c r="H65" i="17"/>
  <c r="C65" i="17"/>
  <c r="B65" i="17"/>
  <c r="A65" i="17"/>
  <c r="H64" i="17"/>
  <c r="C64" i="17"/>
  <c r="B64" i="17"/>
  <c r="A64" i="17"/>
  <c r="H63" i="17"/>
  <c r="C63" i="17"/>
  <c r="B63" i="17"/>
  <c r="A63" i="17"/>
  <c r="H62" i="17"/>
  <c r="C62" i="17"/>
  <c r="B62" i="17"/>
  <c r="A62" i="17"/>
  <c r="H61" i="17"/>
  <c r="C61" i="17"/>
  <c r="B61" i="17"/>
  <c r="A61" i="17"/>
  <c r="H60" i="17"/>
  <c r="C60" i="17"/>
  <c r="B60" i="17"/>
  <c r="A60" i="17"/>
  <c r="H59" i="17"/>
  <c r="C59" i="17"/>
  <c r="B59" i="17"/>
  <c r="A59" i="17"/>
  <c r="H58" i="17"/>
  <c r="C58" i="17"/>
  <c r="B58" i="17"/>
  <c r="A58" i="17"/>
  <c r="H57" i="17"/>
  <c r="C57" i="17"/>
  <c r="B57" i="17"/>
  <c r="A57" i="17"/>
  <c r="H56" i="17"/>
  <c r="C56" i="17"/>
  <c r="B56" i="17"/>
  <c r="A56" i="17"/>
  <c r="H55" i="17"/>
  <c r="C55" i="17"/>
  <c r="B55" i="17"/>
  <c r="A55" i="17"/>
  <c r="H54" i="17"/>
  <c r="C54" i="17"/>
  <c r="B54" i="17"/>
  <c r="A54" i="17"/>
  <c r="H53" i="17"/>
  <c r="C53" i="17"/>
  <c r="B53" i="17"/>
  <c r="A53" i="17"/>
  <c r="H52" i="17"/>
  <c r="C52" i="17"/>
  <c r="B52" i="17"/>
  <c r="A52" i="17"/>
  <c r="H51" i="17"/>
  <c r="C51" i="17"/>
  <c r="B51" i="17"/>
  <c r="A51" i="17"/>
  <c r="H50" i="17"/>
  <c r="C50" i="17"/>
  <c r="B50" i="17"/>
  <c r="A50" i="17"/>
  <c r="H49" i="17"/>
  <c r="C49" i="17"/>
  <c r="B49" i="17"/>
  <c r="A49" i="17"/>
  <c r="H48" i="17"/>
  <c r="C48" i="17"/>
  <c r="B48" i="17"/>
  <c r="A48" i="17"/>
  <c r="H47" i="17"/>
  <c r="C47" i="17"/>
  <c r="B47" i="17"/>
  <c r="A47" i="17"/>
  <c r="H46" i="17"/>
  <c r="C46" i="17"/>
  <c r="B46" i="17"/>
  <c r="A46" i="17"/>
  <c r="H45" i="17"/>
  <c r="C45" i="17"/>
  <c r="B45" i="17"/>
  <c r="A45" i="17"/>
  <c r="H44" i="17"/>
  <c r="C44" i="17"/>
  <c r="B44" i="17"/>
  <c r="A44" i="17"/>
  <c r="H43" i="17"/>
  <c r="C43" i="17"/>
  <c r="B43" i="17"/>
  <c r="A43" i="17"/>
  <c r="H42" i="17"/>
  <c r="C42" i="17"/>
  <c r="B42" i="17"/>
  <c r="A42" i="17"/>
  <c r="H41" i="17"/>
  <c r="C41" i="17"/>
  <c r="B41" i="17"/>
  <c r="A41" i="17"/>
  <c r="H40" i="17"/>
  <c r="C40" i="17"/>
  <c r="B40" i="17"/>
  <c r="A40" i="17"/>
  <c r="H39" i="17"/>
  <c r="C39" i="17"/>
  <c r="B39" i="17"/>
  <c r="A39" i="17"/>
  <c r="H38" i="17"/>
  <c r="C38" i="17"/>
  <c r="B38" i="17"/>
  <c r="A38" i="17"/>
  <c r="H37" i="17"/>
  <c r="C37" i="17"/>
  <c r="B37" i="17"/>
  <c r="A37" i="17"/>
  <c r="H36" i="17"/>
  <c r="C36" i="17"/>
  <c r="B36" i="17"/>
  <c r="A36" i="17"/>
  <c r="H35" i="17"/>
  <c r="C35" i="17"/>
  <c r="B35" i="17"/>
  <c r="A35" i="17"/>
  <c r="H34" i="17"/>
  <c r="C34" i="17"/>
  <c r="B34" i="17"/>
  <c r="A34" i="17"/>
  <c r="H33" i="17"/>
  <c r="C33" i="17"/>
  <c r="B33" i="17"/>
  <c r="A33" i="17"/>
  <c r="H32" i="17"/>
  <c r="C32" i="17"/>
  <c r="B32" i="17"/>
  <c r="A32" i="17"/>
  <c r="H31" i="17"/>
  <c r="C31" i="17"/>
  <c r="B31" i="17"/>
  <c r="A31" i="17"/>
  <c r="H30" i="17"/>
  <c r="C30" i="17"/>
  <c r="B30" i="17"/>
  <c r="A30" i="17"/>
  <c r="H29" i="17"/>
  <c r="C29" i="17"/>
  <c r="B29" i="17"/>
  <c r="A29" i="17"/>
  <c r="H28" i="17"/>
  <c r="C28" i="17"/>
  <c r="B28" i="17"/>
  <c r="A28" i="17"/>
  <c r="H27" i="17"/>
  <c r="C27" i="17"/>
  <c r="B27" i="17"/>
  <c r="A27" i="17"/>
  <c r="H26" i="17"/>
  <c r="C26" i="17"/>
  <c r="B26" i="17"/>
  <c r="A26" i="17"/>
  <c r="H25" i="17"/>
  <c r="C25" i="17"/>
  <c r="B25" i="17"/>
  <c r="A25" i="17"/>
  <c r="H24" i="17"/>
  <c r="C24" i="17"/>
  <c r="B24" i="17"/>
  <c r="A24" i="17"/>
  <c r="H23" i="17"/>
  <c r="C23" i="17"/>
  <c r="B23" i="17"/>
  <c r="A23" i="17"/>
  <c r="H22" i="17"/>
  <c r="C22" i="17"/>
  <c r="B22" i="17"/>
  <c r="A22" i="17"/>
  <c r="H21" i="17"/>
  <c r="C21" i="17"/>
  <c r="B21" i="17"/>
  <c r="A21" i="17"/>
  <c r="H20" i="17"/>
  <c r="C20" i="17"/>
  <c r="B20" i="17"/>
  <c r="A20" i="17"/>
  <c r="H19" i="17"/>
  <c r="C19" i="17"/>
  <c r="B19" i="17"/>
  <c r="A19" i="17"/>
  <c r="A16" i="17"/>
  <c r="A15" i="17"/>
  <c r="A14" i="17"/>
  <c r="A13" i="17"/>
  <c r="A12" i="17"/>
  <c r="A11" i="17"/>
  <c r="A10" i="17"/>
  <c r="A9" i="17"/>
  <c r="A8" i="17"/>
  <c r="A7" i="17"/>
  <c r="A6" i="17"/>
  <c r="A5" i="17"/>
  <c r="M4" i="17"/>
  <c r="L4" i="17"/>
  <c r="K4" i="17"/>
  <c r="J4" i="17"/>
  <c r="I4" i="17"/>
  <c r="H4" i="17"/>
  <c r="G4" i="17"/>
  <c r="F4" i="17"/>
  <c r="E4" i="17"/>
  <c r="D4" i="17"/>
  <c r="C4" i="17"/>
  <c r="B4" i="17"/>
  <c r="H162" i="16"/>
  <c r="C162" i="16"/>
  <c r="B162" i="16"/>
  <c r="A162" i="16"/>
  <c r="H161" i="16"/>
  <c r="C161" i="16"/>
  <c r="B161" i="16"/>
  <c r="A161" i="16"/>
  <c r="H160" i="16"/>
  <c r="C160" i="16"/>
  <c r="B160" i="16"/>
  <c r="A160" i="16"/>
  <c r="H159" i="16"/>
  <c r="C159" i="16"/>
  <c r="B159" i="16"/>
  <c r="A159" i="16"/>
  <c r="H158" i="16"/>
  <c r="C158" i="16"/>
  <c r="B158" i="16"/>
  <c r="A158" i="16"/>
  <c r="H157" i="16"/>
  <c r="C157" i="16"/>
  <c r="B157" i="16"/>
  <c r="A157" i="16"/>
  <c r="H156" i="16"/>
  <c r="C156" i="16"/>
  <c r="B156" i="16"/>
  <c r="A156" i="16"/>
  <c r="H155" i="16"/>
  <c r="C155" i="16"/>
  <c r="B155" i="16"/>
  <c r="A155" i="16"/>
  <c r="H154" i="16"/>
  <c r="C154" i="16"/>
  <c r="B154" i="16"/>
  <c r="A154" i="16"/>
  <c r="H153" i="16"/>
  <c r="C153" i="16"/>
  <c r="B153" i="16"/>
  <c r="A153" i="16"/>
  <c r="H152" i="16"/>
  <c r="C152" i="16"/>
  <c r="B152" i="16"/>
  <c r="A152" i="16"/>
  <c r="H151" i="16"/>
  <c r="C151" i="16"/>
  <c r="B151" i="16"/>
  <c r="A151" i="16"/>
  <c r="H150" i="16"/>
  <c r="C150" i="16"/>
  <c r="B150" i="16"/>
  <c r="A150" i="16"/>
  <c r="H149" i="16"/>
  <c r="C149" i="16"/>
  <c r="B149" i="16"/>
  <c r="A149" i="16"/>
  <c r="H148" i="16"/>
  <c r="C148" i="16"/>
  <c r="B148" i="16"/>
  <c r="A148" i="16"/>
  <c r="H147" i="16"/>
  <c r="C147" i="16"/>
  <c r="B147" i="16"/>
  <c r="A147" i="16"/>
  <c r="H146" i="16"/>
  <c r="C146" i="16"/>
  <c r="B146" i="16"/>
  <c r="A146" i="16"/>
  <c r="H145" i="16"/>
  <c r="C145" i="16"/>
  <c r="B145" i="16"/>
  <c r="A145" i="16"/>
  <c r="H144" i="16"/>
  <c r="C144" i="16"/>
  <c r="B144" i="16"/>
  <c r="A144" i="16"/>
  <c r="H143" i="16"/>
  <c r="C143" i="16"/>
  <c r="B143" i="16"/>
  <c r="A143" i="16"/>
  <c r="H142" i="16"/>
  <c r="C142" i="16"/>
  <c r="B142" i="16"/>
  <c r="A142" i="16"/>
  <c r="H141" i="16"/>
  <c r="C141" i="16"/>
  <c r="B141" i="16"/>
  <c r="A141" i="16"/>
  <c r="H140" i="16"/>
  <c r="C140" i="16"/>
  <c r="B140" i="16"/>
  <c r="A140" i="16"/>
  <c r="H139" i="16"/>
  <c r="C139" i="16"/>
  <c r="B139" i="16"/>
  <c r="A139" i="16"/>
  <c r="H138" i="16"/>
  <c r="C138" i="16"/>
  <c r="B138" i="16"/>
  <c r="A138" i="16"/>
  <c r="H137" i="16"/>
  <c r="C137" i="16"/>
  <c r="B137" i="16"/>
  <c r="A137" i="16"/>
  <c r="H136" i="16"/>
  <c r="C136" i="16"/>
  <c r="B136" i="16"/>
  <c r="A136" i="16"/>
  <c r="H135" i="16"/>
  <c r="C135" i="16"/>
  <c r="B135" i="16"/>
  <c r="A135" i="16"/>
  <c r="H134" i="16"/>
  <c r="C134" i="16"/>
  <c r="B134" i="16"/>
  <c r="A134" i="16"/>
  <c r="H133" i="16"/>
  <c r="C133" i="16"/>
  <c r="B133" i="16"/>
  <c r="A133" i="16"/>
  <c r="H132" i="16"/>
  <c r="C132" i="16"/>
  <c r="B132" i="16"/>
  <c r="A132" i="16"/>
  <c r="H131" i="16"/>
  <c r="C131" i="16"/>
  <c r="B131" i="16"/>
  <c r="A131" i="16"/>
  <c r="H130" i="16"/>
  <c r="C130" i="16"/>
  <c r="B130" i="16"/>
  <c r="A130" i="16"/>
  <c r="H129" i="16"/>
  <c r="C129" i="16"/>
  <c r="B129" i="16"/>
  <c r="A129" i="16"/>
  <c r="H128" i="16"/>
  <c r="C128" i="16"/>
  <c r="B128" i="16"/>
  <c r="A128" i="16"/>
  <c r="H127" i="16"/>
  <c r="C127" i="16"/>
  <c r="B127" i="16"/>
  <c r="A127" i="16"/>
  <c r="H126" i="16"/>
  <c r="C126" i="16"/>
  <c r="B126" i="16"/>
  <c r="A126" i="16"/>
  <c r="H125" i="16"/>
  <c r="C125" i="16"/>
  <c r="B125" i="16"/>
  <c r="A125" i="16"/>
  <c r="H124" i="16"/>
  <c r="C124" i="16"/>
  <c r="B124" i="16"/>
  <c r="A124" i="16"/>
  <c r="H123" i="16"/>
  <c r="C123" i="16"/>
  <c r="B123" i="16"/>
  <c r="A123" i="16"/>
  <c r="H122" i="16"/>
  <c r="C122" i="16"/>
  <c r="B122" i="16"/>
  <c r="A122" i="16"/>
  <c r="H121" i="16"/>
  <c r="C121" i="16"/>
  <c r="B121" i="16"/>
  <c r="A121" i="16"/>
  <c r="H120" i="16"/>
  <c r="C120" i="16"/>
  <c r="B120" i="16"/>
  <c r="A120" i="16"/>
  <c r="H119" i="16"/>
  <c r="C119" i="16"/>
  <c r="B119" i="16"/>
  <c r="A119" i="16"/>
  <c r="H118" i="16"/>
  <c r="C118" i="16"/>
  <c r="B118" i="16"/>
  <c r="A118" i="16"/>
  <c r="H117" i="16"/>
  <c r="C117" i="16"/>
  <c r="B117" i="16"/>
  <c r="A117" i="16"/>
  <c r="H116" i="16"/>
  <c r="C116" i="16"/>
  <c r="B116" i="16"/>
  <c r="A116" i="16"/>
  <c r="H115" i="16"/>
  <c r="C115" i="16"/>
  <c r="B115" i="16"/>
  <c r="A115" i="16"/>
  <c r="H114" i="16"/>
  <c r="C114" i="16"/>
  <c r="B114" i="16"/>
  <c r="A114" i="16"/>
  <c r="H113" i="16"/>
  <c r="C113" i="16"/>
  <c r="B113" i="16"/>
  <c r="A113" i="16"/>
  <c r="H112" i="16"/>
  <c r="C112" i="16"/>
  <c r="B112" i="16"/>
  <c r="A112" i="16"/>
  <c r="H111" i="16"/>
  <c r="C111" i="16"/>
  <c r="B111" i="16"/>
  <c r="A111" i="16"/>
  <c r="H110" i="16"/>
  <c r="C110" i="16"/>
  <c r="B110" i="16"/>
  <c r="A110" i="16"/>
  <c r="H109" i="16"/>
  <c r="C109" i="16"/>
  <c r="B109" i="16"/>
  <c r="A109" i="16"/>
  <c r="H108" i="16"/>
  <c r="C108" i="16"/>
  <c r="B108" i="16"/>
  <c r="A108" i="16"/>
  <c r="H107" i="16"/>
  <c r="C107" i="16"/>
  <c r="B107" i="16"/>
  <c r="A107" i="16"/>
  <c r="H106" i="16"/>
  <c r="C106" i="16"/>
  <c r="B106" i="16"/>
  <c r="A106" i="16"/>
  <c r="H105" i="16"/>
  <c r="C105" i="16"/>
  <c r="B105" i="16"/>
  <c r="A105" i="16"/>
  <c r="H104" i="16"/>
  <c r="C104" i="16"/>
  <c r="B104" i="16"/>
  <c r="A104" i="16"/>
  <c r="H103" i="16"/>
  <c r="C103" i="16"/>
  <c r="B103" i="16"/>
  <c r="A103" i="16"/>
  <c r="H102" i="16"/>
  <c r="C102" i="16"/>
  <c r="B102" i="16"/>
  <c r="A102" i="16"/>
  <c r="H101" i="16"/>
  <c r="C101" i="16"/>
  <c r="B101" i="16"/>
  <c r="A101" i="16"/>
  <c r="H100" i="16"/>
  <c r="C100" i="16"/>
  <c r="B100" i="16"/>
  <c r="A100" i="16"/>
  <c r="H99" i="16"/>
  <c r="C99" i="16"/>
  <c r="B99" i="16"/>
  <c r="A99" i="16"/>
  <c r="H98" i="16"/>
  <c r="C98" i="16"/>
  <c r="B98" i="16"/>
  <c r="A98" i="16"/>
  <c r="H97" i="16"/>
  <c r="C97" i="16"/>
  <c r="B97" i="16"/>
  <c r="A97" i="16"/>
  <c r="H96" i="16"/>
  <c r="C96" i="16"/>
  <c r="B96" i="16"/>
  <c r="A96" i="16"/>
  <c r="H95" i="16"/>
  <c r="C95" i="16"/>
  <c r="B95" i="16"/>
  <c r="A95" i="16"/>
  <c r="H94" i="16"/>
  <c r="C94" i="16"/>
  <c r="B94" i="16"/>
  <c r="A94" i="16"/>
  <c r="H93" i="16"/>
  <c r="C93" i="16"/>
  <c r="B93" i="16"/>
  <c r="A93" i="16"/>
  <c r="H92" i="16"/>
  <c r="C92" i="16"/>
  <c r="B92" i="16"/>
  <c r="A92" i="16"/>
  <c r="H91" i="16"/>
  <c r="C91" i="16"/>
  <c r="B91" i="16"/>
  <c r="A91" i="16"/>
  <c r="H90" i="16"/>
  <c r="C90" i="16"/>
  <c r="B90" i="16"/>
  <c r="A90" i="16"/>
  <c r="H89" i="16"/>
  <c r="C89" i="16"/>
  <c r="B89" i="16"/>
  <c r="A89" i="16"/>
  <c r="H88" i="16"/>
  <c r="C88" i="16"/>
  <c r="B88" i="16"/>
  <c r="A88" i="16"/>
  <c r="H87" i="16"/>
  <c r="C87" i="16"/>
  <c r="B87" i="16"/>
  <c r="A87" i="16"/>
  <c r="H86" i="16"/>
  <c r="C86" i="16"/>
  <c r="B86" i="16"/>
  <c r="A86" i="16"/>
  <c r="H85" i="16"/>
  <c r="C85" i="16"/>
  <c r="B85" i="16"/>
  <c r="A85" i="16"/>
  <c r="H84" i="16"/>
  <c r="C84" i="16"/>
  <c r="B84" i="16"/>
  <c r="A84" i="16"/>
  <c r="H83" i="16"/>
  <c r="C83" i="16"/>
  <c r="B83" i="16"/>
  <c r="A83" i="16"/>
  <c r="H82" i="16"/>
  <c r="C82" i="16"/>
  <c r="B82" i="16"/>
  <c r="A82" i="16"/>
  <c r="H81" i="16"/>
  <c r="C81" i="16"/>
  <c r="B81" i="16"/>
  <c r="A81" i="16"/>
  <c r="H80" i="16"/>
  <c r="C80" i="16"/>
  <c r="B80" i="16"/>
  <c r="A80" i="16"/>
  <c r="H79" i="16"/>
  <c r="C79" i="16"/>
  <c r="B79" i="16"/>
  <c r="A79" i="16"/>
  <c r="H78" i="16"/>
  <c r="C78" i="16"/>
  <c r="B78" i="16"/>
  <c r="A78" i="16"/>
  <c r="H77" i="16"/>
  <c r="C77" i="16"/>
  <c r="B77" i="16"/>
  <c r="A77" i="16"/>
  <c r="H76" i="16"/>
  <c r="C76" i="16"/>
  <c r="B76" i="16"/>
  <c r="A76" i="16"/>
  <c r="H75" i="16"/>
  <c r="C75" i="16"/>
  <c r="B75" i="16"/>
  <c r="A75" i="16"/>
  <c r="H74" i="16"/>
  <c r="C74" i="16"/>
  <c r="B74" i="16"/>
  <c r="A74" i="16"/>
  <c r="H73" i="16"/>
  <c r="C73" i="16"/>
  <c r="B73" i="16"/>
  <c r="A73" i="16"/>
  <c r="H72" i="16"/>
  <c r="C72" i="16"/>
  <c r="B72" i="16"/>
  <c r="A72" i="16"/>
  <c r="H71" i="16"/>
  <c r="C71" i="16"/>
  <c r="B71" i="16"/>
  <c r="A71" i="16"/>
  <c r="H70" i="16"/>
  <c r="C70" i="16"/>
  <c r="B70" i="16"/>
  <c r="A70" i="16"/>
  <c r="H69" i="16"/>
  <c r="C69" i="16"/>
  <c r="B69" i="16"/>
  <c r="A69" i="16"/>
  <c r="H68" i="16"/>
  <c r="C68" i="16"/>
  <c r="B68" i="16"/>
  <c r="A68" i="16"/>
  <c r="H67" i="16"/>
  <c r="C67" i="16"/>
  <c r="B67" i="16"/>
  <c r="A67" i="16"/>
  <c r="H66" i="16"/>
  <c r="C66" i="16"/>
  <c r="B66" i="16"/>
  <c r="A66" i="16"/>
  <c r="H65" i="16"/>
  <c r="C65" i="16"/>
  <c r="B65" i="16"/>
  <c r="A65" i="16"/>
  <c r="H64" i="16"/>
  <c r="C64" i="16"/>
  <c r="B64" i="16"/>
  <c r="A64" i="16"/>
  <c r="H63" i="16"/>
  <c r="C63" i="16"/>
  <c r="B63" i="16"/>
  <c r="A63" i="16"/>
  <c r="H62" i="16"/>
  <c r="C62" i="16"/>
  <c r="B62" i="16"/>
  <c r="A62" i="16"/>
  <c r="H61" i="16"/>
  <c r="C61" i="16"/>
  <c r="B61" i="16"/>
  <c r="A61" i="16"/>
  <c r="H60" i="16"/>
  <c r="C60" i="16"/>
  <c r="B60" i="16"/>
  <c r="A60" i="16"/>
  <c r="H59" i="16"/>
  <c r="C59" i="16"/>
  <c r="B59" i="16"/>
  <c r="A59" i="16"/>
  <c r="H58" i="16"/>
  <c r="C58" i="16"/>
  <c r="B58" i="16"/>
  <c r="A58" i="16"/>
  <c r="H57" i="16"/>
  <c r="C57" i="16"/>
  <c r="B57" i="16"/>
  <c r="A57" i="16"/>
  <c r="H56" i="16"/>
  <c r="C56" i="16"/>
  <c r="B56" i="16"/>
  <c r="A56" i="16"/>
  <c r="H55" i="16"/>
  <c r="C55" i="16"/>
  <c r="B55" i="16"/>
  <c r="A55" i="16"/>
  <c r="H54" i="16"/>
  <c r="C54" i="16"/>
  <c r="B54" i="16"/>
  <c r="A54" i="16"/>
  <c r="H53" i="16"/>
  <c r="C53" i="16"/>
  <c r="B53" i="16"/>
  <c r="A53" i="16"/>
  <c r="H52" i="16"/>
  <c r="C52" i="16"/>
  <c r="B52" i="16"/>
  <c r="A52" i="16"/>
  <c r="H51" i="16"/>
  <c r="C51" i="16"/>
  <c r="B51" i="16"/>
  <c r="A51" i="16"/>
  <c r="H50" i="16"/>
  <c r="C50" i="16"/>
  <c r="B50" i="16"/>
  <c r="A50" i="16"/>
  <c r="H49" i="16"/>
  <c r="C49" i="16"/>
  <c r="B49" i="16"/>
  <c r="A49" i="16"/>
  <c r="H48" i="16"/>
  <c r="C48" i="16"/>
  <c r="B48" i="16"/>
  <c r="A48" i="16"/>
  <c r="H47" i="16"/>
  <c r="C47" i="16"/>
  <c r="B47" i="16"/>
  <c r="A47" i="16"/>
  <c r="H46" i="16"/>
  <c r="C46" i="16"/>
  <c r="B46" i="16"/>
  <c r="A46" i="16"/>
  <c r="H45" i="16"/>
  <c r="C45" i="16"/>
  <c r="B45" i="16"/>
  <c r="A45" i="16"/>
  <c r="H44" i="16"/>
  <c r="C44" i="16"/>
  <c r="B44" i="16"/>
  <c r="A44" i="16"/>
  <c r="H43" i="16"/>
  <c r="C43" i="16"/>
  <c r="B43" i="16"/>
  <c r="A43" i="16"/>
  <c r="H42" i="16"/>
  <c r="C42" i="16"/>
  <c r="B42" i="16"/>
  <c r="A42" i="16"/>
  <c r="H41" i="16"/>
  <c r="C41" i="16"/>
  <c r="B41" i="16"/>
  <c r="A41" i="16"/>
  <c r="H40" i="16"/>
  <c r="C40" i="16"/>
  <c r="B40" i="16"/>
  <c r="A40" i="16"/>
  <c r="H39" i="16"/>
  <c r="C39" i="16"/>
  <c r="B39" i="16"/>
  <c r="A39" i="16"/>
  <c r="H38" i="16"/>
  <c r="C38" i="16"/>
  <c r="B38" i="16"/>
  <c r="A38" i="16"/>
  <c r="H37" i="16"/>
  <c r="C37" i="16"/>
  <c r="B37" i="16"/>
  <c r="A37" i="16"/>
  <c r="H36" i="16"/>
  <c r="C36" i="16"/>
  <c r="B36" i="16"/>
  <c r="A36" i="16"/>
  <c r="H35" i="16"/>
  <c r="C35" i="16"/>
  <c r="B35" i="16"/>
  <c r="A35" i="16"/>
  <c r="H34" i="16"/>
  <c r="C34" i="16"/>
  <c r="B34" i="16"/>
  <c r="A34" i="16"/>
  <c r="H33" i="16"/>
  <c r="C33" i="16"/>
  <c r="B33" i="16"/>
  <c r="A33" i="16"/>
  <c r="H32" i="16"/>
  <c r="C32" i="16"/>
  <c r="B32" i="16"/>
  <c r="A32" i="16"/>
  <c r="H31" i="16"/>
  <c r="C31" i="16"/>
  <c r="B31" i="16"/>
  <c r="A31" i="16"/>
  <c r="H30" i="16"/>
  <c r="C30" i="16"/>
  <c r="B30" i="16"/>
  <c r="A30" i="16"/>
  <c r="H29" i="16"/>
  <c r="C29" i="16"/>
  <c r="B29" i="16"/>
  <c r="A29" i="16"/>
  <c r="H28" i="16"/>
  <c r="C28" i="16"/>
  <c r="B28" i="16"/>
  <c r="A28" i="16"/>
  <c r="H27" i="16"/>
  <c r="C27" i="16"/>
  <c r="B27" i="16"/>
  <c r="A27" i="16"/>
  <c r="H26" i="16"/>
  <c r="C26" i="16"/>
  <c r="B26" i="16"/>
  <c r="A26" i="16"/>
  <c r="H25" i="16"/>
  <c r="C25" i="16"/>
  <c r="B25" i="16"/>
  <c r="A25" i="16"/>
  <c r="H24" i="16"/>
  <c r="C24" i="16"/>
  <c r="B24" i="16"/>
  <c r="A24" i="16"/>
  <c r="H23" i="16"/>
  <c r="C23" i="16"/>
  <c r="B23" i="16"/>
  <c r="A23" i="16"/>
  <c r="H22" i="16"/>
  <c r="C22" i="16"/>
  <c r="B22" i="16"/>
  <c r="A22" i="16"/>
  <c r="H21" i="16"/>
  <c r="C21" i="16"/>
  <c r="B21" i="16"/>
  <c r="A21" i="16"/>
  <c r="H20" i="16"/>
  <c r="C20" i="16"/>
  <c r="B20" i="16"/>
  <c r="A20" i="16"/>
  <c r="H19" i="16"/>
  <c r="C19" i="16"/>
  <c r="B19" i="16"/>
  <c r="A19" i="16"/>
  <c r="A16" i="16"/>
  <c r="A15" i="16"/>
  <c r="A14" i="16"/>
  <c r="A13" i="16"/>
  <c r="A12" i="16"/>
  <c r="A11" i="16"/>
  <c r="A10" i="16"/>
  <c r="A9" i="16"/>
  <c r="A8" i="16"/>
  <c r="A7" i="16"/>
  <c r="A6" i="16"/>
  <c r="A5" i="16"/>
  <c r="M4" i="16"/>
  <c r="L4" i="16"/>
  <c r="K4" i="16"/>
  <c r="J4" i="16"/>
  <c r="I4" i="16"/>
  <c r="H4" i="16"/>
  <c r="G4" i="16"/>
  <c r="F4" i="16"/>
  <c r="E4" i="16"/>
  <c r="D4" i="16"/>
  <c r="C4" i="16"/>
  <c r="B4" i="16"/>
  <c r="A83" i="15"/>
  <c r="A82" i="15"/>
  <c r="A81" i="15"/>
  <c r="A80" i="15"/>
  <c r="A79" i="15"/>
  <c r="A78" i="15"/>
  <c r="A77" i="15"/>
  <c r="A76" i="15"/>
  <c r="A75" i="15"/>
  <c r="A74" i="15"/>
  <c r="A73" i="15"/>
  <c r="A72" i="15"/>
  <c r="A69" i="15"/>
  <c r="A68" i="15"/>
  <c r="A67" i="15"/>
  <c r="A66" i="15"/>
  <c r="A65" i="15"/>
  <c r="A64" i="15"/>
  <c r="A63" i="15"/>
  <c r="A62" i="15"/>
  <c r="A61" i="15"/>
  <c r="A60" i="15"/>
  <c r="A59" i="15"/>
  <c r="A58" i="15"/>
  <c r="A55" i="15"/>
  <c r="A54" i="15"/>
  <c r="A53" i="15"/>
  <c r="A52" i="15"/>
  <c r="A51" i="15"/>
  <c r="A50" i="15"/>
  <c r="A49" i="15"/>
  <c r="A48" i="15"/>
  <c r="A47" i="15"/>
  <c r="A46" i="15"/>
  <c r="A45" i="15"/>
  <c r="A44" i="15"/>
  <c r="A41" i="15"/>
  <c r="A40" i="15"/>
  <c r="A39" i="15"/>
  <c r="A38" i="15"/>
  <c r="A37" i="15"/>
  <c r="A36" i="15"/>
  <c r="A35" i="15"/>
  <c r="A34" i="15"/>
  <c r="A33" i="15"/>
  <c r="A32" i="15"/>
  <c r="A31" i="15"/>
  <c r="A30" i="15"/>
  <c r="A27" i="15"/>
  <c r="A26" i="15"/>
  <c r="A25" i="15"/>
  <c r="A24" i="15"/>
  <c r="A23" i="15"/>
  <c r="A22" i="15"/>
  <c r="A21" i="15"/>
  <c r="A20" i="15"/>
  <c r="A19" i="15"/>
  <c r="A18" i="15"/>
  <c r="A17" i="15"/>
  <c r="A16" i="15"/>
  <c r="A13" i="15"/>
  <c r="A12" i="15"/>
  <c r="A11" i="15"/>
  <c r="A10" i="15"/>
  <c r="A9" i="15"/>
  <c r="A8" i="15"/>
  <c r="A7" i="15"/>
  <c r="A6" i="15"/>
  <c r="A5" i="15"/>
  <c r="A4" i="15"/>
  <c r="A3" i="15"/>
  <c r="A2" i="15"/>
  <c r="A83" i="14"/>
  <c r="A82" i="14"/>
  <c r="A81" i="14"/>
  <c r="A80" i="14"/>
  <c r="A79" i="14"/>
  <c r="A78" i="14"/>
  <c r="A77" i="14"/>
  <c r="A76" i="14"/>
  <c r="A75" i="14"/>
  <c r="A74" i="14"/>
  <c r="A73" i="14"/>
  <c r="A72" i="14"/>
  <c r="A69" i="14"/>
  <c r="A68" i="14"/>
  <c r="A67" i="14"/>
  <c r="A66" i="14"/>
  <c r="A65" i="14"/>
  <c r="A64" i="14"/>
  <c r="A63" i="14"/>
  <c r="A62" i="14"/>
  <c r="A61" i="14"/>
  <c r="A60" i="14"/>
  <c r="A59" i="14"/>
  <c r="A58" i="14"/>
  <c r="A55" i="14"/>
  <c r="A54" i="14"/>
  <c r="A53" i="14"/>
  <c r="A52" i="14"/>
  <c r="A51" i="14"/>
  <c r="A50" i="14"/>
  <c r="A49" i="14"/>
  <c r="A48" i="14"/>
  <c r="A47" i="14"/>
  <c r="A46" i="14"/>
  <c r="A45" i="14"/>
  <c r="A44" i="14"/>
  <c r="A41" i="14"/>
  <c r="A40" i="14"/>
  <c r="A39" i="14"/>
  <c r="A38" i="14"/>
  <c r="A37" i="14"/>
  <c r="A36" i="14"/>
  <c r="A35" i="14"/>
  <c r="A34" i="14"/>
  <c r="A33" i="14"/>
  <c r="A32" i="14"/>
  <c r="A31" i="14"/>
  <c r="A30" i="14"/>
  <c r="A27" i="14"/>
  <c r="A26" i="14"/>
  <c r="A25" i="14"/>
  <c r="A24" i="14"/>
  <c r="A23" i="14"/>
  <c r="A22" i="14"/>
  <c r="A21" i="14"/>
  <c r="A20" i="14"/>
  <c r="A19" i="14"/>
  <c r="A18" i="14"/>
  <c r="A17" i="14"/>
  <c r="A16" i="14"/>
  <c r="A13" i="14"/>
  <c r="A12" i="14"/>
  <c r="A11" i="14"/>
  <c r="A10" i="14"/>
  <c r="A9" i="14"/>
  <c r="A8" i="14"/>
  <c r="A7" i="14"/>
  <c r="A6" i="14"/>
  <c r="A5" i="14"/>
  <c r="A4" i="14"/>
  <c r="A3" i="14"/>
  <c r="A2" i="14"/>
  <c r="A1161" i="12"/>
  <c r="A1160" i="12"/>
  <c r="A1159" i="12"/>
  <c r="A1158" i="12"/>
  <c r="A1157" i="12"/>
  <c r="A1156" i="12"/>
  <c r="A1155" i="12"/>
  <c r="A1154" i="12"/>
  <c r="A1153" i="12"/>
  <c r="A1152" i="12"/>
  <c r="A1151" i="12"/>
  <c r="A1150" i="12"/>
  <c r="A1147" i="12"/>
  <c r="A1146" i="12"/>
  <c r="A1145" i="12"/>
  <c r="A1144" i="12"/>
  <c r="A1143" i="12"/>
  <c r="A1142" i="12"/>
  <c r="A1141" i="12"/>
  <c r="A1140" i="12"/>
  <c r="A1139" i="12"/>
  <c r="A1138" i="12"/>
  <c r="A1137" i="12"/>
  <c r="A1136" i="12"/>
  <c r="A1133" i="12"/>
  <c r="A1132" i="12"/>
  <c r="A1131" i="12"/>
  <c r="A1130" i="12"/>
  <c r="A1129" i="12"/>
  <c r="A1128" i="12"/>
  <c r="A1127" i="12"/>
  <c r="A1126" i="12"/>
  <c r="A1125" i="12"/>
  <c r="A1124" i="12"/>
  <c r="A1123" i="12"/>
  <c r="A1122" i="12"/>
  <c r="A1119" i="12"/>
  <c r="A1118" i="12"/>
  <c r="A1117" i="12"/>
  <c r="A1116" i="12"/>
  <c r="A1115" i="12"/>
  <c r="A1114" i="12"/>
  <c r="A1113" i="12"/>
  <c r="A1112" i="12"/>
  <c r="A1111" i="12"/>
  <c r="A1110" i="12"/>
  <c r="A1109" i="12"/>
  <c r="A1108" i="12"/>
  <c r="A1105" i="12"/>
  <c r="A1104" i="12"/>
  <c r="A1103" i="12"/>
  <c r="A1102" i="12"/>
  <c r="A1101" i="12"/>
  <c r="A1100" i="12"/>
  <c r="A1099" i="12"/>
  <c r="A1098" i="12"/>
  <c r="A1097" i="12"/>
  <c r="A1096" i="12"/>
  <c r="A1095" i="12"/>
  <c r="A1094" i="12"/>
  <c r="A1091" i="12"/>
  <c r="A1090" i="12"/>
  <c r="A1089" i="12"/>
  <c r="A1088" i="12"/>
  <c r="A1087" i="12"/>
  <c r="A1086" i="12"/>
  <c r="A1085" i="12"/>
  <c r="A1084" i="12"/>
  <c r="A1083" i="12"/>
  <c r="A1082" i="12"/>
  <c r="A1081" i="12"/>
  <c r="A1080" i="12"/>
  <c r="A1077" i="12"/>
  <c r="A1076" i="12"/>
  <c r="A1075" i="12"/>
  <c r="A1074" i="12"/>
  <c r="A1073" i="12"/>
  <c r="A1072" i="12"/>
  <c r="A1071" i="12"/>
  <c r="A1070" i="12"/>
  <c r="A1069" i="12"/>
  <c r="A1068" i="12"/>
  <c r="A1067" i="12"/>
  <c r="A1066" i="12"/>
  <c r="A1063" i="12"/>
  <c r="A1062" i="12"/>
  <c r="A1061" i="12"/>
  <c r="A1060" i="12"/>
  <c r="A1059" i="12"/>
  <c r="A1058" i="12"/>
  <c r="A1057" i="12"/>
  <c r="A1056" i="12"/>
  <c r="A1055" i="12"/>
  <c r="A1054" i="12"/>
  <c r="A1053" i="12"/>
  <c r="A1052" i="12"/>
  <c r="A1049" i="12"/>
  <c r="A1048" i="12"/>
  <c r="A1047" i="12"/>
  <c r="A1046" i="12"/>
  <c r="A1045" i="12"/>
  <c r="A1044" i="12"/>
  <c r="A1043" i="12"/>
  <c r="A1042" i="12"/>
  <c r="A1041" i="12"/>
  <c r="A1040" i="12"/>
  <c r="A1039" i="12"/>
  <c r="A1038" i="12"/>
  <c r="A1035" i="12"/>
  <c r="A1034" i="12"/>
  <c r="A1033" i="12"/>
  <c r="A1032" i="12"/>
  <c r="A1031" i="12"/>
  <c r="A1030" i="12"/>
  <c r="A1029" i="12"/>
  <c r="A1028" i="12"/>
  <c r="A1027" i="12"/>
  <c r="A1026" i="12"/>
  <c r="A1025" i="12"/>
  <c r="A1024" i="12"/>
  <c r="A1021" i="12"/>
  <c r="A1020" i="12"/>
  <c r="A1019" i="12"/>
  <c r="A1018" i="12"/>
  <c r="A1017" i="12"/>
  <c r="A1016" i="12"/>
  <c r="A1015" i="12"/>
  <c r="A1014" i="12"/>
  <c r="A1013" i="12"/>
  <c r="A1012" i="12"/>
  <c r="A1011" i="12"/>
  <c r="A1010" i="12"/>
  <c r="A1007" i="12"/>
  <c r="A1006" i="12"/>
  <c r="A1005" i="12"/>
  <c r="A1004" i="12"/>
  <c r="A1003" i="12"/>
  <c r="A1002" i="12"/>
  <c r="A1001" i="12"/>
  <c r="A1000" i="12"/>
  <c r="A999" i="12"/>
  <c r="A998" i="12"/>
  <c r="A997" i="12"/>
  <c r="A996" i="12"/>
  <c r="A993" i="12"/>
  <c r="A992" i="12"/>
  <c r="A991" i="12"/>
  <c r="A990" i="12"/>
  <c r="A989" i="12"/>
  <c r="A988" i="12"/>
  <c r="A987" i="12"/>
  <c r="A986" i="12"/>
  <c r="A985" i="12"/>
  <c r="A984" i="12"/>
  <c r="A983" i="12"/>
  <c r="A982" i="12"/>
  <c r="A979" i="12"/>
  <c r="A978" i="12"/>
  <c r="A977" i="12"/>
  <c r="A976" i="12"/>
  <c r="A975" i="12"/>
  <c r="A974" i="12"/>
  <c r="A973" i="12"/>
  <c r="A972" i="12"/>
  <c r="A971" i="12"/>
  <c r="A970" i="12"/>
  <c r="A969" i="12"/>
  <c r="A968" i="12"/>
  <c r="A965" i="12"/>
  <c r="A964" i="12"/>
  <c r="A963" i="12"/>
  <c r="A962" i="12"/>
  <c r="A961" i="12"/>
  <c r="A960" i="12"/>
  <c r="A959" i="12"/>
  <c r="A958" i="12"/>
  <c r="A957" i="12"/>
  <c r="A956" i="12"/>
  <c r="A955" i="12"/>
  <c r="A954" i="12"/>
  <c r="A951" i="12"/>
  <c r="A950" i="12"/>
  <c r="A949" i="12"/>
  <c r="A948" i="12"/>
  <c r="A947" i="12"/>
  <c r="A946" i="12"/>
  <c r="A945" i="12"/>
  <c r="A944" i="12"/>
  <c r="A943" i="12"/>
  <c r="A942" i="12"/>
  <c r="A941" i="12"/>
  <c r="A940" i="12"/>
  <c r="A937" i="12"/>
  <c r="A936" i="12"/>
  <c r="A935" i="12"/>
  <c r="A934" i="12"/>
  <c r="A933" i="12"/>
  <c r="A932" i="12"/>
  <c r="A931" i="12"/>
  <c r="A930" i="12"/>
  <c r="A929" i="12"/>
  <c r="A928" i="12"/>
  <c r="A927" i="12"/>
  <c r="A926" i="12"/>
  <c r="A923" i="12"/>
  <c r="A922" i="12"/>
  <c r="A921" i="12"/>
  <c r="A920" i="12"/>
  <c r="A919" i="12"/>
  <c r="A918" i="12"/>
  <c r="A917" i="12"/>
  <c r="A916" i="12"/>
  <c r="A915" i="12"/>
  <c r="A914" i="12"/>
  <c r="A913" i="12"/>
  <c r="A912" i="12"/>
  <c r="A909" i="12"/>
  <c r="A908" i="12"/>
  <c r="A907" i="12"/>
  <c r="A906" i="12"/>
  <c r="A905" i="12"/>
  <c r="A904" i="12"/>
  <c r="A903" i="12"/>
  <c r="A902" i="12"/>
  <c r="A901" i="12"/>
  <c r="A900" i="12"/>
  <c r="A899" i="12"/>
  <c r="A898" i="12"/>
  <c r="A895" i="12"/>
  <c r="A894" i="12"/>
  <c r="A893" i="12"/>
  <c r="A892" i="12"/>
  <c r="A891" i="12"/>
  <c r="A890" i="12"/>
  <c r="A889" i="12"/>
  <c r="A888" i="12"/>
  <c r="A887" i="12"/>
  <c r="A886" i="12"/>
  <c r="A885" i="12"/>
  <c r="A884" i="12"/>
  <c r="A881" i="12"/>
  <c r="A880" i="12"/>
  <c r="A879" i="12"/>
  <c r="A878" i="12"/>
  <c r="A877" i="12"/>
  <c r="A876" i="12"/>
  <c r="A875" i="12"/>
  <c r="A874" i="12"/>
  <c r="A873" i="12"/>
  <c r="A872" i="12"/>
  <c r="A871" i="12"/>
  <c r="A870" i="12"/>
  <c r="A867" i="12"/>
  <c r="A866" i="12"/>
  <c r="A865" i="12"/>
  <c r="A864" i="12"/>
  <c r="A863" i="12"/>
  <c r="A862" i="12"/>
  <c r="A861" i="12"/>
  <c r="A860" i="12"/>
  <c r="A859" i="12"/>
  <c r="A858" i="12"/>
  <c r="A857" i="12"/>
  <c r="A856" i="12"/>
  <c r="A853" i="12"/>
  <c r="A852" i="12"/>
  <c r="A851" i="12"/>
  <c r="A850" i="12"/>
  <c r="A849" i="12"/>
  <c r="A848" i="12"/>
  <c r="A847" i="12"/>
  <c r="A846" i="12"/>
  <c r="A845" i="12"/>
  <c r="A844" i="12"/>
  <c r="A843" i="12"/>
  <c r="A842" i="12"/>
  <c r="A839" i="12"/>
  <c r="A838" i="12"/>
  <c r="A837" i="12"/>
  <c r="A836" i="12"/>
  <c r="A835" i="12"/>
  <c r="A834" i="12"/>
  <c r="A833" i="12"/>
  <c r="A832" i="12"/>
  <c r="A831" i="12"/>
  <c r="A830" i="12"/>
  <c r="A829" i="12"/>
  <c r="A828" i="12"/>
  <c r="A825" i="12"/>
  <c r="A824" i="12"/>
  <c r="A823" i="12"/>
  <c r="A822" i="12"/>
  <c r="A821" i="12"/>
  <c r="A820" i="12"/>
  <c r="A819" i="12"/>
  <c r="A818" i="12"/>
  <c r="A817" i="12"/>
  <c r="A816" i="12"/>
  <c r="A815" i="12"/>
  <c r="A814" i="12"/>
  <c r="A811" i="12"/>
  <c r="A810" i="12"/>
  <c r="A809" i="12"/>
  <c r="A808" i="12"/>
  <c r="A807" i="12"/>
  <c r="A806" i="12"/>
  <c r="A805" i="12"/>
  <c r="A804" i="12"/>
  <c r="A803" i="12"/>
  <c r="A802" i="12"/>
  <c r="A801" i="12"/>
  <c r="A800" i="12"/>
  <c r="A797" i="12"/>
  <c r="A796" i="12"/>
  <c r="A795" i="12"/>
  <c r="A794" i="12"/>
  <c r="A793" i="12"/>
  <c r="A792" i="12"/>
  <c r="A791" i="12"/>
  <c r="A790" i="12"/>
  <c r="A789" i="12"/>
  <c r="A788" i="12"/>
  <c r="A787" i="12"/>
  <c r="A786" i="12"/>
  <c r="A783" i="12"/>
  <c r="A782" i="12"/>
  <c r="A781" i="12"/>
  <c r="A780" i="12"/>
  <c r="A779" i="12"/>
  <c r="A778" i="12"/>
  <c r="A777" i="12"/>
  <c r="A776" i="12"/>
  <c r="A775" i="12"/>
  <c r="A774" i="12"/>
  <c r="A773" i="12"/>
  <c r="A772" i="12"/>
  <c r="A769" i="12"/>
  <c r="A768" i="12"/>
  <c r="A767" i="12"/>
  <c r="A766" i="12"/>
  <c r="A765" i="12"/>
  <c r="A764" i="12"/>
  <c r="A763" i="12"/>
  <c r="A762" i="12"/>
  <c r="A761" i="12"/>
  <c r="A760" i="12"/>
  <c r="A759" i="12"/>
  <c r="A758" i="12"/>
  <c r="A755" i="12"/>
  <c r="A754" i="12"/>
  <c r="A753" i="12"/>
  <c r="A752" i="12"/>
  <c r="A751" i="12"/>
  <c r="A750" i="12"/>
  <c r="A749" i="12"/>
  <c r="A748" i="12"/>
  <c r="A747" i="12"/>
  <c r="A746" i="12"/>
  <c r="A745" i="12"/>
  <c r="A744" i="12"/>
  <c r="A741" i="12"/>
  <c r="A740" i="12"/>
  <c r="A739" i="12"/>
  <c r="A738" i="12"/>
  <c r="A737" i="12"/>
  <c r="A736" i="12"/>
  <c r="A735" i="12"/>
  <c r="A734" i="12"/>
  <c r="A733" i="12"/>
  <c r="A732" i="12"/>
  <c r="A731" i="12"/>
  <c r="A730" i="12"/>
  <c r="A727" i="12"/>
  <c r="A726" i="12"/>
  <c r="A725" i="12"/>
  <c r="A724" i="12"/>
  <c r="A723" i="12"/>
  <c r="A722" i="12"/>
  <c r="A721" i="12"/>
  <c r="A720" i="12"/>
  <c r="A719" i="12"/>
  <c r="A718" i="12"/>
  <c r="A717" i="12"/>
  <c r="A716" i="12"/>
  <c r="A713" i="12"/>
  <c r="A712" i="12"/>
  <c r="A711" i="12"/>
  <c r="A710" i="12"/>
  <c r="A709" i="12"/>
  <c r="A708" i="12"/>
  <c r="A707" i="12"/>
  <c r="A706" i="12"/>
  <c r="A705" i="12"/>
  <c r="A704" i="12"/>
  <c r="A703" i="12"/>
  <c r="A702" i="12"/>
  <c r="A699" i="12"/>
  <c r="A698" i="12"/>
  <c r="A697" i="12"/>
  <c r="A696" i="12"/>
  <c r="A695" i="12"/>
  <c r="A694" i="12"/>
  <c r="A693" i="12"/>
  <c r="A692" i="12"/>
  <c r="A691" i="12"/>
  <c r="A690" i="12"/>
  <c r="A689" i="12"/>
  <c r="A688" i="12"/>
  <c r="A685" i="12"/>
  <c r="A684" i="12"/>
  <c r="A683" i="12"/>
  <c r="A682" i="12"/>
  <c r="A681" i="12"/>
  <c r="A680" i="12"/>
  <c r="A679" i="12"/>
  <c r="A678" i="12"/>
  <c r="A677" i="12"/>
  <c r="A676" i="12"/>
  <c r="A675" i="12"/>
  <c r="A674" i="12"/>
  <c r="A671" i="12"/>
  <c r="A670" i="12"/>
  <c r="A669" i="12"/>
  <c r="A668" i="12"/>
  <c r="A667" i="12"/>
  <c r="A666" i="12"/>
  <c r="A665" i="12"/>
  <c r="A664" i="12"/>
  <c r="A663" i="12"/>
  <c r="A662" i="12"/>
  <c r="A661" i="12"/>
  <c r="A660" i="12"/>
  <c r="A657" i="12"/>
  <c r="A656" i="12"/>
  <c r="A655" i="12"/>
  <c r="A654" i="12"/>
  <c r="A653" i="12"/>
  <c r="A652" i="12"/>
  <c r="A651" i="12"/>
  <c r="A650" i="12"/>
  <c r="A649" i="12"/>
  <c r="A648" i="12"/>
  <c r="A647" i="12"/>
  <c r="A646" i="12"/>
  <c r="A643" i="12"/>
  <c r="A642" i="12"/>
  <c r="A641" i="12"/>
  <c r="A640" i="12"/>
  <c r="A639" i="12"/>
  <c r="A638" i="12"/>
  <c r="A637" i="12"/>
  <c r="A636" i="12"/>
  <c r="A635" i="12"/>
  <c r="A634" i="12"/>
  <c r="A633" i="12"/>
  <c r="A632" i="12"/>
  <c r="A629" i="12"/>
  <c r="A628" i="12"/>
  <c r="A627" i="12"/>
  <c r="A626" i="12"/>
  <c r="A625" i="12"/>
  <c r="A624" i="12"/>
  <c r="A623" i="12"/>
  <c r="A622" i="12"/>
  <c r="A621" i="12"/>
  <c r="A620" i="12"/>
  <c r="A619" i="12"/>
  <c r="A618" i="12"/>
  <c r="A615" i="12"/>
  <c r="A614" i="12"/>
  <c r="A613" i="12"/>
  <c r="A612" i="12"/>
  <c r="A611" i="12"/>
  <c r="A610" i="12"/>
  <c r="A609" i="12"/>
  <c r="A608" i="12"/>
  <c r="A607" i="12"/>
  <c r="A606" i="12"/>
  <c r="A605" i="12"/>
  <c r="A604" i="12"/>
  <c r="A601" i="12"/>
  <c r="A600" i="12"/>
  <c r="A599" i="12"/>
  <c r="A598" i="12"/>
  <c r="A597" i="12"/>
  <c r="A596" i="12"/>
  <c r="A595" i="12"/>
  <c r="A594" i="12"/>
  <c r="A593" i="12"/>
  <c r="A592" i="12"/>
  <c r="A591" i="12"/>
  <c r="A590" i="12"/>
  <c r="A587" i="12"/>
  <c r="A586" i="12"/>
  <c r="A585" i="12"/>
  <c r="A584" i="12"/>
  <c r="A583" i="12"/>
  <c r="A582" i="12"/>
  <c r="A581" i="12"/>
  <c r="A580" i="12"/>
  <c r="A579" i="12"/>
  <c r="A578" i="12"/>
  <c r="A577" i="12"/>
  <c r="A576" i="12"/>
  <c r="A573" i="12"/>
  <c r="A572" i="12"/>
  <c r="A571" i="12"/>
  <c r="A570" i="12"/>
  <c r="A569" i="12"/>
  <c r="A568" i="12"/>
  <c r="A567" i="12"/>
  <c r="A566" i="12"/>
  <c r="A565" i="12"/>
  <c r="A564" i="12"/>
  <c r="A563" i="12"/>
  <c r="A562" i="12"/>
  <c r="A559" i="12"/>
  <c r="A558" i="12"/>
  <c r="A557" i="12"/>
  <c r="A556" i="12"/>
  <c r="A555" i="12"/>
  <c r="A554" i="12"/>
  <c r="A553" i="12"/>
  <c r="A552" i="12"/>
  <c r="A551" i="12"/>
  <c r="A550" i="12"/>
  <c r="A549" i="12"/>
  <c r="A548" i="12"/>
  <c r="A545" i="12"/>
  <c r="A544" i="12"/>
  <c r="A543" i="12"/>
  <c r="A542" i="12"/>
  <c r="A541" i="12"/>
  <c r="A540" i="12"/>
  <c r="A539" i="12"/>
  <c r="A538" i="12"/>
  <c r="A537" i="12"/>
  <c r="A536" i="12"/>
  <c r="A535" i="12"/>
  <c r="A534" i="12"/>
  <c r="A531" i="12"/>
  <c r="A530" i="12"/>
  <c r="A529" i="12"/>
  <c r="A528" i="12"/>
  <c r="A527" i="12"/>
  <c r="A526" i="12"/>
  <c r="A525" i="12"/>
  <c r="A524" i="12"/>
  <c r="A523" i="12"/>
  <c r="A522" i="12"/>
  <c r="A521" i="12"/>
  <c r="A520" i="12"/>
  <c r="A517" i="12"/>
  <c r="A516" i="12"/>
  <c r="A515" i="12"/>
  <c r="A514" i="12"/>
  <c r="A513" i="12"/>
  <c r="A512" i="12"/>
  <c r="A511" i="12"/>
  <c r="A510" i="12"/>
  <c r="A509" i="12"/>
  <c r="A508" i="12"/>
  <c r="A507" i="12"/>
  <c r="A506" i="12"/>
  <c r="A503" i="12"/>
  <c r="A502" i="12"/>
  <c r="A501" i="12"/>
  <c r="A500" i="12"/>
  <c r="A499" i="12"/>
  <c r="A498" i="12"/>
  <c r="A497" i="12"/>
  <c r="A496" i="12"/>
  <c r="A495" i="12"/>
  <c r="A494" i="12"/>
  <c r="A493" i="12"/>
  <c r="A492" i="12"/>
  <c r="A489" i="12"/>
  <c r="A488" i="12"/>
  <c r="A487" i="12"/>
  <c r="A486" i="12"/>
  <c r="A485" i="12"/>
  <c r="A484" i="12"/>
  <c r="A483" i="12"/>
  <c r="A482" i="12"/>
  <c r="A481" i="12"/>
  <c r="A480" i="12"/>
  <c r="A479" i="12"/>
  <c r="A478" i="12"/>
  <c r="A475" i="12"/>
  <c r="A474" i="12"/>
  <c r="A473" i="12"/>
  <c r="A472" i="12"/>
  <c r="A471" i="12"/>
  <c r="A470" i="12"/>
  <c r="A469" i="12"/>
  <c r="A468" i="12"/>
  <c r="A467" i="12"/>
  <c r="A466" i="12"/>
  <c r="A465" i="12"/>
  <c r="A464" i="12"/>
  <c r="A461" i="12"/>
  <c r="A460" i="12"/>
  <c r="A459" i="12"/>
  <c r="A458" i="12"/>
  <c r="A457" i="12"/>
  <c r="A456" i="12"/>
  <c r="A455" i="12"/>
  <c r="A454" i="12"/>
  <c r="A453" i="12"/>
  <c r="A452" i="12"/>
  <c r="A451" i="12"/>
  <c r="A450" i="12"/>
  <c r="A447" i="12"/>
  <c r="A446" i="12"/>
  <c r="A445" i="12"/>
  <c r="A444" i="12"/>
  <c r="A443" i="12"/>
  <c r="A442" i="12"/>
  <c r="A441" i="12"/>
  <c r="A440" i="12"/>
  <c r="A439" i="12"/>
  <c r="A438" i="12"/>
  <c r="A437" i="12"/>
  <c r="A436" i="12"/>
  <c r="A433" i="12"/>
  <c r="A432" i="12"/>
  <c r="A431" i="12"/>
  <c r="A430" i="12"/>
  <c r="A429" i="12"/>
  <c r="A428" i="12"/>
  <c r="A427" i="12"/>
  <c r="A426" i="12"/>
  <c r="A425" i="12"/>
  <c r="A424" i="12"/>
  <c r="A423" i="12"/>
  <c r="A422" i="12"/>
  <c r="A419" i="12"/>
  <c r="A418" i="12"/>
  <c r="A417" i="12"/>
  <c r="A416" i="12"/>
  <c r="A415" i="12"/>
  <c r="A414" i="12"/>
  <c r="A413" i="12"/>
  <c r="A412" i="12"/>
  <c r="A411" i="12"/>
  <c r="A410" i="12"/>
  <c r="A409" i="12"/>
  <c r="A408" i="12"/>
  <c r="A405" i="12"/>
  <c r="A404" i="12"/>
  <c r="A403" i="12"/>
  <c r="A402" i="12"/>
  <c r="A401" i="12"/>
  <c r="A400" i="12"/>
  <c r="A399" i="12"/>
  <c r="A398" i="12"/>
  <c r="A397" i="12"/>
  <c r="A396" i="12"/>
  <c r="A395" i="12"/>
  <c r="A394" i="12"/>
  <c r="A391" i="12"/>
  <c r="A390" i="12"/>
  <c r="A389" i="12"/>
  <c r="A388" i="12"/>
  <c r="A387" i="12"/>
  <c r="A386" i="12"/>
  <c r="A385" i="12"/>
  <c r="A384" i="12"/>
  <c r="A383" i="12"/>
  <c r="A382" i="12"/>
  <c r="A381" i="12"/>
  <c r="A380" i="12"/>
  <c r="A377" i="12"/>
  <c r="A376" i="12"/>
  <c r="A375" i="12"/>
  <c r="A374" i="12"/>
  <c r="A373" i="12"/>
  <c r="A372" i="12"/>
  <c r="A371" i="12"/>
  <c r="A370" i="12"/>
  <c r="A369" i="12"/>
  <c r="A368" i="12"/>
  <c r="A367" i="12"/>
  <c r="A366" i="12"/>
  <c r="A363" i="12"/>
  <c r="A362" i="12"/>
  <c r="A361" i="12"/>
  <c r="A360" i="12"/>
  <c r="A359" i="12"/>
  <c r="A358" i="12"/>
  <c r="A357" i="12"/>
  <c r="A356" i="12"/>
  <c r="A355" i="12"/>
  <c r="A354" i="12"/>
  <c r="A353" i="12"/>
  <c r="A352" i="12"/>
  <c r="A349" i="12"/>
  <c r="A348" i="12"/>
  <c r="A347" i="12"/>
  <c r="A346" i="12"/>
  <c r="A345" i="12"/>
  <c r="A344" i="12"/>
  <c r="A343" i="12"/>
  <c r="A342" i="12"/>
  <c r="A341" i="12"/>
  <c r="A340" i="12"/>
  <c r="A339" i="12"/>
  <c r="A338" i="12"/>
  <c r="A335" i="12"/>
  <c r="A334" i="12"/>
  <c r="A333" i="12"/>
  <c r="A332" i="12"/>
  <c r="A331" i="12"/>
  <c r="A330" i="12"/>
  <c r="A329" i="12"/>
  <c r="A328" i="12"/>
  <c r="A327" i="12"/>
  <c r="A326" i="12"/>
  <c r="A325" i="12"/>
  <c r="A324" i="12"/>
  <c r="A321" i="12"/>
  <c r="A320" i="12"/>
  <c r="A319" i="12"/>
  <c r="A318" i="12"/>
  <c r="A317" i="12"/>
  <c r="A316" i="12"/>
  <c r="A315" i="12"/>
  <c r="A314" i="12"/>
  <c r="A313" i="12"/>
  <c r="A312" i="12"/>
  <c r="A311" i="12"/>
  <c r="A310" i="12"/>
  <c r="A307" i="12"/>
  <c r="A306" i="12"/>
  <c r="A305" i="12"/>
  <c r="A304" i="12"/>
  <c r="A303" i="12"/>
  <c r="A302" i="12"/>
  <c r="A301" i="12"/>
  <c r="A300" i="12"/>
  <c r="A299" i="12"/>
  <c r="A298" i="12"/>
  <c r="A297" i="12"/>
  <c r="A296" i="12"/>
  <c r="A293" i="12"/>
  <c r="A292" i="12"/>
  <c r="A291" i="12"/>
  <c r="A290" i="12"/>
  <c r="A289" i="12"/>
  <c r="A288" i="12"/>
  <c r="A287" i="12"/>
  <c r="A286" i="12"/>
  <c r="A285" i="12"/>
  <c r="A284" i="12"/>
  <c r="A283" i="12"/>
  <c r="A282" i="12"/>
  <c r="A279" i="12"/>
  <c r="A278" i="12"/>
  <c r="A277" i="12"/>
  <c r="A276" i="12"/>
  <c r="A275" i="12"/>
  <c r="A274" i="12"/>
  <c r="A273" i="12"/>
  <c r="A272" i="12"/>
  <c r="A271" i="12"/>
  <c r="A270" i="12"/>
  <c r="A269" i="12"/>
  <c r="A268" i="12"/>
  <c r="A265" i="12"/>
  <c r="A264" i="12"/>
  <c r="A263" i="12"/>
  <c r="A262" i="12"/>
  <c r="A261" i="12"/>
  <c r="A260" i="12"/>
  <c r="A259" i="12"/>
  <c r="A258" i="12"/>
  <c r="A257" i="12"/>
  <c r="A256" i="12"/>
  <c r="A255" i="12"/>
  <c r="A254" i="12"/>
  <c r="A251" i="12"/>
  <c r="A250" i="12"/>
  <c r="A249" i="12"/>
  <c r="A248" i="12"/>
  <c r="A247" i="12"/>
  <c r="A246" i="12"/>
  <c r="A245" i="12"/>
  <c r="A244" i="12"/>
  <c r="A243" i="12"/>
  <c r="A242" i="12"/>
  <c r="A241" i="12"/>
  <c r="A240" i="12"/>
  <c r="A237" i="12"/>
  <c r="A236" i="12"/>
  <c r="A235" i="12"/>
  <c r="A234" i="12"/>
  <c r="A233" i="12"/>
  <c r="A232" i="12"/>
  <c r="A231" i="12"/>
  <c r="A230" i="12"/>
  <c r="A229" i="12"/>
  <c r="A228" i="12"/>
  <c r="A227" i="12"/>
  <c r="A226" i="12"/>
  <c r="A223" i="12"/>
  <c r="A222" i="12"/>
  <c r="A221" i="12"/>
  <c r="A220" i="12"/>
  <c r="A219" i="12"/>
  <c r="A218" i="12"/>
  <c r="A217" i="12"/>
  <c r="A216" i="12"/>
  <c r="A215" i="12"/>
  <c r="A214" i="12"/>
  <c r="A213" i="12"/>
  <c r="A212" i="12"/>
  <c r="A209" i="12"/>
  <c r="A208" i="12"/>
  <c r="A207" i="12"/>
  <c r="A206" i="12"/>
  <c r="A205" i="12"/>
  <c r="A204" i="12"/>
  <c r="A203" i="12"/>
  <c r="A202" i="12"/>
  <c r="A201" i="12"/>
  <c r="A200" i="12"/>
  <c r="A199" i="12"/>
  <c r="A198" i="12"/>
  <c r="A195" i="12"/>
  <c r="A194" i="12"/>
  <c r="A193" i="12"/>
  <c r="A192" i="12"/>
  <c r="A191" i="12"/>
  <c r="A190" i="12"/>
  <c r="A189" i="12"/>
  <c r="A188" i="12"/>
  <c r="A187" i="12"/>
  <c r="A186" i="12"/>
  <c r="A185" i="12"/>
  <c r="A184" i="12"/>
  <c r="A181" i="12"/>
  <c r="A180" i="12"/>
  <c r="A179" i="12"/>
  <c r="A178" i="12"/>
  <c r="A177" i="12"/>
  <c r="A176" i="12"/>
  <c r="A175" i="12"/>
  <c r="A174" i="12"/>
  <c r="A173" i="12"/>
  <c r="A172" i="12"/>
  <c r="A171" i="12"/>
  <c r="A170" i="12"/>
  <c r="A167" i="12"/>
  <c r="A166" i="12"/>
  <c r="A165" i="12"/>
  <c r="A164" i="12"/>
  <c r="A163" i="12"/>
  <c r="A162" i="12"/>
  <c r="A161" i="12"/>
  <c r="A160" i="12"/>
  <c r="A159" i="12"/>
  <c r="A158" i="12"/>
  <c r="A157" i="12"/>
  <c r="A156" i="12"/>
  <c r="A153" i="12"/>
  <c r="A152" i="12"/>
  <c r="A151" i="12"/>
  <c r="A150" i="12"/>
  <c r="A149" i="12"/>
  <c r="A148" i="12"/>
  <c r="A147" i="12"/>
  <c r="A146" i="12"/>
  <c r="A145" i="12"/>
  <c r="A144" i="12"/>
  <c r="A143" i="12"/>
  <c r="A142" i="12"/>
  <c r="A139" i="12"/>
  <c r="A138" i="12"/>
  <c r="A137" i="12"/>
  <c r="A136" i="12"/>
  <c r="A135" i="12"/>
  <c r="A134" i="12"/>
  <c r="A133" i="12"/>
  <c r="A132" i="12"/>
  <c r="A131" i="12"/>
  <c r="A130" i="12"/>
  <c r="A129" i="12"/>
  <c r="A128" i="12"/>
  <c r="A125" i="12"/>
  <c r="A124" i="12"/>
  <c r="A123" i="12"/>
  <c r="A122" i="12"/>
  <c r="A121" i="12"/>
  <c r="A120" i="12"/>
  <c r="A119" i="12"/>
  <c r="A118" i="12"/>
  <c r="A117" i="12"/>
  <c r="A116" i="12"/>
  <c r="A115" i="12"/>
  <c r="A114" i="12"/>
  <c r="A111" i="12"/>
  <c r="A110" i="12"/>
  <c r="A109" i="12"/>
  <c r="A108" i="12"/>
  <c r="A107" i="12"/>
  <c r="A106" i="12"/>
  <c r="A105" i="12"/>
  <c r="A104" i="12"/>
  <c r="A103" i="12"/>
  <c r="A102" i="12"/>
  <c r="A101" i="12"/>
  <c r="A100" i="12"/>
  <c r="A97" i="12"/>
  <c r="A96" i="12"/>
  <c r="A95" i="12"/>
  <c r="A94" i="12"/>
  <c r="A93" i="12"/>
  <c r="A92" i="12"/>
  <c r="A91" i="12"/>
  <c r="A90" i="12"/>
  <c r="A89" i="12"/>
  <c r="A88" i="12"/>
  <c r="A87" i="12"/>
  <c r="A86" i="12"/>
  <c r="A83" i="12"/>
  <c r="A82" i="12"/>
  <c r="A81" i="12"/>
  <c r="A80" i="12"/>
  <c r="A79" i="12"/>
  <c r="A78" i="12"/>
  <c r="A77" i="12"/>
  <c r="A76" i="12"/>
  <c r="A75" i="12"/>
  <c r="A74" i="12"/>
  <c r="A73" i="12"/>
  <c r="A72" i="12"/>
  <c r="A69" i="12"/>
  <c r="A68" i="12"/>
  <c r="A67" i="12"/>
  <c r="A66" i="12"/>
  <c r="A65" i="12"/>
  <c r="A64" i="12"/>
  <c r="A63" i="12"/>
  <c r="A62" i="12"/>
  <c r="A61" i="12"/>
  <c r="A60" i="12"/>
  <c r="A59" i="12"/>
  <c r="A58" i="12"/>
  <c r="A55" i="12"/>
  <c r="A54" i="12"/>
  <c r="A53" i="12"/>
  <c r="A52" i="12"/>
  <c r="A51" i="12"/>
  <c r="A50" i="12"/>
  <c r="A49" i="12"/>
  <c r="A48" i="12"/>
  <c r="A47" i="12"/>
  <c r="A46" i="12"/>
  <c r="A45" i="12"/>
  <c r="A44" i="12"/>
  <c r="A41" i="12"/>
  <c r="A40" i="12"/>
  <c r="A39" i="12"/>
  <c r="A38" i="12"/>
  <c r="A37" i="12"/>
  <c r="A36" i="12"/>
  <c r="A35" i="12"/>
  <c r="A34" i="12"/>
  <c r="A33" i="12"/>
  <c r="A32" i="12"/>
  <c r="A31" i="12"/>
  <c r="A30" i="12"/>
  <c r="A27" i="12"/>
  <c r="A26" i="12"/>
  <c r="A25" i="12"/>
  <c r="A24" i="12"/>
  <c r="A23" i="12"/>
  <c r="A22" i="12"/>
  <c r="A21" i="12"/>
  <c r="A20" i="12"/>
  <c r="A19" i="12"/>
  <c r="A18" i="12"/>
  <c r="A17" i="12"/>
  <c r="A16" i="12"/>
  <c r="A13" i="12"/>
  <c r="A12" i="12"/>
  <c r="A11" i="12"/>
  <c r="A10" i="12"/>
  <c r="A9" i="12"/>
  <c r="A8" i="12"/>
  <c r="A7" i="12"/>
  <c r="A6" i="12"/>
  <c r="A5" i="12"/>
  <c r="A4" i="12"/>
  <c r="A3" i="12"/>
  <c r="A2" i="12"/>
  <c r="A253" i="11"/>
  <c r="A252" i="11"/>
  <c r="A251" i="11"/>
  <c r="A250" i="11"/>
  <c r="A249" i="11"/>
  <c r="A248" i="11"/>
  <c r="A247" i="11"/>
  <c r="A246" i="11"/>
  <c r="A245" i="11"/>
  <c r="A244" i="11"/>
  <c r="A243" i="11"/>
  <c r="A242" i="11"/>
  <c r="A238" i="11"/>
  <c r="A237" i="11"/>
  <c r="A236" i="11"/>
  <c r="A235" i="11"/>
  <c r="A234" i="11"/>
  <c r="A233" i="11"/>
  <c r="A232" i="11"/>
  <c r="A231" i="11"/>
  <c r="A230" i="11"/>
  <c r="A229" i="11"/>
  <c r="A228" i="11"/>
  <c r="A227" i="11"/>
  <c r="A223" i="11"/>
  <c r="A222" i="11"/>
  <c r="A221" i="11"/>
  <c r="A220" i="11"/>
  <c r="A219" i="11"/>
  <c r="A218" i="11"/>
  <c r="A217" i="11"/>
  <c r="A216" i="11"/>
  <c r="A215" i="11"/>
  <c r="A214" i="11"/>
  <c r="A213" i="11"/>
  <c r="A212" i="11"/>
  <c r="A208" i="11"/>
  <c r="A207" i="11"/>
  <c r="A206" i="11"/>
  <c r="A205" i="11"/>
  <c r="A204" i="11"/>
  <c r="A203" i="11"/>
  <c r="A202" i="11"/>
  <c r="A201" i="11"/>
  <c r="A200" i="11"/>
  <c r="A199" i="11"/>
  <c r="A198" i="11"/>
  <c r="A197" i="11"/>
  <c r="A193" i="11"/>
  <c r="A192" i="11"/>
  <c r="A191" i="11"/>
  <c r="A190" i="11"/>
  <c r="A189" i="11"/>
  <c r="A188" i="11"/>
  <c r="A187" i="11"/>
  <c r="A186" i="11"/>
  <c r="A185" i="11"/>
  <c r="A184" i="11"/>
  <c r="A183" i="11"/>
  <c r="A182" i="11"/>
  <c r="A178" i="11"/>
  <c r="A177" i="11"/>
  <c r="A176" i="11"/>
  <c r="A175" i="11"/>
  <c r="A174" i="11"/>
  <c r="A173" i="11"/>
  <c r="A172" i="11"/>
  <c r="A171" i="11"/>
  <c r="A170" i="11"/>
  <c r="A169" i="11"/>
  <c r="A168" i="11"/>
  <c r="A167" i="11"/>
  <c r="A163" i="11"/>
  <c r="A162" i="11"/>
  <c r="A161" i="11"/>
  <c r="A160" i="11"/>
  <c r="A159" i="11"/>
  <c r="A158" i="11"/>
  <c r="A157" i="11"/>
  <c r="A156" i="11"/>
  <c r="A155" i="11"/>
  <c r="A154" i="11"/>
  <c r="A153" i="11"/>
  <c r="A152" i="11"/>
  <c r="A148" i="11"/>
  <c r="A147" i="11"/>
  <c r="A146" i="11"/>
  <c r="A145" i="11"/>
  <c r="A144" i="11"/>
  <c r="A143" i="11"/>
  <c r="A142" i="11"/>
  <c r="A141" i="11"/>
  <c r="A140" i="11"/>
  <c r="A139" i="11"/>
  <c r="A138" i="11"/>
  <c r="A137" i="11"/>
  <c r="A133" i="11"/>
  <c r="A132" i="11"/>
  <c r="A131" i="11"/>
  <c r="A130" i="11"/>
  <c r="A129" i="11"/>
  <c r="A128" i="11"/>
  <c r="A127" i="11"/>
  <c r="A126" i="11"/>
  <c r="A125" i="11"/>
  <c r="A124" i="11"/>
  <c r="A123" i="11"/>
  <c r="A122" i="11"/>
  <c r="A118" i="11"/>
  <c r="A117" i="11"/>
  <c r="A116" i="11"/>
  <c r="A115" i="11"/>
  <c r="A114" i="11"/>
  <c r="A113" i="11"/>
  <c r="A112" i="11"/>
  <c r="A111" i="11"/>
  <c r="A110" i="11"/>
  <c r="A109" i="11"/>
  <c r="A108" i="11"/>
  <c r="A107" i="11"/>
  <c r="A103" i="11"/>
  <c r="A102" i="11"/>
  <c r="A101" i="11"/>
  <c r="A100" i="11"/>
  <c r="A99" i="11"/>
  <c r="A98" i="11"/>
  <c r="A97" i="11"/>
  <c r="A96" i="11"/>
  <c r="A95" i="11"/>
  <c r="A94" i="11"/>
  <c r="A93" i="11"/>
  <c r="A92" i="11"/>
  <c r="A88" i="11"/>
  <c r="A87" i="11"/>
  <c r="A86" i="11"/>
  <c r="A85" i="11"/>
  <c r="A84" i="11"/>
  <c r="A83" i="11"/>
  <c r="A82" i="11"/>
  <c r="A81" i="11"/>
  <c r="A80" i="11"/>
  <c r="A79" i="11"/>
  <c r="A78" i="11"/>
  <c r="A77" i="11"/>
  <c r="A73" i="11"/>
  <c r="A72" i="11"/>
  <c r="A71" i="11"/>
  <c r="A70" i="11"/>
  <c r="A69" i="11"/>
  <c r="A68" i="11"/>
  <c r="A67" i="11"/>
  <c r="A66" i="11"/>
  <c r="A65" i="11"/>
  <c r="A64" i="11"/>
  <c r="A63" i="11"/>
  <c r="A62" i="11"/>
  <c r="A58" i="11"/>
  <c r="A57" i="11"/>
  <c r="A56" i="11"/>
  <c r="A55" i="11"/>
  <c r="A54" i="11"/>
  <c r="A53" i="11"/>
  <c r="A52" i="11"/>
  <c r="A51" i="11"/>
  <c r="A50" i="11"/>
  <c r="A49" i="11"/>
  <c r="A48" i="11"/>
  <c r="A47" i="11"/>
  <c r="A43" i="11"/>
  <c r="A42" i="11"/>
  <c r="A41" i="11"/>
  <c r="A40" i="11"/>
  <c r="A39" i="11"/>
  <c r="A38" i="11"/>
  <c r="A37" i="11"/>
  <c r="A36" i="11"/>
  <c r="A35" i="11"/>
  <c r="A34" i="11"/>
  <c r="A33" i="11"/>
  <c r="A32" i="11"/>
  <c r="A28" i="11"/>
  <c r="A27" i="11"/>
  <c r="A26" i="11"/>
  <c r="A25" i="11"/>
  <c r="A24" i="11"/>
  <c r="A23" i="11"/>
  <c r="A22" i="11"/>
  <c r="A21" i="11"/>
  <c r="A20" i="11"/>
  <c r="A19" i="11"/>
  <c r="A18" i="11"/>
  <c r="A17" i="11"/>
  <c r="A13" i="11"/>
  <c r="A12" i="11"/>
  <c r="A11" i="11"/>
  <c r="A10" i="11"/>
  <c r="A9" i="11"/>
  <c r="A8" i="11"/>
  <c r="A7" i="11"/>
  <c r="A6" i="11"/>
  <c r="A5" i="11"/>
  <c r="A4" i="11"/>
  <c r="A3" i="11"/>
  <c r="A2" i="11"/>
  <c r="A55" i="10"/>
  <c r="A54" i="10"/>
  <c r="A53" i="10"/>
  <c r="A52" i="10"/>
  <c r="A51" i="10"/>
  <c r="A50" i="10"/>
  <c r="A49" i="10"/>
  <c r="A48" i="10"/>
  <c r="A47" i="10"/>
  <c r="A46" i="10"/>
  <c r="A45" i="10"/>
  <c r="A44" i="10"/>
  <c r="A41" i="10"/>
  <c r="A40" i="10"/>
  <c r="A39" i="10"/>
  <c r="A38" i="10"/>
  <c r="A37" i="10"/>
  <c r="A36" i="10"/>
  <c r="A35" i="10"/>
  <c r="A34" i="10"/>
  <c r="A33" i="10"/>
  <c r="A32" i="10"/>
  <c r="A31" i="10"/>
  <c r="A30" i="10"/>
  <c r="A27" i="10"/>
  <c r="A26" i="10"/>
  <c r="A25" i="10"/>
  <c r="A24" i="10"/>
  <c r="A23" i="10"/>
  <c r="A22" i="10"/>
  <c r="A21" i="10"/>
  <c r="A20" i="10"/>
  <c r="A19" i="10"/>
  <c r="A18" i="10"/>
  <c r="A17" i="10"/>
  <c r="A16" i="10"/>
  <c r="A13" i="10"/>
  <c r="A12" i="10"/>
  <c r="A11" i="10"/>
  <c r="A10" i="10"/>
  <c r="A9" i="10"/>
  <c r="A8" i="10"/>
  <c r="A7" i="10"/>
  <c r="A6" i="10"/>
  <c r="A5" i="10"/>
  <c r="A4" i="10"/>
  <c r="A3" i="10"/>
  <c r="A2" i="10"/>
  <c r="A97" i="9"/>
  <c r="A96" i="9"/>
  <c r="A95" i="9"/>
  <c r="A94" i="9"/>
  <c r="A93" i="9"/>
  <c r="A92" i="9"/>
  <c r="A91" i="9"/>
  <c r="A90" i="9"/>
  <c r="A89" i="9"/>
  <c r="A88" i="9"/>
  <c r="A87" i="9"/>
  <c r="A86" i="9"/>
  <c r="A83" i="9"/>
  <c r="A82" i="9"/>
  <c r="A81" i="9"/>
  <c r="A80" i="9"/>
  <c r="A79" i="9"/>
  <c r="A78" i="9"/>
  <c r="A77" i="9"/>
  <c r="A76" i="9"/>
  <c r="A75" i="9"/>
  <c r="A74" i="9"/>
  <c r="A73" i="9"/>
  <c r="A72" i="9"/>
  <c r="A69" i="9"/>
  <c r="A68" i="9"/>
  <c r="A67" i="9"/>
  <c r="A66" i="9"/>
  <c r="A65" i="9"/>
  <c r="A64" i="9"/>
  <c r="A63" i="9"/>
  <c r="A62" i="9"/>
  <c r="A61" i="9"/>
  <c r="A60" i="9"/>
  <c r="A59" i="9"/>
  <c r="A58" i="9"/>
  <c r="A55" i="9"/>
  <c r="A54" i="9"/>
  <c r="A53" i="9"/>
  <c r="A52" i="9"/>
  <c r="A51" i="9"/>
  <c r="A50" i="9"/>
  <c r="A49" i="9"/>
  <c r="A48" i="9"/>
  <c r="A47" i="9"/>
  <c r="A46" i="9"/>
  <c r="A45" i="9"/>
  <c r="A44" i="9"/>
  <c r="A41" i="9"/>
  <c r="A40" i="9"/>
  <c r="A39" i="9"/>
  <c r="A38" i="9"/>
  <c r="A37" i="9"/>
  <c r="A36" i="9"/>
  <c r="A35" i="9"/>
  <c r="A34" i="9"/>
  <c r="A33" i="9"/>
  <c r="A32" i="9"/>
  <c r="A31" i="9"/>
  <c r="A30" i="9"/>
  <c r="A27" i="9"/>
  <c r="A26" i="9"/>
  <c r="A25" i="9"/>
  <c r="A24" i="9"/>
  <c r="A23" i="9"/>
  <c r="A22" i="9"/>
  <c r="A21" i="9"/>
  <c r="A20" i="9"/>
  <c r="A19" i="9"/>
  <c r="A18" i="9"/>
  <c r="A17" i="9"/>
  <c r="A16" i="9"/>
  <c r="A13" i="9"/>
  <c r="A12" i="9"/>
  <c r="A11" i="9"/>
  <c r="A10" i="9"/>
  <c r="A9" i="9"/>
  <c r="A8" i="9"/>
  <c r="A7" i="9"/>
  <c r="A6" i="9"/>
  <c r="A5" i="9"/>
  <c r="A4" i="9"/>
  <c r="A3" i="9"/>
  <c r="A2" i="9"/>
  <c r="A111" i="8"/>
  <c r="A110" i="8"/>
  <c r="A109" i="8"/>
  <c r="A108" i="8"/>
  <c r="A107" i="8"/>
  <c r="A106" i="8"/>
  <c r="A105" i="8"/>
  <c r="A104" i="8"/>
  <c r="A103" i="8"/>
  <c r="A102" i="8"/>
  <c r="A101" i="8"/>
  <c r="A100" i="8"/>
  <c r="A97" i="8"/>
  <c r="A96" i="8"/>
  <c r="A95" i="8"/>
  <c r="A94" i="8"/>
  <c r="A93" i="8"/>
  <c r="A92" i="8"/>
  <c r="A91" i="8"/>
  <c r="A90" i="8"/>
  <c r="A89" i="8"/>
  <c r="A88" i="8"/>
  <c r="A87" i="8"/>
  <c r="A86" i="8"/>
  <c r="A83" i="8"/>
  <c r="A82" i="8"/>
  <c r="A81" i="8"/>
  <c r="A80" i="8"/>
  <c r="A79" i="8"/>
  <c r="A78" i="8"/>
  <c r="A77" i="8"/>
  <c r="A76" i="8"/>
  <c r="A75" i="8"/>
  <c r="A74" i="8"/>
  <c r="A73" i="8"/>
  <c r="A72" i="8"/>
  <c r="A69" i="8"/>
  <c r="A68" i="8"/>
  <c r="A67" i="8"/>
  <c r="A66" i="8"/>
  <c r="A65" i="8"/>
  <c r="A64" i="8"/>
  <c r="A63" i="8"/>
  <c r="A62" i="8"/>
  <c r="A61" i="8"/>
  <c r="A60" i="8"/>
  <c r="A59" i="8"/>
  <c r="A58" i="8"/>
  <c r="A55" i="8"/>
  <c r="A54" i="8"/>
  <c r="A53" i="8"/>
  <c r="A52" i="8"/>
  <c r="A51" i="8"/>
  <c r="A50" i="8"/>
  <c r="A49" i="8"/>
  <c r="A48" i="8"/>
  <c r="A47" i="8"/>
  <c r="A46" i="8"/>
  <c r="A45" i="8"/>
  <c r="A44" i="8"/>
  <c r="A41" i="8"/>
  <c r="A40" i="8"/>
  <c r="A39" i="8"/>
  <c r="A38" i="8"/>
  <c r="A37" i="8"/>
  <c r="A36" i="8"/>
  <c r="A35" i="8"/>
  <c r="A34" i="8"/>
  <c r="A33" i="8"/>
  <c r="A32" i="8"/>
  <c r="A31" i="8"/>
  <c r="A30" i="8"/>
  <c r="A27" i="8"/>
  <c r="A26" i="8"/>
  <c r="A25" i="8"/>
  <c r="A24" i="8"/>
  <c r="A23" i="8"/>
  <c r="A22" i="8"/>
  <c r="A21" i="8"/>
  <c r="A20" i="8"/>
  <c r="A19" i="8"/>
  <c r="A18" i="8"/>
  <c r="A17" i="8"/>
  <c r="A16" i="8"/>
  <c r="A13" i="8"/>
  <c r="A12" i="8"/>
  <c r="A11" i="8"/>
  <c r="A10" i="8"/>
  <c r="A9" i="8"/>
  <c r="A8" i="8"/>
  <c r="A7" i="8"/>
  <c r="A6" i="8"/>
  <c r="A5" i="8"/>
  <c r="A4" i="8"/>
  <c r="A3" i="8"/>
  <c r="A2" i="8"/>
  <c r="A83" i="7"/>
  <c r="A82" i="7"/>
  <c r="A81" i="7"/>
  <c r="A80" i="7"/>
  <c r="A79" i="7"/>
  <c r="A78" i="7"/>
  <c r="A77" i="7"/>
  <c r="A76" i="7"/>
  <c r="A75" i="7"/>
  <c r="A74" i="7"/>
  <c r="A73" i="7"/>
  <c r="A72" i="7"/>
  <c r="A69" i="7"/>
  <c r="A68" i="7"/>
  <c r="A67" i="7"/>
  <c r="A66" i="7"/>
  <c r="A65" i="7"/>
  <c r="A64" i="7"/>
  <c r="A63" i="7"/>
  <c r="A62" i="7"/>
  <c r="A61" i="7"/>
  <c r="A60" i="7"/>
  <c r="A59" i="7"/>
  <c r="A58" i="7"/>
  <c r="A55" i="7"/>
  <c r="A54" i="7"/>
  <c r="A53" i="7"/>
  <c r="A52" i="7"/>
  <c r="A51" i="7"/>
  <c r="A50" i="7"/>
  <c r="A49" i="7"/>
  <c r="A48" i="7"/>
  <c r="A47" i="7"/>
  <c r="A46" i="7"/>
  <c r="A45" i="7"/>
  <c r="A44" i="7"/>
  <c r="A41" i="7"/>
  <c r="A40" i="7"/>
  <c r="A39" i="7"/>
  <c r="A38" i="7"/>
  <c r="A37" i="7"/>
  <c r="A36" i="7"/>
  <c r="A35" i="7"/>
  <c r="A34" i="7"/>
  <c r="A33" i="7"/>
  <c r="A32" i="7"/>
  <c r="A31" i="7"/>
  <c r="A30" i="7"/>
  <c r="A27" i="7"/>
  <c r="A26" i="7"/>
  <c r="A25" i="7"/>
  <c r="A24" i="7"/>
  <c r="A23" i="7"/>
  <c r="A22" i="7"/>
  <c r="A21" i="7"/>
  <c r="A20" i="7"/>
  <c r="A19" i="7"/>
  <c r="A18" i="7"/>
  <c r="A17" i="7"/>
  <c r="A16" i="7"/>
  <c r="A13" i="7"/>
  <c r="A12" i="7"/>
  <c r="A11" i="7"/>
  <c r="A10" i="7"/>
  <c r="A9" i="7"/>
  <c r="A8" i="7"/>
  <c r="A7" i="7"/>
  <c r="A6" i="7"/>
  <c r="A5" i="7"/>
  <c r="A4" i="7"/>
  <c r="A3" i="7"/>
  <c r="A2" i="7"/>
  <c r="A55" i="6"/>
  <c r="A54" i="6"/>
  <c r="A53" i="6"/>
  <c r="A52" i="6"/>
  <c r="A51" i="6"/>
  <c r="A50" i="6"/>
  <c r="A49" i="6"/>
  <c r="A48" i="6"/>
  <c r="A47" i="6"/>
  <c r="A46" i="6"/>
  <c r="A45" i="6"/>
  <c r="A44" i="6"/>
  <c r="A41" i="6"/>
  <c r="A40" i="6"/>
  <c r="A39" i="6"/>
  <c r="A38" i="6"/>
  <c r="A37" i="6"/>
  <c r="A36" i="6"/>
  <c r="A35" i="6"/>
  <c r="A34" i="6"/>
  <c r="A33" i="6"/>
  <c r="A32" i="6"/>
  <c r="A31" i="6"/>
  <c r="A30" i="6"/>
  <c r="A27" i="6"/>
  <c r="A26" i="6"/>
  <c r="A25" i="6"/>
  <c r="A24" i="6"/>
  <c r="A23" i="6"/>
  <c r="A22" i="6"/>
  <c r="A21" i="6"/>
  <c r="A20" i="6"/>
  <c r="A19" i="6"/>
  <c r="A18" i="6"/>
  <c r="A17" i="6"/>
  <c r="A16" i="6"/>
  <c r="A13" i="6"/>
  <c r="A12" i="6"/>
  <c r="A11" i="6"/>
  <c r="A10" i="6"/>
  <c r="A9" i="6"/>
  <c r="A8" i="6"/>
  <c r="A7" i="6"/>
  <c r="A6" i="6"/>
  <c r="A5" i="6"/>
  <c r="A4" i="6"/>
  <c r="A3" i="6"/>
  <c r="A2" i="6"/>
  <c r="A251" i="5"/>
  <c r="A250" i="5"/>
  <c r="A249" i="5"/>
  <c r="A248" i="5"/>
  <c r="A247" i="5"/>
  <c r="A246" i="5"/>
  <c r="A245" i="5"/>
  <c r="A244" i="5"/>
  <c r="A243" i="5"/>
  <c r="A242" i="5"/>
  <c r="A241" i="5"/>
  <c r="A240" i="5"/>
  <c r="A237" i="5"/>
  <c r="A236" i="5"/>
  <c r="A235" i="5"/>
  <c r="A234" i="5"/>
  <c r="A233" i="5"/>
  <c r="A232" i="5"/>
  <c r="A231" i="5"/>
  <c r="A230" i="5"/>
  <c r="A229" i="5"/>
  <c r="A228" i="5"/>
  <c r="A227" i="5"/>
  <c r="A226" i="5"/>
  <c r="A223" i="5"/>
  <c r="A222" i="5"/>
  <c r="A221" i="5"/>
  <c r="A220" i="5"/>
  <c r="A219" i="5"/>
  <c r="A218" i="5"/>
  <c r="A217" i="5"/>
  <c r="A216" i="5"/>
  <c r="A215" i="5"/>
  <c r="A214" i="5"/>
  <c r="A213" i="5"/>
  <c r="A212" i="5"/>
  <c r="A209" i="5"/>
  <c r="A208" i="5"/>
  <c r="A207" i="5"/>
  <c r="A206" i="5"/>
  <c r="A205" i="5"/>
  <c r="A204" i="5"/>
  <c r="A203" i="5"/>
  <c r="A202" i="5"/>
  <c r="A201" i="5"/>
  <c r="A200" i="5"/>
  <c r="A199" i="5"/>
  <c r="A198" i="5"/>
  <c r="A195" i="5"/>
  <c r="A194" i="5"/>
  <c r="A193" i="5"/>
  <c r="A192" i="5"/>
  <c r="A191" i="5"/>
  <c r="A190" i="5"/>
  <c r="A189" i="5"/>
  <c r="A188" i="5"/>
  <c r="A187" i="5"/>
  <c r="A186" i="5"/>
  <c r="A185" i="5"/>
  <c r="A184" i="5"/>
  <c r="A181" i="5"/>
  <c r="A180" i="5"/>
  <c r="A179" i="5"/>
  <c r="A178" i="5"/>
  <c r="A177" i="5"/>
  <c r="A176" i="5"/>
  <c r="A175" i="5"/>
  <c r="A174" i="5"/>
  <c r="A173" i="5"/>
  <c r="A172" i="5"/>
  <c r="A171" i="5"/>
  <c r="A170" i="5"/>
  <c r="A167" i="5"/>
  <c r="A166" i="5"/>
  <c r="A165" i="5"/>
  <c r="A164" i="5"/>
  <c r="A163" i="5"/>
  <c r="A162" i="5"/>
  <c r="A161" i="5"/>
  <c r="A160" i="5"/>
  <c r="A159" i="5"/>
  <c r="A158" i="5"/>
  <c r="A157" i="5"/>
  <c r="A156" i="5"/>
  <c r="A153" i="5"/>
  <c r="A152" i="5"/>
  <c r="A151" i="5"/>
  <c r="A150" i="5"/>
  <c r="A149" i="5"/>
  <c r="A148" i="5"/>
  <c r="A147" i="5"/>
  <c r="A146" i="5"/>
  <c r="A145" i="5"/>
  <c r="A144" i="5"/>
  <c r="A143" i="5"/>
  <c r="A142" i="5"/>
  <c r="A139" i="5"/>
  <c r="A138" i="5"/>
  <c r="A137" i="5"/>
  <c r="A136" i="5"/>
  <c r="A135" i="5"/>
  <c r="A134" i="5"/>
  <c r="A133" i="5"/>
  <c r="A132" i="5"/>
  <c r="A131" i="5"/>
  <c r="A130" i="5"/>
  <c r="A129" i="5"/>
  <c r="A128" i="5"/>
  <c r="A125" i="5"/>
  <c r="A124" i="5"/>
  <c r="A123" i="5"/>
  <c r="A122" i="5"/>
  <c r="A121" i="5"/>
  <c r="A120" i="5"/>
  <c r="A119" i="5"/>
  <c r="A118" i="5"/>
  <c r="A117" i="5"/>
  <c r="A116" i="5"/>
  <c r="A115" i="5"/>
  <c r="A114" i="5"/>
  <c r="A111" i="5"/>
  <c r="A110" i="5"/>
  <c r="A109" i="5"/>
  <c r="A108" i="5"/>
  <c r="A107" i="5"/>
  <c r="A106" i="5"/>
  <c r="A105" i="5"/>
  <c r="A104" i="5"/>
  <c r="A103" i="5"/>
  <c r="A102" i="5"/>
  <c r="A101" i="5"/>
  <c r="A100" i="5"/>
  <c r="A97" i="5"/>
  <c r="A96" i="5"/>
  <c r="A95" i="5"/>
  <c r="A94" i="5"/>
  <c r="A93" i="5"/>
  <c r="A92" i="5"/>
  <c r="A91" i="5"/>
  <c r="A90" i="5"/>
  <c r="A89" i="5"/>
  <c r="A88" i="5"/>
  <c r="A87" i="5"/>
  <c r="A86" i="5"/>
  <c r="A83" i="5"/>
  <c r="A82" i="5"/>
  <c r="A81" i="5"/>
  <c r="A80" i="5"/>
  <c r="A79" i="5"/>
  <c r="A78" i="5"/>
  <c r="A77" i="5"/>
  <c r="A76" i="5"/>
  <c r="A75" i="5"/>
  <c r="A74" i="5"/>
  <c r="A73" i="5"/>
  <c r="A72" i="5"/>
  <c r="A69" i="5"/>
  <c r="A68" i="5"/>
  <c r="A67" i="5"/>
  <c r="A66" i="5"/>
  <c r="A65" i="5"/>
  <c r="A64" i="5"/>
  <c r="A63" i="5"/>
  <c r="A62" i="5"/>
  <c r="A61" i="5"/>
  <c r="A60" i="5"/>
  <c r="A59" i="5"/>
  <c r="A58" i="5"/>
  <c r="A55" i="5"/>
  <c r="A54" i="5"/>
  <c r="A53" i="5"/>
  <c r="A52" i="5"/>
  <c r="A51" i="5"/>
  <c r="A50" i="5"/>
  <c r="A49" i="5"/>
  <c r="A48" i="5"/>
  <c r="A47" i="5"/>
  <c r="A46" i="5"/>
  <c r="A45" i="5"/>
  <c r="A44" i="5"/>
  <c r="A41" i="5"/>
  <c r="A40" i="5"/>
  <c r="A39" i="5"/>
  <c r="A38" i="5"/>
  <c r="A37" i="5"/>
  <c r="A36" i="5"/>
  <c r="A35" i="5"/>
  <c r="A34" i="5"/>
  <c r="A33" i="5"/>
  <c r="A32" i="5"/>
  <c r="A31" i="5"/>
  <c r="A30" i="5"/>
  <c r="A27" i="5"/>
  <c r="A26" i="5"/>
  <c r="A25" i="5"/>
  <c r="A24" i="5"/>
  <c r="A23" i="5"/>
  <c r="A22" i="5"/>
  <c r="A21" i="5"/>
  <c r="A20" i="5"/>
  <c r="A19" i="5"/>
  <c r="A18" i="5"/>
  <c r="A17" i="5"/>
  <c r="A16" i="5"/>
  <c r="A13" i="5"/>
  <c r="A12" i="5"/>
  <c r="A11" i="5"/>
  <c r="A10" i="5"/>
  <c r="A9" i="5"/>
  <c r="A8" i="5"/>
  <c r="A7" i="5"/>
  <c r="A6" i="5"/>
  <c r="A5" i="5"/>
  <c r="A4" i="5"/>
  <c r="A3" i="5"/>
  <c r="A2" i="5"/>
  <c r="A27" i="4"/>
  <c r="A26" i="4"/>
  <c r="A25" i="4"/>
  <c r="A24" i="4"/>
  <c r="A23" i="4"/>
  <c r="A22" i="4"/>
  <c r="A21" i="4"/>
  <c r="A20" i="4"/>
  <c r="A19" i="4"/>
  <c r="A18" i="4"/>
  <c r="A17" i="4"/>
  <c r="A16" i="4"/>
  <c r="A13" i="4"/>
  <c r="A12" i="4"/>
  <c r="A11" i="4"/>
  <c r="A10" i="4"/>
  <c r="A9" i="4"/>
  <c r="A8" i="4"/>
  <c r="A7" i="4"/>
  <c r="A6" i="4"/>
  <c r="A5" i="4"/>
  <c r="A4" i="4"/>
  <c r="A3" i="4"/>
  <c r="A2" i="4"/>
  <c r="A55" i="3"/>
  <c r="A54" i="3"/>
  <c r="A53" i="3"/>
  <c r="A52" i="3"/>
  <c r="A51" i="3"/>
  <c r="A50" i="3"/>
  <c r="A49" i="3"/>
  <c r="A48" i="3"/>
  <c r="A47" i="3"/>
  <c r="A46" i="3"/>
  <c r="A45" i="3"/>
  <c r="A44" i="3"/>
  <c r="A41" i="3"/>
  <c r="A40" i="3"/>
  <c r="A39" i="3"/>
  <c r="A38" i="3"/>
  <c r="A37" i="3"/>
  <c r="A36" i="3"/>
  <c r="A35" i="3"/>
  <c r="A34" i="3"/>
  <c r="A33" i="3"/>
  <c r="A32" i="3"/>
  <c r="A31" i="3"/>
  <c r="A30" i="3"/>
  <c r="A27" i="3"/>
  <c r="A26" i="3"/>
  <c r="A25" i="3"/>
  <c r="A24" i="3"/>
  <c r="A23" i="3"/>
  <c r="A22" i="3"/>
  <c r="A21" i="3"/>
  <c r="A20" i="3"/>
  <c r="A19" i="3"/>
  <c r="A18" i="3"/>
  <c r="A17" i="3"/>
  <c r="A16" i="3"/>
  <c r="A13" i="3"/>
  <c r="A12" i="3"/>
  <c r="A11" i="3"/>
  <c r="A10" i="3"/>
  <c r="A9" i="3"/>
  <c r="A8" i="3"/>
  <c r="A7" i="3"/>
  <c r="A6" i="3"/>
  <c r="A5" i="3"/>
  <c r="A4" i="3"/>
  <c r="A3" i="3"/>
  <c r="A2" i="3"/>
  <c r="A181" i="2"/>
  <c r="A180" i="2"/>
  <c r="A179" i="2"/>
  <c r="A178" i="2"/>
  <c r="A177" i="2"/>
  <c r="A176" i="2"/>
  <c r="A175" i="2"/>
  <c r="A174" i="2"/>
  <c r="A173" i="2"/>
  <c r="A172" i="2"/>
  <c r="A171" i="2"/>
  <c r="A170" i="2"/>
  <c r="A167" i="2"/>
  <c r="A166" i="2"/>
  <c r="A165" i="2"/>
  <c r="A164" i="2"/>
  <c r="A163" i="2"/>
  <c r="A162" i="2"/>
  <c r="A161" i="2"/>
  <c r="A160" i="2"/>
  <c r="A159" i="2"/>
  <c r="A158" i="2"/>
  <c r="A157" i="2"/>
  <c r="A156" i="2"/>
  <c r="A153" i="2"/>
  <c r="A152" i="2"/>
  <c r="A151" i="2"/>
  <c r="A150" i="2"/>
  <c r="A149" i="2"/>
  <c r="A148" i="2"/>
  <c r="A147" i="2"/>
  <c r="A146" i="2"/>
  <c r="A145" i="2"/>
  <c r="A144" i="2"/>
  <c r="A143" i="2"/>
  <c r="A142" i="2"/>
  <c r="A139" i="2"/>
  <c r="A138" i="2"/>
  <c r="A137" i="2"/>
  <c r="A136" i="2"/>
  <c r="A135" i="2"/>
  <c r="A134" i="2"/>
  <c r="A133" i="2"/>
  <c r="A132" i="2"/>
  <c r="A131" i="2"/>
  <c r="A130" i="2"/>
  <c r="A129" i="2"/>
  <c r="A128" i="2"/>
  <c r="A125" i="2"/>
  <c r="A124" i="2"/>
  <c r="A123" i="2"/>
  <c r="A122" i="2"/>
  <c r="A121" i="2"/>
  <c r="A120" i="2"/>
  <c r="A119" i="2"/>
  <c r="A118" i="2"/>
  <c r="A117" i="2"/>
  <c r="A116" i="2"/>
  <c r="A115" i="2"/>
  <c r="A114" i="2"/>
  <c r="A111" i="2"/>
  <c r="A110" i="2"/>
  <c r="A109" i="2"/>
  <c r="A108" i="2"/>
  <c r="A107" i="2"/>
  <c r="A106" i="2"/>
  <c r="A105" i="2"/>
  <c r="A104" i="2"/>
  <c r="A103" i="2"/>
  <c r="A102" i="2"/>
  <c r="A101" i="2"/>
  <c r="A100" i="2"/>
  <c r="A97" i="2"/>
  <c r="A96" i="2"/>
  <c r="A95" i="2"/>
  <c r="A94" i="2"/>
  <c r="A93" i="2"/>
  <c r="A92" i="2"/>
  <c r="A91" i="2"/>
  <c r="A90" i="2"/>
  <c r="A89" i="2"/>
  <c r="A88" i="2"/>
  <c r="A87" i="2"/>
  <c r="A86" i="2"/>
  <c r="A83" i="2"/>
  <c r="A82" i="2"/>
  <c r="A81" i="2"/>
  <c r="A80" i="2"/>
  <c r="A79" i="2"/>
  <c r="A78" i="2"/>
  <c r="A77" i="2"/>
  <c r="A76" i="2"/>
  <c r="A75" i="2"/>
  <c r="A74" i="2"/>
  <c r="A73" i="2"/>
  <c r="A72" i="2"/>
  <c r="A69" i="2"/>
  <c r="A68" i="2"/>
  <c r="A67" i="2"/>
  <c r="A66" i="2"/>
  <c r="A65" i="2"/>
  <c r="A64" i="2"/>
  <c r="A63" i="2"/>
  <c r="A62" i="2"/>
  <c r="A61" i="2"/>
  <c r="A60" i="2"/>
  <c r="A59" i="2"/>
  <c r="A58" i="2"/>
  <c r="A55" i="2"/>
  <c r="A54" i="2"/>
  <c r="A53" i="2"/>
  <c r="A52" i="2"/>
  <c r="A51" i="2"/>
  <c r="A50" i="2"/>
  <c r="A49" i="2"/>
  <c r="A48" i="2"/>
  <c r="A47" i="2"/>
  <c r="A46" i="2"/>
  <c r="A45" i="2"/>
  <c r="A44" i="2"/>
  <c r="A41" i="2"/>
  <c r="A40" i="2"/>
  <c r="A39" i="2"/>
  <c r="A38" i="2"/>
  <c r="A37" i="2"/>
  <c r="A36" i="2"/>
  <c r="A35" i="2"/>
  <c r="A34" i="2"/>
  <c r="A33" i="2"/>
  <c r="A32" i="2"/>
  <c r="A31" i="2"/>
  <c r="A30" i="2"/>
  <c r="A27" i="2"/>
  <c r="A26" i="2"/>
  <c r="A25" i="2"/>
  <c r="A24" i="2"/>
  <c r="A23" i="2"/>
  <c r="A22" i="2"/>
  <c r="A21" i="2"/>
  <c r="A20" i="2"/>
  <c r="A19" i="2"/>
  <c r="A18" i="2"/>
  <c r="A17" i="2"/>
  <c r="A16" i="2"/>
  <c r="A13" i="2"/>
  <c r="A12" i="2"/>
  <c r="A11" i="2"/>
  <c r="A10" i="2"/>
  <c r="A9" i="2"/>
  <c r="A8" i="2"/>
  <c r="A7" i="2"/>
  <c r="A6" i="2"/>
  <c r="A5" i="2"/>
  <c r="A4" i="2"/>
  <c r="A3" i="2"/>
  <c r="A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69" authorId="0" shapeId="0" xr:uid="{00000000-0006-0000-0100-000001000000}">
      <text>
        <r>
          <rPr>
            <sz val="8"/>
            <color indexed="81"/>
            <rFont val="Tahoma"/>
            <family val="2"/>
          </rPr>
          <t>Proportion of undiagnosed that can't be reached by existing services (can be linked to care via programs)</t>
        </r>
      </text>
    </comment>
  </commentList>
</comments>
</file>

<file path=xl/sharedStrings.xml><?xml version="1.0" encoding="utf-8"?>
<sst xmlns="http://schemas.openxmlformats.org/spreadsheetml/2006/main" count="5495" uniqueCount="236">
  <si>
    <t>Abbreviation</t>
  </si>
  <si>
    <t>Full Name</t>
  </si>
  <si>
    <t>Population type</t>
  </si>
  <si>
    <t>PWID_males</t>
  </si>
  <si>
    <t>People Who Inject Drugs (males)</t>
  </si>
  <si>
    <t>human</t>
  </si>
  <si>
    <t>PWID_females</t>
  </si>
  <si>
    <t>People Who Inject Drugs (females)</t>
  </si>
  <si>
    <t>0-9_males</t>
  </si>
  <si>
    <t>General Population 0-9 males</t>
  </si>
  <si>
    <t>0-9_females</t>
  </si>
  <si>
    <t>General Population 0-9 females</t>
  </si>
  <si>
    <t>10-17_males</t>
  </si>
  <si>
    <t>General Population 10-17 males</t>
  </si>
  <si>
    <t>10-17_females</t>
  </si>
  <si>
    <t>General Population 10-17 females</t>
  </si>
  <si>
    <t>18-64_males</t>
  </si>
  <si>
    <t>General Population 18-64 males</t>
  </si>
  <si>
    <t>18-64_females</t>
  </si>
  <si>
    <t>General Population 18-64 females</t>
  </si>
  <si>
    <t>65+_males</t>
  </si>
  <si>
    <t>General Population 65+ males</t>
  </si>
  <si>
    <t>65+_females</t>
  </si>
  <si>
    <t>General Population 65+ females</t>
  </si>
  <si>
    <t>Prisoners_males</t>
  </si>
  <si>
    <t>Prisoners (males)</t>
  </si>
  <si>
    <t>Prisoners_females</t>
  </si>
  <si>
    <t>Prisoners (females)</t>
  </si>
  <si>
    <t>Population living with chronic HCV</t>
  </si>
  <si>
    <t>Provenance</t>
  </si>
  <si>
    <t>Units</t>
  </si>
  <si>
    <t>Uncertainty</t>
  </si>
  <si>
    <t>Number</t>
  </si>
  <si>
    <t>HCV Prevalence</t>
  </si>
  <si>
    <t>Fraction</t>
  </si>
  <si>
    <t>Proportion who have F0-F2</t>
  </si>
  <si>
    <t>Constant</t>
  </si>
  <si>
    <t>OR</t>
  </si>
  <si>
    <t>Proportion who have F3</t>
  </si>
  <si>
    <t>Proportion who have F4</t>
  </si>
  <si>
    <t>Proportion who have DC</t>
  </si>
  <si>
    <t>Proportion who have HCC</t>
  </si>
  <si>
    <t>Undiagnosed proportion</t>
  </si>
  <si>
    <t>Proportion that failed treatments</t>
  </si>
  <si>
    <t>Proportion LTFU after Ab diagnosis</t>
  </si>
  <si>
    <t>Proportion LTFU after RNA diagnosis</t>
  </si>
  <si>
    <t>Proportion LTFU after failed treatment 1</t>
  </si>
  <si>
    <t>Proportion of undiagnosed that are lost to care</t>
  </si>
  <si>
    <t>Proportion</t>
  </si>
  <si>
    <t>Population size</t>
  </si>
  <si>
    <t>Number of live births</t>
  </si>
  <si>
    <t>Number (per year)</t>
  </si>
  <si>
    <t>Net migration rate</t>
  </si>
  <si>
    <t>Rate (per year)</t>
  </si>
  <si>
    <t>All cause death rate</t>
  </si>
  <si>
    <t>Force of Infection constant</t>
  </si>
  <si>
    <t>N.A.</t>
  </si>
  <si>
    <t>Infectivity among the general population</t>
  </si>
  <si>
    <t>Probability (per year)</t>
  </si>
  <si>
    <t>Proportion of HCV infections spontaneously clearing</t>
  </si>
  <si>
    <t>Average duration for spontaneous viral clearance</t>
  </si>
  <si>
    <t>Framework-supplied default</t>
  </si>
  <si>
    <t>Duration (years)</t>
  </si>
  <si>
    <t>F0 to F1 progression rate (intermediate step)</t>
  </si>
  <si>
    <t>F1 to F2 progression rate (intermediate step)</t>
  </si>
  <si>
    <t>F2 to F3 progression rate (intermediate step)</t>
  </si>
  <si>
    <t>F3 to F4 progression rate (intermediate step)</t>
  </si>
  <si>
    <t>F4 to DC progression rate (intermediate step)</t>
  </si>
  <si>
    <t>F4 to HCC progression rate (intermediate step)</t>
  </si>
  <si>
    <t>Susceptible DC relapse rate (intermediate step)</t>
  </si>
  <si>
    <t>Susceptible HCC relapse rate (intermediate step)</t>
  </si>
  <si>
    <t>DC to HCC progression rate (intermediate step)</t>
  </si>
  <si>
    <t>F4 death rate (intermediate step)</t>
  </si>
  <si>
    <t>DC death rate (intermediate step)</t>
  </si>
  <si>
    <t>HCC death rate (intermediate step)</t>
  </si>
  <si>
    <t>Liver Transplant in Year 1 death rate (intermediate step)</t>
  </si>
  <si>
    <t>Liver Transplant 2+ Years Ago death rate (intermediate step)</t>
  </si>
  <si>
    <t>Reduction in mortality post DC cure</t>
  </si>
  <si>
    <t>Reduction in mortality post HCC cure</t>
  </si>
  <si>
    <t>Antibody testing rate in F0-F2, undiagnosed, in care (intermediate step)</t>
  </si>
  <si>
    <t>Antibody testing rate in F3+, undiagnosed, in care (intermediate step)</t>
  </si>
  <si>
    <t>RNA testing rate in F0-F2, Ab diagnosed, in care (intermediate step)</t>
  </si>
  <si>
    <t>RNA testing rate in F3+, Ab diagnosed, in care (intermediate step)</t>
  </si>
  <si>
    <t>Loss to follow-up rate on antibody test in F0-F2</t>
  </si>
  <si>
    <t>Loss to follow-up rate on antibody test in F3+</t>
  </si>
  <si>
    <t>Loss to follow-up rate on PCR test in F0-F2</t>
  </si>
  <si>
    <t>Loss to follow-up rate on PCR test in F3+</t>
  </si>
  <si>
    <t>Loss to follow-up rate after treatment initiation in F0-F2</t>
  </si>
  <si>
    <t>Loss to follow-up rate after treatment initiation in F3+</t>
  </si>
  <si>
    <t>Antibody re-engagement in care, F0-F2, lost to follow-up after Ab test</t>
  </si>
  <si>
    <t>Antibody re-engagement in care, F3+, lost to follow-up after Ab test</t>
  </si>
  <si>
    <t>RNA re-engagement in care, F0-F2, lost to follow up after RNA test</t>
  </si>
  <si>
    <t>RNA re-engagement in care, F3+, lost to follow up after RNA test</t>
  </si>
  <si>
    <t>Re-engagement in care after treatment initiation, F0-F2</t>
  </si>
  <si>
    <t>Re-engagement in care after treatment initiation, F3+</t>
  </si>
  <si>
    <t>RNA re-engagement in care, F0-F2, lost to follow up after Ab test</t>
  </si>
  <si>
    <t>RNA re-engagement in care, F3+, lost to follow up after Ab test</t>
  </si>
  <si>
    <t>Proportion of treatments allocated to each population pre-DAA</t>
  </si>
  <si>
    <t>Proportion of treatments allocated to each population post-DAA</t>
  </si>
  <si>
    <t>Proportion of treatments allocated to each population pre-DAA (PWID and Prisoners)</t>
  </si>
  <si>
    <t>Proportion of treatments allocated to each population post-DAA (PWID and Prisoners)</t>
  </si>
  <si>
    <t>Average treatment duration</t>
  </si>
  <si>
    <t>Probability of achieving SVR</t>
  </si>
  <si>
    <t>Proportion of treatments that are retreatments due to failure</t>
  </si>
  <si>
    <t>DC to liver transplant rate</t>
  </si>
  <si>
    <t>HCC to liver transplant rate</t>
  </si>
  <si>
    <t>DC liver transplant 1 to 2+ years ago rate</t>
  </si>
  <si>
    <t>HCC liver transplant 1 to 2+ years ago rate</t>
  </si>
  <si>
    <t>Percent diagnosed Ab or RNA (ever)</t>
  </si>
  <si>
    <t>Total</t>
  </si>
  <si>
    <t>Number of treatments</t>
  </si>
  <si>
    <t>Chronic HCV infections</t>
  </si>
  <si>
    <t>Total number of people living with HCV</t>
  </si>
  <si>
    <t>Positive antibody tests</t>
  </si>
  <si>
    <t>Total number of diagnoses</t>
  </si>
  <si>
    <t>Chronic HCV infections in F0-F2</t>
  </si>
  <si>
    <t>Chronic HCV infections in F3</t>
  </si>
  <si>
    <t>Number of prevalent cases of compensated cirrhosis due to HCV (including cured)</t>
  </si>
  <si>
    <t>Number of prevalent cases of decompensated compensated cirrhosis due to HCV (including cured)</t>
  </si>
  <si>
    <t>Chronic HCV infections in HCC</t>
  </si>
  <si>
    <t>HCV incidence</t>
  </si>
  <si>
    <t>DC incidence</t>
  </si>
  <si>
    <t>HCC incidence</t>
  </si>
  <si>
    <t>Liver transplants due to HCV</t>
  </si>
  <si>
    <t>HCV-related deaths</t>
  </si>
  <si>
    <t>All-cause deaths (18+)</t>
  </si>
  <si>
    <t>Population living with acute HCV</t>
  </si>
  <si>
    <t>Susceptible, antibody positive (aware, unaware, treated)</t>
  </si>
  <si>
    <t>Susceptible (all)</t>
  </si>
  <si>
    <t>Liver Fibrosis F0 (Chronic) (vaccinated)</t>
  </si>
  <si>
    <t>Liver Fibrosis F1 (Chronic) (vaccinated)</t>
  </si>
  <si>
    <t>Liver Fibrosis F2 (Chronic) (vaccinated)</t>
  </si>
  <si>
    <t>Liver Fibrosis F0-2 (Chronic) (vaccinated)</t>
  </si>
  <si>
    <t>Liver Fibrosis F3 (Chronic) (vaccinated)</t>
  </si>
  <si>
    <t>Liver Fibrosis F4 (Chronic) (vaccinated)</t>
  </si>
  <si>
    <t>Liver Fibrosis F3-4 (Chronic) (vaccinated)</t>
  </si>
  <si>
    <t>Liver Fibrosis All Stages (Chronic) (vaccinated)</t>
  </si>
  <si>
    <t>Decompensated Cirrhosis (Chronic) (vaccinated)</t>
  </si>
  <si>
    <t>Hepatocellular Carcinoma (Chronic) (vaccinated)</t>
  </si>
  <si>
    <t>Decompensated Cirrhosis and Hepatocellular Carcinoma (Chronic) (vaccinated)</t>
  </si>
  <si>
    <t>Population living with acute HCV (vaccinated)</t>
  </si>
  <si>
    <t>Population living with chronic HCV (vaccinated)</t>
  </si>
  <si>
    <t>Susceptible, antibody positive (aware, unaware, treated) (vaccinated)</t>
  </si>
  <si>
    <t>Susceptible (all) (vaccinated)</t>
  </si>
  <si>
    <t>Total population living with HCV</t>
  </si>
  <si>
    <t>Failed treatment 1 F0</t>
  </si>
  <si>
    <t>Failed treatment 1 F1</t>
  </si>
  <si>
    <t>Failed treatment 1 F2</t>
  </si>
  <si>
    <t>Failed treatment 1 F3</t>
  </si>
  <si>
    <t>Failed treatment 1 F4</t>
  </si>
  <si>
    <t>Failed treatment 1 DC</t>
  </si>
  <si>
    <t>Failed treatment 1 HCC</t>
  </si>
  <si>
    <t>Failed treatment 2 F0</t>
  </si>
  <si>
    <t>Failed treatment 2 F1</t>
  </si>
  <si>
    <t>Failed treatment 2 F2</t>
  </si>
  <si>
    <t>Failed treatment 2 F3</t>
  </si>
  <si>
    <t>Failed treatment 2 F4</t>
  </si>
  <si>
    <t>Failed treatment 2 DC</t>
  </si>
  <si>
    <t>Failed treatment 2 HCC</t>
  </si>
  <si>
    <t>Number undiagnosed F0</t>
  </si>
  <si>
    <t>Number undiagnosed F1</t>
  </si>
  <si>
    <t>Number undiagnosed F2</t>
  </si>
  <si>
    <t>Number undiagnosed F3</t>
  </si>
  <si>
    <t>Number undiagnosed F4</t>
  </si>
  <si>
    <t>Number undiagnosed DC</t>
  </si>
  <si>
    <t>Number undiagnosed HCC</t>
  </si>
  <si>
    <t>Number undiagnosed acute</t>
  </si>
  <si>
    <t>LTFU failed tx 1 F0</t>
  </si>
  <si>
    <t>LTFU failed tx 1 F1</t>
  </si>
  <si>
    <t>LTFU failed tx 1 F2</t>
  </si>
  <si>
    <t>LTFU failed tx 1 F3</t>
  </si>
  <si>
    <t>LTFU failed tx 1 F4</t>
  </si>
  <si>
    <t>LTFU failed tx 1 DC</t>
  </si>
  <si>
    <t>LTFU failed tx 1 HCC</t>
  </si>
  <si>
    <t>LTFU antibody test F0</t>
  </si>
  <si>
    <t>LTFU antibody test F1</t>
  </si>
  <si>
    <t>LTFU antibody test F2</t>
  </si>
  <si>
    <t>LTFU antibody test F3</t>
  </si>
  <si>
    <t>LTFU antibody test F4</t>
  </si>
  <si>
    <t>LTFU antibody test DC</t>
  </si>
  <si>
    <t>LTFU antibody test HCC</t>
  </si>
  <si>
    <t>LTFU PCR test F0</t>
  </si>
  <si>
    <t>LTFU PCR test F1</t>
  </si>
  <si>
    <t>LTFU PCR test F2</t>
  </si>
  <si>
    <t>LTFU PCR test F3</t>
  </si>
  <si>
    <t>LTFU PCR test F4</t>
  </si>
  <si>
    <t>LTFU PCR test DC</t>
  </si>
  <si>
    <t>LTFU PCR test HCC</t>
  </si>
  <si>
    <t>On treatment 1 F0</t>
  </si>
  <si>
    <t>On treatment 1 F1</t>
  </si>
  <si>
    <t>On treatment 1 F2</t>
  </si>
  <si>
    <t>On treatment 1 F3</t>
  </si>
  <si>
    <t>On treatment 1 F4</t>
  </si>
  <si>
    <t>On treatment 1 DC</t>
  </si>
  <si>
    <t>On treatment 1 HCC</t>
  </si>
  <si>
    <t>On treatment 2 F0</t>
  </si>
  <si>
    <t>On treatment 2 F1</t>
  </si>
  <si>
    <t>On treatment 2 F2</t>
  </si>
  <si>
    <t>On treatment 2 F3</t>
  </si>
  <si>
    <t>On treatment 2 F4</t>
  </si>
  <si>
    <t>On treatment 2 DC</t>
  </si>
  <si>
    <t>On treatment 2 HCC</t>
  </si>
  <si>
    <t>Undiagnosed, lost to care f0</t>
  </si>
  <si>
    <t>Undiagnosed, lost to care f1</t>
  </si>
  <si>
    <t>Undiagnosed, lost to care f2</t>
  </si>
  <si>
    <t>Undiagnosed, lost to care f3</t>
  </si>
  <si>
    <t>Undiagnosed, lost to care f4</t>
  </si>
  <si>
    <t>Undiagnosed, lost to care dc</t>
  </si>
  <si>
    <t>Undiagnosed, lost to care hcc</t>
  </si>
  <si>
    <t>Multiplier for progression rates (intermediate step for calibration)</t>
  </si>
  <si>
    <t>Multiplier for death rates (intermediate step for calibration)</t>
  </si>
  <si>
    <t>Testing rate multiplier non-PWID (intermediate calculation/calibration step)</t>
  </si>
  <si>
    <t>Separate test multiplier for PWID and Prisoners (no need to calibrate it)</t>
  </si>
  <si>
    <t>Number of treatments per population group (intermediate calculation step)</t>
  </si>
  <si>
    <t>Prevalence (intermediate calibration step)</t>
  </si>
  <si>
    <t>Vaccine: vaccination uptake</t>
  </si>
  <si>
    <t>Vaccine: duration for waning effectiveness</t>
  </si>
  <si>
    <t>Vaccine: proportion of HCV infections spontaneously clearing</t>
  </si>
  <si>
    <t>Vaccine: duration for spontaneous viral clearance</t>
  </si>
  <si>
    <t>Vaccine: FOI multiplier for PWID</t>
  </si>
  <si>
    <t>Vaccine: FOI multiplier for gPop</t>
  </si>
  <si>
    <t>idu</t>
  </si>
  <si>
    <t>Injecting Drug Use Transmission</t>
  </si>
  <si>
    <t>From population type</t>
  </si>
  <si>
    <t>To population type</t>
  </si>
  <si>
    <t>Y</t>
  </si>
  <si>
    <t>N</t>
  </si>
  <si>
    <t>From population</t>
  </si>
  <si>
    <t>To population</t>
  </si>
  <si>
    <t>age</t>
  </si>
  <si>
    <t>Aging</t>
  </si>
  <si>
    <t>Number (years)</t>
  </si>
  <si>
    <t>idu_status</t>
  </si>
  <si>
    <t>Injecting Drug Use Relapse or Cessation</t>
  </si>
  <si>
    <t>inc</t>
  </si>
  <si>
    <t>Incarceration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</si>
</sst>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8"/>
      <color indexed="81"/>
      <name val="Tahoma"/>
      <family val="2"/>
    </font>
  </fonts>
  <fills count="4">
    <fill>
      <patternFill patternType="none"/>
    </fill>
    <fill>
      <patternFill patternType="gray125"/>
    </fill>
    <fill>
      <patternFill patternType="solid">
        <fgColor rgb="FF98E0FA"/>
        <bgColor indexed="64"/>
      </patternFill>
    </fill>
    <fill>
      <patternFill patternType="solid">
        <fgColor rgb="FFEEEEEE"/>
        <bgColor indexed="64"/>
      </patternFill>
    </fill>
  </fills>
  <borders count="3">
    <border>
      <left/>
      <right/>
      <top/>
      <bottom/>
      <diagonal/>
    </border>
    <border>
      <left style="thin">
        <color rgb="FFFFFFFF"/>
      </left>
      <right style="thin">
        <color rgb="FFFFFFFF"/>
      </right>
      <top style="thin">
        <color rgb="FFFFFFFF"/>
      </top>
      <bottom style="thin">
        <color rgb="FFFFFFFF"/>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6">
    <xf numFmtId="0" fontId="0" fillId="0" borderId="0" xfId="0"/>
    <xf numFmtId="0" fontId="1" fillId="0" borderId="0" xfId="0" applyFont="1" applyAlignment="1">
      <alignment horizontal="center"/>
    </xf>
    <xf numFmtId="0" fontId="0" fillId="2" borderId="1" xfId="0" applyFill="1" applyBorder="1" applyProtection="1">
      <protection locked="0"/>
    </xf>
    <xf numFmtId="0" fontId="0" fillId="3" borderId="2" xfId="0" applyFill="1" applyBorder="1"/>
    <xf numFmtId="0" fontId="0" fillId="0" borderId="0" xfId="0" applyAlignment="1">
      <alignment horizontal="center"/>
    </xf>
    <xf numFmtId="0" fontId="0" fillId="2" borderId="1" xfId="0" applyFill="1" applyBorder="1" applyAlignment="1" applyProtection="1">
      <alignment horizontal="center"/>
      <protection locked="0"/>
    </xf>
  </cellXfs>
  <cellStyles count="1">
    <cellStyle name="Normal" xfId="0" builtinId="0"/>
  </cellStyles>
  <dxfs count="934">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patternType="lightUp"/>
      </fill>
    </dxf>
    <dxf>
      <fill>
        <patternFill patternType="lightUp">
          <bgColor rgb="FFFF00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patternType="lightUp">
          <bgColor rgb="FFFF0000"/>
        </patternFill>
      </fill>
    </dxf>
    <dxf>
      <fill>
        <patternFill patternType="lightUp"/>
      </fill>
    </dxf>
    <dxf>
      <fill>
        <patternFill>
          <bgColor rgb="FF98E0FA"/>
        </patternFill>
      </fill>
    </dxf>
    <dxf>
      <fill>
        <patternFill>
          <bgColor rgb="FFFFA500"/>
        </patternFill>
      </fill>
    </dxf>
    <dxf>
      <fill>
        <patternFill>
          <bgColor rgb="FF98E0FA"/>
        </patternFill>
      </fill>
    </dxf>
    <dxf>
      <fill>
        <patternFill>
          <bgColor rgb="FFFFA500"/>
        </patternFill>
      </fill>
    </dxf>
    <dxf>
      <fill>
        <patternFill patternType="lightUp"/>
      </fill>
    </dxf>
    <dxf>
      <fill>
        <patternFill patternType="lightUp">
          <bgColor rgb="FFFF00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patternType="lightUp">
          <bgColor rgb="FFFF0000"/>
        </patternFill>
      </fill>
    </dxf>
    <dxf>
      <fill>
        <patternFill patternType="lightUp"/>
      </fill>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98E0FA"/>
        </patternFill>
      </fill>
    </dxf>
    <dxf>
      <fill>
        <patternFill>
          <bgColor rgb="FFFFA500"/>
        </patternFill>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C13"/>
  <sheetViews>
    <sheetView workbookViewId="0"/>
  </sheetViews>
  <sheetFormatPr defaultRowHeight="15" x14ac:dyDescent="0.25"/>
  <cols>
    <col min="1" max="1" width="20.42578125" customWidth="1"/>
    <col min="2" max="2" width="38" customWidth="1"/>
    <col min="3" max="3" width="18.28515625" customWidth="1"/>
  </cols>
  <sheetData>
    <row r="1" spans="1:3" x14ac:dyDescent="0.25">
      <c r="A1" s="1" t="s">
        <v>0</v>
      </c>
      <c r="B1" s="1" t="s">
        <v>1</v>
      </c>
      <c r="C1" s="1" t="s">
        <v>2</v>
      </c>
    </row>
    <row r="2" spans="1:3" x14ac:dyDescent="0.25">
      <c r="A2" s="2" t="s">
        <v>3</v>
      </c>
      <c r="B2" s="2" t="s">
        <v>4</v>
      </c>
      <c r="C2" s="3" t="s">
        <v>5</v>
      </c>
    </row>
    <row r="3" spans="1:3" x14ac:dyDescent="0.25">
      <c r="A3" s="2" t="s">
        <v>6</v>
      </c>
      <c r="B3" s="2" t="s">
        <v>7</v>
      </c>
      <c r="C3" s="3" t="s">
        <v>5</v>
      </c>
    </row>
    <row r="4" spans="1:3" x14ac:dyDescent="0.25">
      <c r="A4" s="2" t="s">
        <v>8</v>
      </c>
      <c r="B4" s="2" t="s">
        <v>9</v>
      </c>
      <c r="C4" s="3" t="s">
        <v>5</v>
      </c>
    </row>
    <row r="5" spans="1:3" x14ac:dyDescent="0.25">
      <c r="A5" s="2" t="s">
        <v>10</v>
      </c>
      <c r="B5" s="2" t="s">
        <v>11</v>
      </c>
      <c r="C5" s="3" t="s">
        <v>5</v>
      </c>
    </row>
    <row r="6" spans="1:3" x14ac:dyDescent="0.25">
      <c r="A6" s="2" t="s">
        <v>12</v>
      </c>
      <c r="B6" s="2" t="s">
        <v>13</v>
      </c>
      <c r="C6" s="3" t="s">
        <v>5</v>
      </c>
    </row>
    <row r="7" spans="1:3" x14ac:dyDescent="0.25">
      <c r="A7" s="2" t="s">
        <v>14</v>
      </c>
      <c r="B7" s="2" t="s">
        <v>15</v>
      </c>
      <c r="C7" s="3" t="s">
        <v>5</v>
      </c>
    </row>
    <row r="8" spans="1:3" x14ac:dyDescent="0.25">
      <c r="A8" s="2" t="s">
        <v>16</v>
      </c>
      <c r="B8" s="2" t="s">
        <v>17</v>
      </c>
      <c r="C8" s="3" t="s">
        <v>5</v>
      </c>
    </row>
    <row r="9" spans="1:3" x14ac:dyDescent="0.25">
      <c r="A9" s="2" t="s">
        <v>18</v>
      </c>
      <c r="B9" s="2" t="s">
        <v>19</v>
      </c>
      <c r="C9" s="3" t="s">
        <v>5</v>
      </c>
    </row>
    <row r="10" spans="1:3" x14ac:dyDescent="0.25">
      <c r="A10" s="2" t="s">
        <v>20</v>
      </c>
      <c r="B10" s="2" t="s">
        <v>21</v>
      </c>
      <c r="C10" s="3" t="s">
        <v>5</v>
      </c>
    </row>
    <row r="11" spans="1:3" x14ac:dyDescent="0.25">
      <c r="A11" s="2" t="s">
        <v>22</v>
      </c>
      <c r="B11" s="2" t="s">
        <v>23</v>
      </c>
      <c r="C11" s="3" t="s">
        <v>5</v>
      </c>
    </row>
    <row r="12" spans="1:3" x14ac:dyDescent="0.25">
      <c r="A12" s="2" t="s">
        <v>24</v>
      </c>
      <c r="B12" s="2" t="s">
        <v>25</v>
      </c>
      <c r="C12" s="3" t="s">
        <v>5</v>
      </c>
    </row>
    <row r="13" spans="1:3" x14ac:dyDescent="0.25">
      <c r="A13" s="2" t="s">
        <v>26</v>
      </c>
      <c r="B13" s="2" t="s">
        <v>27</v>
      </c>
      <c r="C13" s="3" t="s">
        <v>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808080"/>
  </sheetPr>
  <dimension ref="A1:BE181"/>
  <sheetViews>
    <sheetView workbookViewId="0"/>
  </sheetViews>
  <sheetFormatPr defaultRowHeight="15" x14ac:dyDescent="0.25"/>
  <cols>
    <col min="1" max="1" width="53.42578125" customWidth="1"/>
    <col min="2" max="3" width="12.7109375" customWidth="1"/>
    <col min="4" max="4" width="13.85546875" customWidth="1"/>
    <col min="5" max="5" width="10.5703125" customWidth="1"/>
    <col min="6" max="57" width="9.42578125" customWidth="1"/>
  </cols>
  <sheetData>
    <row r="1" spans="1:55" x14ac:dyDescent="0.25">
      <c r="A1" s="1" t="s">
        <v>28</v>
      </c>
      <c r="B1" s="1" t="s">
        <v>29</v>
      </c>
      <c r="C1" s="1" t="s">
        <v>30</v>
      </c>
      <c r="D1" s="1" t="s">
        <v>31</v>
      </c>
      <c r="E1" s="1">
        <v>2000</v>
      </c>
      <c r="F1" s="1">
        <v>2001</v>
      </c>
      <c r="G1" s="1">
        <v>2002</v>
      </c>
      <c r="H1" s="1">
        <v>2003</v>
      </c>
      <c r="I1" s="1">
        <v>2004</v>
      </c>
      <c r="J1" s="1">
        <v>2005</v>
      </c>
      <c r="K1" s="1">
        <v>2006</v>
      </c>
      <c r="L1" s="1">
        <v>2007</v>
      </c>
      <c r="M1" s="1">
        <v>2008</v>
      </c>
      <c r="N1" s="1">
        <v>2009</v>
      </c>
      <c r="O1" s="1">
        <v>2010</v>
      </c>
      <c r="P1" s="1">
        <v>2011</v>
      </c>
      <c r="Q1" s="1">
        <v>2012</v>
      </c>
      <c r="R1" s="1">
        <v>2013</v>
      </c>
      <c r="S1" s="1">
        <v>2014</v>
      </c>
      <c r="T1" s="1">
        <v>2015</v>
      </c>
      <c r="U1" s="1">
        <v>2016</v>
      </c>
      <c r="V1" s="1">
        <v>2017</v>
      </c>
      <c r="W1" s="1">
        <v>2018</v>
      </c>
      <c r="X1" s="1">
        <v>2019</v>
      </c>
      <c r="Y1" s="1">
        <v>2020</v>
      </c>
      <c r="Z1" s="1">
        <v>2021</v>
      </c>
      <c r="AA1" s="1">
        <v>2022</v>
      </c>
      <c r="AB1" s="1">
        <v>2023</v>
      </c>
      <c r="AC1" s="1">
        <v>2024</v>
      </c>
      <c r="AD1" s="1">
        <v>2025</v>
      </c>
      <c r="AE1" s="1">
        <v>2026</v>
      </c>
      <c r="AF1" s="1">
        <v>2027</v>
      </c>
      <c r="AG1" s="1">
        <v>2028</v>
      </c>
      <c r="AH1" s="1">
        <v>2029</v>
      </c>
      <c r="AI1" s="1">
        <v>2030</v>
      </c>
      <c r="AJ1" s="1">
        <v>2031</v>
      </c>
      <c r="AK1" s="1">
        <v>2032</v>
      </c>
      <c r="AL1" s="1">
        <v>2033</v>
      </c>
      <c r="AM1" s="1">
        <v>2034</v>
      </c>
      <c r="AN1" s="1">
        <v>2035</v>
      </c>
      <c r="AO1" s="1">
        <v>2036</v>
      </c>
      <c r="AP1" s="1">
        <v>2037</v>
      </c>
      <c r="AQ1" s="1">
        <v>2038</v>
      </c>
      <c r="AR1" s="1">
        <v>2039</v>
      </c>
      <c r="AS1" s="1">
        <v>2040</v>
      </c>
      <c r="AT1" s="1">
        <v>2041</v>
      </c>
      <c r="AU1" s="1">
        <v>2042</v>
      </c>
      <c r="AV1" s="1">
        <v>2043</v>
      </c>
      <c r="AW1" s="1">
        <v>2044</v>
      </c>
      <c r="AX1" s="1">
        <v>2045</v>
      </c>
      <c r="AY1" s="1">
        <v>2046</v>
      </c>
      <c r="AZ1" s="1">
        <v>2047</v>
      </c>
      <c r="BA1" s="1">
        <v>2048</v>
      </c>
      <c r="BB1" s="1">
        <v>2049</v>
      </c>
      <c r="BC1" s="1">
        <v>2050</v>
      </c>
    </row>
    <row r="2" spans="1:55" x14ac:dyDescent="0.25">
      <c r="A2" s="1" t="str">
        <f>'Population Definitions'!$A$2</f>
        <v>PWID_males</v>
      </c>
      <c r="C2" t="s">
        <v>32</v>
      </c>
      <c r="D2" s="3"/>
      <c r="E2" s="3">
        <v>107914.73871681999</v>
      </c>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row>
    <row r="3" spans="1:55" x14ac:dyDescent="0.25">
      <c r="A3" s="1" t="str">
        <f>'Population Definitions'!$A$3</f>
        <v>PWID_females</v>
      </c>
      <c r="C3" t="s">
        <v>32</v>
      </c>
      <c r="D3" s="3"/>
      <c r="E3" s="3">
        <v>542.28511918000061</v>
      </c>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row>
    <row r="4" spans="1:55" x14ac:dyDescent="0.25">
      <c r="A4" s="1" t="str">
        <f>'Population Definitions'!$A$4</f>
        <v>0-9_males</v>
      </c>
      <c r="C4" t="s">
        <v>32</v>
      </c>
      <c r="D4" s="3"/>
      <c r="E4" s="3">
        <v>0</v>
      </c>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row>
    <row r="5" spans="1:55" x14ac:dyDescent="0.25">
      <c r="A5" s="1" t="str">
        <f>'Population Definitions'!$A$5</f>
        <v>0-9_females</v>
      </c>
      <c r="C5" t="s">
        <v>32</v>
      </c>
      <c r="D5" s="3"/>
      <c r="E5" s="3">
        <v>0</v>
      </c>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row>
    <row r="6" spans="1:55" x14ac:dyDescent="0.25">
      <c r="A6" s="1" t="str">
        <f>'Population Definitions'!$A$6</f>
        <v>10-17_males</v>
      </c>
      <c r="C6" t="s">
        <v>32</v>
      </c>
      <c r="D6" s="3"/>
      <c r="E6" s="3">
        <v>0</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row>
    <row r="7" spans="1:55" x14ac:dyDescent="0.25">
      <c r="A7" s="1" t="str">
        <f>'Population Definitions'!$A$7</f>
        <v>10-17_females</v>
      </c>
      <c r="C7" t="s">
        <v>32</v>
      </c>
      <c r="D7" s="3"/>
      <c r="E7" s="3">
        <v>0</v>
      </c>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row>
    <row r="8" spans="1:55" x14ac:dyDescent="0.25">
      <c r="A8" s="1" t="str">
        <f>'Population Definitions'!$A$8</f>
        <v>18-64_males</v>
      </c>
      <c r="C8" t="s">
        <v>32</v>
      </c>
      <c r="D8" s="3"/>
      <c r="E8" s="3">
        <v>5586949.3344045207</v>
      </c>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row>
    <row r="9" spans="1:55" x14ac:dyDescent="0.25">
      <c r="A9" s="1" t="str">
        <f>'Population Definitions'!$A$9</f>
        <v>18-64_females</v>
      </c>
      <c r="C9" t="s">
        <v>32</v>
      </c>
      <c r="D9" s="3"/>
      <c r="E9" s="3">
        <v>5309928.5013075871</v>
      </c>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row>
    <row r="10" spans="1:55" x14ac:dyDescent="0.25">
      <c r="A10" s="1" t="str">
        <f>'Population Definitions'!$A$10</f>
        <v>65+_males</v>
      </c>
      <c r="C10" t="s">
        <v>32</v>
      </c>
      <c r="D10" s="3"/>
      <c r="E10" s="3">
        <v>437452.75357194268</v>
      </c>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row>
    <row r="11" spans="1:55" x14ac:dyDescent="0.25">
      <c r="A11" s="1" t="str">
        <f>'Population Definitions'!$A$11</f>
        <v>65+_females</v>
      </c>
      <c r="C11" t="s">
        <v>32</v>
      </c>
      <c r="D11" s="3"/>
      <c r="E11" s="3">
        <v>382578.73720288638</v>
      </c>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row>
    <row r="12" spans="1:55" x14ac:dyDescent="0.25">
      <c r="A12" s="1" t="str">
        <f>'Population Definitions'!$A$12</f>
        <v>Prisoners_males</v>
      </c>
      <c r="C12" t="s">
        <v>32</v>
      </c>
      <c r="D12" s="3"/>
      <c r="E12" s="3">
        <v>16866.07233016787</v>
      </c>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row>
    <row r="13" spans="1:55" x14ac:dyDescent="0.25">
      <c r="A13" s="1" t="str">
        <f>'Population Definitions'!$A$13</f>
        <v>Prisoners_females</v>
      </c>
      <c r="C13" t="s">
        <v>32</v>
      </c>
      <c r="D13" s="3"/>
      <c r="E13" s="3">
        <v>137.57734689396321</v>
      </c>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row>
    <row r="15" spans="1:55" x14ac:dyDescent="0.25">
      <c r="A15" s="1" t="s">
        <v>33</v>
      </c>
      <c r="B15" s="1" t="s">
        <v>29</v>
      </c>
      <c r="C15" s="1" t="s">
        <v>30</v>
      </c>
      <c r="D15" s="1" t="s">
        <v>31</v>
      </c>
      <c r="E15" s="1">
        <v>2000</v>
      </c>
      <c r="F15" s="1">
        <v>2001</v>
      </c>
      <c r="G15" s="1">
        <v>2002</v>
      </c>
      <c r="H15" s="1">
        <v>2003</v>
      </c>
      <c r="I15" s="1">
        <v>2004</v>
      </c>
      <c r="J15" s="1">
        <v>2005</v>
      </c>
      <c r="K15" s="1">
        <v>2006</v>
      </c>
      <c r="L15" s="1">
        <v>2007</v>
      </c>
      <c r="M15" s="1">
        <v>2008</v>
      </c>
      <c r="N15" s="1">
        <v>2009</v>
      </c>
      <c r="O15" s="1">
        <v>2010</v>
      </c>
      <c r="P15" s="1">
        <v>2011</v>
      </c>
      <c r="Q15" s="1">
        <v>2012</v>
      </c>
      <c r="R15" s="1">
        <v>2013</v>
      </c>
      <c r="S15" s="1">
        <v>2014</v>
      </c>
      <c r="T15" s="1">
        <v>2015</v>
      </c>
      <c r="U15" s="1">
        <v>2016</v>
      </c>
      <c r="V15" s="1">
        <v>2017</v>
      </c>
      <c r="W15" s="1">
        <v>2018</v>
      </c>
      <c r="X15" s="1">
        <v>2019</v>
      </c>
      <c r="Y15" s="1">
        <v>2020</v>
      </c>
      <c r="Z15" s="1">
        <v>2021</v>
      </c>
      <c r="AA15" s="1">
        <v>2022</v>
      </c>
      <c r="AB15" s="1">
        <v>2023</v>
      </c>
      <c r="AC15" s="1">
        <v>2024</v>
      </c>
      <c r="AD15" s="1">
        <v>2025</v>
      </c>
      <c r="AE15" s="1">
        <v>2026</v>
      </c>
      <c r="AF15" s="1">
        <v>2027</v>
      </c>
      <c r="AG15" s="1">
        <v>2028</v>
      </c>
      <c r="AH15" s="1">
        <v>2029</v>
      </c>
      <c r="AI15" s="1">
        <v>2030</v>
      </c>
      <c r="AJ15" s="1">
        <v>2031</v>
      </c>
      <c r="AK15" s="1">
        <v>2032</v>
      </c>
      <c r="AL15" s="1">
        <v>2033</v>
      </c>
      <c r="AM15" s="1">
        <v>2034</v>
      </c>
      <c r="AN15" s="1">
        <v>2035</v>
      </c>
      <c r="AO15" s="1">
        <v>2036</v>
      </c>
      <c r="AP15" s="1">
        <v>2037</v>
      </c>
      <c r="AQ15" s="1">
        <v>2038</v>
      </c>
      <c r="AR15" s="1">
        <v>2039</v>
      </c>
      <c r="AS15" s="1">
        <v>2040</v>
      </c>
      <c r="AT15" s="1">
        <v>2041</v>
      </c>
      <c r="AU15" s="1">
        <v>2042</v>
      </c>
      <c r="AV15" s="1">
        <v>2043</v>
      </c>
      <c r="AW15" s="1">
        <v>2044</v>
      </c>
      <c r="AX15" s="1">
        <v>2045</v>
      </c>
      <c r="AY15" s="1">
        <v>2046</v>
      </c>
      <c r="AZ15" s="1">
        <v>2047</v>
      </c>
      <c r="BA15" s="1">
        <v>2048</v>
      </c>
      <c r="BB15" s="1">
        <v>2049</v>
      </c>
      <c r="BC15" s="1">
        <v>2050</v>
      </c>
    </row>
    <row r="16" spans="1:55" x14ac:dyDescent="0.25">
      <c r="A16" s="1" t="str">
        <f>'Population Definitions'!$A$2</f>
        <v>PWID_males</v>
      </c>
      <c r="C16" t="s">
        <v>34</v>
      </c>
      <c r="D16" s="3"/>
      <c r="E16" s="3">
        <v>0.30199999999999999</v>
      </c>
      <c r="F16" s="3"/>
      <c r="G16" s="3"/>
      <c r="H16" s="3"/>
      <c r="I16" s="3"/>
      <c r="J16" s="3"/>
      <c r="K16" s="3"/>
      <c r="L16" s="3"/>
      <c r="M16" s="3"/>
      <c r="N16" s="3"/>
      <c r="O16" s="3">
        <v>0.30199999999999999</v>
      </c>
      <c r="P16" s="3"/>
      <c r="Q16" s="3"/>
      <c r="R16" s="3"/>
      <c r="S16" s="3"/>
      <c r="T16" s="3">
        <v>0.30199999999999999</v>
      </c>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row>
    <row r="17" spans="1:57" x14ac:dyDescent="0.25">
      <c r="A17" s="1" t="str">
        <f>'Population Definitions'!$A$3</f>
        <v>PWID_females</v>
      </c>
      <c r="C17" t="s">
        <v>34</v>
      </c>
      <c r="D17" s="3"/>
      <c r="E17" s="3">
        <v>0.30199999999999999</v>
      </c>
      <c r="F17" s="3"/>
      <c r="G17" s="3"/>
      <c r="H17" s="3"/>
      <c r="I17" s="3"/>
      <c r="J17" s="3"/>
      <c r="K17" s="3"/>
      <c r="L17" s="3"/>
      <c r="M17" s="3"/>
      <c r="N17" s="3"/>
      <c r="O17" s="3">
        <v>0.30199999999999999</v>
      </c>
      <c r="P17" s="3"/>
      <c r="Q17" s="3"/>
      <c r="R17" s="3"/>
      <c r="S17" s="3"/>
      <c r="T17" s="3">
        <v>0.30199999999999999</v>
      </c>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row>
    <row r="18" spans="1:57" x14ac:dyDescent="0.25">
      <c r="A18" s="1" t="str">
        <f>'Population Definitions'!$A$4</f>
        <v>0-9_males</v>
      </c>
      <c r="C18" t="s">
        <v>34</v>
      </c>
      <c r="D18" s="3"/>
      <c r="E18" s="3">
        <v>0</v>
      </c>
      <c r="F18" s="3"/>
      <c r="G18" s="3"/>
      <c r="H18" s="3"/>
      <c r="I18" s="3"/>
      <c r="J18" s="3"/>
      <c r="K18" s="3"/>
      <c r="L18" s="3"/>
      <c r="M18" s="3"/>
      <c r="N18" s="3"/>
      <c r="O18" s="3">
        <v>0</v>
      </c>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row>
    <row r="19" spans="1:57" x14ac:dyDescent="0.25">
      <c r="A19" s="1" t="str">
        <f>'Population Definitions'!$A$5</f>
        <v>0-9_females</v>
      </c>
      <c r="C19" t="s">
        <v>34</v>
      </c>
      <c r="D19" s="3"/>
      <c r="E19" s="3">
        <v>0</v>
      </c>
      <c r="F19" s="3"/>
      <c r="G19" s="3"/>
      <c r="H19" s="3"/>
      <c r="I19" s="3"/>
      <c r="J19" s="3"/>
      <c r="K19" s="3"/>
      <c r="L19" s="3"/>
      <c r="M19" s="3"/>
      <c r="N19" s="3"/>
      <c r="O19" s="3">
        <v>0</v>
      </c>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row>
    <row r="20" spans="1:57" x14ac:dyDescent="0.25">
      <c r="A20" s="1" t="str">
        <f>'Population Definitions'!$A$6</f>
        <v>10-17_males</v>
      </c>
      <c r="C20" t="s">
        <v>34</v>
      </c>
      <c r="D20" s="3"/>
      <c r="E20" s="3">
        <v>0</v>
      </c>
      <c r="F20" s="3"/>
      <c r="G20" s="3"/>
      <c r="H20" s="3"/>
      <c r="I20" s="3"/>
      <c r="J20" s="3"/>
      <c r="K20" s="3"/>
      <c r="L20" s="3"/>
      <c r="M20" s="3"/>
      <c r="N20" s="3"/>
      <c r="O20" s="3">
        <v>0</v>
      </c>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row>
    <row r="21" spans="1:57" x14ac:dyDescent="0.25">
      <c r="A21" s="1" t="str">
        <f>'Population Definitions'!$A$7</f>
        <v>10-17_females</v>
      </c>
      <c r="C21" t="s">
        <v>34</v>
      </c>
      <c r="D21" s="3"/>
      <c r="E21" s="3">
        <v>0</v>
      </c>
      <c r="F21" s="3"/>
      <c r="G21" s="3"/>
      <c r="H21" s="3"/>
      <c r="I21" s="3"/>
      <c r="J21" s="3"/>
      <c r="K21" s="3"/>
      <c r="L21" s="3"/>
      <c r="M21" s="3"/>
      <c r="N21" s="3"/>
      <c r="O21" s="3">
        <v>0</v>
      </c>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row>
    <row r="22" spans="1:57" x14ac:dyDescent="0.25">
      <c r="A22" s="1" t="str">
        <f>'Population Definitions'!$A$8</f>
        <v>18-64_males</v>
      </c>
      <c r="C22" t="s">
        <v>34</v>
      </c>
      <c r="D22" s="3"/>
      <c r="E22" s="3">
        <v>0.1522176782859665</v>
      </c>
      <c r="F22" s="3"/>
      <c r="G22" s="3"/>
      <c r="H22" s="3"/>
      <c r="I22" s="3"/>
      <c r="J22" s="3"/>
      <c r="K22" s="3"/>
      <c r="L22" s="3"/>
      <c r="M22" s="3"/>
      <c r="N22" s="3"/>
      <c r="O22" s="3">
        <v>0</v>
      </c>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row>
    <row r="23" spans="1:57" x14ac:dyDescent="0.25">
      <c r="A23" s="1" t="str">
        <f>'Population Definitions'!$A$9</f>
        <v>18-64_females</v>
      </c>
      <c r="C23" t="s">
        <v>34</v>
      </c>
      <c r="D23" s="3"/>
      <c r="E23" s="3">
        <v>0.1522176782859665</v>
      </c>
      <c r="F23" s="3"/>
      <c r="G23" s="3"/>
      <c r="H23" s="3"/>
      <c r="I23" s="3"/>
      <c r="J23" s="3"/>
      <c r="K23" s="3"/>
      <c r="L23" s="3"/>
      <c r="M23" s="3"/>
      <c r="N23" s="3"/>
      <c r="O23" s="3">
        <v>0</v>
      </c>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row>
    <row r="24" spans="1:57" x14ac:dyDescent="0.25">
      <c r="A24" s="1" t="str">
        <f>'Population Definitions'!$A$10</f>
        <v>65+_males</v>
      </c>
      <c r="C24" t="s">
        <v>34</v>
      </c>
      <c r="D24" s="3"/>
      <c r="E24" s="3">
        <v>0.1522176782859665</v>
      </c>
      <c r="F24" s="3"/>
      <c r="G24" s="3"/>
      <c r="H24" s="3"/>
      <c r="I24" s="3"/>
      <c r="J24" s="3"/>
      <c r="K24" s="3"/>
      <c r="L24" s="3"/>
      <c r="M24" s="3"/>
      <c r="N24" s="3"/>
      <c r="O24" s="3">
        <v>0</v>
      </c>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row>
    <row r="25" spans="1:57" x14ac:dyDescent="0.25">
      <c r="A25" s="1" t="str">
        <f>'Population Definitions'!$A$11</f>
        <v>65+_females</v>
      </c>
      <c r="C25" t="s">
        <v>34</v>
      </c>
      <c r="D25" s="3"/>
      <c r="E25" s="3">
        <v>0.1522176782859665</v>
      </c>
      <c r="F25" s="3"/>
      <c r="G25" s="3"/>
      <c r="H25" s="3"/>
      <c r="I25" s="3"/>
      <c r="J25" s="3"/>
      <c r="K25" s="3"/>
      <c r="L25" s="3"/>
      <c r="M25" s="3"/>
      <c r="N25" s="3"/>
      <c r="O25" s="3">
        <v>0</v>
      </c>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row>
    <row r="26" spans="1:57" x14ac:dyDescent="0.25">
      <c r="A26" s="1" t="str">
        <f>'Population Definitions'!$A$12</f>
        <v>Prisoners_males</v>
      </c>
      <c r="C26" t="s">
        <v>34</v>
      </c>
      <c r="D26" s="3"/>
      <c r="E26" s="3">
        <v>0.2169160109356256</v>
      </c>
      <c r="F26" s="3"/>
      <c r="G26" s="3"/>
      <c r="H26" s="3"/>
      <c r="I26" s="3"/>
      <c r="J26" s="3"/>
      <c r="K26" s="3"/>
      <c r="L26" s="3"/>
      <c r="M26" s="3"/>
      <c r="N26" s="3"/>
      <c r="O26" s="3">
        <v>0.2169160109356256</v>
      </c>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row>
    <row r="27" spans="1:57" x14ac:dyDescent="0.25">
      <c r="A27" s="1" t="str">
        <f>'Population Definitions'!$A$13</f>
        <v>Prisoners_females</v>
      </c>
      <c r="C27" t="s">
        <v>34</v>
      </c>
      <c r="D27" s="3"/>
      <c r="E27" s="3">
        <v>0.1161902141714282</v>
      </c>
      <c r="F27" s="3"/>
      <c r="G27" s="3"/>
      <c r="H27" s="3"/>
      <c r="I27" s="3"/>
      <c r="J27" s="3"/>
      <c r="K27" s="3"/>
      <c r="L27" s="3"/>
      <c r="M27" s="3"/>
      <c r="N27" s="3"/>
      <c r="O27" s="3">
        <v>0.1161902141714282</v>
      </c>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row>
    <row r="29" spans="1:57" x14ac:dyDescent="0.25">
      <c r="A29" s="1" t="s">
        <v>35</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34</v>
      </c>
      <c r="D30" s="3"/>
      <c r="E30" s="3">
        <v>0.94499999999999995</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34</v>
      </c>
      <c r="D31" s="3"/>
      <c r="E31" s="3">
        <v>0.94499999999999995</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34</v>
      </c>
      <c r="D32" s="3"/>
      <c r="E32" s="3">
        <v>0.94499999999999995</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C33" t="s">
        <v>34</v>
      </c>
      <c r="D33" s="3"/>
      <c r="E33" s="3">
        <v>0.94499999999999995</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C34" t="s">
        <v>34</v>
      </c>
      <c r="D34" s="3"/>
      <c r="E34" s="3">
        <v>0.94499999999999995</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C35" t="s">
        <v>34</v>
      </c>
      <c r="D35" s="3"/>
      <c r="E35" s="3">
        <v>0.94499999999999995</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C36" t="s">
        <v>34</v>
      </c>
      <c r="D36" s="3"/>
      <c r="E36" s="3">
        <v>0.94499999999999995</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C37" t="s">
        <v>34</v>
      </c>
      <c r="D37" s="3"/>
      <c r="E37" s="3">
        <v>0.94499999999999995</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C38" t="s">
        <v>34</v>
      </c>
      <c r="D38" s="3"/>
      <c r="E38" s="3">
        <v>0.94499999999999995</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C39" t="s">
        <v>34</v>
      </c>
      <c r="D39" s="3"/>
      <c r="E39" s="3">
        <v>0.94499999999999995</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C40" t="s">
        <v>34</v>
      </c>
      <c r="D40" s="3"/>
      <c r="E40" s="3">
        <v>0.94499999999999995</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34</v>
      </c>
      <c r="D41" s="3"/>
      <c r="E41" s="3">
        <v>0.94499999999999995</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38</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C44" t="s">
        <v>34</v>
      </c>
      <c r="D44" s="3"/>
      <c r="E44" s="3">
        <v>0.03</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C45" t="s">
        <v>34</v>
      </c>
      <c r="D45" s="3"/>
      <c r="E45" s="3">
        <v>0.03</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C46" t="s">
        <v>34</v>
      </c>
      <c r="D46" s="3"/>
      <c r="E46" s="3">
        <v>0.03</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C47" t="s">
        <v>34</v>
      </c>
      <c r="D47" s="3"/>
      <c r="E47" s="3">
        <v>0.03</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C48" t="s">
        <v>34</v>
      </c>
      <c r="D48" s="3"/>
      <c r="E48" s="3">
        <v>0.03</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C49" t="s">
        <v>34</v>
      </c>
      <c r="D49" s="3"/>
      <c r="E49" s="3">
        <v>0.03</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C50" t="s">
        <v>34</v>
      </c>
      <c r="D50" s="3"/>
      <c r="E50" s="3">
        <v>0.03</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C51" t="s">
        <v>34</v>
      </c>
      <c r="D51" s="3"/>
      <c r="E51" s="3">
        <v>0.03</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C52" t="s">
        <v>34</v>
      </c>
      <c r="D52" s="3"/>
      <c r="E52" s="3">
        <v>0.03</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C53" t="s">
        <v>34</v>
      </c>
      <c r="D53" s="3"/>
      <c r="E53" s="3">
        <v>0.03</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C54" t="s">
        <v>34</v>
      </c>
      <c r="D54" s="3"/>
      <c r="E54" s="3">
        <v>0.03</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C55" t="s">
        <v>34</v>
      </c>
      <c r="D55" s="3"/>
      <c r="E55" s="3">
        <v>0.03</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39</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C58" t="s">
        <v>34</v>
      </c>
      <c r="D58" s="3"/>
      <c r="E58" s="3">
        <v>0.02</v>
      </c>
      <c r="F58" s="4" t="s">
        <v>37</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C59" t="s">
        <v>34</v>
      </c>
      <c r="D59" s="3"/>
      <c r="E59" s="3">
        <v>0.02</v>
      </c>
      <c r="F59" s="4" t="s">
        <v>37</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C60" t="s">
        <v>34</v>
      </c>
      <c r="D60" s="3"/>
      <c r="E60" s="3">
        <v>0.02</v>
      </c>
      <c r="F60" s="4" t="s">
        <v>37</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C61" t="s">
        <v>34</v>
      </c>
      <c r="D61" s="3"/>
      <c r="E61" s="3">
        <v>0.02</v>
      </c>
      <c r="F61" s="4" t="s">
        <v>37</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C62" t="s">
        <v>34</v>
      </c>
      <c r="D62" s="3"/>
      <c r="E62" s="3">
        <v>0.02</v>
      </c>
      <c r="F62" s="4" t="s">
        <v>37</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C63" t="s">
        <v>34</v>
      </c>
      <c r="D63" s="3"/>
      <c r="E63" s="3">
        <v>0.02</v>
      </c>
      <c r="F63" s="4" t="s">
        <v>37</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C64" t="s">
        <v>34</v>
      </c>
      <c r="D64" s="3"/>
      <c r="E64" s="3">
        <v>0.02</v>
      </c>
      <c r="F64" s="4" t="s">
        <v>37</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C65" t="s">
        <v>34</v>
      </c>
      <c r="D65" s="3"/>
      <c r="E65" s="3">
        <v>0.02</v>
      </c>
      <c r="F65" s="4" t="s">
        <v>37</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C66" t="s">
        <v>34</v>
      </c>
      <c r="D66" s="3"/>
      <c r="E66" s="3">
        <v>0.02</v>
      </c>
      <c r="F66" s="4" t="s">
        <v>37</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C67" t="s">
        <v>34</v>
      </c>
      <c r="D67" s="3"/>
      <c r="E67" s="3">
        <v>0.02</v>
      </c>
      <c r="F67" s="4" t="s">
        <v>37</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C68" t="s">
        <v>34</v>
      </c>
      <c r="D68" s="3"/>
      <c r="E68" s="3">
        <v>0.02</v>
      </c>
      <c r="F68" s="4" t="s">
        <v>37</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C69" t="s">
        <v>34</v>
      </c>
      <c r="D69" s="3"/>
      <c r="E69" s="3">
        <v>0.02</v>
      </c>
      <c r="F69" s="4" t="s">
        <v>37</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40</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C72" t="s">
        <v>34</v>
      </c>
      <c r="D72" s="3"/>
      <c r="E72" s="3">
        <v>4.4999999999999997E-3</v>
      </c>
      <c r="F72" s="4" t="s">
        <v>37</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C73" t="s">
        <v>34</v>
      </c>
      <c r="D73" s="3"/>
      <c r="E73" s="3">
        <v>4.4999999999999997E-3</v>
      </c>
      <c r="F73" s="4" t="s">
        <v>37</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C74" t="s">
        <v>34</v>
      </c>
      <c r="D74" s="3"/>
      <c r="E74" s="3">
        <v>4.4999999999999997E-3</v>
      </c>
      <c r="F74" s="4" t="s">
        <v>37</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C75" t="s">
        <v>34</v>
      </c>
      <c r="D75" s="3"/>
      <c r="E75" s="3">
        <v>4.4999999999999997E-3</v>
      </c>
      <c r="F75" s="4" t="s">
        <v>37</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C76" t="s">
        <v>34</v>
      </c>
      <c r="D76" s="3"/>
      <c r="E76" s="3">
        <v>4.4999999999999997E-3</v>
      </c>
      <c r="F76" s="4" t="s">
        <v>37</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C77" t="s">
        <v>34</v>
      </c>
      <c r="D77" s="3"/>
      <c r="E77" s="3">
        <v>4.4999999999999997E-3</v>
      </c>
      <c r="F77" s="4" t="s">
        <v>37</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C78" t="s">
        <v>34</v>
      </c>
      <c r="D78" s="3"/>
      <c r="E78" s="3">
        <v>4.4999999999999997E-3</v>
      </c>
      <c r="F78" s="4" t="s">
        <v>37</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C79" t="s">
        <v>34</v>
      </c>
      <c r="D79" s="3"/>
      <c r="E79" s="3">
        <v>4.4999999999999997E-3</v>
      </c>
      <c r="F79" s="4" t="s">
        <v>37</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C80" t="s">
        <v>34</v>
      </c>
      <c r="D80" s="3"/>
      <c r="E80" s="3">
        <v>4.4999999999999997E-3</v>
      </c>
      <c r="F80" s="4" t="s">
        <v>37</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C81" t="s">
        <v>34</v>
      </c>
      <c r="D81" s="3"/>
      <c r="E81" s="3">
        <v>4.4999999999999997E-3</v>
      </c>
      <c r="F81" s="4" t="s">
        <v>37</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C82" t="s">
        <v>34</v>
      </c>
      <c r="D82" s="3"/>
      <c r="E82" s="3">
        <v>4.4999999999999997E-3</v>
      </c>
      <c r="F82" s="4" t="s">
        <v>37</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C83" t="s">
        <v>34</v>
      </c>
      <c r="D83" s="3"/>
      <c r="E83" s="3">
        <v>4.4999999999999997E-3</v>
      </c>
      <c r="F83" s="4" t="s">
        <v>37</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row r="85" spans="1:57" x14ac:dyDescent="0.25">
      <c r="A85" s="1" t="s">
        <v>41</v>
      </c>
      <c r="B85" s="1" t="s">
        <v>29</v>
      </c>
      <c r="C85" s="1" t="s">
        <v>30</v>
      </c>
      <c r="D85" s="1" t="s">
        <v>31</v>
      </c>
      <c r="E85" s="1" t="s">
        <v>36</v>
      </c>
      <c r="F85" s="1"/>
      <c r="G85" s="1">
        <v>2000</v>
      </c>
      <c r="H85" s="1">
        <v>2001</v>
      </c>
      <c r="I85" s="1">
        <v>2002</v>
      </c>
      <c r="J85" s="1">
        <v>2003</v>
      </c>
      <c r="K85" s="1">
        <v>2004</v>
      </c>
      <c r="L85" s="1">
        <v>2005</v>
      </c>
      <c r="M85" s="1">
        <v>2006</v>
      </c>
      <c r="N85" s="1">
        <v>2007</v>
      </c>
      <c r="O85" s="1">
        <v>2008</v>
      </c>
      <c r="P85" s="1">
        <v>2009</v>
      </c>
      <c r="Q85" s="1">
        <v>2010</v>
      </c>
      <c r="R85" s="1">
        <v>2011</v>
      </c>
      <c r="S85" s="1">
        <v>2012</v>
      </c>
      <c r="T85" s="1">
        <v>2013</v>
      </c>
      <c r="U85" s="1">
        <v>2014</v>
      </c>
      <c r="V85" s="1">
        <v>2015</v>
      </c>
      <c r="W85" s="1">
        <v>2016</v>
      </c>
      <c r="X85" s="1">
        <v>2017</v>
      </c>
      <c r="Y85" s="1">
        <v>2018</v>
      </c>
      <c r="Z85" s="1">
        <v>2019</v>
      </c>
      <c r="AA85" s="1">
        <v>2020</v>
      </c>
      <c r="AB85" s="1">
        <v>2021</v>
      </c>
      <c r="AC85" s="1">
        <v>2022</v>
      </c>
      <c r="AD85" s="1">
        <v>2023</v>
      </c>
      <c r="AE85" s="1">
        <v>2024</v>
      </c>
      <c r="AF85" s="1">
        <v>2025</v>
      </c>
      <c r="AG85" s="1">
        <v>2026</v>
      </c>
      <c r="AH85" s="1">
        <v>2027</v>
      </c>
      <c r="AI85" s="1">
        <v>2028</v>
      </c>
      <c r="AJ85" s="1">
        <v>2029</v>
      </c>
      <c r="AK85" s="1">
        <v>2030</v>
      </c>
      <c r="AL85" s="1">
        <v>2031</v>
      </c>
      <c r="AM85" s="1">
        <v>2032</v>
      </c>
      <c r="AN85" s="1">
        <v>2033</v>
      </c>
      <c r="AO85" s="1">
        <v>2034</v>
      </c>
      <c r="AP85" s="1">
        <v>2035</v>
      </c>
      <c r="AQ85" s="1">
        <v>2036</v>
      </c>
      <c r="AR85" s="1">
        <v>2037</v>
      </c>
      <c r="AS85" s="1">
        <v>2038</v>
      </c>
      <c r="AT85" s="1">
        <v>2039</v>
      </c>
      <c r="AU85" s="1">
        <v>2040</v>
      </c>
      <c r="AV85" s="1">
        <v>2041</v>
      </c>
      <c r="AW85" s="1">
        <v>2042</v>
      </c>
      <c r="AX85" s="1">
        <v>2043</v>
      </c>
      <c r="AY85" s="1">
        <v>2044</v>
      </c>
      <c r="AZ85" s="1">
        <v>2045</v>
      </c>
      <c r="BA85" s="1">
        <v>2046</v>
      </c>
      <c r="BB85" s="1">
        <v>2047</v>
      </c>
      <c r="BC85" s="1">
        <v>2048</v>
      </c>
      <c r="BD85" s="1">
        <v>2049</v>
      </c>
      <c r="BE85" s="1">
        <v>2050</v>
      </c>
    </row>
    <row r="86" spans="1:57" x14ac:dyDescent="0.25">
      <c r="A86" s="1" t="str">
        <f>'Population Definitions'!$A$2</f>
        <v>PWID_males</v>
      </c>
      <c r="C86" t="s">
        <v>34</v>
      </c>
      <c r="D86" s="3"/>
      <c r="E86" s="3">
        <v>5.0000000000005596E-4</v>
      </c>
      <c r="F86" s="4" t="s">
        <v>37</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row>
    <row r="87" spans="1:57" x14ac:dyDescent="0.25">
      <c r="A87" s="1" t="str">
        <f>'Population Definitions'!$A$3</f>
        <v>PWID_females</v>
      </c>
      <c r="C87" t="s">
        <v>34</v>
      </c>
      <c r="D87" s="3"/>
      <c r="E87" s="3">
        <v>5.0000000000005596E-4</v>
      </c>
      <c r="F87" s="4" t="s">
        <v>37</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row>
    <row r="88" spans="1:57" x14ac:dyDescent="0.25">
      <c r="A88" s="1" t="str">
        <f>'Population Definitions'!$A$4</f>
        <v>0-9_males</v>
      </c>
      <c r="C88" t="s">
        <v>34</v>
      </c>
      <c r="D88" s="3"/>
      <c r="E88" s="3">
        <v>5.0000000000005596E-4</v>
      </c>
      <c r="F88" s="4" t="s">
        <v>37</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row>
    <row r="89" spans="1:57" x14ac:dyDescent="0.25">
      <c r="A89" s="1" t="str">
        <f>'Population Definitions'!$A$5</f>
        <v>0-9_females</v>
      </c>
      <c r="C89" t="s">
        <v>34</v>
      </c>
      <c r="D89" s="3"/>
      <c r="E89" s="3">
        <v>5.0000000000005596E-4</v>
      </c>
      <c r="F89" s="4" t="s">
        <v>37</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row>
    <row r="90" spans="1:57" x14ac:dyDescent="0.25">
      <c r="A90" s="1" t="str">
        <f>'Population Definitions'!$A$6</f>
        <v>10-17_males</v>
      </c>
      <c r="C90" t="s">
        <v>34</v>
      </c>
      <c r="D90" s="3"/>
      <c r="E90" s="3">
        <v>5.0000000000005596E-4</v>
      </c>
      <c r="F90" s="4" t="s">
        <v>37</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row>
    <row r="91" spans="1:57" x14ac:dyDescent="0.25">
      <c r="A91" s="1" t="str">
        <f>'Population Definitions'!$A$7</f>
        <v>10-17_females</v>
      </c>
      <c r="C91" t="s">
        <v>34</v>
      </c>
      <c r="D91" s="3"/>
      <c r="E91" s="3">
        <v>5.0000000000005596E-4</v>
      </c>
      <c r="F91" s="4" t="s">
        <v>37</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row>
    <row r="92" spans="1:57" x14ac:dyDescent="0.25">
      <c r="A92" s="1" t="str">
        <f>'Population Definitions'!$A$8</f>
        <v>18-64_males</v>
      </c>
      <c r="C92" t="s">
        <v>34</v>
      </c>
      <c r="D92" s="3"/>
      <c r="E92" s="3">
        <v>5.0000000000005596E-4</v>
      </c>
      <c r="F92" s="4" t="s">
        <v>37</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row>
    <row r="93" spans="1:57" x14ac:dyDescent="0.25">
      <c r="A93" s="1" t="str">
        <f>'Population Definitions'!$A$9</f>
        <v>18-64_females</v>
      </c>
      <c r="C93" t="s">
        <v>34</v>
      </c>
      <c r="D93" s="3"/>
      <c r="E93" s="3">
        <v>5.0000000000005596E-4</v>
      </c>
      <c r="F93" s="4" t="s">
        <v>37</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row>
    <row r="94" spans="1:57" x14ac:dyDescent="0.25">
      <c r="A94" s="1" t="str">
        <f>'Population Definitions'!$A$10</f>
        <v>65+_males</v>
      </c>
      <c r="C94" t="s">
        <v>34</v>
      </c>
      <c r="D94" s="3"/>
      <c r="E94" s="3">
        <v>5.0000000000005596E-4</v>
      </c>
      <c r="F94" s="4" t="s">
        <v>37</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row>
    <row r="95" spans="1:57" x14ac:dyDescent="0.25">
      <c r="A95" s="1" t="str">
        <f>'Population Definitions'!$A$11</f>
        <v>65+_females</v>
      </c>
      <c r="C95" t="s">
        <v>34</v>
      </c>
      <c r="D95" s="3"/>
      <c r="E95" s="3">
        <v>5.0000000000005596E-4</v>
      </c>
      <c r="F95" s="4" t="s">
        <v>37</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row>
    <row r="96" spans="1:57" x14ac:dyDescent="0.25">
      <c r="A96" s="1" t="str">
        <f>'Population Definitions'!$A$12</f>
        <v>Prisoners_males</v>
      </c>
      <c r="C96" t="s">
        <v>34</v>
      </c>
      <c r="D96" s="3"/>
      <c r="E96" s="3">
        <v>5.0000000000005596E-4</v>
      </c>
      <c r="F96" s="4" t="s">
        <v>37</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row>
    <row r="97" spans="1:57" x14ac:dyDescent="0.25">
      <c r="A97" s="1" t="str">
        <f>'Population Definitions'!$A$13</f>
        <v>Prisoners_females</v>
      </c>
      <c r="C97" t="s">
        <v>34</v>
      </c>
      <c r="D97" s="3"/>
      <c r="E97" s="3">
        <v>5.0000000000005596E-4</v>
      </c>
      <c r="F97" s="4" t="s">
        <v>37</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row>
    <row r="99" spans="1:57" x14ac:dyDescent="0.25">
      <c r="A99" s="1" t="s">
        <v>42</v>
      </c>
      <c r="B99" s="1" t="s">
        <v>29</v>
      </c>
      <c r="C99" s="1" t="s">
        <v>30</v>
      </c>
      <c r="D99" s="1" t="s">
        <v>31</v>
      </c>
      <c r="E99" s="1">
        <v>2000</v>
      </c>
      <c r="F99" s="1">
        <v>2001</v>
      </c>
      <c r="G99" s="1">
        <v>2002</v>
      </c>
      <c r="H99" s="1">
        <v>2003</v>
      </c>
      <c r="I99" s="1">
        <v>2004</v>
      </c>
      <c r="J99" s="1">
        <v>2005</v>
      </c>
      <c r="K99" s="1">
        <v>2006</v>
      </c>
      <c r="L99" s="1">
        <v>2007</v>
      </c>
      <c r="M99" s="1">
        <v>2008</v>
      </c>
      <c r="N99" s="1">
        <v>2009</v>
      </c>
      <c r="O99" s="1">
        <v>2010</v>
      </c>
      <c r="P99" s="1">
        <v>2011</v>
      </c>
      <c r="Q99" s="1">
        <v>2012</v>
      </c>
      <c r="R99" s="1">
        <v>2013</v>
      </c>
      <c r="S99" s="1">
        <v>2014</v>
      </c>
      <c r="T99" s="1">
        <v>2015</v>
      </c>
      <c r="U99" s="1">
        <v>2016</v>
      </c>
      <c r="V99" s="1">
        <v>2017</v>
      </c>
      <c r="W99" s="1">
        <v>2018</v>
      </c>
      <c r="X99" s="1">
        <v>2019</v>
      </c>
      <c r="Y99" s="1">
        <v>2020</v>
      </c>
      <c r="Z99" s="1">
        <v>2021</v>
      </c>
      <c r="AA99" s="1">
        <v>2022</v>
      </c>
      <c r="AB99" s="1">
        <v>2023</v>
      </c>
      <c r="AC99" s="1">
        <v>2024</v>
      </c>
      <c r="AD99" s="1">
        <v>2025</v>
      </c>
      <c r="AE99" s="1">
        <v>2026</v>
      </c>
      <c r="AF99" s="1">
        <v>2027</v>
      </c>
      <c r="AG99" s="1">
        <v>2028</v>
      </c>
      <c r="AH99" s="1">
        <v>2029</v>
      </c>
      <c r="AI99" s="1">
        <v>2030</v>
      </c>
      <c r="AJ99" s="1">
        <v>2031</v>
      </c>
      <c r="AK99" s="1">
        <v>2032</v>
      </c>
      <c r="AL99" s="1">
        <v>2033</v>
      </c>
      <c r="AM99" s="1">
        <v>2034</v>
      </c>
      <c r="AN99" s="1">
        <v>2035</v>
      </c>
      <c r="AO99" s="1">
        <v>2036</v>
      </c>
      <c r="AP99" s="1">
        <v>2037</v>
      </c>
      <c r="AQ99" s="1">
        <v>2038</v>
      </c>
      <c r="AR99" s="1">
        <v>2039</v>
      </c>
      <c r="AS99" s="1">
        <v>2040</v>
      </c>
      <c r="AT99" s="1">
        <v>2041</v>
      </c>
      <c r="AU99" s="1">
        <v>2042</v>
      </c>
      <c r="AV99" s="1">
        <v>2043</v>
      </c>
      <c r="AW99" s="1">
        <v>2044</v>
      </c>
      <c r="AX99" s="1">
        <v>2045</v>
      </c>
      <c r="AY99" s="1">
        <v>2046</v>
      </c>
      <c r="AZ99" s="1">
        <v>2047</v>
      </c>
      <c r="BA99" s="1">
        <v>2048</v>
      </c>
      <c r="BB99" s="1">
        <v>2049</v>
      </c>
      <c r="BC99" s="1">
        <v>2050</v>
      </c>
    </row>
    <row r="100" spans="1:57" x14ac:dyDescent="0.25">
      <c r="A100" s="1" t="str">
        <f>'Population Definitions'!$A$2</f>
        <v>PWID_males</v>
      </c>
      <c r="C100" t="s">
        <v>34</v>
      </c>
      <c r="D100" s="3"/>
      <c r="E100" s="3">
        <v>0.82493514321879824</v>
      </c>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row>
    <row r="101" spans="1:57" x14ac:dyDescent="0.25">
      <c r="A101" s="1" t="str">
        <f>'Population Definitions'!$A$3</f>
        <v>PWID_females</v>
      </c>
      <c r="C101" t="s">
        <v>34</v>
      </c>
      <c r="D101" s="3"/>
      <c r="E101" s="3">
        <v>0.82493514321879824</v>
      </c>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row>
    <row r="102" spans="1:57" x14ac:dyDescent="0.25">
      <c r="A102" s="1" t="str">
        <f>'Population Definitions'!$A$4</f>
        <v>0-9_males</v>
      </c>
      <c r="C102" t="s">
        <v>34</v>
      </c>
      <c r="D102" s="3"/>
      <c r="E102" s="3">
        <v>0.82493514321879824</v>
      </c>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row>
    <row r="103" spans="1:57" x14ac:dyDescent="0.25">
      <c r="A103" s="1" t="str">
        <f>'Population Definitions'!$A$5</f>
        <v>0-9_females</v>
      </c>
      <c r="C103" t="s">
        <v>34</v>
      </c>
      <c r="D103" s="3"/>
      <c r="E103" s="3">
        <v>0.82493514321879824</v>
      </c>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row>
    <row r="104" spans="1:57" x14ac:dyDescent="0.25">
      <c r="A104" s="1" t="str">
        <f>'Population Definitions'!$A$6</f>
        <v>10-17_males</v>
      </c>
      <c r="C104" t="s">
        <v>34</v>
      </c>
      <c r="D104" s="3"/>
      <c r="E104" s="3">
        <v>0.82493514321879824</v>
      </c>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row>
    <row r="105" spans="1:57" x14ac:dyDescent="0.25">
      <c r="A105" s="1" t="str">
        <f>'Population Definitions'!$A$7</f>
        <v>10-17_females</v>
      </c>
      <c r="C105" t="s">
        <v>34</v>
      </c>
      <c r="D105" s="3"/>
      <c r="E105" s="3">
        <v>0.82493514321879824</v>
      </c>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row>
    <row r="106" spans="1:57" x14ac:dyDescent="0.25">
      <c r="A106" s="1" t="str">
        <f>'Population Definitions'!$A$8</f>
        <v>18-64_males</v>
      </c>
      <c r="C106" t="s">
        <v>34</v>
      </c>
      <c r="D106" s="3"/>
      <c r="E106" s="3">
        <v>0.82493514321879824</v>
      </c>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row>
    <row r="107" spans="1:57" x14ac:dyDescent="0.25">
      <c r="A107" s="1" t="str">
        <f>'Population Definitions'!$A$9</f>
        <v>18-64_females</v>
      </c>
      <c r="C107" t="s">
        <v>34</v>
      </c>
      <c r="D107" s="3"/>
      <c r="E107" s="3">
        <v>0.82493514321879824</v>
      </c>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row>
    <row r="108" spans="1:57" x14ac:dyDescent="0.25">
      <c r="A108" s="1" t="str">
        <f>'Population Definitions'!$A$10</f>
        <v>65+_males</v>
      </c>
      <c r="C108" t="s">
        <v>34</v>
      </c>
      <c r="D108" s="3"/>
      <c r="E108" s="3">
        <v>0.82493514321879824</v>
      </c>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row>
    <row r="109" spans="1:57" x14ac:dyDescent="0.25">
      <c r="A109" s="1" t="str">
        <f>'Population Definitions'!$A$11</f>
        <v>65+_females</v>
      </c>
      <c r="C109" t="s">
        <v>34</v>
      </c>
      <c r="D109" s="3"/>
      <c r="E109" s="3">
        <v>0.82493514321879824</v>
      </c>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row>
    <row r="110" spans="1:57" x14ac:dyDescent="0.25">
      <c r="A110" s="1" t="str">
        <f>'Population Definitions'!$A$12</f>
        <v>Prisoners_males</v>
      </c>
      <c r="C110" t="s">
        <v>34</v>
      </c>
      <c r="D110" s="3"/>
      <c r="E110" s="3">
        <v>0.82493514321879824</v>
      </c>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row>
    <row r="111" spans="1:57" x14ac:dyDescent="0.25">
      <c r="A111" s="1" t="str">
        <f>'Population Definitions'!$A$13</f>
        <v>Prisoners_females</v>
      </c>
      <c r="C111" t="s">
        <v>34</v>
      </c>
      <c r="D111" s="3"/>
      <c r="E111" s="3">
        <v>0.82493514321879824</v>
      </c>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row>
    <row r="113" spans="1:57" x14ac:dyDescent="0.25">
      <c r="A113" s="1" t="s">
        <v>43</v>
      </c>
      <c r="B113" s="1" t="s">
        <v>29</v>
      </c>
      <c r="C113" s="1" t="s">
        <v>30</v>
      </c>
      <c r="D113" s="1" t="s">
        <v>31</v>
      </c>
      <c r="E113" s="1" t="s">
        <v>36</v>
      </c>
      <c r="F113" s="1"/>
      <c r="G113" s="1">
        <v>2000</v>
      </c>
      <c r="H113" s="1">
        <v>2001</v>
      </c>
      <c r="I113" s="1">
        <v>2002</v>
      </c>
      <c r="J113" s="1">
        <v>2003</v>
      </c>
      <c r="K113" s="1">
        <v>2004</v>
      </c>
      <c r="L113" s="1">
        <v>2005</v>
      </c>
      <c r="M113" s="1">
        <v>2006</v>
      </c>
      <c r="N113" s="1">
        <v>2007</v>
      </c>
      <c r="O113" s="1">
        <v>2008</v>
      </c>
      <c r="P113" s="1">
        <v>2009</v>
      </c>
      <c r="Q113" s="1">
        <v>2010</v>
      </c>
      <c r="R113" s="1">
        <v>2011</v>
      </c>
      <c r="S113" s="1">
        <v>2012</v>
      </c>
      <c r="T113" s="1">
        <v>2013</v>
      </c>
      <c r="U113" s="1">
        <v>2014</v>
      </c>
      <c r="V113" s="1">
        <v>2015</v>
      </c>
      <c r="W113" s="1">
        <v>2016</v>
      </c>
      <c r="X113" s="1">
        <v>2017</v>
      </c>
      <c r="Y113" s="1">
        <v>2018</v>
      </c>
      <c r="Z113" s="1">
        <v>2019</v>
      </c>
      <c r="AA113" s="1">
        <v>2020</v>
      </c>
      <c r="AB113" s="1">
        <v>2021</v>
      </c>
      <c r="AC113" s="1">
        <v>2022</v>
      </c>
      <c r="AD113" s="1">
        <v>2023</v>
      </c>
      <c r="AE113" s="1">
        <v>2024</v>
      </c>
      <c r="AF113" s="1">
        <v>2025</v>
      </c>
      <c r="AG113" s="1">
        <v>2026</v>
      </c>
      <c r="AH113" s="1">
        <v>2027</v>
      </c>
      <c r="AI113" s="1">
        <v>2028</v>
      </c>
      <c r="AJ113" s="1">
        <v>2029</v>
      </c>
      <c r="AK113" s="1">
        <v>2030</v>
      </c>
      <c r="AL113" s="1">
        <v>2031</v>
      </c>
      <c r="AM113" s="1">
        <v>2032</v>
      </c>
      <c r="AN113" s="1">
        <v>2033</v>
      </c>
      <c r="AO113" s="1">
        <v>2034</v>
      </c>
      <c r="AP113" s="1">
        <v>2035</v>
      </c>
      <c r="AQ113" s="1">
        <v>2036</v>
      </c>
      <c r="AR113" s="1">
        <v>2037</v>
      </c>
      <c r="AS113" s="1">
        <v>2038</v>
      </c>
      <c r="AT113" s="1">
        <v>2039</v>
      </c>
      <c r="AU113" s="1">
        <v>2040</v>
      </c>
      <c r="AV113" s="1">
        <v>2041</v>
      </c>
      <c r="AW113" s="1">
        <v>2042</v>
      </c>
      <c r="AX113" s="1">
        <v>2043</v>
      </c>
      <c r="AY113" s="1">
        <v>2044</v>
      </c>
      <c r="AZ113" s="1">
        <v>2045</v>
      </c>
      <c r="BA113" s="1">
        <v>2046</v>
      </c>
      <c r="BB113" s="1">
        <v>2047</v>
      </c>
      <c r="BC113" s="1">
        <v>2048</v>
      </c>
      <c r="BD113" s="1">
        <v>2049</v>
      </c>
      <c r="BE113" s="1">
        <v>2050</v>
      </c>
    </row>
    <row r="114" spans="1:57" x14ac:dyDescent="0.25">
      <c r="A114" s="1" t="str">
        <f>'Population Definitions'!$A$2</f>
        <v>PWID_males</v>
      </c>
      <c r="C114" t="s">
        <v>34</v>
      </c>
      <c r="D114" s="3"/>
      <c r="E114" s="3">
        <v>0</v>
      </c>
      <c r="F114" s="4" t="s">
        <v>37</v>
      </c>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row>
    <row r="115" spans="1:57" x14ac:dyDescent="0.25">
      <c r="A115" s="1" t="str">
        <f>'Population Definitions'!$A$3</f>
        <v>PWID_females</v>
      </c>
      <c r="C115" t="s">
        <v>34</v>
      </c>
      <c r="D115" s="3"/>
      <c r="E115" s="3">
        <v>0</v>
      </c>
      <c r="F115" s="4" t="s">
        <v>37</v>
      </c>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row>
    <row r="116" spans="1:57" x14ac:dyDescent="0.25">
      <c r="A116" s="1" t="str">
        <f>'Population Definitions'!$A$4</f>
        <v>0-9_males</v>
      </c>
      <c r="C116" t="s">
        <v>34</v>
      </c>
      <c r="D116" s="3"/>
      <c r="E116" s="3">
        <v>0</v>
      </c>
      <c r="F116" s="4" t="s">
        <v>37</v>
      </c>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row>
    <row r="117" spans="1:57" x14ac:dyDescent="0.25">
      <c r="A117" s="1" t="str">
        <f>'Population Definitions'!$A$5</f>
        <v>0-9_females</v>
      </c>
      <c r="C117" t="s">
        <v>34</v>
      </c>
      <c r="D117" s="3"/>
      <c r="E117" s="3">
        <v>0</v>
      </c>
      <c r="F117" s="4" t="s">
        <v>37</v>
      </c>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row>
    <row r="118" spans="1:57" x14ac:dyDescent="0.25">
      <c r="A118" s="1" t="str">
        <f>'Population Definitions'!$A$6</f>
        <v>10-17_males</v>
      </c>
      <c r="C118" t="s">
        <v>34</v>
      </c>
      <c r="D118" s="3"/>
      <c r="E118" s="3">
        <v>0</v>
      </c>
      <c r="F118" s="4" t="s">
        <v>37</v>
      </c>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row>
    <row r="119" spans="1:57" x14ac:dyDescent="0.25">
      <c r="A119" s="1" t="str">
        <f>'Population Definitions'!$A$7</f>
        <v>10-17_females</v>
      </c>
      <c r="C119" t="s">
        <v>34</v>
      </c>
      <c r="D119" s="3"/>
      <c r="E119" s="3">
        <v>0</v>
      </c>
      <c r="F119" s="4" t="s">
        <v>37</v>
      </c>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row>
    <row r="120" spans="1:57" x14ac:dyDescent="0.25">
      <c r="A120" s="1" t="str">
        <f>'Population Definitions'!$A$8</f>
        <v>18-64_males</v>
      </c>
      <c r="C120" t="s">
        <v>34</v>
      </c>
      <c r="D120" s="3"/>
      <c r="E120" s="3">
        <v>0</v>
      </c>
      <c r="F120" s="4" t="s">
        <v>37</v>
      </c>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row>
    <row r="121" spans="1:57" x14ac:dyDescent="0.25">
      <c r="A121" s="1" t="str">
        <f>'Population Definitions'!$A$9</f>
        <v>18-64_females</v>
      </c>
      <c r="C121" t="s">
        <v>34</v>
      </c>
      <c r="D121" s="3"/>
      <c r="E121" s="3">
        <v>0</v>
      </c>
      <c r="F121" s="4" t="s">
        <v>37</v>
      </c>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row>
    <row r="122" spans="1:57" x14ac:dyDescent="0.25">
      <c r="A122" s="1" t="str">
        <f>'Population Definitions'!$A$10</f>
        <v>65+_males</v>
      </c>
      <c r="C122" t="s">
        <v>34</v>
      </c>
      <c r="D122" s="3"/>
      <c r="E122" s="3">
        <v>0</v>
      </c>
      <c r="F122" s="4" t="s">
        <v>37</v>
      </c>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row>
    <row r="123" spans="1:57" x14ac:dyDescent="0.25">
      <c r="A123" s="1" t="str">
        <f>'Population Definitions'!$A$11</f>
        <v>65+_females</v>
      </c>
      <c r="C123" t="s">
        <v>34</v>
      </c>
      <c r="D123" s="3"/>
      <c r="E123" s="3">
        <v>0</v>
      </c>
      <c r="F123" s="4" t="s">
        <v>37</v>
      </c>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row>
    <row r="124" spans="1:57" x14ac:dyDescent="0.25">
      <c r="A124" s="1" t="str">
        <f>'Population Definitions'!$A$12</f>
        <v>Prisoners_males</v>
      </c>
      <c r="C124" t="s">
        <v>34</v>
      </c>
      <c r="D124" s="3"/>
      <c r="E124" s="3">
        <v>0</v>
      </c>
      <c r="F124" s="4" t="s">
        <v>37</v>
      </c>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row>
    <row r="125" spans="1:57" x14ac:dyDescent="0.25">
      <c r="A125" s="1" t="str">
        <f>'Population Definitions'!$A$13</f>
        <v>Prisoners_females</v>
      </c>
      <c r="C125" t="s">
        <v>34</v>
      </c>
      <c r="D125" s="3"/>
      <c r="E125" s="3">
        <v>0</v>
      </c>
      <c r="F125" s="4" t="s">
        <v>37</v>
      </c>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row>
    <row r="127" spans="1:57" x14ac:dyDescent="0.25">
      <c r="A127" s="1" t="s">
        <v>44</v>
      </c>
      <c r="B127" s="1" t="s">
        <v>29</v>
      </c>
      <c r="C127" s="1" t="s">
        <v>30</v>
      </c>
      <c r="D127" s="1" t="s">
        <v>31</v>
      </c>
      <c r="E127" s="1" t="s">
        <v>36</v>
      </c>
      <c r="F127" s="1"/>
      <c r="G127" s="1">
        <v>2000</v>
      </c>
      <c r="H127" s="1">
        <v>2001</v>
      </c>
      <c r="I127" s="1">
        <v>2002</v>
      </c>
      <c r="J127" s="1">
        <v>2003</v>
      </c>
      <c r="K127" s="1">
        <v>2004</v>
      </c>
      <c r="L127" s="1">
        <v>2005</v>
      </c>
      <c r="M127" s="1">
        <v>2006</v>
      </c>
      <c r="N127" s="1">
        <v>2007</v>
      </c>
      <c r="O127" s="1">
        <v>2008</v>
      </c>
      <c r="P127" s="1">
        <v>2009</v>
      </c>
      <c r="Q127" s="1">
        <v>2010</v>
      </c>
      <c r="R127" s="1">
        <v>2011</v>
      </c>
      <c r="S127" s="1">
        <v>2012</v>
      </c>
      <c r="T127" s="1">
        <v>2013</v>
      </c>
      <c r="U127" s="1">
        <v>2014</v>
      </c>
      <c r="V127" s="1">
        <v>2015</v>
      </c>
      <c r="W127" s="1">
        <v>2016</v>
      </c>
      <c r="X127" s="1">
        <v>2017</v>
      </c>
      <c r="Y127" s="1">
        <v>2018</v>
      </c>
      <c r="Z127" s="1">
        <v>2019</v>
      </c>
      <c r="AA127" s="1">
        <v>2020</v>
      </c>
      <c r="AB127" s="1">
        <v>2021</v>
      </c>
      <c r="AC127" s="1">
        <v>2022</v>
      </c>
      <c r="AD127" s="1">
        <v>2023</v>
      </c>
      <c r="AE127" s="1">
        <v>2024</v>
      </c>
      <c r="AF127" s="1">
        <v>2025</v>
      </c>
      <c r="AG127" s="1">
        <v>2026</v>
      </c>
      <c r="AH127" s="1">
        <v>2027</v>
      </c>
      <c r="AI127" s="1">
        <v>2028</v>
      </c>
      <c r="AJ127" s="1">
        <v>2029</v>
      </c>
      <c r="AK127" s="1">
        <v>2030</v>
      </c>
      <c r="AL127" s="1">
        <v>2031</v>
      </c>
      <c r="AM127" s="1">
        <v>2032</v>
      </c>
      <c r="AN127" s="1">
        <v>2033</v>
      </c>
      <c r="AO127" s="1">
        <v>2034</v>
      </c>
      <c r="AP127" s="1">
        <v>2035</v>
      </c>
      <c r="AQ127" s="1">
        <v>2036</v>
      </c>
      <c r="AR127" s="1">
        <v>2037</v>
      </c>
      <c r="AS127" s="1">
        <v>2038</v>
      </c>
      <c r="AT127" s="1">
        <v>2039</v>
      </c>
      <c r="AU127" s="1">
        <v>2040</v>
      </c>
      <c r="AV127" s="1">
        <v>2041</v>
      </c>
      <c r="AW127" s="1">
        <v>2042</v>
      </c>
      <c r="AX127" s="1">
        <v>2043</v>
      </c>
      <c r="AY127" s="1">
        <v>2044</v>
      </c>
      <c r="AZ127" s="1">
        <v>2045</v>
      </c>
      <c r="BA127" s="1">
        <v>2046</v>
      </c>
      <c r="BB127" s="1">
        <v>2047</v>
      </c>
      <c r="BC127" s="1">
        <v>2048</v>
      </c>
      <c r="BD127" s="1">
        <v>2049</v>
      </c>
      <c r="BE127" s="1">
        <v>2050</v>
      </c>
    </row>
    <row r="128" spans="1:57" x14ac:dyDescent="0.25">
      <c r="A128" s="1" t="str">
        <f>'Population Definitions'!$A$2</f>
        <v>PWID_males</v>
      </c>
      <c r="C128" t="s">
        <v>34</v>
      </c>
      <c r="D128" s="3"/>
      <c r="E128" s="3">
        <v>0</v>
      </c>
      <c r="F128" s="4" t="s">
        <v>37</v>
      </c>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row>
    <row r="129" spans="1:57" x14ac:dyDescent="0.25">
      <c r="A129" s="1" t="str">
        <f>'Population Definitions'!$A$3</f>
        <v>PWID_females</v>
      </c>
      <c r="C129" t="s">
        <v>34</v>
      </c>
      <c r="D129" s="3"/>
      <c r="E129" s="3">
        <v>0</v>
      </c>
      <c r="F129" s="4" t="s">
        <v>37</v>
      </c>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row>
    <row r="130" spans="1:57" x14ac:dyDescent="0.25">
      <c r="A130" s="1" t="str">
        <f>'Population Definitions'!$A$4</f>
        <v>0-9_males</v>
      </c>
      <c r="C130" t="s">
        <v>34</v>
      </c>
      <c r="D130" s="3"/>
      <c r="E130" s="3">
        <v>0</v>
      </c>
      <c r="F130" s="4" t="s">
        <v>37</v>
      </c>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row>
    <row r="131" spans="1:57" x14ac:dyDescent="0.25">
      <c r="A131" s="1" t="str">
        <f>'Population Definitions'!$A$5</f>
        <v>0-9_females</v>
      </c>
      <c r="C131" t="s">
        <v>34</v>
      </c>
      <c r="D131" s="3"/>
      <c r="E131" s="3">
        <v>0</v>
      </c>
      <c r="F131" s="4" t="s">
        <v>37</v>
      </c>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row>
    <row r="132" spans="1:57" x14ac:dyDescent="0.25">
      <c r="A132" s="1" t="str">
        <f>'Population Definitions'!$A$6</f>
        <v>10-17_males</v>
      </c>
      <c r="C132" t="s">
        <v>34</v>
      </c>
      <c r="D132" s="3"/>
      <c r="E132" s="3">
        <v>0</v>
      </c>
      <c r="F132" s="4" t="s">
        <v>37</v>
      </c>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row>
    <row r="133" spans="1:57" x14ac:dyDescent="0.25">
      <c r="A133" s="1" t="str">
        <f>'Population Definitions'!$A$7</f>
        <v>10-17_females</v>
      </c>
      <c r="C133" t="s">
        <v>34</v>
      </c>
      <c r="D133" s="3"/>
      <c r="E133" s="3">
        <v>0</v>
      </c>
      <c r="F133" s="4" t="s">
        <v>37</v>
      </c>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row>
    <row r="134" spans="1:57" x14ac:dyDescent="0.25">
      <c r="A134" s="1" t="str">
        <f>'Population Definitions'!$A$8</f>
        <v>18-64_males</v>
      </c>
      <c r="C134" t="s">
        <v>34</v>
      </c>
      <c r="D134" s="3"/>
      <c r="E134" s="3">
        <v>0</v>
      </c>
      <c r="F134" s="4" t="s">
        <v>37</v>
      </c>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row>
    <row r="135" spans="1:57" x14ac:dyDescent="0.25">
      <c r="A135" s="1" t="str">
        <f>'Population Definitions'!$A$9</f>
        <v>18-64_females</v>
      </c>
      <c r="C135" t="s">
        <v>34</v>
      </c>
      <c r="D135" s="3"/>
      <c r="E135" s="3">
        <v>0</v>
      </c>
      <c r="F135" s="4" t="s">
        <v>37</v>
      </c>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row>
    <row r="136" spans="1:57" x14ac:dyDescent="0.25">
      <c r="A136" s="1" t="str">
        <f>'Population Definitions'!$A$10</f>
        <v>65+_males</v>
      </c>
      <c r="C136" t="s">
        <v>34</v>
      </c>
      <c r="D136" s="3"/>
      <c r="E136" s="3">
        <v>0</v>
      </c>
      <c r="F136" s="4" t="s">
        <v>37</v>
      </c>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row>
    <row r="137" spans="1:57" x14ac:dyDescent="0.25">
      <c r="A137" s="1" t="str">
        <f>'Population Definitions'!$A$11</f>
        <v>65+_females</v>
      </c>
      <c r="C137" t="s">
        <v>34</v>
      </c>
      <c r="D137" s="3"/>
      <c r="E137" s="3">
        <v>0</v>
      </c>
      <c r="F137" s="4" t="s">
        <v>37</v>
      </c>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row>
    <row r="138" spans="1:57" x14ac:dyDescent="0.25">
      <c r="A138" s="1" t="str">
        <f>'Population Definitions'!$A$12</f>
        <v>Prisoners_males</v>
      </c>
      <c r="C138" t="s">
        <v>34</v>
      </c>
      <c r="D138" s="3"/>
      <c r="E138" s="3">
        <v>0</v>
      </c>
      <c r="F138" s="4" t="s">
        <v>37</v>
      </c>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row>
    <row r="139" spans="1:57" x14ac:dyDescent="0.25">
      <c r="A139" s="1" t="str">
        <f>'Population Definitions'!$A$13</f>
        <v>Prisoners_females</v>
      </c>
      <c r="C139" t="s">
        <v>34</v>
      </c>
      <c r="D139" s="3"/>
      <c r="E139" s="3">
        <v>0</v>
      </c>
      <c r="F139" s="4" t="s">
        <v>37</v>
      </c>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row>
    <row r="141" spans="1:57" x14ac:dyDescent="0.25">
      <c r="A141" s="1" t="s">
        <v>45</v>
      </c>
      <c r="B141" s="1" t="s">
        <v>29</v>
      </c>
      <c r="C141" s="1" t="s">
        <v>30</v>
      </c>
      <c r="D141" s="1" t="s">
        <v>31</v>
      </c>
      <c r="E141" s="1" t="s">
        <v>36</v>
      </c>
      <c r="F141" s="1"/>
      <c r="G141" s="1">
        <v>2000</v>
      </c>
      <c r="H141" s="1">
        <v>2001</v>
      </c>
      <c r="I141" s="1">
        <v>2002</v>
      </c>
      <c r="J141" s="1">
        <v>2003</v>
      </c>
      <c r="K141" s="1">
        <v>2004</v>
      </c>
      <c r="L141" s="1">
        <v>2005</v>
      </c>
      <c r="M141" s="1">
        <v>2006</v>
      </c>
      <c r="N141" s="1">
        <v>2007</v>
      </c>
      <c r="O141" s="1">
        <v>2008</v>
      </c>
      <c r="P141" s="1">
        <v>2009</v>
      </c>
      <c r="Q141" s="1">
        <v>2010</v>
      </c>
      <c r="R141" s="1">
        <v>2011</v>
      </c>
      <c r="S141" s="1">
        <v>2012</v>
      </c>
      <c r="T141" s="1">
        <v>2013</v>
      </c>
      <c r="U141" s="1">
        <v>2014</v>
      </c>
      <c r="V141" s="1">
        <v>2015</v>
      </c>
      <c r="W141" s="1">
        <v>2016</v>
      </c>
      <c r="X141" s="1">
        <v>2017</v>
      </c>
      <c r="Y141" s="1">
        <v>2018</v>
      </c>
      <c r="Z141" s="1">
        <v>2019</v>
      </c>
      <c r="AA141" s="1">
        <v>2020</v>
      </c>
      <c r="AB141" s="1">
        <v>2021</v>
      </c>
      <c r="AC141" s="1">
        <v>2022</v>
      </c>
      <c r="AD141" s="1">
        <v>2023</v>
      </c>
      <c r="AE141" s="1">
        <v>2024</v>
      </c>
      <c r="AF141" s="1">
        <v>2025</v>
      </c>
      <c r="AG141" s="1">
        <v>2026</v>
      </c>
      <c r="AH141" s="1">
        <v>2027</v>
      </c>
      <c r="AI141" s="1">
        <v>2028</v>
      </c>
      <c r="AJ141" s="1">
        <v>2029</v>
      </c>
      <c r="AK141" s="1">
        <v>2030</v>
      </c>
      <c r="AL141" s="1">
        <v>2031</v>
      </c>
      <c r="AM141" s="1">
        <v>2032</v>
      </c>
      <c r="AN141" s="1">
        <v>2033</v>
      </c>
      <c r="AO141" s="1">
        <v>2034</v>
      </c>
      <c r="AP141" s="1">
        <v>2035</v>
      </c>
      <c r="AQ141" s="1">
        <v>2036</v>
      </c>
      <c r="AR141" s="1">
        <v>2037</v>
      </c>
      <c r="AS141" s="1">
        <v>2038</v>
      </c>
      <c r="AT141" s="1">
        <v>2039</v>
      </c>
      <c r="AU141" s="1">
        <v>2040</v>
      </c>
      <c r="AV141" s="1">
        <v>2041</v>
      </c>
      <c r="AW141" s="1">
        <v>2042</v>
      </c>
      <c r="AX141" s="1">
        <v>2043</v>
      </c>
      <c r="AY141" s="1">
        <v>2044</v>
      </c>
      <c r="AZ141" s="1">
        <v>2045</v>
      </c>
      <c r="BA141" s="1">
        <v>2046</v>
      </c>
      <c r="BB141" s="1">
        <v>2047</v>
      </c>
      <c r="BC141" s="1">
        <v>2048</v>
      </c>
      <c r="BD141" s="1">
        <v>2049</v>
      </c>
      <c r="BE141" s="1">
        <v>2050</v>
      </c>
    </row>
    <row r="142" spans="1:57" x14ac:dyDescent="0.25">
      <c r="A142" s="1" t="str">
        <f>'Population Definitions'!$A$2</f>
        <v>PWID_males</v>
      </c>
      <c r="C142" t="s">
        <v>34</v>
      </c>
      <c r="D142" s="3"/>
      <c r="E142" s="3">
        <v>0</v>
      </c>
      <c r="F142" s="4" t="s">
        <v>37</v>
      </c>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row>
    <row r="143" spans="1:57" x14ac:dyDescent="0.25">
      <c r="A143" s="1" t="str">
        <f>'Population Definitions'!$A$3</f>
        <v>PWID_females</v>
      </c>
      <c r="C143" t="s">
        <v>34</v>
      </c>
      <c r="D143" s="3"/>
      <c r="E143" s="3">
        <v>0</v>
      </c>
      <c r="F143" s="4" t="s">
        <v>37</v>
      </c>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row>
    <row r="144" spans="1:57" x14ac:dyDescent="0.25">
      <c r="A144" s="1" t="str">
        <f>'Population Definitions'!$A$4</f>
        <v>0-9_males</v>
      </c>
      <c r="C144" t="s">
        <v>34</v>
      </c>
      <c r="D144" s="3"/>
      <c r="E144" s="3">
        <v>0</v>
      </c>
      <c r="F144" s="4" t="s">
        <v>37</v>
      </c>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row>
    <row r="145" spans="1:57" x14ac:dyDescent="0.25">
      <c r="A145" s="1" t="str">
        <f>'Population Definitions'!$A$5</f>
        <v>0-9_females</v>
      </c>
      <c r="C145" t="s">
        <v>34</v>
      </c>
      <c r="D145" s="3"/>
      <c r="E145" s="3">
        <v>0</v>
      </c>
      <c r="F145" s="4" t="s">
        <v>37</v>
      </c>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row>
    <row r="146" spans="1:57" x14ac:dyDescent="0.25">
      <c r="A146" s="1" t="str">
        <f>'Population Definitions'!$A$6</f>
        <v>10-17_males</v>
      </c>
      <c r="C146" t="s">
        <v>34</v>
      </c>
      <c r="D146" s="3"/>
      <c r="E146" s="3">
        <v>0</v>
      </c>
      <c r="F146" s="4" t="s">
        <v>37</v>
      </c>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row>
    <row r="147" spans="1:57" x14ac:dyDescent="0.25">
      <c r="A147" s="1" t="str">
        <f>'Population Definitions'!$A$7</f>
        <v>10-17_females</v>
      </c>
      <c r="C147" t="s">
        <v>34</v>
      </c>
      <c r="D147" s="3"/>
      <c r="E147" s="3">
        <v>0</v>
      </c>
      <c r="F147" s="4" t="s">
        <v>37</v>
      </c>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row>
    <row r="148" spans="1:57" x14ac:dyDescent="0.25">
      <c r="A148" s="1" t="str">
        <f>'Population Definitions'!$A$8</f>
        <v>18-64_males</v>
      </c>
      <c r="C148" t="s">
        <v>34</v>
      </c>
      <c r="D148" s="3"/>
      <c r="E148" s="3">
        <v>0</v>
      </c>
      <c r="F148" s="4" t="s">
        <v>37</v>
      </c>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row>
    <row r="149" spans="1:57" x14ac:dyDescent="0.25">
      <c r="A149" s="1" t="str">
        <f>'Population Definitions'!$A$9</f>
        <v>18-64_females</v>
      </c>
      <c r="C149" t="s">
        <v>34</v>
      </c>
      <c r="D149" s="3"/>
      <c r="E149" s="3">
        <v>0</v>
      </c>
      <c r="F149" s="4" t="s">
        <v>37</v>
      </c>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row>
    <row r="150" spans="1:57" x14ac:dyDescent="0.25">
      <c r="A150" s="1" t="str">
        <f>'Population Definitions'!$A$10</f>
        <v>65+_males</v>
      </c>
      <c r="C150" t="s">
        <v>34</v>
      </c>
      <c r="D150" s="3"/>
      <c r="E150" s="3">
        <v>0</v>
      </c>
      <c r="F150" s="4" t="s">
        <v>37</v>
      </c>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row>
    <row r="151" spans="1:57" x14ac:dyDescent="0.25">
      <c r="A151" s="1" t="str">
        <f>'Population Definitions'!$A$11</f>
        <v>65+_females</v>
      </c>
      <c r="C151" t="s">
        <v>34</v>
      </c>
      <c r="D151" s="3"/>
      <c r="E151" s="3">
        <v>0</v>
      </c>
      <c r="F151" s="4" t="s">
        <v>37</v>
      </c>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row>
    <row r="152" spans="1:57" x14ac:dyDescent="0.25">
      <c r="A152" s="1" t="str">
        <f>'Population Definitions'!$A$12</f>
        <v>Prisoners_males</v>
      </c>
      <c r="C152" t="s">
        <v>34</v>
      </c>
      <c r="D152" s="3"/>
      <c r="E152" s="3">
        <v>0</v>
      </c>
      <c r="F152" s="4" t="s">
        <v>37</v>
      </c>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row>
    <row r="153" spans="1:57" x14ac:dyDescent="0.25">
      <c r="A153" s="1" t="str">
        <f>'Population Definitions'!$A$13</f>
        <v>Prisoners_females</v>
      </c>
      <c r="C153" t="s">
        <v>34</v>
      </c>
      <c r="D153" s="3"/>
      <c r="E153" s="3">
        <v>0</v>
      </c>
      <c r="F153" s="4" t="s">
        <v>37</v>
      </c>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row>
    <row r="155" spans="1:57" x14ac:dyDescent="0.25">
      <c r="A155" s="1" t="s">
        <v>46</v>
      </c>
      <c r="B155" s="1" t="s">
        <v>29</v>
      </c>
      <c r="C155" s="1" t="s">
        <v>30</v>
      </c>
      <c r="D155" s="1" t="s">
        <v>31</v>
      </c>
      <c r="E155" s="1" t="s">
        <v>36</v>
      </c>
      <c r="F155" s="1"/>
      <c r="G155" s="1">
        <v>2000</v>
      </c>
      <c r="H155" s="1">
        <v>2001</v>
      </c>
      <c r="I155" s="1">
        <v>2002</v>
      </c>
      <c r="J155" s="1">
        <v>2003</v>
      </c>
      <c r="K155" s="1">
        <v>2004</v>
      </c>
      <c r="L155" s="1">
        <v>2005</v>
      </c>
      <c r="M155" s="1">
        <v>2006</v>
      </c>
      <c r="N155" s="1">
        <v>2007</v>
      </c>
      <c r="O155" s="1">
        <v>2008</v>
      </c>
      <c r="P155" s="1">
        <v>2009</v>
      </c>
      <c r="Q155" s="1">
        <v>2010</v>
      </c>
      <c r="R155" s="1">
        <v>2011</v>
      </c>
      <c r="S155" s="1">
        <v>2012</v>
      </c>
      <c r="T155" s="1">
        <v>2013</v>
      </c>
      <c r="U155" s="1">
        <v>2014</v>
      </c>
      <c r="V155" s="1">
        <v>2015</v>
      </c>
      <c r="W155" s="1">
        <v>2016</v>
      </c>
      <c r="X155" s="1">
        <v>2017</v>
      </c>
      <c r="Y155" s="1">
        <v>2018</v>
      </c>
      <c r="Z155" s="1">
        <v>2019</v>
      </c>
      <c r="AA155" s="1">
        <v>2020</v>
      </c>
      <c r="AB155" s="1">
        <v>2021</v>
      </c>
      <c r="AC155" s="1">
        <v>2022</v>
      </c>
      <c r="AD155" s="1">
        <v>2023</v>
      </c>
      <c r="AE155" s="1">
        <v>2024</v>
      </c>
      <c r="AF155" s="1">
        <v>2025</v>
      </c>
      <c r="AG155" s="1">
        <v>2026</v>
      </c>
      <c r="AH155" s="1">
        <v>2027</v>
      </c>
      <c r="AI155" s="1">
        <v>2028</v>
      </c>
      <c r="AJ155" s="1">
        <v>2029</v>
      </c>
      <c r="AK155" s="1">
        <v>2030</v>
      </c>
      <c r="AL155" s="1">
        <v>2031</v>
      </c>
      <c r="AM155" s="1">
        <v>2032</v>
      </c>
      <c r="AN155" s="1">
        <v>2033</v>
      </c>
      <c r="AO155" s="1">
        <v>2034</v>
      </c>
      <c r="AP155" s="1">
        <v>2035</v>
      </c>
      <c r="AQ155" s="1">
        <v>2036</v>
      </c>
      <c r="AR155" s="1">
        <v>2037</v>
      </c>
      <c r="AS155" s="1">
        <v>2038</v>
      </c>
      <c r="AT155" s="1">
        <v>2039</v>
      </c>
      <c r="AU155" s="1">
        <v>2040</v>
      </c>
      <c r="AV155" s="1">
        <v>2041</v>
      </c>
      <c r="AW155" s="1">
        <v>2042</v>
      </c>
      <c r="AX155" s="1">
        <v>2043</v>
      </c>
      <c r="AY155" s="1">
        <v>2044</v>
      </c>
      <c r="AZ155" s="1">
        <v>2045</v>
      </c>
      <c r="BA155" s="1">
        <v>2046</v>
      </c>
      <c r="BB155" s="1">
        <v>2047</v>
      </c>
      <c r="BC155" s="1">
        <v>2048</v>
      </c>
      <c r="BD155" s="1">
        <v>2049</v>
      </c>
      <c r="BE155" s="1">
        <v>2050</v>
      </c>
    </row>
    <row r="156" spans="1:57" x14ac:dyDescent="0.25">
      <c r="A156" s="1" t="str">
        <f>'Population Definitions'!$A$2</f>
        <v>PWID_males</v>
      </c>
      <c r="C156" t="s">
        <v>34</v>
      </c>
      <c r="D156" s="3"/>
      <c r="E156" s="3">
        <v>0</v>
      </c>
      <c r="F156" s="4" t="s">
        <v>37</v>
      </c>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row>
    <row r="157" spans="1:57" x14ac:dyDescent="0.25">
      <c r="A157" s="1" t="str">
        <f>'Population Definitions'!$A$3</f>
        <v>PWID_females</v>
      </c>
      <c r="C157" t="s">
        <v>34</v>
      </c>
      <c r="D157" s="3"/>
      <c r="E157" s="3">
        <v>0</v>
      </c>
      <c r="F157" s="4" t="s">
        <v>37</v>
      </c>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row>
    <row r="158" spans="1:57" x14ac:dyDescent="0.25">
      <c r="A158" s="1" t="str">
        <f>'Population Definitions'!$A$4</f>
        <v>0-9_males</v>
      </c>
      <c r="C158" t="s">
        <v>34</v>
      </c>
      <c r="D158" s="3"/>
      <c r="E158" s="3">
        <v>0</v>
      </c>
      <c r="F158" s="4" t="s">
        <v>37</v>
      </c>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row>
    <row r="159" spans="1:57" x14ac:dyDescent="0.25">
      <c r="A159" s="1" t="str">
        <f>'Population Definitions'!$A$5</f>
        <v>0-9_females</v>
      </c>
      <c r="C159" t="s">
        <v>34</v>
      </c>
      <c r="D159" s="3"/>
      <c r="E159" s="3">
        <v>0</v>
      </c>
      <c r="F159" s="4" t="s">
        <v>37</v>
      </c>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row>
    <row r="160" spans="1:57" x14ac:dyDescent="0.25">
      <c r="A160" s="1" t="str">
        <f>'Population Definitions'!$A$6</f>
        <v>10-17_males</v>
      </c>
      <c r="C160" t="s">
        <v>34</v>
      </c>
      <c r="D160" s="3"/>
      <c r="E160" s="3">
        <v>0</v>
      </c>
      <c r="F160" s="4" t="s">
        <v>37</v>
      </c>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row>
    <row r="161" spans="1:57" x14ac:dyDescent="0.25">
      <c r="A161" s="1" t="str">
        <f>'Population Definitions'!$A$7</f>
        <v>10-17_females</v>
      </c>
      <c r="C161" t="s">
        <v>34</v>
      </c>
      <c r="D161" s="3"/>
      <c r="E161" s="3">
        <v>0</v>
      </c>
      <c r="F161" s="4" t="s">
        <v>37</v>
      </c>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row>
    <row r="162" spans="1:57" x14ac:dyDescent="0.25">
      <c r="A162" s="1" t="str">
        <f>'Population Definitions'!$A$8</f>
        <v>18-64_males</v>
      </c>
      <c r="C162" t="s">
        <v>34</v>
      </c>
      <c r="D162" s="3"/>
      <c r="E162" s="3">
        <v>0</v>
      </c>
      <c r="F162" s="4" t="s">
        <v>37</v>
      </c>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row>
    <row r="163" spans="1:57" x14ac:dyDescent="0.25">
      <c r="A163" s="1" t="str">
        <f>'Population Definitions'!$A$9</f>
        <v>18-64_females</v>
      </c>
      <c r="C163" t="s">
        <v>34</v>
      </c>
      <c r="D163" s="3"/>
      <c r="E163" s="3">
        <v>0</v>
      </c>
      <c r="F163" s="4" t="s">
        <v>37</v>
      </c>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row>
    <row r="164" spans="1:57" x14ac:dyDescent="0.25">
      <c r="A164" s="1" t="str">
        <f>'Population Definitions'!$A$10</f>
        <v>65+_males</v>
      </c>
      <c r="C164" t="s">
        <v>34</v>
      </c>
      <c r="D164" s="3"/>
      <c r="E164" s="3">
        <v>0</v>
      </c>
      <c r="F164" s="4" t="s">
        <v>37</v>
      </c>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row>
    <row r="165" spans="1:57" x14ac:dyDescent="0.25">
      <c r="A165" s="1" t="str">
        <f>'Population Definitions'!$A$11</f>
        <v>65+_females</v>
      </c>
      <c r="C165" t="s">
        <v>34</v>
      </c>
      <c r="D165" s="3"/>
      <c r="E165" s="3">
        <v>0</v>
      </c>
      <c r="F165" s="4" t="s">
        <v>37</v>
      </c>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row>
    <row r="166" spans="1:57" x14ac:dyDescent="0.25">
      <c r="A166" s="1" t="str">
        <f>'Population Definitions'!$A$12</f>
        <v>Prisoners_males</v>
      </c>
      <c r="C166" t="s">
        <v>34</v>
      </c>
      <c r="D166" s="3"/>
      <c r="E166" s="3">
        <v>0</v>
      </c>
      <c r="F166" s="4" t="s">
        <v>37</v>
      </c>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row>
    <row r="167" spans="1:57" x14ac:dyDescent="0.25">
      <c r="A167" s="1" t="str">
        <f>'Population Definitions'!$A$13</f>
        <v>Prisoners_females</v>
      </c>
      <c r="C167" t="s">
        <v>34</v>
      </c>
      <c r="D167" s="3"/>
      <c r="E167" s="3">
        <v>0</v>
      </c>
      <c r="F167" s="4" t="s">
        <v>37</v>
      </c>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row>
    <row r="169" spans="1:57" x14ac:dyDescent="0.25">
      <c r="A169" s="1" t="s">
        <v>47</v>
      </c>
      <c r="B169" s="1" t="s">
        <v>29</v>
      </c>
      <c r="C169" s="1" t="s">
        <v>30</v>
      </c>
      <c r="D169" s="1" t="s">
        <v>31</v>
      </c>
      <c r="E169" s="1" t="s">
        <v>36</v>
      </c>
      <c r="F169" s="1"/>
      <c r="G169" s="1">
        <v>2000</v>
      </c>
      <c r="H169" s="1">
        <v>2001</v>
      </c>
      <c r="I169" s="1">
        <v>2002</v>
      </c>
      <c r="J169" s="1">
        <v>2003</v>
      </c>
      <c r="K169" s="1">
        <v>2004</v>
      </c>
      <c r="L169" s="1">
        <v>2005</v>
      </c>
      <c r="M169" s="1">
        <v>2006</v>
      </c>
      <c r="N169" s="1">
        <v>2007</v>
      </c>
      <c r="O169" s="1">
        <v>2008</v>
      </c>
      <c r="P169" s="1">
        <v>2009</v>
      </c>
      <c r="Q169" s="1">
        <v>2010</v>
      </c>
      <c r="R169" s="1">
        <v>2011</v>
      </c>
      <c r="S169" s="1">
        <v>2012</v>
      </c>
      <c r="T169" s="1">
        <v>2013</v>
      </c>
      <c r="U169" s="1">
        <v>2014</v>
      </c>
      <c r="V169" s="1">
        <v>2015</v>
      </c>
      <c r="W169" s="1">
        <v>2016</v>
      </c>
      <c r="X169" s="1">
        <v>2017</v>
      </c>
      <c r="Y169" s="1">
        <v>2018</v>
      </c>
      <c r="Z169" s="1">
        <v>2019</v>
      </c>
      <c r="AA169" s="1">
        <v>2020</v>
      </c>
      <c r="AB169" s="1">
        <v>2021</v>
      </c>
      <c r="AC169" s="1">
        <v>2022</v>
      </c>
      <c r="AD169" s="1">
        <v>2023</v>
      </c>
      <c r="AE169" s="1">
        <v>2024</v>
      </c>
      <c r="AF169" s="1">
        <v>2025</v>
      </c>
      <c r="AG169" s="1">
        <v>2026</v>
      </c>
      <c r="AH169" s="1">
        <v>2027</v>
      </c>
      <c r="AI169" s="1">
        <v>2028</v>
      </c>
      <c r="AJ169" s="1">
        <v>2029</v>
      </c>
      <c r="AK169" s="1">
        <v>2030</v>
      </c>
      <c r="AL169" s="1">
        <v>2031</v>
      </c>
      <c r="AM169" s="1">
        <v>2032</v>
      </c>
      <c r="AN169" s="1">
        <v>2033</v>
      </c>
      <c r="AO169" s="1">
        <v>2034</v>
      </c>
      <c r="AP169" s="1">
        <v>2035</v>
      </c>
      <c r="AQ169" s="1">
        <v>2036</v>
      </c>
      <c r="AR169" s="1">
        <v>2037</v>
      </c>
      <c r="AS169" s="1">
        <v>2038</v>
      </c>
      <c r="AT169" s="1">
        <v>2039</v>
      </c>
      <c r="AU169" s="1">
        <v>2040</v>
      </c>
      <c r="AV169" s="1">
        <v>2041</v>
      </c>
      <c r="AW169" s="1">
        <v>2042</v>
      </c>
      <c r="AX169" s="1">
        <v>2043</v>
      </c>
      <c r="AY169" s="1">
        <v>2044</v>
      </c>
      <c r="AZ169" s="1">
        <v>2045</v>
      </c>
      <c r="BA169" s="1">
        <v>2046</v>
      </c>
      <c r="BB169" s="1">
        <v>2047</v>
      </c>
      <c r="BC169" s="1">
        <v>2048</v>
      </c>
      <c r="BD169" s="1">
        <v>2049</v>
      </c>
      <c r="BE169" s="1">
        <v>2050</v>
      </c>
    </row>
    <row r="170" spans="1:57" x14ac:dyDescent="0.25">
      <c r="A170" s="1" t="str">
        <f>'Population Definitions'!$A$2</f>
        <v>PWID_males</v>
      </c>
      <c r="C170" t="s">
        <v>48</v>
      </c>
      <c r="D170" s="3"/>
      <c r="E170" s="3">
        <v>0</v>
      </c>
      <c r="F170" s="4" t="s">
        <v>37</v>
      </c>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row>
    <row r="171" spans="1:57" x14ac:dyDescent="0.25">
      <c r="A171" s="1" t="str">
        <f>'Population Definitions'!$A$3</f>
        <v>PWID_females</v>
      </c>
      <c r="C171" t="s">
        <v>48</v>
      </c>
      <c r="D171" s="3"/>
      <c r="E171" s="3">
        <v>0</v>
      </c>
      <c r="F171" s="4" t="s">
        <v>37</v>
      </c>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row>
    <row r="172" spans="1:57" x14ac:dyDescent="0.25">
      <c r="A172" s="1" t="str">
        <f>'Population Definitions'!$A$4</f>
        <v>0-9_males</v>
      </c>
      <c r="C172" t="s">
        <v>48</v>
      </c>
      <c r="D172" s="3"/>
      <c r="E172" s="3">
        <v>0</v>
      </c>
      <c r="F172" s="4" t="s">
        <v>37</v>
      </c>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row>
    <row r="173" spans="1:57" x14ac:dyDescent="0.25">
      <c r="A173" s="1" t="str">
        <f>'Population Definitions'!$A$5</f>
        <v>0-9_females</v>
      </c>
      <c r="C173" t="s">
        <v>48</v>
      </c>
      <c r="D173" s="3"/>
      <c r="E173" s="3">
        <v>0</v>
      </c>
      <c r="F173" s="4" t="s">
        <v>37</v>
      </c>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row>
    <row r="174" spans="1:57" x14ac:dyDescent="0.25">
      <c r="A174" s="1" t="str">
        <f>'Population Definitions'!$A$6</f>
        <v>10-17_males</v>
      </c>
      <c r="C174" t="s">
        <v>48</v>
      </c>
      <c r="D174" s="3"/>
      <c r="E174" s="3">
        <v>0</v>
      </c>
      <c r="F174" s="4" t="s">
        <v>37</v>
      </c>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row>
    <row r="175" spans="1:57" x14ac:dyDescent="0.25">
      <c r="A175" s="1" t="str">
        <f>'Population Definitions'!$A$7</f>
        <v>10-17_females</v>
      </c>
      <c r="C175" t="s">
        <v>48</v>
      </c>
      <c r="D175" s="3"/>
      <c r="E175" s="3">
        <v>0</v>
      </c>
      <c r="F175" s="4" t="s">
        <v>37</v>
      </c>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row>
    <row r="176" spans="1:57" x14ac:dyDescent="0.25">
      <c r="A176" s="1" t="str">
        <f>'Population Definitions'!$A$8</f>
        <v>18-64_males</v>
      </c>
      <c r="C176" t="s">
        <v>48</v>
      </c>
      <c r="D176" s="3"/>
      <c r="E176" s="3">
        <v>0</v>
      </c>
      <c r="F176" s="4" t="s">
        <v>37</v>
      </c>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row>
    <row r="177" spans="1:57" x14ac:dyDescent="0.25">
      <c r="A177" s="1" t="str">
        <f>'Population Definitions'!$A$9</f>
        <v>18-64_females</v>
      </c>
      <c r="C177" t="s">
        <v>48</v>
      </c>
      <c r="D177" s="3"/>
      <c r="E177" s="3">
        <v>0</v>
      </c>
      <c r="F177" s="4" t="s">
        <v>37</v>
      </c>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row>
    <row r="178" spans="1:57" x14ac:dyDescent="0.25">
      <c r="A178" s="1" t="str">
        <f>'Population Definitions'!$A$10</f>
        <v>65+_males</v>
      </c>
      <c r="C178" t="s">
        <v>48</v>
      </c>
      <c r="D178" s="3"/>
      <c r="E178" s="3">
        <v>0</v>
      </c>
      <c r="F178" s="4" t="s">
        <v>37</v>
      </c>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row>
    <row r="179" spans="1:57" x14ac:dyDescent="0.25">
      <c r="A179" s="1" t="str">
        <f>'Population Definitions'!$A$11</f>
        <v>65+_females</v>
      </c>
      <c r="C179" t="s">
        <v>48</v>
      </c>
      <c r="D179" s="3"/>
      <c r="E179" s="3">
        <v>0</v>
      </c>
      <c r="F179" s="4" t="s">
        <v>37</v>
      </c>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row>
    <row r="180" spans="1:57" x14ac:dyDescent="0.25">
      <c r="A180" s="1" t="str">
        <f>'Population Definitions'!$A$12</f>
        <v>Prisoners_males</v>
      </c>
      <c r="C180" t="s">
        <v>48</v>
      </c>
      <c r="D180" s="3"/>
      <c r="E180" s="3">
        <v>0</v>
      </c>
      <c r="F180" s="4" t="s">
        <v>37</v>
      </c>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row>
    <row r="181" spans="1:57" x14ac:dyDescent="0.25">
      <c r="A181" s="1" t="str">
        <f>'Population Definitions'!$A$13</f>
        <v>Prisoners_females</v>
      </c>
      <c r="C181" t="s">
        <v>48</v>
      </c>
      <c r="D181" s="3"/>
      <c r="E181" s="3">
        <v>0</v>
      </c>
      <c r="F181" s="4" t="s">
        <v>37</v>
      </c>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row>
  </sheetData>
  <conditionalFormatting sqref="E30:E41">
    <cfRule type="expression" dxfId="933" priority="1">
      <formula>COUNTIF(G30:BE30,"&lt;&gt;" &amp; "")&gt;0</formula>
    </cfRule>
    <cfRule type="expression" dxfId="932" priority="2">
      <formula>AND(COUNTIF(G30:BE30,"&lt;&gt;" &amp; "")&gt;0,NOT(ISBLANK(E30)))</formula>
    </cfRule>
  </conditionalFormatting>
  <conditionalFormatting sqref="E44:E55">
    <cfRule type="expression" dxfId="931" priority="25">
      <formula>COUNTIF(G44:BE44,"&lt;&gt;" &amp; "")&gt;0</formula>
    </cfRule>
    <cfRule type="expression" dxfId="930" priority="26">
      <formula>AND(COUNTIF(G44:BE44,"&lt;&gt;" &amp; "")&gt;0,NOT(ISBLANK(E44)))</formula>
    </cfRule>
  </conditionalFormatting>
  <conditionalFormatting sqref="E58:E69">
    <cfRule type="expression" dxfId="929" priority="49">
      <formula>COUNTIF(G58:BE58,"&lt;&gt;" &amp; "")&gt;0</formula>
    </cfRule>
    <cfRule type="expression" dxfId="928" priority="50">
      <formula>AND(COUNTIF(G58:BE58,"&lt;&gt;" &amp; "")&gt;0,NOT(ISBLANK(E58)))</formula>
    </cfRule>
  </conditionalFormatting>
  <conditionalFormatting sqref="E72:E83">
    <cfRule type="expression" dxfId="927" priority="73">
      <formula>COUNTIF(G72:BE72,"&lt;&gt;" &amp; "")&gt;0</formula>
    </cfRule>
    <cfRule type="expression" dxfId="926" priority="74">
      <formula>AND(COUNTIF(G72:BE72,"&lt;&gt;" &amp; "")&gt;0,NOT(ISBLANK(E72)))</formula>
    </cfRule>
  </conditionalFormatting>
  <conditionalFormatting sqref="E86:E97">
    <cfRule type="expression" dxfId="925" priority="97">
      <formula>COUNTIF(G86:BE86,"&lt;&gt;" &amp; "")&gt;0</formula>
    </cfRule>
    <cfRule type="expression" dxfId="924" priority="98">
      <formula>AND(COUNTIF(G86:BE86,"&lt;&gt;" &amp; "")&gt;0,NOT(ISBLANK(E86)))</formula>
    </cfRule>
  </conditionalFormatting>
  <conditionalFormatting sqref="E114:E125">
    <cfRule type="expression" dxfId="923" priority="121">
      <formula>COUNTIF(G114:BE114,"&lt;&gt;" &amp; "")&gt;0</formula>
    </cfRule>
    <cfRule type="expression" dxfId="922" priority="122">
      <formula>AND(COUNTIF(G114:BE114,"&lt;&gt;" &amp; "")&gt;0,NOT(ISBLANK(E114)))</formula>
    </cfRule>
  </conditionalFormatting>
  <conditionalFormatting sqref="E128:E139">
    <cfRule type="expression" dxfId="921" priority="145">
      <formula>COUNTIF(G128:BE128,"&lt;&gt;" &amp; "")&gt;0</formula>
    </cfRule>
    <cfRule type="expression" dxfId="920" priority="146">
      <formula>AND(COUNTIF(G128:BE128,"&lt;&gt;" &amp; "")&gt;0,NOT(ISBLANK(E128)))</formula>
    </cfRule>
  </conditionalFormatting>
  <conditionalFormatting sqref="E142:E153">
    <cfRule type="expression" dxfId="919" priority="169">
      <formula>COUNTIF(G142:BE142,"&lt;&gt;" &amp; "")&gt;0</formula>
    </cfRule>
    <cfRule type="expression" dxfId="918" priority="170">
      <formula>AND(COUNTIF(G142:BE142,"&lt;&gt;" &amp; "")&gt;0,NOT(ISBLANK(E142)))</formula>
    </cfRule>
  </conditionalFormatting>
  <conditionalFormatting sqref="E156:E167">
    <cfRule type="expression" dxfId="917" priority="193">
      <formula>COUNTIF(G156:BE156,"&lt;&gt;" &amp; "")&gt;0</formula>
    </cfRule>
    <cfRule type="expression" dxfId="916" priority="194">
      <formula>AND(COUNTIF(G156:BE156,"&lt;&gt;" &amp; "")&gt;0,NOT(ISBLANK(E156)))</formula>
    </cfRule>
  </conditionalFormatting>
  <conditionalFormatting sqref="E170:E181">
    <cfRule type="expression" dxfId="915" priority="217">
      <formula>COUNTIF(G170:BE170,"&lt;&gt;" &amp; "")&gt;0</formula>
    </cfRule>
    <cfRule type="expression" dxfId="914" priority="218">
      <formula>AND(COUNTIF(G170:BE170,"&lt;&gt;" &amp; "")&gt;0,NOT(ISBLANK(E170)))</formula>
    </cfRule>
  </conditionalFormatting>
  <dataValidations count="3">
    <dataValidation type="list" allowBlank="1" showInputMessage="1" showErrorMessage="1" sqref="C2:C13" xr:uid="{00000000-0002-0000-0100-000000000000}">
      <formula1>"Number"</formula1>
    </dataValidation>
    <dataValidation type="list" allowBlank="1" showInputMessage="1" showErrorMessage="1" sqref="C156:C167 C142:C153 C128:C139 C114:C125 C100:C111 C86:C97 C72:C83 C58:C69 C44:C55 C30:C41 C16:C27" xr:uid="{00000000-0002-0000-0100-00000C000000}">
      <formula1>"Fraction"</formula1>
    </dataValidation>
    <dataValidation type="list" allowBlank="1" showInputMessage="1" showErrorMessage="1" sqref="C170:C181" xr:uid="{00000000-0002-0000-0100-000090000000}">
      <formula1>"Proportion"</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08080"/>
  </sheetPr>
  <dimension ref="A1:BE55"/>
  <sheetViews>
    <sheetView workbookViewId="0"/>
  </sheetViews>
  <sheetFormatPr defaultRowHeight="15" x14ac:dyDescent="0.25"/>
  <cols>
    <col min="1" max="1" width="24.85546875" customWidth="1"/>
    <col min="2" max="2" width="12.7109375" customWidth="1"/>
    <col min="3" max="3" width="20.42578125" customWidth="1"/>
    <col min="4" max="4" width="13.85546875" customWidth="1"/>
    <col min="5" max="5" width="10.5703125" customWidth="1"/>
    <col min="6" max="57" width="9.42578125" customWidth="1"/>
  </cols>
  <sheetData>
    <row r="1" spans="1:57" x14ac:dyDescent="0.25">
      <c r="A1" s="1" t="s">
        <v>49</v>
      </c>
      <c r="B1" s="1" t="s">
        <v>29</v>
      </c>
      <c r="C1" s="1" t="s">
        <v>30</v>
      </c>
      <c r="D1" s="1" t="s">
        <v>31</v>
      </c>
      <c r="E1" s="1">
        <v>2000</v>
      </c>
      <c r="F1" s="1">
        <v>2001</v>
      </c>
      <c r="G1" s="1">
        <v>2002</v>
      </c>
      <c r="H1" s="1">
        <v>2003</v>
      </c>
      <c r="I1" s="1">
        <v>2004</v>
      </c>
      <c r="J1" s="1">
        <v>2005</v>
      </c>
      <c r="K1" s="1">
        <v>2006</v>
      </c>
      <c r="L1" s="1">
        <v>2007</v>
      </c>
      <c r="M1" s="1">
        <v>2008</v>
      </c>
      <c r="N1" s="1">
        <v>2009</v>
      </c>
      <c r="O1" s="1">
        <v>2010</v>
      </c>
      <c r="P1" s="1">
        <v>2011</v>
      </c>
      <c r="Q1" s="1">
        <v>2012</v>
      </c>
      <c r="R1" s="1">
        <v>2013</v>
      </c>
      <c r="S1" s="1">
        <v>2014</v>
      </c>
      <c r="T1" s="1">
        <v>2015</v>
      </c>
      <c r="U1" s="1">
        <v>2016</v>
      </c>
      <c r="V1" s="1">
        <v>2017</v>
      </c>
      <c r="W1" s="1">
        <v>2018</v>
      </c>
      <c r="X1" s="1">
        <v>2019</v>
      </c>
      <c r="Y1" s="1">
        <v>2020</v>
      </c>
      <c r="Z1" s="1">
        <v>2021</v>
      </c>
      <c r="AA1" s="1">
        <v>2022</v>
      </c>
      <c r="AB1" s="1">
        <v>2023</v>
      </c>
      <c r="AC1" s="1">
        <v>2024</v>
      </c>
      <c r="AD1" s="1">
        <v>2025</v>
      </c>
      <c r="AE1" s="1">
        <v>2026</v>
      </c>
      <c r="AF1" s="1">
        <v>2027</v>
      </c>
      <c r="AG1" s="1">
        <v>2028</v>
      </c>
      <c r="AH1" s="1">
        <v>2029</v>
      </c>
      <c r="AI1" s="1">
        <v>2030</v>
      </c>
      <c r="AJ1" s="1">
        <v>2031</v>
      </c>
      <c r="AK1" s="1">
        <v>2032</v>
      </c>
      <c r="AL1" s="1">
        <v>2033</v>
      </c>
      <c r="AM1" s="1">
        <v>2034</v>
      </c>
      <c r="AN1" s="1">
        <v>2035</v>
      </c>
      <c r="AO1" s="1">
        <v>2036</v>
      </c>
      <c r="AP1" s="1">
        <v>2037</v>
      </c>
      <c r="AQ1" s="1">
        <v>2038</v>
      </c>
      <c r="AR1" s="1">
        <v>2039</v>
      </c>
      <c r="AS1" s="1">
        <v>2040</v>
      </c>
      <c r="AT1" s="1">
        <v>2041</v>
      </c>
      <c r="AU1" s="1">
        <v>2042</v>
      </c>
      <c r="AV1" s="1">
        <v>2043</v>
      </c>
      <c r="AW1" s="1">
        <v>2044</v>
      </c>
      <c r="AX1" s="1">
        <v>2045</v>
      </c>
      <c r="AY1" s="1">
        <v>2046</v>
      </c>
      <c r="AZ1" s="1">
        <v>2047</v>
      </c>
      <c r="BA1" s="1">
        <v>2048</v>
      </c>
      <c r="BB1" s="1">
        <v>2049</v>
      </c>
      <c r="BC1" s="1">
        <v>2050</v>
      </c>
    </row>
    <row r="2" spans="1:57" x14ac:dyDescent="0.25">
      <c r="A2" s="1" t="str">
        <f>'Population Definitions'!$A$2</f>
        <v>PWID_males</v>
      </c>
      <c r="C2" t="s">
        <v>32</v>
      </c>
      <c r="D2" s="3"/>
      <c r="E2" s="3">
        <v>357333.57191</v>
      </c>
      <c r="F2" s="3"/>
      <c r="G2" s="3"/>
      <c r="H2" s="3"/>
      <c r="I2" s="3"/>
      <c r="J2" s="3"/>
      <c r="K2" s="3"/>
      <c r="L2" s="3"/>
      <c r="M2" s="3"/>
      <c r="N2" s="3"/>
      <c r="O2" s="3">
        <v>357333.57191</v>
      </c>
      <c r="P2" s="3">
        <v>357333.57191</v>
      </c>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row>
    <row r="3" spans="1:57" x14ac:dyDescent="0.25">
      <c r="A3" s="1" t="str">
        <f>'Population Definitions'!$A$3</f>
        <v>PWID_females</v>
      </c>
      <c r="C3" t="s">
        <v>32</v>
      </c>
      <c r="D3" s="3"/>
      <c r="E3" s="3">
        <v>1795.646090000002</v>
      </c>
      <c r="F3" s="3"/>
      <c r="G3" s="3"/>
      <c r="H3" s="3"/>
      <c r="I3" s="3"/>
      <c r="J3" s="3"/>
      <c r="K3" s="3"/>
      <c r="L3" s="3"/>
      <c r="M3" s="3"/>
      <c r="N3" s="3"/>
      <c r="O3" s="3">
        <v>1795.646090000002</v>
      </c>
      <c r="P3" s="3">
        <v>1795.646090000002</v>
      </c>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row>
    <row r="4" spans="1:57" x14ac:dyDescent="0.25">
      <c r="A4" s="1" t="str">
        <f>'Population Definitions'!$A$4</f>
        <v>0-9_males</v>
      </c>
      <c r="C4" t="s">
        <v>32</v>
      </c>
      <c r="D4" s="3"/>
      <c r="E4" s="3">
        <v>24377903.5</v>
      </c>
      <c r="F4" s="3">
        <v>24759320</v>
      </c>
      <c r="G4" s="3">
        <v>25091361.5</v>
      </c>
      <c r="H4" s="3">
        <v>25393817</v>
      </c>
      <c r="I4" s="3">
        <v>25671130</v>
      </c>
      <c r="J4" s="3">
        <v>25927335.5</v>
      </c>
      <c r="K4" s="3">
        <v>26218755</v>
      </c>
      <c r="L4" s="3">
        <v>26592783</v>
      </c>
      <c r="M4" s="3">
        <v>27038545.499999989</v>
      </c>
      <c r="N4" s="3">
        <v>27514134</v>
      </c>
      <c r="O4" s="3">
        <v>28005213</v>
      </c>
      <c r="P4" s="3">
        <v>28499481</v>
      </c>
      <c r="Q4" s="3">
        <v>28973697.5</v>
      </c>
      <c r="R4" s="3">
        <v>29417038</v>
      </c>
      <c r="S4" s="3">
        <v>29846563.5</v>
      </c>
      <c r="T4" s="3">
        <v>30249406.5</v>
      </c>
      <c r="U4" s="3">
        <v>30565594.5</v>
      </c>
      <c r="V4" s="3">
        <v>30813053</v>
      </c>
      <c r="W4" s="3">
        <v>31016371</v>
      </c>
      <c r="X4" s="3">
        <v>31164899</v>
      </c>
      <c r="Y4" s="3">
        <v>31287540</v>
      </c>
      <c r="Z4" s="3">
        <v>31419652</v>
      </c>
      <c r="AA4" s="3">
        <v>31568756</v>
      </c>
      <c r="AB4" s="3">
        <v>31725963</v>
      </c>
      <c r="AC4" s="3">
        <v>31848724.5</v>
      </c>
      <c r="AD4" s="3">
        <v>31953612.5</v>
      </c>
      <c r="AE4" s="3">
        <v>32105672.5</v>
      </c>
      <c r="AF4" s="3">
        <v>32284790.5</v>
      </c>
      <c r="AG4" s="3">
        <v>32476171</v>
      </c>
      <c r="AH4" s="3">
        <v>32686568.5</v>
      </c>
      <c r="AI4" s="3">
        <v>32915556</v>
      </c>
      <c r="AJ4" s="3">
        <v>33156819</v>
      </c>
      <c r="AK4" s="3">
        <v>33405465</v>
      </c>
      <c r="AL4" s="3">
        <v>33671154</v>
      </c>
      <c r="AM4" s="3">
        <v>33960566.499999993</v>
      </c>
      <c r="AN4" s="3">
        <v>34265131</v>
      </c>
      <c r="AO4" s="3">
        <v>34574099.500000007</v>
      </c>
      <c r="AP4" s="3">
        <v>34883147.5</v>
      </c>
      <c r="AQ4" s="3">
        <v>35184575.5</v>
      </c>
      <c r="AR4" s="3">
        <v>35466011.000000007</v>
      </c>
      <c r="AS4" s="3">
        <v>35718760</v>
      </c>
      <c r="AT4" s="3">
        <v>35944007.5</v>
      </c>
      <c r="AU4" s="3">
        <v>36140955</v>
      </c>
      <c r="AV4" s="3">
        <v>36306848.5</v>
      </c>
      <c r="AW4" s="3">
        <v>36444611.5</v>
      </c>
      <c r="AX4" s="3">
        <v>36558253.5</v>
      </c>
      <c r="AY4" s="3">
        <v>36648328.5</v>
      </c>
      <c r="AZ4" s="3">
        <v>36710948.500000007</v>
      </c>
      <c r="BA4" s="3">
        <v>36749918.499999993</v>
      </c>
      <c r="BB4" s="3">
        <v>36773623.000000007</v>
      </c>
      <c r="BC4" s="3">
        <v>36785256</v>
      </c>
    </row>
    <row r="5" spans="1:57" x14ac:dyDescent="0.25">
      <c r="A5" s="1" t="str">
        <f>'Population Definitions'!$A$5</f>
        <v>0-9_females</v>
      </c>
      <c r="C5" t="s">
        <v>32</v>
      </c>
      <c r="D5" s="3"/>
      <c r="E5" s="3">
        <v>22808597</v>
      </c>
      <c r="F5" s="3">
        <v>23157471.5</v>
      </c>
      <c r="G5" s="3">
        <v>23455251</v>
      </c>
      <c r="H5" s="3">
        <v>23732253.5</v>
      </c>
      <c r="I5" s="3">
        <v>23996644</v>
      </c>
      <c r="J5" s="3">
        <v>24239244.5</v>
      </c>
      <c r="K5" s="3">
        <v>24521224</v>
      </c>
      <c r="L5" s="3">
        <v>24890031</v>
      </c>
      <c r="M5" s="3">
        <v>25328805</v>
      </c>
      <c r="N5" s="3">
        <v>25806742</v>
      </c>
      <c r="O5" s="3">
        <v>26310499.5</v>
      </c>
      <c r="P5" s="3">
        <v>26825320.5</v>
      </c>
      <c r="Q5" s="3">
        <v>27325464.5</v>
      </c>
      <c r="R5" s="3">
        <v>27795990.5</v>
      </c>
      <c r="S5" s="3">
        <v>28254443</v>
      </c>
      <c r="T5" s="3">
        <v>28691937.5</v>
      </c>
      <c r="U5" s="3">
        <v>29042447</v>
      </c>
      <c r="V5" s="3">
        <v>29323239.5</v>
      </c>
      <c r="W5" s="3">
        <v>29561120.5</v>
      </c>
      <c r="X5" s="3">
        <v>29738568.5</v>
      </c>
      <c r="Y5" s="3">
        <v>29882991.5</v>
      </c>
      <c r="Z5" s="3">
        <v>30029215</v>
      </c>
      <c r="AA5" s="3">
        <v>30184047.5</v>
      </c>
      <c r="AB5" s="3">
        <v>30340135</v>
      </c>
      <c r="AC5" s="3">
        <v>30473796.5</v>
      </c>
      <c r="AD5" s="3">
        <v>30600252</v>
      </c>
      <c r="AE5" s="3">
        <v>30767690.5</v>
      </c>
      <c r="AF5" s="3">
        <v>30957954.5</v>
      </c>
      <c r="AG5" s="3">
        <v>31157096.5</v>
      </c>
      <c r="AH5" s="3">
        <v>31372756.5</v>
      </c>
      <c r="AI5" s="3">
        <v>31604176.5</v>
      </c>
      <c r="AJ5" s="3">
        <v>31845510.5</v>
      </c>
      <c r="AK5" s="3">
        <v>32092429.5</v>
      </c>
      <c r="AL5" s="3">
        <v>32353561.5</v>
      </c>
      <c r="AM5" s="3">
        <v>32634470.5</v>
      </c>
      <c r="AN5" s="3">
        <v>32928737</v>
      </c>
      <c r="AO5" s="3">
        <v>33228539.5</v>
      </c>
      <c r="AP5" s="3">
        <v>33528934.5</v>
      </c>
      <c r="AQ5" s="3">
        <v>33821615.999999993</v>
      </c>
      <c r="AR5" s="3">
        <v>34095013.000000007</v>
      </c>
      <c r="AS5" s="3">
        <v>34341289</v>
      </c>
      <c r="AT5" s="3">
        <v>34560873.999999993</v>
      </c>
      <c r="AU5" s="3">
        <v>34753125.5</v>
      </c>
      <c r="AV5" s="3">
        <v>34915573.5</v>
      </c>
      <c r="AW5" s="3">
        <v>35050412</v>
      </c>
      <c r="AX5" s="3">
        <v>35161452.999999993</v>
      </c>
      <c r="AY5" s="3">
        <v>35248865.000000007</v>
      </c>
      <c r="AZ5" s="3">
        <v>35309850.5</v>
      </c>
      <c r="BA5" s="3">
        <v>35348439.5</v>
      </c>
      <c r="BB5" s="3">
        <v>35371913</v>
      </c>
      <c r="BC5" s="3">
        <v>35383406</v>
      </c>
    </row>
    <row r="6" spans="1:57" x14ac:dyDescent="0.25">
      <c r="A6" s="1" t="str">
        <f>'Population Definitions'!$A$6</f>
        <v>10-17_males</v>
      </c>
      <c r="C6" t="s">
        <v>32</v>
      </c>
      <c r="D6" s="3"/>
      <c r="E6" s="3">
        <v>15573281.5</v>
      </c>
      <c r="F6" s="3">
        <v>16067208</v>
      </c>
      <c r="G6" s="3">
        <v>16529010.5</v>
      </c>
      <c r="H6" s="3">
        <v>16978060.5</v>
      </c>
      <c r="I6" s="3">
        <v>17422047</v>
      </c>
      <c r="J6" s="3">
        <v>17828224.5</v>
      </c>
      <c r="K6" s="3">
        <v>18192686.5</v>
      </c>
      <c r="L6" s="3">
        <v>18537944.5</v>
      </c>
      <c r="M6" s="3">
        <v>18851145.5</v>
      </c>
      <c r="N6" s="3">
        <v>19146458</v>
      </c>
      <c r="O6" s="3">
        <v>19439146.5</v>
      </c>
      <c r="P6" s="3">
        <v>19703434.5</v>
      </c>
      <c r="Q6" s="3">
        <v>19925933</v>
      </c>
      <c r="R6" s="3">
        <v>20122210</v>
      </c>
      <c r="S6" s="3">
        <v>20295759</v>
      </c>
      <c r="T6" s="3">
        <v>20458433.5</v>
      </c>
      <c r="U6" s="3">
        <v>20659725</v>
      </c>
      <c r="V6" s="3">
        <v>20912926.5</v>
      </c>
      <c r="W6" s="3">
        <v>21225531.5</v>
      </c>
      <c r="X6" s="3">
        <v>21599410</v>
      </c>
      <c r="Y6" s="3">
        <v>22036449.5</v>
      </c>
      <c r="Z6" s="3">
        <v>22502243.5</v>
      </c>
      <c r="AA6" s="3">
        <v>22951598.5</v>
      </c>
      <c r="AB6" s="3">
        <v>23368668</v>
      </c>
      <c r="AC6" s="3">
        <v>23731380.5</v>
      </c>
      <c r="AD6" s="3">
        <v>24015603.5</v>
      </c>
      <c r="AE6" s="3">
        <v>24190329</v>
      </c>
      <c r="AF6" s="3">
        <v>24284580.5</v>
      </c>
      <c r="AG6" s="3">
        <v>24339023.5</v>
      </c>
      <c r="AH6" s="3">
        <v>24372042.5</v>
      </c>
      <c r="AI6" s="3">
        <v>24416151</v>
      </c>
      <c r="AJ6" s="3">
        <v>24489201.5</v>
      </c>
      <c r="AK6" s="3">
        <v>24596026</v>
      </c>
      <c r="AL6" s="3">
        <v>24729916.5</v>
      </c>
      <c r="AM6" s="3">
        <v>24888464.5</v>
      </c>
      <c r="AN6" s="3">
        <v>25054341.5</v>
      </c>
      <c r="AO6" s="3">
        <v>25216931</v>
      </c>
      <c r="AP6" s="3">
        <v>25383501.5</v>
      </c>
      <c r="AQ6" s="3">
        <v>25556669.5</v>
      </c>
      <c r="AR6" s="3">
        <v>25736909</v>
      </c>
      <c r="AS6" s="3">
        <v>25923431.5</v>
      </c>
      <c r="AT6" s="3">
        <v>26126062</v>
      </c>
      <c r="AU6" s="3">
        <v>26355621.5</v>
      </c>
      <c r="AV6" s="3">
        <v>26607011.5</v>
      </c>
      <c r="AW6" s="3">
        <v>26867884</v>
      </c>
      <c r="AX6" s="3">
        <v>27135037.5</v>
      </c>
      <c r="AY6" s="3">
        <v>27400922.5</v>
      </c>
      <c r="AZ6" s="3">
        <v>27655160.5</v>
      </c>
      <c r="BA6" s="3">
        <v>27891914</v>
      </c>
      <c r="BB6" s="3">
        <v>28107325</v>
      </c>
      <c r="BC6" s="3">
        <v>28301120.5</v>
      </c>
    </row>
    <row r="7" spans="1:57" x14ac:dyDescent="0.25">
      <c r="A7" s="1" t="str">
        <f>'Population Definitions'!$A$7</f>
        <v>10-17_females</v>
      </c>
      <c r="C7" t="s">
        <v>32</v>
      </c>
      <c r="D7" s="3"/>
      <c r="E7" s="3">
        <v>14706582.5</v>
      </c>
      <c r="F7" s="3">
        <v>15147740</v>
      </c>
      <c r="G7" s="3">
        <v>15571632.5</v>
      </c>
      <c r="H7" s="3">
        <v>15978504</v>
      </c>
      <c r="I7" s="3">
        <v>16367379.5</v>
      </c>
      <c r="J7" s="3">
        <v>16723659</v>
      </c>
      <c r="K7" s="3">
        <v>17051649</v>
      </c>
      <c r="L7" s="3">
        <v>17374359</v>
      </c>
      <c r="M7" s="3">
        <v>17672341.5</v>
      </c>
      <c r="N7" s="3">
        <v>17949441.5</v>
      </c>
      <c r="O7" s="3">
        <v>18215862.5</v>
      </c>
      <c r="P7" s="3">
        <v>18456065.5</v>
      </c>
      <c r="Q7" s="3">
        <v>18663801.5</v>
      </c>
      <c r="R7" s="3">
        <v>18849828.5</v>
      </c>
      <c r="S7" s="3">
        <v>19016139</v>
      </c>
      <c r="T7" s="3">
        <v>19171159</v>
      </c>
      <c r="U7" s="3">
        <v>19367751.5</v>
      </c>
      <c r="V7" s="3">
        <v>19623497.5</v>
      </c>
      <c r="W7" s="3">
        <v>19941493</v>
      </c>
      <c r="X7" s="3">
        <v>20326611</v>
      </c>
      <c r="Y7" s="3">
        <v>20780752.5</v>
      </c>
      <c r="Z7" s="3">
        <v>21272061</v>
      </c>
      <c r="AA7" s="3">
        <v>21760678</v>
      </c>
      <c r="AB7" s="3">
        <v>22227477.5</v>
      </c>
      <c r="AC7" s="3">
        <v>22628071</v>
      </c>
      <c r="AD7" s="3">
        <v>22941297.5</v>
      </c>
      <c r="AE7" s="3">
        <v>23152177</v>
      </c>
      <c r="AF7" s="3">
        <v>23281504.5</v>
      </c>
      <c r="AG7" s="3">
        <v>23366222</v>
      </c>
      <c r="AH7" s="3">
        <v>23424510.5</v>
      </c>
      <c r="AI7" s="3">
        <v>23488685.5</v>
      </c>
      <c r="AJ7" s="3">
        <v>23576684</v>
      </c>
      <c r="AK7" s="3">
        <v>23694264.5</v>
      </c>
      <c r="AL7" s="3">
        <v>23836326.5</v>
      </c>
      <c r="AM7" s="3">
        <v>24003200</v>
      </c>
      <c r="AN7" s="3">
        <v>24176827</v>
      </c>
      <c r="AO7" s="3">
        <v>24345166.999999989</v>
      </c>
      <c r="AP7" s="3">
        <v>24516289</v>
      </c>
      <c r="AQ7" s="3">
        <v>24692180</v>
      </c>
      <c r="AR7" s="3">
        <v>24873171.5</v>
      </c>
      <c r="AS7" s="3">
        <v>25059367.5</v>
      </c>
      <c r="AT7" s="3">
        <v>25259746.5</v>
      </c>
      <c r="AU7" s="3">
        <v>25482792.5</v>
      </c>
      <c r="AV7" s="3">
        <v>25725438</v>
      </c>
      <c r="AW7" s="3">
        <v>25978070</v>
      </c>
      <c r="AX7" s="3">
        <v>26236611.5</v>
      </c>
      <c r="AY7" s="3">
        <v>26494291</v>
      </c>
      <c r="AZ7" s="3">
        <v>26741258.5</v>
      </c>
      <c r="BA7" s="3">
        <v>26971114.5</v>
      </c>
      <c r="BB7" s="3">
        <v>27179911</v>
      </c>
      <c r="BC7" s="3">
        <v>27367560.5</v>
      </c>
    </row>
    <row r="8" spans="1:57" x14ac:dyDescent="0.25">
      <c r="A8" s="1" t="str">
        <f>'Population Definitions'!$A$8</f>
        <v>18-64_males</v>
      </c>
      <c r="C8" t="s">
        <v>32</v>
      </c>
      <c r="D8" s="3"/>
      <c r="E8" s="3">
        <v>36703682.498089992</v>
      </c>
      <c r="F8" s="3">
        <v>38009133.498089992</v>
      </c>
      <c r="G8" s="3">
        <v>39107362.998089999</v>
      </c>
      <c r="H8" s="3">
        <v>40210642.498089999</v>
      </c>
      <c r="I8" s="3">
        <v>41523599.498090006</v>
      </c>
      <c r="J8" s="3">
        <v>42876865.478090003</v>
      </c>
      <c r="K8" s="3">
        <v>44259151.978090003</v>
      </c>
      <c r="L8" s="3">
        <v>45852089.978090003</v>
      </c>
      <c r="M8" s="3">
        <v>47497516.978090003</v>
      </c>
      <c r="N8" s="3">
        <v>49059939.978090003</v>
      </c>
      <c r="O8" s="3">
        <v>50619210.460089989</v>
      </c>
      <c r="P8" s="3">
        <v>52011338.460089989</v>
      </c>
      <c r="Q8" s="3">
        <v>53178623.460089989</v>
      </c>
      <c r="R8" s="3">
        <v>54162171.960089989</v>
      </c>
      <c r="S8" s="3">
        <v>55093475.960089996</v>
      </c>
      <c r="T8" s="3">
        <v>55978730.477090009</v>
      </c>
      <c r="U8" s="3">
        <v>56814199.977089994</v>
      </c>
      <c r="V8" s="3">
        <v>57793873.477089994</v>
      </c>
      <c r="W8" s="3">
        <v>59001010.477090001</v>
      </c>
      <c r="X8" s="3">
        <v>60295792.977090023</v>
      </c>
      <c r="Y8" s="3">
        <v>61719010.347089984</v>
      </c>
      <c r="Z8" s="3">
        <v>63200929.847089998</v>
      </c>
      <c r="AA8" s="3">
        <v>64428152.847089984</v>
      </c>
      <c r="AB8" s="3">
        <v>65370535.847089984</v>
      </c>
      <c r="AC8" s="3">
        <v>66849410.2925644</v>
      </c>
      <c r="AD8" s="3">
        <v>68187807.292564437</v>
      </c>
      <c r="AE8" s="3">
        <v>69653935.792564422</v>
      </c>
      <c r="AF8" s="3">
        <v>71243720.792564392</v>
      </c>
      <c r="AG8" s="3">
        <v>72940076.792564407</v>
      </c>
      <c r="AH8" s="3">
        <v>74685691.792564407</v>
      </c>
      <c r="AI8" s="3">
        <v>76449258.292564377</v>
      </c>
      <c r="AJ8" s="3">
        <v>78224184.292564407</v>
      </c>
      <c r="AK8" s="3">
        <v>79994296.792564347</v>
      </c>
      <c r="AL8" s="3">
        <v>81751342.792564407</v>
      </c>
      <c r="AM8" s="3">
        <v>83479890.292564422</v>
      </c>
      <c r="AN8" s="3">
        <v>85193126.292564437</v>
      </c>
      <c r="AO8" s="3">
        <v>86914524.792564392</v>
      </c>
      <c r="AP8" s="3">
        <v>88632519.792564392</v>
      </c>
      <c r="AQ8" s="3">
        <v>90350689.792564392</v>
      </c>
      <c r="AR8" s="3">
        <v>92077217.792564407</v>
      </c>
      <c r="AS8" s="3">
        <v>93793786.292564377</v>
      </c>
      <c r="AT8" s="3">
        <v>95500421.292564422</v>
      </c>
      <c r="AU8" s="3">
        <v>97195067.292564407</v>
      </c>
      <c r="AV8" s="3">
        <v>98873831.292564452</v>
      </c>
      <c r="AW8" s="3">
        <v>100547557.79256441</v>
      </c>
      <c r="AX8" s="3">
        <v>102212770.79256441</v>
      </c>
      <c r="AY8" s="3">
        <v>103859128.79256441</v>
      </c>
      <c r="AZ8" s="3">
        <v>105482577.29256441</v>
      </c>
      <c r="BA8" s="3">
        <v>107093663.79256441</v>
      </c>
      <c r="BB8" s="3">
        <v>108707600.29256441</v>
      </c>
      <c r="BC8" s="3">
        <v>110332087.79256441</v>
      </c>
    </row>
    <row r="9" spans="1:57" x14ac:dyDescent="0.25">
      <c r="A9" s="1" t="str">
        <f>'Population Definitions'!$A$9</f>
        <v>18-64_females</v>
      </c>
      <c r="C9" t="s">
        <v>32</v>
      </c>
      <c r="D9" s="3"/>
      <c r="E9" s="3">
        <v>34883783.283909991</v>
      </c>
      <c r="F9" s="3">
        <v>36136838.783910006</v>
      </c>
      <c r="G9" s="3">
        <v>37309416.283910006</v>
      </c>
      <c r="H9" s="3">
        <v>38488720.783909991</v>
      </c>
      <c r="I9" s="3">
        <v>39795666.283909999</v>
      </c>
      <c r="J9" s="3">
        <v>41151925.803910002</v>
      </c>
      <c r="K9" s="3">
        <v>42539493.303909987</v>
      </c>
      <c r="L9" s="3">
        <v>44133396.303910002</v>
      </c>
      <c r="M9" s="3">
        <v>45774066.30391001</v>
      </c>
      <c r="N9" s="3">
        <v>47333256.803909987</v>
      </c>
      <c r="O9" s="3">
        <v>48859896.321909986</v>
      </c>
      <c r="P9" s="3">
        <v>50226680.821910009</v>
      </c>
      <c r="Q9" s="3">
        <v>51355173.821910001</v>
      </c>
      <c r="R9" s="3">
        <v>52292433.821910009</v>
      </c>
      <c r="S9" s="3">
        <v>53170043.321910009</v>
      </c>
      <c r="T9" s="3">
        <v>53999407.804909989</v>
      </c>
      <c r="U9" s="3">
        <v>54773584.304909997</v>
      </c>
      <c r="V9" s="3">
        <v>55685255.304909997</v>
      </c>
      <c r="W9" s="3">
        <v>56819373.304909997</v>
      </c>
      <c r="X9" s="3">
        <v>58040114.804909997</v>
      </c>
      <c r="Y9" s="3">
        <v>59400417.934910007</v>
      </c>
      <c r="Z9" s="3">
        <v>60908373.934909992</v>
      </c>
      <c r="AA9" s="3">
        <v>62345981.43490997</v>
      </c>
      <c r="AB9" s="3">
        <v>63644487.434909992</v>
      </c>
      <c r="AC9" s="3">
        <v>64953738.606045</v>
      </c>
      <c r="AD9" s="3">
        <v>66360513.606045008</v>
      </c>
      <c r="AE9" s="3">
        <v>67878976.106045008</v>
      </c>
      <c r="AF9" s="3">
        <v>69511998.106045008</v>
      </c>
      <c r="AG9" s="3">
        <v>71245279.106045008</v>
      </c>
      <c r="AH9" s="3">
        <v>73028802.106044993</v>
      </c>
      <c r="AI9" s="3">
        <v>74832271.106044993</v>
      </c>
      <c r="AJ9" s="3">
        <v>76647977.106044978</v>
      </c>
      <c r="AK9" s="3">
        <v>78461139.106044963</v>
      </c>
      <c r="AL9" s="3">
        <v>80263583.606044993</v>
      </c>
      <c r="AM9" s="3">
        <v>82040340.606045008</v>
      </c>
      <c r="AN9" s="3">
        <v>83804810.606044993</v>
      </c>
      <c r="AO9" s="3">
        <v>85577719.106045008</v>
      </c>
      <c r="AP9" s="3">
        <v>87347859.606044963</v>
      </c>
      <c r="AQ9" s="3">
        <v>89119243.106044978</v>
      </c>
      <c r="AR9" s="3">
        <v>90899762.606045008</v>
      </c>
      <c r="AS9" s="3">
        <v>92674682.106045023</v>
      </c>
      <c r="AT9" s="3">
        <v>94442887.606045008</v>
      </c>
      <c r="AU9" s="3">
        <v>96203422.106044978</v>
      </c>
      <c r="AV9" s="3">
        <v>97950477.106044993</v>
      </c>
      <c r="AW9" s="3">
        <v>99686875.606044978</v>
      </c>
      <c r="AX9" s="3">
        <v>101409998.60604499</v>
      </c>
      <c r="AY9" s="3">
        <v>103112554.60604499</v>
      </c>
      <c r="AZ9" s="3">
        <v>104791802.10604499</v>
      </c>
      <c r="BA9" s="3">
        <v>106459273.60604499</v>
      </c>
      <c r="BB9" s="3">
        <v>108129289.10604499</v>
      </c>
      <c r="BC9" s="3">
        <v>109807989.60604499</v>
      </c>
    </row>
    <row r="10" spans="1:57" x14ac:dyDescent="0.25">
      <c r="A10" s="1" t="str">
        <f>'Population Definitions'!$A$10</f>
        <v>65+_males</v>
      </c>
      <c r="C10" t="s">
        <v>32</v>
      </c>
      <c r="D10" s="3"/>
      <c r="E10" s="3">
        <v>2873863.0000000009</v>
      </c>
      <c r="F10" s="3">
        <v>2952619.5</v>
      </c>
      <c r="G10" s="3">
        <v>3027571.5</v>
      </c>
      <c r="H10" s="3">
        <v>3103833.9999999991</v>
      </c>
      <c r="I10" s="3">
        <v>3186093.5</v>
      </c>
      <c r="J10" s="3">
        <v>3269125.4999999991</v>
      </c>
      <c r="K10" s="3">
        <v>3353985.0000000009</v>
      </c>
      <c r="L10" s="3">
        <v>3446978.0000000009</v>
      </c>
      <c r="M10" s="3">
        <v>3543503.5</v>
      </c>
      <c r="N10" s="3">
        <v>3640535.5</v>
      </c>
      <c r="O10" s="3">
        <v>3738734.5</v>
      </c>
      <c r="P10" s="3">
        <v>3833342</v>
      </c>
      <c r="Q10" s="3">
        <v>3918119</v>
      </c>
      <c r="R10" s="3">
        <v>3983883.4999999991</v>
      </c>
      <c r="S10" s="3">
        <v>4028312.4999999991</v>
      </c>
      <c r="T10" s="3">
        <v>4068898.5</v>
      </c>
      <c r="U10" s="3">
        <v>4121815.4999999991</v>
      </c>
      <c r="V10" s="3">
        <v>4191702.9999999981</v>
      </c>
      <c r="W10" s="3">
        <v>4280138.0000000028</v>
      </c>
      <c r="X10" s="3">
        <v>4383781.5000000009</v>
      </c>
      <c r="Y10" s="3">
        <v>4473272.4999999972</v>
      </c>
      <c r="Z10" s="3">
        <v>4558775.4999999981</v>
      </c>
      <c r="AA10" s="3">
        <v>4682145.0000000019</v>
      </c>
      <c r="AB10" s="3">
        <v>4828335.0000000019</v>
      </c>
      <c r="AC10" s="3">
        <v>4977287.9999999981</v>
      </c>
      <c r="AD10" s="3">
        <v>5131057.0000000019</v>
      </c>
      <c r="AE10" s="3">
        <v>5292050.0000000028</v>
      </c>
      <c r="AF10" s="3">
        <v>5458386.0000000019</v>
      </c>
      <c r="AG10" s="3">
        <v>5628397.5</v>
      </c>
      <c r="AH10" s="3">
        <v>5799811.5000000019</v>
      </c>
      <c r="AI10" s="3">
        <v>5971948</v>
      </c>
      <c r="AJ10" s="3">
        <v>6144759.0000000009</v>
      </c>
      <c r="AK10" s="3">
        <v>6317496</v>
      </c>
      <c r="AL10" s="3">
        <v>6489786.9999999981</v>
      </c>
      <c r="AM10" s="3">
        <v>6661049</v>
      </c>
      <c r="AN10" s="3">
        <v>6832386.9999999991</v>
      </c>
      <c r="AO10" s="3">
        <v>7006870.0000000019</v>
      </c>
      <c r="AP10" s="3">
        <v>7187383</v>
      </c>
      <c r="AQ10" s="3">
        <v>7375250.9999999972</v>
      </c>
      <c r="AR10" s="3">
        <v>7569648.9999999991</v>
      </c>
      <c r="AS10" s="3">
        <v>7770771.0000000019</v>
      </c>
      <c r="AT10" s="3">
        <v>7980545.0000000009</v>
      </c>
      <c r="AU10" s="3">
        <v>8202256.4999999991</v>
      </c>
      <c r="AV10" s="3">
        <v>8437346.5000000037</v>
      </c>
      <c r="AW10" s="3">
        <v>8684467.9999999981</v>
      </c>
      <c r="AX10" s="3">
        <v>8948549</v>
      </c>
      <c r="AY10" s="3">
        <v>9241946.9999999981</v>
      </c>
      <c r="AZ10" s="3">
        <v>9564402.4999999981</v>
      </c>
      <c r="BA10" s="3">
        <v>9905213</v>
      </c>
      <c r="BB10" s="3">
        <v>10257753</v>
      </c>
      <c r="BC10" s="3">
        <v>10618449.5</v>
      </c>
    </row>
    <row r="11" spans="1:57" x14ac:dyDescent="0.25">
      <c r="A11" s="1" t="str">
        <f>'Population Definitions'!$A$11</f>
        <v>65+_females</v>
      </c>
      <c r="C11" t="s">
        <v>32</v>
      </c>
      <c r="D11" s="3"/>
      <c r="E11" s="3">
        <v>2513366</v>
      </c>
      <c r="F11" s="3">
        <v>2602508.5</v>
      </c>
      <c r="G11" s="3">
        <v>2692876</v>
      </c>
      <c r="H11" s="3">
        <v>2786348.5</v>
      </c>
      <c r="I11" s="3">
        <v>2885373.0000000019</v>
      </c>
      <c r="J11" s="3">
        <v>2988333</v>
      </c>
      <c r="K11" s="3">
        <v>3097246</v>
      </c>
      <c r="L11" s="3">
        <v>3217149.5</v>
      </c>
      <c r="M11" s="3">
        <v>3344689.4999999991</v>
      </c>
      <c r="N11" s="3">
        <v>3477527</v>
      </c>
      <c r="O11" s="3">
        <v>3615769</v>
      </c>
      <c r="P11" s="3">
        <v>3755686.4999999981</v>
      </c>
      <c r="Q11" s="3">
        <v>3891596.5</v>
      </c>
      <c r="R11" s="3">
        <v>4015707</v>
      </c>
      <c r="S11" s="3">
        <v>4125195</v>
      </c>
      <c r="T11" s="3">
        <v>4233611.0000000019</v>
      </c>
      <c r="U11" s="3">
        <v>4354452.4999999981</v>
      </c>
      <c r="V11" s="3">
        <v>4491121</v>
      </c>
      <c r="W11" s="3">
        <v>4644556.5000000019</v>
      </c>
      <c r="X11" s="3">
        <v>4812422.5</v>
      </c>
      <c r="Y11" s="3">
        <v>4980043.5000000019</v>
      </c>
      <c r="Z11" s="3">
        <v>5145281.5</v>
      </c>
      <c r="AA11" s="3">
        <v>5338039.4999999981</v>
      </c>
      <c r="AB11" s="3">
        <v>5557625.5</v>
      </c>
      <c r="AC11" s="3">
        <v>5778612.4999999991</v>
      </c>
      <c r="AD11" s="3">
        <v>6001269.0000000009</v>
      </c>
      <c r="AE11" s="3">
        <v>6230818.4999999991</v>
      </c>
      <c r="AF11" s="3">
        <v>6464748.9999999991</v>
      </c>
      <c r="AG11" s="3">
        <v>6701507</v>
      </c>
      <c r="AH11" s="3">
        <v>6939193.9999999981</v>
      </c>
      <c r="AI11" s="3">
        <v>7177066.4999999981</v>
      </c>
      <c r="AJ11" s="3">
        <v>7414789</v>
      </c>
      <c r="AK11" s="3">
        <v>7651880.5000000019</v>
      </c>
      <c r="AL11" s="3">
        <v>7888447.4999999981</v>
      </c>
      <c r="AM11" s="3">
        <v>8124027.5000000019</v>
      </c>
      <c r="AN11" s="3">
        <v>8360006.0000000028</v>
      </c>
      <c r="AO11" s="3">
        <v>8599500.4999999981</v>
      </c>
      <c r="AP11" s="3">
        <v>8845511.5000000037</v>
      </c>
      <c r="AQ11" s="3">
        <v>9099333.0000000019</v>
      </c>
      <c r="AR11" s="3">
        <v>9360002</v>
      </c>
      <c r="AS11" s="3">
        <v>9627466.9999999981</v>
      </c>
      <c r="AT11" s="3">
        <v>9903777.4999999981</v>
      </c>
      <c r="AU11" s="3">
        <v>10190487</v>
      </c>
      <c r="AV11" s="3">
        <v>10490182.5</v>
      </c>
      <c r="AW11" s="3">
        <v>10807440</v>
      </c>
      <c r="AX11" s="3">
        <v>11146910.5</v>
      </c>
      <c r="AY11" s="3">
        <v>11518676</v>
      </c>
      <c r="AZ11" s="3">
        <v>11923012.5</v>
      </c>
      <c r="BA11" s="3">
        <v>12348852</v>
      </c>
      <c r="BB11" s="3">
        <v>12788868</v>
      </c>
      <c r="BC11" s="3">
        <v>13239781</v>
      </c>
    </row>
    <row r="12" spans="1:57" x14ac:dyDescent="0.25">
      <c r="A12" s="1" t="str">
        <f>'Population Definitions'!$A$12</f>
        <v>Prisoners_males</v>
      </c>
      <c r="C12" t="s">
        <v>32</v>
      </c>
      <c r="D12" s="3"/>
      <c r="E12" s="3">
        <v>77753.929999999993</v>
      </c>
      <c r="F12" s="3"/>
      <c r="G12" s="3"/>
      <c r="H12" s="3"/>
      <c r="I12" s="3"/>
      <c r="J12" s="3">
        <v>88029.45</v>
      </c>
      <c r="K12" s="3"/>
      <c r="L12" s="3"/>
      <c r="M12" s="3"/>
      <c r="N12" s="3"/>
      <c r="O12" s="3">
        <v>74678.967999999993</v>
      </c>
      <c r="P12" s="3"/>
      <c r="Q12" s="3"/>
      <c r="R12" s="3"/>
      <c r="S12" s="3"/>
      <c r="T12" s="3">
        <v>78485.451000000001</v>
      </c>
      <c r="U12" s="3"/>
      <c r="V12" s="3"/>
      <c r="W12" s="3"/>
      <c r="X12" s="3"/>
      <c r="Y12" s="3">
        <v>80414.081000000006</v>
      </c>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row>
    <row r="13" spans="1:57" x14ac:dyDescent="0.25">
      <c r="A13" s="1" t="str">
        <f>'Population Definitions'!$A$13</f>
        <v>Prisoners_females</v>
      </c>
      <c r="C13" t="s">
        <v>32</v>
      </c>
      <c r="D13" s="3"/>
      <c r="E13" s="3">
        <v>1184.0700000000011</v>
      </c>
      <c r="F13" s="3"/>
      <c r="G13" s="3"/>
      <c r="H13" s="3"/>
      <c r="I13" s="3"/>
      <c r="J13" s="3">
        <v>1340.5500000000011</v>
      </c>
      <c r="K13" s="3"/>
      <c r="L13" s="3"/>
      <c r="M13" s="3"/>
      <c r="N13" s="3"/>
      <c r="O13" s="3">
        <v>907.03200000000083</v>
      </c>
      <c r="P13" s="3"/>
      <c r="Q13" s="3"/>
      <c r="R13" s="3"/>
      <c r="S13" s="3"/>
      <c r="T13" s="3">
        <v>1683.549000000002</v>
      </c>
      <c r="U13" s="3"/>
      <c r="V13" s="3"/>
      <c r="W13" s="3"/>
      <c r="X13" s="3"/>
      <c r="Y13" s="3">
        <v>1724.919000000001</v>
      </c>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row>
    <row r="15" spans="1:57" x14ac:dyDescent="0.25">
      <c r="A15" s="1" t="s">
        <v>50</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C16" t="s">
        <v>51</v>
      </c>
      <c r="D16" s="3"/>
      <c r="E16" s="3">
        <v>0</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C17" t="s">
        <v>51</v>
      </c>
      <c r="D17" s="3"/>
      <c r="E17" s="3">
        <v>0</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C18" t="s">
        <v>51</v>
      </c>
      <c r="D18" s="3"/>
      <c r="E18" s="3"/>
      <c r="F18" s="4" t="s">
        <v>37</v>
      </c>
      <c r="G18" s="3">
        <v>2938557.980769231</v>
      </c>
      <c r="H18" s="3">
        <v>2954453.5165785681</v>
      </c>
      <c r="I18" s="3">
        <v>2955025.485329485</v>
      </c>
      <c r="J18" s="3">
        <v>2971734.4174289838</v>
      </c>
      <c r="K18" s="3">
        <v>2950946.1472569769</v>
      </c>
      <c r="L18" s="3">
        <v>2994675.4915824919</v>
      </c>
      <c r="M18" s="3">
        <v>3084195.3815726</v>
      </c>
      <c r="N18" s="3">
        <v>3177817.379942141</v>
      </c>
      <c r="O18" s="3">
        <v>3289596.111111111</v>
      </c>
      <c r="P18" s="3">
        <v>3372272.3415578129</v>
      </c>
      <c r="Q18" s="3">
        <v>3441728.121182743</v>
      </c>
      <c r="R18" s="3">
        <v>3466063.0625909748</v>
      </c>
      <c r="S18" s="3">
        <v>3467566.2108843531</v>
      </c>
      <c r="T18" s="3">
        <v>3460162.7243558578</v>
      </c>
      <c r="U18" s="3">
        <v>3444915.4552529179</v>
      </c>
      <c r="V18" s="3">
        <v>3424364.1776155722</v>
      </c>
      <c r="W18" s="3">
        <v>3385500.647201946</v>
      </c>
      <c r="X18" s="3">
        <v>3408758.3917274941</v>
      </c>
      <c r="Y18" s="3">
        <v>3418483.9002433089</v>
      </c>
      <c r="Z18" s="3">
        <v>3434520.9270072989</v>
      </c>
      <c r="AA18" s="3">
        <v>3453444.700729927</v>
      </c>
      <c r="AB18" s="3">
        <v>3489607.8418491478</v>
      </c>
      <c r="AC18" s="3">
        <v>3519426.0948905111</v>
      </c>
      <c r="AD18" s="3">
        <v>3533124.666666667</v>
      </c>
      <c r="AE18" s="3">
        <v>3536071.4793187352</v>
      </c>
      <c r="AF18" s="3">
        <v>3547235.99756691</v>
      </c>
      <c r="AG18" s="3">
        <v>3560645.5352798048</v>
      </c>
      <c r="AH18" s="3">
        <v>3576685.642335766</v>
      </c>
      <c r="AI18" s="3">
        <v>3603076.5571776149</v>
      </c>
      <c r="AJ18" s="3">
        <v>3635566.4501216551</v>
      </c>
      <c r="AK18" s="3">
        <v>3668062.5036496348</v>
      </c>
      <c r="AL18" s="3">
        <v>3698625.1605839422</v>
      </c>
      <c r="AM18" s="3">
        <v>3729584.661800487</v>
      </c>
      <c r="AN18" s="3">
        <v>3761436.9343065689</v>
      </c>
      <c r="AO18" s="3">
        <v>3786774.3892944041</v>
      </c>
      <c r="AP18" s="3">
        <v>3813093.4306569342</v>
      </c>
      <c r="AQ18" s="3">
        <v>3833463.4014598541</v>
      </c>
      <c r="AR18" s="3">
        <v>3853329.7445255481</v>
      </c>
      <c r="AS18" s="3">
        <v>3866140.678832117</v>
      </c>
      <c r="AT18" s="3">
        <v>3872689.8929440388</v>
      </c>
      <c r="AU18" s="3">
        <v>3881239.7566909981</v>
      </c>
      <c r="AV18" s="3">
        <v>3880919.4063260341</v>
      </c>
      <c r="AW18" s="3">
        <v>3879740.1678832122</v>
      </c>
      <c r="AX18" s="3">
        <v>3877733.357664234</v>
      </c>
      <c r="AY18" s="3">
        <v>3875760.944038929</v>
      </c>
      <c r="AZ18" s="3">
        <v>3876517.1557177622</v>
      </c>
      <c r="BA18" s="3">
        <v>3872133.3868613141</v>
      </c>
      <c r="BB18" s="3">
        <v>3864405.961070559</v>
      </c>
      <c r="BC18" s="3">
        <v>3861496.625304136</v>
      </c>
      <c r="BD18" s="3">
        <v>3851819.374695864</v>
      </c>
      <c r="BE18" s="3">
        <v>3848545.0243309001</v>
      </c>
    </row>
    <row r="19" spans="1:57" x14ac:dyDescent="0.25">
      <c r="A19" s="1" t="str">
        <f>'Population Definitions'!$A$5</f>
        <v>0-9_females</v>
      </c>
      <c r="C19" t="s">
        <v>51</v>
      </c>
      <c r="D19" s="3"/>
      <c r="E19" s="3"/>
      <c r="F19" s="4" t="s">
        <v>37</v>
      </c>
      <c r="G19" s="3">
        <v>2720887.019230769</v>
      </c>
      <c r="H19" s="3">
        <v>2733074.4834214319</v>
      </c>
      <c r="I19" s="3">
        <v>2738670.514670515</v>
      </c>
      <c r="J19" s="3">
        <v>2759270.5825710162</v>
      </c>
      <c r="K19" s="3">
        <v>2737426.8527430221</v>
      </c>
      <c r="L19" s="3">
        <v>2775417.508417509</v>
      </c>
      <c r="M19" s="3">
        <v>2874366.6184274</v>
      </c>
      <c r="N19" s="3">
        <v>2958861.620057859</v>
      </c>
      <c r="O19" s="3">
        <v>3074388.888888889</v>
      </c>
      <c r="P19" s="3">
        <v>3160517.6584421871</v>
      </c>
      <c r="Q19" s="3">
        <v>3237749.8788172561</v>
      </c>
      <c r="R19" s="3">
        <v>3266788.9374090252</v>
      </c>
      <c r="S19" s="3">
        <v>3277472.7891156459</v>
      </c>
      <c r="T19" s="3">
        <v>3273569.2756441422</v>
      </c>
      <c r="U19" s="3">
        <v>3262230.5447470821</v>
      </c>
      <c r="V19" s="3">
        <v>3245842.8223844278</v>
      </c>
      <c r="W19" s="3">
        <v>3209005.352798054</v>
      </c>
      <c r="X19" s="3">
        <v>3231050.6082725059</v>
      </c>
      <c r="Y19" s="3">
        <v>3240269.0997566911</v>
      </c>
      <c r="Z19" s="3">
        <v>3255470.0729927011</v>
      </c>
      <c r="AA19" s="3">
        <v>3273407.299270073</v>
      </c>
      <c r="AB19" s="3">
        <v>3307685.1581508522</v>
      </c>
      <c r="AC19" s="3">
        <v>3335948.9051094889</v>
      </c>
      <c r="AD19" s="3">
        <v>3348933.333333333</v>
      </c>
      <c r="AE19" s="3">
        <v>3351726.5206812648</v>
      </c>
      <c r="AF19" s="3">
        <v>3362309.00243309</v>
      </c>
      <c r="AG19" s="3">
        <v>3375019.4647201952</v>
      </c>
      <c r="AH19" s="3">
        <v>3390223.357664234</v>
      </c>
      <c r="AI19" s="3">
        <v>3415238.4428223851</v>
      </c>
      <c r="AJ19" s="3">
        <v>3446034.5498783449</v>
      </c>
      <c r="AK19" s="3">
        <v>3476836.4963503652</v>
      </c>
      <c r="AL19" s="3">
        <v>3505805.8394160578</v>
      </c>
      <c r="AM19" s="3">
        <v>3535151.338199513</v>
      </c>
      <c r="AN19" s="3">
        <v>3565343.0656934311</v>
      </c>
      <c r="AO19" s="3">
        <v>3589359.6107055959</v>
      </c>
      <c r="AP19" s="3">
        <v>3614306.5693430658</v>
      </c>
      <c r="AQ19" s="3">
        <v>3633614.5985401459</v>
      </c>
      <c r="AR19" s="3">
        <v>3652445.2554744519</v>
      </c>
      <c r="AS19" s="3">
        <v>3664588.321167883</v>
      </c>
      <c r="AT19" s="3">
        <v>3670796.1070559612</v>
      </c>
      <c r="AU19" s="3">
        <v>3678900.2433090019</v>
      </c>
      <c r="AV19" s="3">
        <v>3678596.5936739659</v>
      </c>
      <c r="AW19" s="3">
        <v>3677478.8321167878</v>
      </c>
      <c r="AX19" s="3">
        <v>3675576.642335766</v>
      </c>
      <c r="AY19" s="3">
        <v>3673707.055961071</v>
      </c>
      <c r="AZ19" s="3">
        <v>3674423.8442822378</v>
      </c>
      <c r="BA19" s="3">
        <v>3670268.6131386859</v>
      </c>
      <c r="BB19" s="3">
        <v>3662944.038929441</v>
      </c>
      <c r="BC19" s="3">
        <v>3660186.374695864</v>
      </c>
      <c r="BD19" s="3">
        <v>3651013.625304136</v>
      </c>
      <c r="BE19" s="3">
        <v>3647909.9756690999</v>
      </c>
    </row>
    <row r="20" spans="1:57" x14ac:dyDescent="0.25">
      <c r="A20" s="1" t="str">
        <f>'Population Definitions'!$A$6</f>
        <v>10-17_males</v>
      </c>
      <c r="C20" t="s">
        <v>51</v>
      </c>
      <c r="D20" s="3"/>
      <c r="E20" s="3">
        <v>0</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C21" t="s">
        <v>51</v>
      </c>
      <c r="D21" s="3"/>
      <c r="E21" s="3">
        <v>0</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C22" t="s">
        <v>51</v>
      </c>
      <c r="D22" s="3"/>
      <c r="E22" s="3">
        <v>0</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C23" t="s">
        <v>51</v>
      </c>
      <c r="D23" s="3"/>
      <c r="E23" s="3">
        <v>0</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C24" t="s">
        <v>51</v>
      </c>
      <c r="D24" s="3"/>
      <c r="E24" s="3">
        <v>0</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C25" t="s">
        <v>51</v>
      </c>
      <c r="D25" s="3"/>
      <c r="E25" s="3">
        <v>0</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C26" t="s">
        <v>51</v>
      </c>
      <c r="D26" s="3"/>
      <c r="E26" s="3">
        <v>0</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C27" t="s">
        <v>51</v>
      </c>
      <c r="D27" s="3"/>
      <c r="E27" s="3">
        <v>0</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52</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53</v>
      </c>
      <c r="D30" s="3"/>
      <c r="E30" s="3">
        <v>0</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53</v>
      </c>
      <c r="D31" s="3"/>
      <c r="E31" s="3">
        <v>0</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53</v>
      </c>
      <c r="D32" s="3"/>
      <c r="E32" s="3"/>
      <c r="F32" s="4" t="s">
        <v>37</v>
      </c>
      <c r="G32" s="3">
        <v>5.7564503981116137E-4</v>
      </c>
      <c r="H32" s="3">
        <v>-2.5402622441031062E-4</v>
      </c>
      <c r="I32" s="3">
        <v>-8.0286011163156591E-5</v>
      </c>
      <c r="J32" s="3">
        <v>-4.5808069850168253E-4</v>
      </c>
      <c r="K32" s="3">
        <v>5.1343095309868293E-4</v>
      </c>
      <c r="L32" s="3">
        <v>1.7294877222346441E-3</v>
      </c>
      <c r="M32" s="3">
        <v>2.12853807998863E-3</v>
      </c>
      <c r="N32" s="3">
        <v>2.4664819796352331E-3</v>
      </c>
      <c r="O32" s="3">
        <v>1.422058331092462E-3</v>
      </c>
      <c r="P32" s="3">
        <v>9.2116867796694939E-4</v>
      </c>
      <c r="Q32" s="3">
        <v>-4.8862764167330699E-4</v>
      </c>
      <c r="R32" s="3">
        <v>-1.766701035396976E-3</v>
      </c>
      <c r="S32" s="3">
        <v>-2.614257668851263E-3</v>
      </c>
      <c r="T32" s="3">
        <v>-2.9886667840541528E-3</v>
      </c>
      <c r="U32" s="3">
        <v>-3.206263771469907E-3</v>
      </c>
      <c r="V32" s="3">
        <v>-3.6155974701709902E-3</v>
      </c>
      <c r="W32" s="3">
        <v>-2.1935823038529661E-3</v>
      </c>
      <c r="X32" s="3">
        <v>-1.716168525316201E-3</v>
      </c>
      <c r="Y32" s="3">
        <v>-1.3250873302782849E-3</v>
      </c>
      <c r="Z32" s="3">
        <v>-7.5934553830254395E-4</v>
      </c>
      <c r="AA32" s="3">
        <v>5.0780574953276942E-5</v>
      </c>
      <c r="AB32" s="3">
        <v>-2.9134128694805432E-4</v>
      </c>
      <c r="AC32" s="3">
        <v>-1.006821266270575E-3</v>
      </c>
      <c r="AD32" s="3">
        <v>-2.7401584836578789E-3</v>
      </c>
      <c r="AE32" s="3">
        <v>-3.7183115235506158E-3</v>
      </c>
      <c r="AF32" s="3">
        <v>-3.301629747400506E-3</v>
      </c>
      <c r="AG32" s="3">
        <v>-2.858218754950802E-3</v>
      </c>
      <c r="AH32" s="3">
        <v>-2.2958997468412561E-3</v>
      </c>
      <c r="AI32" s="3">
        <v>-2.02952057302613E-3</v>
      </c>
      <c r="AJ32" s="3">
        <v>-1.8508351563932619E-3</v>
      </c>
      <c r="AK32" s="3">
        <v>-1.68718108998764E-3</v>
      </c>
      <c r="AL32" s="3">
        <v>-1.551344855607002E-3</v>
      </c>
      <c r="AM32" s="3">
        <v>-1.4463849493035149E-3</v>
      </c>
      <c r="AN32" s="3">
        <v>-1.485498070739647E-3</v>
      </c>
      <c r="AO32" s="3">
        <v>-1.467007015162725E-3</v>
      </c>
      <c r="AP32" s="3">
        <v>-1.504676303643113E-3</v>
      </c>
      <c r="AQ32" s="3">
        <v>-1.4831738845392671E-3</v>
      </c>
      <c r="AR32" s="3">
        <v>-1.521157015018355E-3</v>
      </c>
      <c r="AS32" s="3">
        <v>-1.539401230863511E-3</v>
      </c>
      <c r="AT32" s="3">
        <v>-1.5695419748232629E-3</v>
      </c>
      <c r="AU32" s="3">
        <v>-1.670753875302512E-3</v>
      </c>
      <c r="AV32" s="3">
        <v>-1.5959240584410171E-3</v>
      </c>
      <c r="AW32" s="3">
        <v>-1.5450938660368169E-3</v>
      </c>
      <c r="AX32" s="3">
        <v>-1.4869194076218011E-3</v>
      </c>
      <c r="AY32" s="3">
        <v>-1.3918091578210741E-3</v>
      </c>
      <c r="AZ32" s="3">
        <v>-1.4133923470319781E-3</v>
      </c>
      <c r="BA32" s="3">
        <v>-1.488577763138844E-3</v>
      </c>
      <c r="BB32" s="3">
        <v>-1.449089801386442E-3</v>
      </c>
      <c r="BC32" s="3">
        <v>-1.5047686515038681E-3</v>
      </c>
      <c r="BD32" s="3">
        <v>-1.351549579324192E-3</v>
      </c>
      <c r="BE32" s="3">
        <v>-1.3427669045147971E-3</v>
      </c>
    </row>
    <row r="33" spans="1:57" x14ac:dyDescent="0.25">
      <c r="A33" s="1" t="str">
        <f>'Population Definitions'!$A$5</f>
        <v>0-9_females</v>
      </c>
      <c r="C33" t="s">
        <v>53</v>
      </c>
      <c r="D33" s="3"/>
      <c r="E33" s="3"/>
      <c r="F33" s="4" t="s">
        <v>37</v>
      </c>
      <c r="G33" s="3">
        <v>5.3880915030555751E-4</v>
      </c>
      <c r="H33" s="3">
        <v>-1.8179806121903361E-4</v>
      </c>
      <c r="I33" s="3">
        <v>-4.8305373944253647E-5</v>
      </c>
      <c r="J33" s="3">
        <v>-5.2599651234198994E-4</v>
      </c>
      <c r="K33" s="3">
        <v>4.4413073998928951E-4</v>
      </c>
      <c r="L33" s="3">
        <v>2.0771477255608498E-3</v>
      </c>
      <c r="M33" s="3">
        <v>2.1407121264665099E-3</v>
      </c>
      <c r="N33" s="3">
        <v>2.706801769035253E-3</v>
      </c>
      <c r="O33" s="3">
        <v>1.5820963962220381E-3</v>
      </c>
      <c r="P33" s="3">
        <v>1.1410328958924849E-3</v>
      </c>
      <c r="Q33" s="3">
        <v>-4.2693521714601583E-4</v>
      </c>
      <c r="R33" s="3">
        <v>-1.715466453011008E-3</v>
      </c>
      <c r="S33" s="3">
        <v>-2.7398359180920528E-3</v>
      </c>
      <c r="T33" s="3">
        <v>-3.1007628831988018E-3</v>
      </c>
      <c r="U33" s="3">
        <v>-3.345953227500466E-3</v>
      </c>
      <c r="V33" s="3">
        <v>-3.8214506212564852E-3</v>
      </c>
      <c r="W33" s="3">
        <v>-2.355857025341523E-3</v>
      </c>
      <c r="X33" s="3">
        <v>-1.83753941212746E-3</v>
      </c>
      <c r="Y33" s="3">
        <v>-1.442759916921709E-3</v>
      </c>
      <c r="Z33" s="3">
        <v>-8.451507338928481E-4</v>
      </c>
      <c r="AA33" s="3">
        <v>-1.117020931686153E-5</v>
      </c>
      <c r="AB33" s="3">
        <v>-3.8308221346600651E-4</v>
      </c>
      <c r="AC33" s="3">
        <v>-1.1325321797709511E-3</v>
      </c>
      <c r="AD33" s="3">
        <v>-2.3945619666269711E-3</v>
      </c>
      <c r="AE33" s="3">
        <v>-2.9720294509831989E-3</v>
      </c>
      <c r="AF33" s="3">
        <v>-2.6240634368989318E-3</v>
      </c>
      <c r="AG33" s="3">
        <v>-2.2352169955754358E-3</v>
      </c>
      <c r="AH33" s="3">
        <v>-1.741260316931942E-3</v>
      </c>
      <c r="AI33" s="3">
        <v>-1.5034116809433369E-3</v>
      </c>
      <c r="AJ33" s="3">
        <v>-1.3542498211257729E-3</v>
      </c>
      <c r="AK33" s="3">
        <v>-1.213462921597264E-3</v>
      </c>
      <c r="AL33" s="3">
        <v>-1.1115959160417389E-3</v>
      </c>
      <c r="AM33" s="3">
        <v>-1.0276516522222921E-3</v>
      </c>
      <c r="AN33" s="3">
        <v>-1.077719548539551E-3</v>
      </c>
      <c r="AO33" s="3">
        <v>-1.0698997155659971E-3</v>
      </c>
      <c r="AP33" s="3">
        <v>-1.105981360386521E-3</v>
      </c>
      <c r="AQ33" s="3">
        <v>-1.0925276610532109E-3</v>
      </c>
      <c r="AR33" s="3">
        <v>-1.1517591015144039E-3</v>
      </c>
      <c r="AS33" s="3">
        <v>-1.1825224781651809E-3</v>
      </c>
      <c r="AT33" s="3">
        <v>-1.205736658788558E-3</v>
      </c>
      <c r="AU33" s="3">
        <v>-1.3147509783048351E-3</v>
      </c>
      <c r="AV33" s="3">
        <v>-1.2381369080526499E-3</v>
      </c>
      <c r="AW33" s="3">
        <v>-1.2030955925616291E-3</v>
      </c>
      <c r="AX33" s="3">
        <v>-1.1559638949010869E-3</v>
      </c>
      <c r="AY33" s="3">
        <v>-1.07946109053095E-3</v>
      </c>
      <c r="AZ33" s="3">
        <v>-1.1116390520671819E-3</v>
      </c>
      <c r="BA33" s="3">
        <v>-1.1774170072906241E-3</v>
      </c>
      <c r="BB33" s="3">
        <v>-1.139045857173565E-3</v>
      </c>
      <c r="BC33" s="3">
        <v>-1.203557364840978E-3</v>
      </c>
      <c r="BD33" s="3">
        <v>-1.0578343700024619E-3</v>
      </c>
      <c r="BE33" s="3">
        <v>-1.043058875369499E-3</v>
      </c>
    </row>
    <row r="34" spans="1:57" x14ac:dyDescent="0.25">
      <c r="A34" s="1" t="str">
        <f>'Population Definitions'!$A$6</f>
        <v>10-17_males</v>
      </c>
      <c r="C34" t="s">
        <v>53</v>
      </c>
      <c r="D34" s="3"/>
      <c r="E34" s="3"/>
      <c r="F34" s="4" t="s">
        <v>37</v>
      </c>
      <c r="G34" s="3">
        <v>3.2562180295795279E-4</v>
      </c>
      <c r="H34" s="3">
        <v>-9.7001918441569997E-4</v>
      </c>
      <c r="I34" s="3">
        <v>-1.127895707973567E-3</v>
      </c>
      <c r="J34" s="3">
        <v>-3.0995884365005811E-4</v>
      </c>
      <c r="K34" s="3">
        <v>-4.1481922302235511E-4</v>
      </c>
      <c r="L34" s="3">
        <v>-2.8309044459222643E-4</v>
      </c>
      <c r="M34" s="3">
        <v>3.6575136937574509E-4</v>
      </c>
      <c r="N34" s="3">
        <v>4.1943700931889932E-4</v>
      </c>
      <c r="O34" s="3">
        <v>-1.612899332829824E-4</v>
      </c>
      <c r="P34" s="3">
        <v>-4.0446123246411513E-4</v>
      </c>
      <c r="Q34" s="3">
        <v>-1.210881352223913E-3</v>
      </c>
      <c r="R34" s="3">
        <v>-2.330482028399472E-3</v>
      </c>
      <c r="S34" s="3">
        <v>-3.237966322580655E-3</v>
      </c>
      <c r="T34" s="3">
        <v>-3.5609408708086729E-3</v>
      </c>
      <c r="U34" s="3">
        <v>-3.7690386449703382E-3</v>
      </c>
      <c r="V34" s="3">
        <v>-3.9637687802440416E-3</v>
      </c>
      <c r="W34" s="3">
        <v>-3.397286265911174E-3</v>
      </c>
      <c r="X34" s="3">
        <v>-2.4979526418743782E-3</v>
      </c>
      <c r="Y34" s="3">
        <v>-2.120041140076977E-3</v>
      </c>
      <c r="Z34" s="3">
        <v>-1.4479562173226701E-3</v>
      </c>
      <c r="AA34" s="3">
        <v>-1.024960940282202E-3</v>
      </c>
      <c r="AB34" s="3">
        <v>-1.8890338645564859E-3</v>
      </c>
      <c r="AC34" s="3">
        <v>-2.896094579207681E-3</v>
      </c>
      <c r="AD34" s="3">
        <v>-2.846931626569329E-3</v>
      </c>
      <c r="AE34" s="3">
        <v>-2.3758415571315549E-3</v>
      </c>
      <c r="AF34" s="3">
        <v>-2.124826885986494E-3</v>
      </c>
      <c r="AG34" s="3">
        <v>-1.883459294828252E-3</v>
      </c>
      <c r="AH34" s="3">
        <v>-1.6487416778723861E-3</v>
      </c>
      <c r="AI34" s="3">
        <v>-1.54646713743456E-3</v>
      </c>
      <c r="AJ34" s="3">
        <v>-1.453017325076636E-3</v>
      </c>
      <c r="AK34" s="3">
        <v>-1.3419805603263331E-3</v>
      </c>
      <c r="AL34" s="3">
        <v>-1.275153867307632E-3</v>
      </c>
      <c r="AM34" s="3">
        <v>-1.225136938788549E-3</v>
      </c>
      <c r="AN34" s="3">
        <v>-1.201055409952456E-3</v>
      </c>
      <c r="AO34" s="3">
        <v>-1.2019825489836529E-3</v>
      </c>
      <c r="AP34" s="3">
        <v>-1.1763230735880731E-3</v>
      </c>
      <c r="AQ34" s="3">
        <v>-1.1591418479909221E-3</v>
      </c>
      <c r="AR34" s="3">
        <v>-1.1297889694215849E-3</v>
      </c>
      <c r="AS34" s="3">
        <v>-1.093217564988353E-3</v>
      </c>
      <c r="AT34" s="3">
        <v>-1.130458206927617E-3</v>
      </c>
      <c r="AU34" s="3">
        <v>-1.1196048640396089E-3</v>
      </c>
      <c r="AV34" s="3">
        <v>-1.060703293133099E-3</v>
      </c>
      <c r="AW34" s="3">
        <v>-1.025777365940691E-3</v>
      </c>
      <c r="AX34" s="3">
        <v>-9.8958877813097286E-4</v>
      </c>
      <c r="AY34" s="3">
        <v>-9.5111695435332283E-4</v>
      </c>
      <c r="AZ34" s="3">
        <v>-9.1984394714750219E-4</v>
      </c>
      <c r="BA34" s="3">
        <v>-9.2692134726470217E-4</v>
      </c>
      <c r="BB34" s="3">
        <v>-9.3969803574296912E-4</v>
      </c>
      <c r="BC34" s="3">
        <v>-9.1458406188976921E-4</v>
      </c>
      <c r="BD34" s="3">
        <v>-8.6979105980387818E-4</v>
      </c>
      <c r="BE34" s="3">
        <v>-8.6358771554622153E-4</v>
      </c>
    </row>
    <row r="35" spans="1:57" x14ac:dyDescent="0.25">
      <c r="A35" s="1" t="str">
        <f>'Population Definitions'!$A$7</f>
        <v>10-17_females</v>
      </c>
      <c r="C35" t="s">
        <v>53</v>
      </c>
      <c r="D35" s="3"/>
      <c r="E35" s="3"/>
      <c r="F35" s="4" t="s">
        <v>37</v>
      </c>
      <c r="G35" s="3">
        <v>1.944707412479251E-4</v>
      </c>
      <c r="H35" s="3">
        <v>-6.4247207834315808E-4</v>
      </c>
      <c r="I35" s="3">
        <v>-8.3436980676217817E-4</v>
      </c>
      <c r="J35" s="3">
        <v>-2.93894847727917E-4</v>
      </c>
      <c r="K35" s="3">
        <v>-4.3809700874841782E-4</v>
      </c>
      <c r="L35" s="3">
        <v>-1.5388378823049219E-4</v>
      </c>
      <c r="M35" s="3">
        <v>5.7261324110035195E-4</v>
      </c>
      <c r="N35" s="3">
        <v>5.925398456427597E-4</v>
      </c>
      <c r="O35" s="3">
        <v>-1.040043278930172E-4</v>
      </c>
      <c r="P35" s="3">
        <v>-4.808784719007681E-4</v>
      </c>
      <c r="Q35" s="3">
        <v>-1.439130318424403E-3</v>
      </c>
      <c r="R35" s="3">
        <v>-2.7531057472677369E-3</v>
      </c>
      <c r="S35" s="3">
        <v>-3.8214079805769341E-3</v>
      </c>
      <c r="T35" s="3">
        <v>-4.198791516856642E-3</v>
      </c>
      <c r="U35" s="3">
        <v>-4.4458288825086718E-3</v>
      </c>
      <c r="V35" s="3">
        <v>-4.6739479861389478E-3</v>
      </c>
      <c r="W35" s="3">
        <v>-4.0065569821053004E-3</v>
      </c>
      <c r="X35" s="3">
        <v>-2.947181051695565E-3</v>
      </c>
      <c r="Y35" s="3">
        <v>-2.4996373140167231E-3</v>
      </c>
      <c r="Z35" s="3">
        <v>-1.7086714553646791E-3</v>
      </c>
      <c r="AA35" s="3">
        <v>-9.0732999202041418E-4</v>
      </c>
      <c r="AB35" s="3">
        <v>-1.223200704435588E-3</v>
      </c>
      <c r="AC35" s="3">
        <v>-1.8683700939832501E-3</v>
      </c>
      <c r="AD35" s="3">
        <v>-2.0489054594700468E-3</v>
      </c>
      <c r="AE35" s="3">
        <v>-1.9250425721219311E-3</v>
      </c>
      <c r="AF35" s="3">
        <v>-1.716031972472447E-3</v>
      </c>
      <c r="AG35" s="3">
        <v>-1.5149979200658049E-3</v>
      </c>
      <c r="AH35" s="3">
        <v>-1.320254023961506E-3</v>
      </c>
      <c r="AI35" s="3">
        <v>-1.23415330043535E-3</v>
      </c>
      <c r="AJ35" s="3">
        <v>-1.1556271367975739E-3</v>
      </c>
      <c r="AK35" s="3">
        <v>-1.062256123272668E-3</v>
      </c>
      <c r="AL35" s="3">
        <v>-1.0060999248238561E-3</v>
      </c>
      <c r="AM35" s="3">
        <v>-9.6354541834390618E-4</v>
      </c>
      <c r="AN35" s="3">
        <v>-9.4246905033779039E-4</v>
      </c>
      <c r="AO35" s="3">
        <v>-9.4174943340870907E-4</v>
      </c>
      <c r="AP35" s="3">
        <v>-9.1972366762636229E-4</v>
      </c>
      <c r="AQ35" s="3">
        <v>-9.0494347399595854E-4</v>
      </c>
      <c r="AR35" s="3">
        <v>-8.8021070399386708E-4</v>
      </c>
      <c r="AS35" s="3">
        <v>-8.4949972015411818E-4</v>
      </c>
      <c r="AT35" s="3">
        <v>-8.7932091812260871E-4</v>
      </c>
      <c r="AU35" s="3">
        <v>-8.7005388304364068E-4</v>
      </c>
      <c r="AV35" s="3">
        <v>-8.2069311344822266E-4</v>
      </c>
      <c r="AW35" s="3">
        <v>-7.9216200500773837E-4</v>
      </c>
      <c r="AX35" s="3">
        <v>-7.6241656215933473E-4</v>
      </c>
      <c r="AY35" s="3">
        <v>-7.3069323471667972E-4</v>
      </c>
      <c r="AZ35" s="3">
        <v>-7.050262569157481E-4</v>
      </c>
      <c r="BA35" s="3">
        <v>-7.104926868959524E-4</v>
      </c>
      <c r="BB35" s="3">
        <v>-7.2090847930743665E-4</v>
      </c>
      <c r="BC35" s="3">
        <v>-7.0054576350556499E-4</v>
      </c>
      <c r="BD35" s="3">
        <v>-6.6403823029445477E-4</v>
      </c>
      <c r="BE35" s="3">
        <v>-6.5899187470508575E-4</v>
      </c>
    </row>
    <row r="36" spans="1:57" x14ac:dyDescent="0.25">
      <c r="A36" s="1" t="str">
        <f>'Population Definitions'!$A$8</f>
        <v>18-64_males</v>
      </c>
      <c r="C36" t="s">
        <v>53</v>
      </c>
      <c r="D36" s="3"/>
      <c r="E36" s="3"/>
      <c r="F36" s="4" t="s">
        <v>37</v>
      </c>
      <c r="G36" s="3">
        <v>1.653366549296121E-3</v>
      </c>
      <c r="H36" s="3">
        <v>-5.0876177202288644E-3</v>
      </c>
      <c r="I36" s="3">
        <v>-5.795657504837585E-3</v>
      </c>
      <c r="J36" s="3">
        <v>-1.5543822192389989E-3</v>
      </c>
      <c r="K36" s="3">
        <v>-1.544924415771601E-3</v>
      </c>
      <c r="L36" s="3">
        <v>-1.9509037952653279E-3</v>
      </c>
      <c r="M36" s="3">
        <v>1.4377854227923821E-3</v>
      </c>
      <c r="N36" s="3">
        <v>1.6502311693041231E-3</v>
      </c>
      <c r="O36" s="3">
        <v>-8.9049719165790685E-4</v>
      </c>
      <c r="P36" s="3">
        <v>-1.876283839733556E-3</v>
      </c>
      <c r="Q36" s="3">
        <v>-5.27515276176621E-3</v>
      </c>
      <c r="R36" s="3">
        <v>-9.9139355149140945E-3</v>
      </c>
      <c r="S36" s="3">
        <v>-1.3573882988442809E-2</v>
      </c>
      <c r="T36" s="3">
        <v>-1.4811632546685979E-2</v>
      </c>
      <c r="U36" s="3">
        <v>-1.553470349027186E-2</v>
      </c>
      <c r="V36" s="3">
        <v>-1.618842139296044E-2</v>
      </c>
      <c r="W36" s="3">
        <v>-1.3809768342609739E-2</v>
      </c>
      <c r="X36" s="3">
        <v>-1.012881014269457E-2</v>
      </c>
      <c r="Y36" s="3">
        <v>-8.5519618774411964E-3</v>
      </c>
      <c r="Z36" s="3">
        <v>-6.1039298611083532E-3</v>
      </c>
      <c r="AA36" s="3">
        <v>-4.4659182513989079E-3</v>
      </c>
      <c r="AB36" s="3">
        <v>-7.9926472387805321E-3</v>
      </c>
      <c r="AC36" s="3">
        <v>-1.2802766840491231E-2</v>
      </c>
      <c r="AD36" s="3">
        <v>-1.1226056367204491E-2</v>
      </c>
      <c r="AE36" s="3">
        <v>-7.9308032906413219E-3</v>
      </c>
      <c r="AF36" s="3">
        <v>-7.0201003499121822E-3</v>
      </c>
      <c r="AG36" s="3">
        <v>-6.119111766904212E-3</v>
      </c>
      <c r="AH36" s="3">
        <v>-5.2341772044444384E-3</v>
      </c>
      <c r="AI36" s="3">
        <v>-4.7909813738404462E-3</v>
      </c>
      <c r="AJ36" s="3">
        <v>-4.3836025166088472E-3</v>
      </c>
      <c r="AK36" s="3">
        <v>-3.9365166737804916E-3</v>
      </c>
      <c r="AL36" s="3">
        <v>-3.6481422458298149E-3</v>
      </c>
      <c r="AM36" s="3">
        <v>-3.4240805017692801E-3</v>
      </c>
      <c r="AN36" s="3">
        <v>-3.2895605288198542E-3</v>
      </c>
      <c r="AO36" s="3">
        <v>-3.2401672241229381E-3</v>
      </c>
      <c r="AP36" s="3">
        <v>-3.1177639811424181E-3</v>
      </c>
      <c r="AQ36" s="3">
        <v>-3.022821408790581E-3</v>
      </c>
      <c r="AR36" s="3">
        <v>-2.896092293808346E-3</v>
      </c>
      <c r="AS36" s="3">
        <v>-2.7568208173351831E-3</v>
      </c>
      <c r="AT36" s="3">
        <v>-2.8179667249418811E-3</v>
      </c>
      <c r="AU36" s="3">
        <v>-2.7538363902635679E-3</v>
      </c>
      <c r="AV36" s="3">
        <v>-2.559134484076069E-3</v>
      </c>
      <c r="AW36" s="3">
        <v>-2.439219581597088E-3</v>
      </c>
      <c r="AX36" s="3">
        <v>-2.3192112701919741E-3</v>
      </c>
      <c r="AY36" s="3">
        <v>-2.1972343592029158E-3</v>
      </c>
      <c r="AZ36" s="3">
        <v>-2.0934107254353021E-3</v>
      </c>
      <c r="BA36" s="3">
        <v>-2.0887276617424051E-3</v>
      </c>
      <c r="BB36" s="3">
        <v>-2.1039780714052262E-3</v>
      </c>
      <c r="BC36" s="3">
        <v>-2.0235620027313742E-3</v>
      </c>
      <c r="BD36" s="3">
        <v>-1.892983028959552E-3</v>
      </c>
      <c r="BE36" s="3">
        <v>-1.8584852719801251E-3</v>
      </c>
    </row>
    <row r="37" spans="1:57" x14ac:dyDescent="0.25">
      <c r="A37" s="1" t="str">
        <f>'Population Definitions'!$A$9</f>
        <v>18-64_females</v>
      </c>
      <c r="C37" t="s">
        <v>53</v>
      </c>
      <c r="D37" s="3"/>
      <c r="E37" s="3"/>
      <c r="F37" s="4" t="s">
        <v>37</v>
      </c>
      <c r="G37" s="3">
        <v>7.2452981665343326E-4</v>
      </c>
      <c r="H37" s="3">
        <v>-2.836248333676363E-3</v>
      </c>
      <c r="I37" s="3">
        <v>-3.636847657813691E-3</v>
      </c>
      <c r="J37" s="3">
        <v>-1.3568119704139301E-3</v>
      </c>
      <c r="K37" s="3">
        <v>-1.3449829423845311E-3</v>
      </c>
      <c r="L37" s="3">
        <v>-1.3172863158366921E-3</v>
      </c>
      <c r="M37" s="3">
        <v>2.218374865616064E-3</v>
      </c>
      <c r="N37" s="3">
        <v>2.2596020654771592E-3</v>
      </c>
      <c r="O37" s="3">
        <v>-4.8691267230731392E-4</v>
      </c>
      <c r="P37" s="3">
        <v>-1.9228757036893361E-3</v>
      </c>
      <c r="Q37" s="3">
        <v>-5.5105848954121071E-3</v>
      </c>
      <c r="R37" s="3">
        <v>-1.031578458453522E-2</v>
      </c>
      <c r="S37" s="3">
        <v>-1.413165904552114E-2</v>
      </c>
      <c r="T37" s="3">
        <v>-1.540316277786183E-2</v>
      </c>
      <c r="U37" s="3">
        <v>-1.6172448569799529E-2</v>
      </c>
      <c r="V37" s="3">
        <v>-1.6868931470274469E-2</v>
      </c>
      <c r="W37" s="3">
        <v>-1.4397102539094819E-2</v>
      </c>
      <c r="X37" s="3">
        <v>-1.0560789453744741E-2</v>
      </c>
      <c r="Y37" s="3">
        <v>-8.9166766135158268E-3</v>
      </c>
      <c r="Z37" s="3">
        <v>-6.2347362570277873E-3</v>
      </c>
      <c r="AA37" s="3">
        <v>-3.3420342996283549E-3</v>
      </c>
      <c r="AB37" s="3">
        <v>-4.0522627317070258E-3</v>
      </c>
      <c r="AC37" s="3">
        <v>-6.6166847651802736E-3</v>
      </c>
      <c r="AD37" s="3">
        <v>-6.9995749120693763E-3</v>
      </c>
      <c r="AE37" s="3">
        <v>-6.3101184301746936E-3</v>
      </c>
      <c r="AF37" s="3">
        <v>-5.5603387860801408E-3</v>
      </c>
      <c r="AG37" s="3">
        <v>-4.8200281801040147E-3</v>
      </c>
      <c r="AH37" s="3">
        <v>-4.0938140711526761E-3</v>
      </c>
      <c r="AI37" s="3">
        <v>-3.7314508034387689E-3</v>
      </c>
      <c r="AJ37" s="3">
        <v>-3.3980807593643812E-3</v>
      </c>
      <c r="AK37" s="3">
        <v>-3.0335285209518261E-3</v>
      </c>
      <c r="AL37" s="3">
        <v>-2.7971865758789549E-3</v>
      </c>
      <c r="AM37" s="3">
        <v>-2.615160514720325E-3</v>
      </c>
      <c r="AN37" s="3">
        <v>-2.5045809591257768E-3</v>
      </c>
      <c r="AO37" s="3">
        <v>-2.4623033841845812E-3</v>
      </c>
      <c r="AP37" s="3">
        <v>-2.3631085093006789E-3</v>
      </c>
      <c r="AQ37" s="3">
        <v>-2.2838886698007851E-3</v>
      </c>
      <c r="AR37" s="3">
        <v>-2.1810453316280869E-3</v>
      </c>
      <c r="AS37" s="3">
        <v>-2.0669308975882379E-3</v>
      </c>
      <c r="AT37" s="3">
        <v>-2.117087376168194E-3</v>
      </c>
      <c r="AU37" s="3">
        <v>-2.0621956298564228E-3</v>
      </c>
      <c r="AV37" s="3">
        <v>-1.907772695218446E-3</v>
      </c>
      <c r="AW37" s="3">
        <v>-1.810291240487005E-3</v>
      </c>
      <c r="AX37" s="3">
        <v>-1.7143649017456941E-3</v>
      </c>
      <c r="AY37" s="3">
        <v>-1.614906799275728E-3</v>
      </c>
      <c r="AZ37" s="3">
        <v>-1.532680622925572E-3</v>
      </c>
      <c r="BA37" s="3">
        <v>-1.5295241718868669E-3</v>
      </c>
      <c r="BB37" s="3">
        <v>-1.5416866846371621E-3</v>
      </c>
      <c r="BC37" s="3">
        <v>-1.4773511006468531E-3</v>
      </c>
      <c r="BD37" s="3">
        <v>-1.3734334728904131E-3</v>
      </c>
      <c r="BE37" s="3">
        <v>-1.3472145876012929E-3</v>
      </c>
    </row>
    <row r="38" spans="1:57" x14ac:dyDescent="0.25">
      <c r="A38" s="1" t="str">
        <f>'Population Definitions'!$A$10</f>
        <v>65+_males</v>
      </c>
      <c r="C38" t="s">
        <v>53</v>
      </c>
      <c r="D38" s="3"/>
      <c r="E38" s="3"/>
      <c r="F38" s="4" t="s">
        <v>37</v>
      </c>
      <c r="G38" s="3">
        <v>-1.924761201212937E-3</v>
      </c>
      <c r="H38" s="3">
        <v>-3.9265133892122037E-3</v>
      </c>
      <c r="I38" s="3">
        <v>-4.1082431909540253E-3</v>
      </c>
      <c r="J38" s="3">
        <v>-2.9284749119955129E-3</v>
      </c>
      <c r="K38" s="3">
        <v>-3.4647445217792822E-3</v>
      </c>
      <c r="L38" s="3">
        <v>-2.614919494524639E-3</v>
      </c>
      <c r="M38" s="3">
        <v>-2.0830444978137881E-3</v>
      </c>
      <c r="N38" s="3">
        <v>-2.0121973508390829E-3</v>
      </c>
      <c r="O38" s="3">
        <v>-2.7876365862205608E-3</v>
      </c>
      <c r="P38" s="3">
        <v>-3.1168491558452738E-3</v>
      </c>
      <c r="Q38" s="3">
        <v>-4.0200768468581409E-3</v>
      </c>
      <c r="R38" s="3">
        <v>-5.4142051504924684E-3</v>
      </c>
      <c r="S38" s="3">
        <v>-6.3198693046335576E-3</v>
      </c>
      <c r="T38" s="3">
        <v>-6.5969549561376616E-3</v>
      </c>
      <c r="U38" s="3">
        <v>-6.7041720323334046E-3</v>
      </c>
      <c r="V38" s="3">
        <v>-7.0720613945030961E-3</v>
      </c>
      <c r="W38" s="3">
        <v>-6.3246401979907474E-3</v>
      </c>
      <c r="X38" s="3">
        <v>-5.3274289709923624E-3</v>
      </c>
      <c r="Y38" s="3">
        <v>-4.9067343155762997E-3</v>
      </c>
      <c r="Z38" s="3">
        <v>-1.1044346074274869E-2</v>
      </c>
      <c r="AA38" s="3">
        <v>-9.5779991046817628E-4</v>
      </c>
      <c r="AB38" s="3">
        <v>-6.8845241446863876E-4</v>
      </c>
      <c r="AC38" s="3">
        <v>-6.5547948643197929E-3</v>
      </c>
      <c r="AD38" s="3">
        <v>-7.4398317432417208E-3</v>
      </c>
      <c r="AE38" s="3">
        <v>-7.6197117787832778E-3</v>
      </c>
      <c r="AF38" s="3">
        <v>-6.9213809162516036E-3</v>
      </c>
      <c r="AG38" s="3">
        <v>-6.2961423266976874E-3</v>
      </c>
      <c r="AH38" s="3">
        <v>-5.7010442280927554E-3</v>
      </c>
      <c r="AI38" s="3">
        <v>-5.3701786343266864E-3</v>
      </c>
      <c r="AJ38" s="3">
        <v>-5.0598196165515651E-3</v>
      </c>
      <c r="AK38" s="3">
        <v>-4.7471947177034112E-3</v>
      </c>
      <c r="AL38" s="3">
        <v>-4.5565660101560858E-3</v>
      </c>
      <c r="AM38" s="3">
        <v>-4.3487957887115196E-3</v>
      </c>
      <c r="AN38" s="3">
        <v>-4.2198611449033091E-3</v>
      </c>
      <c r="AO38" s="3">
        <v>-4.188529464353356E-3</v>
      </c>
      <c r="AP38" s="3">
        <v>-4.0632944240421246E-3</v>
      </c>
      <c r="AQ38" s="3">
        <v>-4.0199118864774402E-3</v>
      </c>
      <c r="AR38" s="3">
        <v>-3.9278552430004766E-3</v>
      </c>
      <c r="AS38" s="3">
        <v>-3.8601398108346879E-3</v>
      </c>
      <c r="AT38" s="3">
        <v>-3.8171518917188381E-3</v>
      </c>
      <c r="AU38" s="3">
        <v>-3.8276124724304049E-3</v>
      </c>
      <c r="AV38" s="3">
        <v>-3.6661030042436349E-3</v>
      </c>
      <c r="AW38" s="3">
        <v>-3.6230883537957149E-3</v>
      </c>
      <c r="AX38" s="3">
        <v>-3.5184640099829071E-3</v>
      </c>
      <c r="AY38" s="3">
        <v>-3.465151808953518E-3</v>
      </c>
      <c r="AZ38" s="3">
        <v>-3.4507270396575821E-3</v>
      </c>
      <c r="BA38" s="3">
        <v>-3.4465681311523599E-3</v>
      </c>
      <c r="BB38" s="3">
        <v>-3.457351360944837E-3</v>
      </c>
      <c r="BC38" s="3">
        <v>-3.4015926765028899E-3</v>
      </c>
      <c r="BD38" s="3">
        <v>-3.2782033258154232E-3</v>
      </c>
      <c r="BE38" s="3">
        <v>-3.2356418891482711E-3</v>
      </c>
    </row>
    <row r="39" spans="1:57" x14ac:dyDescent="0.25">
      <c r="A39" s="1" t="str">
        <f>'Population Definitions'!$A$11</f>
        <v>65+_females</v>
      </c>
      <c r="C39" t="s">
        <v>53</v>
      </c>
      <c r="D39" s="3"/>
      <c r="E39" s="3"/>
      <c r="F39" s="4" t="s">
        <v>37</v>
      </c>
      <c r="G39" s="3">
        <v>-1.9181448304784771E-3</v>
      </c>
      <c r="H39" s="3">
        <v>-2.7189152312088421E-3</v>
      </c>
      <c r="I39" s="3">
        <v>-2.8818631084388288E-3</v>
      </c>
      <c r="J39" s="3">
        <v>-2.2963746279395822E-3</v>
      </c>
      <c r="K39" s="3">
        <v>-2.5679522196962292E-3</v>
      </c>
      <c r="L39" s="3">
        <v>-1.7523147520709481E-3</v>
      </c>
      <c r="M39" s="3">
        <v>-1.358787774687491E-3</v>
      </c>
      <c r="N39" s="3">
        <v>-1.4436693103634891E-3</v>
      </c>
      <c r="O39" s="3">
        <v>-2.155954984759699E-3</v>
      </c>
      <c r="P39" s="3">
        <v>-2.4960266304190301E-3</v>
      </c>
      <c r="Q39" s="3">
        <v>-3.2976387595563079E-3</v>
      </c>
      <c r="R39" s="3">
        <v>-4.3653803372559769E-3</v>
      </c>
      <c r="S39" s="3">
        <v>-5.0914836622962829E-3</v>
      </c>
      <c r="T39" s="3">
        <v>-5.1433035328524836E-3</v>
      </c>
      <c r="U39" s="3">
        <v>-5.3146578525374343E-3</v>
      </c>
      <c r="V39" s="3">
        <v>-5.4119284931948121E-3</v>
      </c>
      <c r="W39" s="3">
        <v>-4.8804068938628894E-3</v>
      </c>
      <c r="X39" s="3">
        <v>-4.0675813455035214E-3</v>
      </c>
      <c r="Y39" s="3">
        <v>-3.7018604467406362E-3</v>
      </c>
      <c r="Z39" s="3">
        <v>-6.3204134715932466E-3</v>
      </c>
      <c r="AA39" s="3">
        <v>-2.9077055250624779E-3</v>
      </c>
      <c r="AB39" s="3">
        <v>9.1705380939762578E-4</v>
      </c>
      <c r="AC39" s="3">
        <v>-3.2720814448821008E-3</v>
      </c>
      <c r="AD39" s="3">
        <v>-4.5381791198420016E-3</v>
      </c>
      <c r="AE39" s="3">
        <v>-5.3330276082707217E-3</v>
      </c>
      <c r="AF39" s="3">
        <v>-4.8587223802169632E-3</v>
      </c>
      <c r="AG39" s="3">
        <v>-4.4102552497718196E-3</v>
      </c>
      <c r="AH39" s="3">
        <v>-3.9144597879977516E-3</v>
      </c>
      <c r="AI39" s="3">
        <v>-3.7081957834262319E-3</v>
      </c>
      <c r="AJ39" s="3">
        <v>-3.463298475298597E-3</v>
      </c>
      <c r="AK39" s="3">
        <v>-3.2617086660682239E-3</v>
      </c>
      <c r="AL39" s="3">
        <v>-3.0814093293818801E-3</v>
      </c>
      <c r="AM39" s="3">
        <v>-2.9543064610069898E-3</v>
      </c>
      <c r="AN39" s="3">
        <v>-2.8382010528683228E-3</v>
      </c>
      <c r="AO39" s="3">
        <v>-2.815475452292323E-3</v>
      </c>
      <c r="AP39" s="3">
        <v>-2.7525099862375541E-3</v>
      </c>
      <c r="AQ39" s="3">
        <v>-2.672306374073031E-3</v>
      </c>
      <c r="AR39" s="3">
        <v>-2.6031281514926129E-3</v>
      </c>
      <c r="AS39" s="3">
        <v>-2.5450217065362108E-3</v>
      </c>
      <c r="AT39" s="3">
        <v>-2.5331725356472E-3</v>
      </c>
      <c r="AU39" s="3">
        <v>-2.4509562068612098E-3</v>
      </c>
      <c r="AV39" s="3">
        <v>-2.4031234546611768E-3</v>
      </c>
      <c r="AW39" s="3">
        <v>-2.3132358639978588E-3</v>
      </c>
      <c r="AX39" s="3">
        <v>-2.263926294894711E-3</v>
      </c>
      <c r="AY39" s="3">
        <v>-2.2077383728252051E-3</v>
      </c>
      <c r="AZ39" s="3">
        <v>-2.1872428239193072E-3</v>
      </c>
      <c r="BA39" s="3">
        <v>-2.1692163231259451E-3</v>
      </c>
      <c r="BB39" s="3">
        <v>-2.1725214160430032E-3</v>
      </c>
      <c r="BC39" s="3">
        <v>-2.119832677564592E-3</v>
      </c>
      <c r="BD39" s="3">
        <v>-2.035129301514272E-3</v>
      </c>
      <c r="BE39" s="3">
        <v>-2.024806905793917E-3</v>
      </c>
    </row>
    <row r="40" spans="1:57" x14ac:dyDescent="0.25">
      <c r="A40" s="1" t="str">
        <f>'Population Definitions'!$A$12</f>
        <v>Prisoners_males</v>
      </c>
      <c r="C40" t="s">
        <v>53</v>
      </c>
      <c r="D40" s="3"/>
      <c r="E40" s="3">
        <v>0</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53</v>
      </c>
      <c r="D41" s="3"/>
      <c r="E41" s="3">
        <v>0</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54</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C44" t="s">
        <v>53</v>
      </c>
      <c r="D44" s="3"/>
      <c r="E44" s="3"/>
      <c r="F44" s="4" t="s">
        <v>37</v>
      </c>
      <c r="G44" s="3">
        <v>4.8083789674689958E-3</v>
      </c>
      <c r="H44" s="3">
        <v>4.7487121553108627E-3</v>
      </c>
      <c r="I44" s="3">
        <v>4.719019768751366E-3</v>
      </c>
      <c r="J44" s="3">
        <v>4.6859348346313234E-3</v>
      </c>
      <c r="K44" s="3">
        <v>4.6824374092208319E-3</v>
      </c>
      <c r="L44" s="3">
        <v>5.0272707936617946E-3</v>
      </c>
      <c r="M44" s="3">
        <v>4.7211419002059348E-3</v>
      </c>
      <c r="N44" s="3">
        <v>4.7840629211712057E-3</v>
      </c>
      <c r="O44" s="3">
        <v>4.8460242671964646E-3</v>
      </c>
      <c r="P44" s="3">
        <v>4.7988264280641327E-3</v>
      </c>
      <c r="Q44" s="3">
        <v>4.8165267607088074E-3</v>
      </c>
      <c r="R44" s="3">
        <v>4.7103050405462067E-3</v>
      </c>
      <c r="S44" s="3">
        <v>4.7046290406177029E-3</v>
      </c>
      <c r="T44" s="3">
        <v>4.6836116275086213E-3</v>
      </c>
      <c r="U44" s="3">
        <v>4.6909176100789138E-3</v>
      </c>
      <c r="V44" s="3">
        <v>4.6795232193372104E-3</v>
      </c>
      <c r="W44" s="3">
        <v>4.6417389843542416E-3</v>
      </c>
      <c r="X44" s="3">
        <v>4.6022534505209762E-3</v>
      </c>
      <c r="Y44" s="3">
        <v>4.5720337469724887E-3</v>
      </c>
      <c r="Z44" s="3">
        <v>4.5472813003847824E-3</v>
      </c>
      <c r="AA44" s="3">
        <v>5.0730096586958651E-3</v>
      </c>
      <c r="AB44" s="3">
        <v>5.2253601581876401E-3</v>
      </c>
      <c r="AC44" s="3">
        <v>4.4785558147048656E-3</v>
      </c>
      <c r="AD44" s="3">
        <v>4.4674650444482527E-3</v>
      </c>
      <c r="AE44" s="3">
        <v>4.6773123621866681E-3</v>
      </c>
      <c r="AF44" s="3">
        <v>4.6574030667230204E-3</v>
      </c>
      <c r="AG44" s="3">
        <v>4.6323982171320209E-3</v>
      </c>
      <c r="AH44" s="3">
        <v>4.6040201052547523E-3</v>
      </c>
      <c r="AI44" s="3">
        <v>4.5761572895485596E-3</v>
      </c>
      <c r="AJ44" s="3">
        <v>4.5531863872363496E-3</v>
      </c>
      <c r="AK44" s="3">
        <v>4.5294292569614206E-3</v>
      </c>
      <c r="AL44" s="3">
        <v>4.5135904161167761E-3</v>
      </c>
      <c r="AM44" s="3">
        <v>4.503348556481478E-3</v>
      </c>
      <c r="AN44" s="3">
        <v>4.4953073839162881E-3</v>
      </c>
      <c r="AO44" s="3">
        <v>4.488058218946267E-3</v>
      </c>
      <c r="AP44" s="3">
        <v>4.489746760927546E-3</v>
      </c>
      <c r="AQ44" s="3">
        <v>4.4882786025996647E-3</v>
      </c>
      <c r="AR44" s="3">
        <v>4.4929838127654841E-3</v>
      </c>
      <c r="AS44" s="3">
        <v>4.4967268990533599E-3</v>
      </c>
      <c r="AT44" s="3">
        <v>4.5051985900259077E-3</v>
      </c>
      <c r="AU44" s="3">
        <v>4.5088920091180392E-3</v>
      </c>
      <c r="AV44" s="3">
        <v>4.5190353910692068E-3</v>
      </c>
      <c r="AW44" s="3">
        <v>4.5299160389340983E-3</v>
      </c>
      <c r="AX44" s="3">
        <v>4.5416888895638639E-3</v>
      </c>
      <c r="AY44" s="3">
        <v>4.5492997406093184E-3</v>
      </c>
      <c r="AZ44" s="3">
        <v>4.5598773380584002E-3</v>
      </c>
      <c r="BA44" s="3">
        <v>4.5659687373235131E-3</v>
      </c>
      <c r="BB44" s="3">
        <v>4.5691379867094893E-3</v>
      </c>
      <c r="BC44" s="3">
        <v>4.5685286106365731E-3</v>
      </c>
      <c r="BD44" s="3">
        <v>4.5678451543340274E-3</v>
      </c>
      <c r="BE44" s="3">
        <v>4.5651683614584418E-3</v>
      </c>
    </row>
    <row r="45" spans="1:57" x14ac:dyDescent="0.25">
      <c r="A45" s="1" t="str">
        <f>'Population Definitions'!$A$3</f>
        <v>PWID_females</v>
      </c>
      <c r="C45" t="s">
        <v>53</v>
      </c>
      <c r="D45" s="3"/>
      <c r="E45" s="3"/>
      <c r="F45" s="4" t="s">
        <v>37</v>
      </c>
      <c r="G45" s="3">
        <v>4.1278429610933564E-3</v>
      </c>
      <c r="H45" s="3">
        <v>4.0315372734496709E-3</v>
      </c>
      <c r="I45" s="3">
        <v>3.9414907660370322E-3</v>
      </c>
      <c r="J45" s="3">
        <v>3.8372271317035568E-3</v>
      </c>
      <c r="K45" s="3">
        <v>3.7164763503766901E-3</v>
      </c>
      <c r="L45" s="3">
        <v>3.9516601918222231E-3</v>
      </c>
      <c r="M45" s="3">
        <v>3.4137338578881919E-3</v>
      </c>
      <c r="N45" s="3">
        <v>3.2817303650556941E-3</v>
      </c>
      <c r="O45" s="3">
        <v>3.1933022060158119E-3</v>
      </c>
      <c r="P45" s="3">
        <v>3.1324956177505199E-3</v>
      </c>
      <c r="Q45" s="3">
        <v>3.0912278913577652E-3</v>
      </c>
      <c r="R45" s="3">
        <v>3.0156973011439018E-3</v>
      </c>
      <c r="S45" s="3">
        <v>2.9996567134647988E-3</v>
      </c>
      <c r="T45" s="3">
        <v>2.9851268107494648E-3</v>
      </c>
      <c r="U45" s="3">
        <v>2.9690529676818529E-3</v>
      </c>
      <c r="V45" s="3">
        <v>2.9586513604700441E-3</v>
      </c>
      <c r="W45" s="3">
        <v>2.9349580237210378E-3</v>
      </c>
      <c r="X45" s="3">
        <v>2.909127444861279E-3</v>
      </c>
      <c r="Y45" s="3">
        <v>2.8860151030315391E-3</v>
      </c>
      <c r="Z45" s="3">
        <v>2.8611039202439568E-3</v>
      </c>
      <c r="AA45" s="3">
        <v>3.1411623139497189E-3</v>
      </c>
      <c r="AB45" s="3">
        <v>3.346419750606022E-3</v>
      </c>
      <c r="AC45" s="3">
        <v>2.769645192925337E-3</v>
      </c>
      <c r="AD45" s="3">
        <v>2.746429194641172E-3</v>
      </c>
      <c r="AE45" s="3">
        <v>2.9632849622837042E-3</v>
      </c>
      <c r="AF45" s="3">
        <v>2.945071613855349E-3</v>
      </c>
      <c r="AG45" s="3">
        <v>2.9272169940487789E-3</v>
      </c>
      <c r="AH45" s="3">
        <v>2.9062108736286731E-3</v>
      </c>
      <c r="AI45" s="3">
        <v>2.8813216208291338E-3</v>
      </c>
      <c r="AJ45" s="3">
        <v>2.8616461908394179E-3</v>
      </c>
      <c r="AK45" s="3">
        <v>2.8401867706563809E-3</v>
      </c>
      <c r="AL45" s="3">
        <v>2.8245579160009579E-3</v>
      </c>
      <c r="AM45" s="3">
        <v>2.8109542372367902E-3</v>
      </c>
      <c r="AN45" s="3">
        <v>2.8000704440453521E-3</v>
      </c>
      <c r="AO45" s="3">
        <v>2.7884660688634508E-3</v>
      </c>
      <c r="AP45" s="3">
        <v>2.782211593857675E-3</v>
      </c>
      <c r="AQ45" s="3">
        <v>2.7755206433839308E-3</v>
      </c>
      <c r="AR45" s="3">
        <v>2.770849042871784E-3</v>
      </c>
      <c r="AS45" s="3">
        <v>2.765740960781281E-3</v>
      </c>
      <c r="AT45" s="3">
        <v>2.7621056364951421E-3</v>
      </c>
      <c r="AU45" s="3">
        <v>2.7584637621503381E-3</v>
      </c>
      <c r="AV45" s="3">
        <v>2.7546463765689088E-3</v>
      </c>
      <c r="AW45" s="3">
        <v>2.75541920592412E-3</v>
      </c>
      <c r="AX45" s="3">
        <v>2.754920299395162E-3</v>
      </c>
      <c r="AY45" s="3">
        <v>2.7532085711604081E-3</v>
      </c>
      <c r="AZ45" s="3">
        <v>2.7512944200131641E-3</v>
      </c>
      <c r="BA45" s="3">
        <v>2.7468795742564551E-3</v>
      </c>
      <c r="BB45" s="3">
        <v>2.740813438319392E-3</v>
      </c>
      <c r="BC45" s="3">
        <v>2.7317093533199442E-3</v>
      </c>
      <c r="BD45" s="3">
        <v>2.7223041081096311E-3</v>
      </c>
      <c r="BE45" s="3">
        <v>2.7117409696214029E-3</v>
      </c>
    </row>
    <row r="46" spans="1:57" x14ac:dyDescent="0.25">
      <c r="A46" s="1" t="str">
        <f>'Population Definitions'!$A$4</f>
        <v>0-9_males</v>
      </c>
      <c r="C46" t="s">
        <v>53</v>
      </c>
      <c r="D46" s="3"/>
      <c r="E46" s="3"/>
      <c r="F46" s="4" t="s">
        <v>37</v>
      </c>
      <c r="G46" s="3">
        <v>1.4001983394511339E-2</v>
      </c>
      <c r="H46" s="3">
        <v>1.357670566073705E-2</v>
      </c>
      <c r="I46" s="3">
        <v>1.3146078183122901E-2</v>
      </c>
      <c r="J46" s="3">
        <v>1.278634086399851E-2</v>
      </c>
      <c r="K46" s="3">
        <v>1.239072841748688E-2</v>
      </c>
      <c r="L46" s="3">
        <v>1.2639594222861809E-2</v>
      </c>
      <c r="M46" s="3">
        <v>1.205320389926982E-2</v>
      </c>
      <c r="N46" s="3">
        <v>1.1990283228348079E-2</v>
      </c>
      <c r="O46" s="3">
        <v>1.193281643052878E-2</v>
      </c>
      <c r="P46" s="3">
        <v>1.183584407926486E-2</v>
      </c>
      <c r="Q46" s="3">
        <v>1.166425693673531E-2</v>
      </c>
      <c r="R46" s="3">
        <v>1.132255706691641E-2</v>
      </c>
      <c r="S46" s="3">
        <v>1.0934986810019681E-2</v>
      </c>
      <c r="T46" s="3">
        <v>1.052128361801755E-2</v>
      </c>
      <c r="U46" s="3">
        <v>1.009352383231657E-2</v>
      </c>
      <c r="V46" s="3">
        <v>9.6630325623082887E-3</v>
      </c>
      <c r="W46" s="3">
        <v>9.2232788078111805E-3</v>
      </c>
      <c r="X46" s="3">
        <v>8.9057387464981149E-3</v>
      </c>
      <c r="Y46" s="3">
        <v>8.6254449303562949E-3</v>
      </c>
      <c r="Z46" s="3">
        <v>8.3732984342416734E-3</v>
      </c>
      <c r="AA46" s="3">
        <v>8.1403651421620236E-3</v>
      </c>
      <c r="AB46" s="3">
        <v>7.9350656079831827E-3</v>
      </c>
      <c r="AC46" s="3">
        <v>7.7479454686146011E-3</v>
      </c>
      <c r="AD46" s="3">
        <v>7.507951768083449E-3</v>
      </c>
      <c r="AE46" s="3">
        <v>7.3795105986112566E-3</v>
      </c>
      <c r="AF46" s="3">
        <v>7.2462229427110942E-3</v>
      </c>
      <c r="AG46" s="3">
        <v>7.1347516548672203E-3</v>
      </c>
      <c r="AH46" s="3">
        <v>7.0105147499718171E-3</v>
      </c>
      <c r="AI46" s="3">
        <v>6.8890202604241736E-3</v>
      </c>
      <c r="AJ46" s="3">
        <v>6.7913828274754496E-3</v>
      </c>
      <c r="AK46" s="3">
        <v>6.6769037715783989E-3</v>
      </c>
      <c r="AL46" s="3">
        <v>6.5770181391646768E-3</v>
      </c>
      <c r="AM46" s="3">
        <v>6.4694204975144038E-3</v>
      </c>
      <c r="AN46" s="3">
        <v>6.3687154886345743E-3</v>
      </c>
      <c r="AO46" s="3">
        <v>6.2420925752225027E-3</v>
      </c>
      <c r="AP46" s="3">
        <v>6.1228424896434801E-3</v>
      </c>
      <c r="AQ46" s="3">
        <v>5.9904090922165594E-3</v>
      </c>
      <c r="AR46" s="3">
        <v>5.8658410913178059E-3</v>
      </c>
      <c r="AS46" s="3">
        <v>5.7334498749317016E-3</v>
      </c>
      <c r="AT46" s="3">
        <v>5.595498179933457E-3</v>
      </c>
      <c r="AU46" s="3">
        <v>5.465699257197058E-3</v>
      </c>
      <c r="AV46" s="3">
        <v>5.3306799471372242E-3</v>
      </c>
      <c r="AW46" s="3">
        <v>5.2185671352624743E-3</v>
      </c>
      <c r="AX46" s="3">
        <v>5.0958430060378274E-3</v>
      </c>
      <c r="AY46" s="3">
        <v>4.9730259849250962E-3</v>
      </c>
      <c r="AZ46" s="3">
        <v>4.8633067222426246E-3</v>
      </c>
      <c r="BA46" s="3">
        <v>4.7524404830632319E-3</v>
      </c>
      <c r="BB46" s="3">
        <v>4.6601084142514036E-3</v>
      </c>
      <c r="BC46" s="3">
        <v>4.5600101126754876E-3</v>
      </c>
      <c r="BD46" s="3">
        <v>4.4573796821705597E-3</v>
      </c>
      <c r="BE46" s="3">
        <v>4.3559843650401676E-3</v>
      </c>
    </row>
    <row r="47" spans="1:57" x14ac:dyDescent="0.25">
      <c r="A47" s="1" t="str">
        <f>'Population Definitions'!$A$5</f>
        <v>0-9_females</v>
      </c>
      <c r="C47" t="s">
        <v>53</v>
      </c>
      <c r="D47" s="3"/>
      <c r="E47" s="3"/>
      <c r="F47" s="4" t="s">
        <v>37</v>
      </c>
      <c r="G47" s="3">
        <v>1.291026361682834E-2</v>
      </c>
      <c r="H47" s="3">
        <v>1.247653484103391E-2</v>
      </c>
      <c r="I47" s="3">
        <v>1.20472383774533E-2</v>
      </c>
      <c r="J47" s="3">
        <v>1.1682792786618429E-2</v>
      </c>
      <c r="K47" s="3">
        <v>1.1259782826298539E-2</v>
      </c>
      <c r="L47" s="3">
        <v>1.1496975493605011E-2</v>
      </c>
      <c r="M47" s="3">
        <v>1.082397028794321E-2</v>
      </c>
      <c r="N47" s="3">
        <v>1.0702075863224121E-2</v>
      </c>
      <c r="O47" s="3">
        <v>1.06114362679171E-2</v>
      </c>
      <c r="P47" s="3">
        <v>1.050074434037431E-2</v>
      </c>
      <c r="Q47" s="3">
        <v>1.0323217162790849E-2</v>
      </c>
      <c r="R47" s="3">
        <v>9.9871313746279378E-3</v>
      </c>
      <c r="S47" s="3">
        <v>9.6128283564950925E-3</v>
      </c>
      <c r="T47" s="3">
        <v>9.2135590562962676E-3</v>
      </c>
      <c r="U47" s="3">
        <v>8.7918208120400746E-3</v>
      </c>
      <c r="V47" s="3">
        <v>8.375209934846679E-3</v>
      </c>
      <c r="W47" s="3">
        <v>7.94048104830836E-3</v>
      </c>
      <c r="X47" s="3">
        <v>7.6258286537543027E-3</v>
      </c>
      <c r="Y47" s="3">
        <v>7.3416026297108729E-3</v>
      </c>
      <c r="Z47" s="3">
        <v>7.0875301210278499E-3</v>
      </c>
      <c r="AA47" s="3">
        <v>6.8530622176832586E-3</v>
      </c>
      <c r="AB47" s="3">
        <v>6.6487252497276399E-3</v>
      </c>
      <c r="AC47" s="3">
        <v>6.4731875339117456E-3</v>
      </c>
      <c r="AD47" s="3">
        <v>6.2496425938777106E-3</v>
      </c>
      <c r="AE47" s="3">
        <v>6.0933333331145666E-3</v>
      </c>
      <c r="AF47" s="3">
        <v>5.9344282524209282E-3</v>
      </c>
      <c r="AG47" s="3">
        <v>5.7930899948437798E-3</v>
      </c>
      <c r="AH47" s="3">
        <v>5.6340931698184394E-3</v>
      </c>
      <c r="AI47" s="3">
        <v>5.4918788726029079E-3</v>
      </c>
      <c r="AJ47" s="3">
        <v>5.3665032589661037E-3</v>
      </c>
      <c r="AK47" s="3">
        <v>5.228106481432921E-3</v>
      </c>
      <c r="AL47" s="3">
        <v>5.0967309819071674E-3</v>
      </c>
      <c r="AM47" s="3">
        <v>4.9746934865121384E-3</v>
      </c>
      <c r="AN47" s="3">
        <v>4.854581465474829E-3</v>
      </c>
      <c r="AO47" s="3">
        <v>4.7145548140577311E-3</v>
      </c>
      <c r="AP47" s="3">
        <v>4.5811353165473674E-3</v>
      </c>
      <c r="AQ47" s="3">
        <v>4.4292045998591059E-3</v>
      </c>
      <c r="AR47" s="3">
        <v>4.2965874743201276E-3</v>
      </c>
      <c r="AS47" s="3">
        <v>4.1613032328201007E-3</v>
      </c>
      <c r="AT47" s="3">
        <v>4.0211159327025328E-3</v>
      </c>
      <c r="AU47" s="3">
        <v>3.8824692922854471E-3</v>
      </c>
      <c r="AV47" s="3">
        <v>3.7570519773313612E-3</v>
      </c>
      <c r="AW47" s="3">
        <v>3.6354140291640822E-3</v>
      </c>
      <c r="AX47" s="3">
        <v>3.517427545619436E-3</v>
      </c>
      <c r="AY47" s="3">
        <v>3.3988188213023001E-3</v>
      </c>
      <c r="AZ47" s="3">
        <v>3.2940618238956171E-3</v>
      </c>
      <c r="BA47" s="3">
        <v>3.1869111246560699E-3</v>
      </c>
      <c r="BB47" s="3">
        <v>3.0945472284001881E-3</v>
      </c>
      <c r="BC47" s="3">
        <v>2.9971337207120559E-3</v>
      </c>
      <c r="BD47" s="3">
        <v>2.901454608915271E-3</v>
      </c>
      <c r="BE47" s="3">
        <v>2.8074459536201811E-3</v>
      </c>
    </row>
    <row r="48" spans="1:57" x14ac:dyDescent="0.25">
      <c r="A48" s="1" t="str">
        <f>'Population Definitions'!$A$6</f>
        <v>10-17_males</v>
      </c>
      <c r="C48" t="s">
        <v>53</v>
      </c>
      <c r="D48" s="3"/>
      <c r="E48" s="3"/>
      <c r="F48" s="4" t="s">
        <v>37</v>
      </c>
      <c r="G48" s="3">
        <v>1.060405926650719E-3</v>
      </c>
      <c r="H48" s="3">
        <v>1.042184802736107E-3</v>
      </c>
      <c r="I48" s="3">
        <v>1.028615717801135E-3</v>
      </c>
      <c r="J48" s="3">
        <v>1.02343845458673E-3</v>
      </c>
      <c r="K48" s="3">
        <v>1.0268598173337491E-3</v>
      </c>
      <c r="L48" s="3">
        <v>1.309272272177187E-3</v>
      </c>
      <c r="M48" s="3">
        <v>1.048553219448925E-3</v>
      </c>
      <c r="N48" s="3">
        <v>1.0686190154469389E-3</v>
      </c>
      <c r="O48" s="3">
        <v>1.0818971186658129E-3</v>
      </c>
      <c r="P48" s="3">
        <v>1.086153898543532E-3</v>
      </c>
      <c r="Q48" s="3">
        <v>1.088833812739669E-3</v>
      </c>
      <c r="R48" s="3">
        <v>1.071285313228006E-3</v>
      </c>
      <c r="S48" s="3">
        <v>1.0620832660633761E-3</v>
      </c>
      <c r="T48" s="3">
        <v>1.0500834649871959E-3</v>
      </c>
      <c r="U48" s="3">
        <v>1.0378030208182899E-3</v>
      </c>
      <c r="V48" s="3">
        <v>1.0227567032441659E-3</v>
      </c>
      <c r="W48" s="3">
        <v>9.999165042129071E-4</v>
      </c>
      <c r="X48" s="3">
        <v>9.7987242483733687E-4</v>
      </c>
      <c r="Y48" s="3">
        <v>9.6228450156831172E-4</v>
      </c>
      <c r="Z48" s="3">
        <v>9.457665741795725E-4</v>
      </c>
      <c r="AA48" s="3">
        <v>9.3018614455109934E-4</v>
      </c>
      <c r="AB48" s="3">
        <v>9.1670859396753034E-4</v>
      </c>
      <c r="AC48" s="3">
        <v>9.0821560859911347E-4</v>
      </c>
      <c r="AD48" s="3">
        <v>8.9675628923308764E-4</v>
      </c>
      <c r="AE48" s="3">
        <v>8.8785395354475897E-4</v>
      </c>
      <c r="AF48" s="3">
        <v>8.8063579164271259E-4</v>
      </c>
      <c r="AG48" s="3">
        <v>8.7452303769824707E-4</v>
      </c>
      <c r="AH48" s="3">
        <v>8.6647574579268522E-4</v>
      </c>
      <c r="AI48" s="3">
        <v>8.5644356274194812E-4</v>
      </c>
      <c r="AJ48" s="3">
        <v>8.4699507642824765E-4</v>
      </c>
      <c r="AK48" s="3">
        <v>8.3538965662523961E-4</v>
      </c>
      <c r="AL48" s="3">
        <v>8.2526169748735985E-4</v>
      </c>
      <c r="AM48" s="3">
        <v>8.1464379652225125E-4</v>
      </c>
      <c r="AN48" s="3">
        <v>8.044911918728072E-4</v>
      </c>
      <c r="AO48" s="3">
        <v>7.935001373829229E-4</v>
      </c>
      <c r="AP48" s="3">
        <v>7.8401581618100006E-4</v>
      </c>
      <c r="AQ48" s="3">
        <v>7.7352791265519185E-4</v>
      </c>
      <c r="AR48" s="3">
        <v>7.6396079555848513E-4</v>
      </c>
      <c r="AS48" s="3">
        <v>7.539323541355809E-4</v>
      </c>
      <c r="AT48" s="3">
        <v>7.4367904863789202E-4</v>
      </c>
      <c r="AU48" s="3">
        <v>7.3285051016490626E-4</v>
      </c>
      <c r="AV48" s="3">
        <v>7.2199935834187329E-4</v>
      </c>
      <c r="AW48" s="3">
        <v>7.1297882313266637E-4</v>
      </c>
      <c r="AX48" s="3">
        <v>7.028974298748283E-4</v>
      </c>
      <c r="AY48" s="3">
        <v>6.9209022936082354E-4</v>
      </c>
      <c r="AZ48" s="3">
        <v>6.8247556319021114E-4</v>
      </c>
      <c r="BA48" s="3">
        <v>6.7267808227989407E-4</v>
      </c>
      <c r="BB48" s="3">
        <v>6.6461375264844334E-4</v>
      </c>
      <c r="BC48" s="3">
        <v>6.5524366667701612E-4</v>
      </c>
      <c r="BD48" s="3">
        <v>6.4581030033985804E-4</v>
      </c>
      <c r="BE48" s="3">
        <v>6.3601722059025896E-4</v>
      </c>
    </row>
    <row r="49" spans="1:57" x14ac:dyDescent="0.25">
      <c r="A49" s="1" t="str">
        <f>'Population Definitions'!$A$7</f>
        <v>10-17_females</v>
      </c>
      <c r="C49" t="s">
        <v>53</v>
      </c>
      <c r="D49" s="3"/>
      <c r="E49" s="3"/>
      <c r="F49" s="4" t="s">
        <v>37</v>
      </c>
      <c r="G49" s="3">
        <v>1.154449036681364E-3</v>
      </c>
      <c r="H49" s="3">
        <v>1.105775515027324E-3</v>
      </c>
      <c r="I49" s="3">
        <v>1.05904117631854E-3</v>
      </c>
      <c r="J49" s="3">
        <v>1.0099819106970209E-3</v>
      </c>
      <c r="K49" s="3">
        <v>9.5464273923629621E-4</v>
      </c>
      <c r="L49" s="3">
        <v>1.262642343999002E-3</v>
      </c>
      <c r="M49" s="3">
        <v>8.2648898062586209E-4</v>
      </c>
      <c r="N49" s="3">
        <v>7.752228441924102E-4</v>
      </c>
      <c r="O49" s="3">
        <v>7.3487715252673223E-4</v>
      </c>
      <c r="P49" s="3">
        <v>7.11275612670177E-4</v>
      </c>
      <c r="Q49" s="3">
        <v>6.9208910640382803E-4</v>
      </c>
      <c r="R49" s="3">
        <v>6.7143238086145719E-4</v>
      </c>
      <c r="S49" s="3">
        <v>6.5731517772518104E-4</v>
      </c>
      <c r="T49" s="3">
        <v>6.4414379154696287E-4</v>
      </c>
      <c r="U49" s="3">
        <v>6.2652045191718465E-4</v>
      </c>
      <c r="V49" s="3">
        <v>6.1206523820495149E-4</v>
      </c>
      <c r="W49" s="3">
        <v>5.9108565080463781E-4</v>
      </c>
      <c r="X49" s="3">
        <v>5.7349613645579745E-4</v>
      </c>
      <c r="Y49" s="3">
        <v>5.5758111992918488E-4</v>
      </c>
      <c r="Z49" s="3">
        <v>5.4239243324920219E-4</v>
      </c>
      <c r="AA49" s="3">
        <v>5.2769985110019473E-4</v>
      </c>
      <c r="AB49" s="3">
        <v>5.1353745177770975E-4</v>
      </c>
      <c r="AC49" s="3">
        <v>5.0356886858028964E-4</v>
      </c>
      <c r="AD49" s="3">
        <v>4.9119383879704746E-4</v>
      </c>
      <c r="AE49" s="3">
        <v>4.8364705944222997E-4</v>
      </c>
      <c r="AF49" s="3">
        <v>4.7739235324418768E-4</v>
      </c>
      <c r="AG49" s="3">
        <v>4.7196425632025881E-4</v>
      </c>
      <c r="AH49" s="3">
        <v>4.6500431275822398E-4</v>
      </c>
      <c r="AI49" s="3">
        <v>4.5741241352581518E-4</v>
      </c>
      <c r="AJ49" s="3">
        <v>4.5029756331514377E-4</v>
      </c>
      <c r="AK49" s="3">
        <v>4.4191489557812838E-4</v>
      </c>
      <c r="AL49" s="3">
        <v>4.3398808755294E-4</v>
      </c>
      <c r="AM49" s="3">
        <v>4.2647451664937729E-4</v>
      </c>
      <c r="AN49" s="3">
        <v>4.1910820444584872E-4</v>
      </c>
      <c r="AO49" s="3">
        <v>4.110285295293961E-4</v>
      </c>
      <c r="AP49" s="3">
        <v>4.036509836464479E-4</v>
      </c>
      <c r="AQ49" s="3">
        <v>3.953146018673851E-4</v>
      </c>
      <c r="AR49" s="3">
        <v>3.8815009889955199E-4</v>
      </c>
      <c r="AS49" s="3">
        <v>3.8072782557068682E-4</v>
      </c>
      <c r="AT49" s="3">
        <v>3.7293193592140029E-4</v>
      </c>
      <c r="AU49" s="3">
        <v>3.6509301362055519E-4</v>
      </c>
      <c r="AV49" s="3">
        <v>3.5788165965956943E-4</v>
      </c>
      <c r="AW49" s="3">
        <v>3.5098194203009742E-4</v>
      </c>
      <c r="AX49" s="3">
        <v>3.4417295441189382E-4</v>
      </c>
      <c r="AY49" s="3">
        <v>3.3693804043179502E-4</v>
      </c>
      <c r="AZ49" s="3">
        <v>3.3041614386827351E-4</v>
      </c>
      <c r="BA49" s="3">
        <v>3.2361688787973229E-4</v>
      </c>
      <c r="BB49" s="3">
        <v>3.1789827692664502E-4</v>
      </c>
      <c r="BC49" s="3">
        <v>3.1133307450087022E-4</v>
      </c>
      <c r="BD49" s="3">
        <v>3.0496788602435079E-4</v>
      </c>
      <c r="BE49" s="3">
        <v>2.9849207787446011E-4</v>
      </c>
    </row>
    <row r="50" spans="1:57" x14ac:dyDescent="0.25">
      <c r="A50" s="1" t="str">
        <f>'Population Definitions'!$A$8</f>
        <v>18-64_males</v>
      </c>
      <c r="C50" t="s">
        <v>53</v>
      </c>
      <c r="D50" s="3"/>
      <c r="E50" s="3"/>
      <c r="F50" s="4" t="s">
        <v>37</v>
      </c>
      <c r="G50" s="3">
        <v>4.8083789674689958E-3</v>
      </c>
      <c r="H50" s="3">
        <v>4.7487121553108627E-3</v>
      </c>
      <c r="I50" s="3">
        <v>4.719019768751366E-3</v>
      </c>
      <c r="J50" s="3">
        <v>4.6859348346313234E-3</v>
      </c>
      <c r="K50" s="3">
        <v>4.6824374092208319E-3</v>
      </c>
      <c r="L50" s="3">
        <v>5.0272707936617946E-3</v>
      </c>
      <c r="M50" s="3">
        <v>4.7211419002059348E-3</v>
      </c>
      <c r="N50" s="3">
        <v>4.7840629211712057E-3</v>
      </c>
      <c r="O50" s="3">
        <v>4.8460242671964646E-3</v>
      </c>
      <c r="P50" s="3">
        <v>4.7988264280641327E-3</v>
      </c>
      <c r="Q50" s="3">
        <v>4.8165267607088074E-3</v>
      </c>
      <c r="R50" s="3">
        <v>4.7103050405462067E-3</v>
      </c>
      <c r="S50" s="3">
        <v>4.7046290406177029E-3</v>
      </c>
      <c r="T50" s="3">
        <v>4.6836116275086213E-3</v>
      </c>
      <c r="U50" s="3">
        <v>4.6909176100789138E-3</v>
      </c>
      <c r="V50" s="3">
        <v>4.6795232193372104E-3</v>
      </c>
      <c r="W50" s="3">
        <v>4.6417389843542416E-3</v>
      </c>
      <c r="X50" s="3">
        <v>4.6022534505209762E-3</v>
      </c>
      <c r="Y50" s="3">
        <v>4.5720337469724887E-3</v>
      </c>
      <c r="Z50" s="3">
        <v>4.5472813003847824E-3</v>
      </c>
      <c r="AA50" s="3">
        <v>5.0730096586958651E-3</v>
      </c>
      <c r="AB50" s="3">
        <v>5.2253601581876401E-3</v>
      </c>
      <c r="AC50" s="3">
        <v>4.4785558147048656E-3</v>
      </c>
      <c r="AD50" s="3">
        <v>4.4674650444482527E-3</v>
      </c>
      <c r="AE50" s="3">
        <v>4.6773123621866681E-3</v>
      </c>
      <c r="AF50" s="3">
        <v>4.6574030667230204E-3</v>
      </c>
      <c r="AG50" s="3">
        <v>4.6323982171320209E-3</v>
      </c>
      <c r="AH50" s="3">
        <v>4.6040201052547523E-3</v>
      </c>
      <c r="AI50" s="3">
        <v>4.5761572895485596E-3</v>
      </c>
      <c r="AJ50" s="3">
        <v>4.5531863872363496E-3</v>
      </c>
      <c r="AK50" s="3">
        <v>4.5294292569614206E-3</v>
      </c>
      <c r="AL50" s="3">
        <v>4.5135904161167761E-3</v>
      </c>
      <c r="AM50" s="3">
        <v>4.503348556481478E-3</v>
      </c>
      <c r="AN50" s="3">
        <v>4.4953073839162881E-3</v>
      </c>
      <c r="AO50" s="3">
        <v>4.488058218946267E-3</v>
      </c>
      <c r="AP50" s="3">
        <v>4.489746760927546E-3</v>
      </c>
      <c r="AQ50" s="3">
        <v>4.4882786025996647E-3</v>
      </c>
      <c r="AR50" s="3">
        <v>4.4929838127654841E-3</v>
      </c>
      <c r="AS50" s="3">
        <v>4.4967268990533599E-3</v>
      </c>
      <c r="AT50" s="3">
        <v>4.5051985900259077E-3</v>
      </c>
      <c r="AU50" s="3">
        <v>4.5088920091180392E-3</v>
      </c>
      <c r="AV50" s="3">
        <v>4.5190353910692068E-3</v>
      </c>
      <c r="AW50" s="3">
        <v>4.5299160389340983E-3</v>
      </c>
      <c r="AX50" s="3">
        <v>4.5416888895638639E-3</v>
      </c>
      <c r="AY50" s="3">
        <v>4.5492997406093184E-3</v>
      </c>
      <c r="AZ50" s="3">
        <v>4.5598773380584002E-3</v>
      </c>
      <c r="BA50" s="3">
        <v>4.5659687373235131E-3</v>
      </c>
      <c r="BB50" s="3">
        <v>4.5691379867094893E-3</v>
      </c>
      <c r="BC50" s="3">
        <v>4.5685286106365731E-3</v>
      </c>
      <c r="BD50" s="3">
        <v>4.5678451543340274E-3</v>
      </c>
      <c r="BE50" s="3">
        <v>4.5651683614584418E-3</v>
      </c>
    </row>
    <row r="51" spans="1:57" x14ac:dyDescent="0.25">
      <c r="A51" s="1" t="str">
        <f>'Population Definitions'!$A$9</f>
        <v>18-64_females</v>
      </c>
      <c r="C51" t="s">
        <v>53</v>
      </c>
      <c r="D51" s="3"/>
      <c r="E51" s="3"/>
      <c r="F51" s="4" t="s">
        <v>37</v>
      </c>
      <c r="G51" s="3">
        <v>4.1278429610933564E-3</v>
      </c>
      <c r="H51" s="3">
        <v>4.0315372734496709E-3</v>
      </c>
      <c r="I51" s="3">
        <v>3.9414907660370322E-3</v>
      </c>
      <c r="J51" s="3">
        <v>3.8372271317035568E-3</v>
      </c>
      <c r="K51" s="3">
        <v>3.7164763503766901E-3</v>
      </c>
      <c r="L51" s="3">
        <v>3.9516601918222231E-3</v>
      </c>
      <c r="M51" s="3">
        <v>3.4137338578881919E-3</v>
      </c>
      <c r="N51" s="3">
        <v>3.2817303650556941E-3</v>
      </c>
      <c r="O51" s="3">
        <v>3.1933022060158119E-3</v>
      </c>
      <c r="P51" s="3">
        <v>3.1324956177505199E-3</v>
      </c>
      <c r="Q51" s="3">
        <v>3.0912278913577652E-3</v>
      </c>
      <c r="R51" s="3">
        <v>3.0156973011439018E-3</v>
      </c>
      <c r="S51" s="3">
        <v>2.9996567134647988E-3</v>
      </c>
      <c r="T51" s="3">
        <v>2.9851268107494648E-3</v>
      </c>
      <c r="U51" s="3">
        <v>2.9690529676818529E-3</v>
      </c>
      <c r="V51" s="3">
        <v>2.9586513604700441E-3</v>
      </c>
      <c r="W51" s="3">
        <v>2.9349580237210378E-3</v>
      </c>
      <c r="X51" s="3">
        <v>2.909127444861279E-3</v>
      </c>
      <c r="Y51" s="3">
        <v>2.8860151030315391E-3</v>
      </c>
      <c r="Z51" s="3">
        <v>2.8611039202439568E-3</v>
      </c>
      <c r="AA51" s="3">
        <v>3.1411623139497189E-3</v>
      </c>
      <c r="AB51" s="3">
        <v>3.346419750606022E-3</v>
      </c>
      <c r="AC51" s="3">
        <v>2.769645192925337E-3</v>
      </c>
      <c r="AD51" s="3">
        <v>2.746429194641172E-3</v>
      </c>
      <c r="AE51" s="3">
        <v>2.9632849622837042E-3</v>
      </c>
      <c r="AF51" s="3">
        <v>2.945071613855349E-3</v>
      </c>
      <c r="AG51" s="3">
        <v>2.9272169940487789E-3</v>
      </c>
      <c r="AH51" s="3">
        <v>2.9062108736286731E-3</v>
      </c>
      <c r="AI51" s="3">
        <v>2.8813216208291338E-3</v>
      </c>
      <c r="AJ51" s="3">
        <v>2.8616461908394179E-3</v>
      </c>
      <c r="AK51" s="3">
        <v>2.8401867706563809E-3</v>
      </c>
      <c r="AL51" s="3">
        <v>2.8245579160009579E-3</v>
      </c>
      <c r="AM51" s="3">
        <v>2.8109542372367902E-3</v>
      </c>
      <c r="AN51" s="3">
        <v>2.8000704440453521E-3</v>
      </c>
      <c r="AO51" s="3">
        <v>2.7884660688634508E-3</v>
      </c>
      <c r="AP51" s="3">
        <v>2.782211593857675E-3</v>
      </c>
      <c r="AQ51" s="3">
        <v>2.7755206433839308E-3</v>
      </c>
      <c r="AR51" s="3">
        <v>2.770849042871784E-3</v>
      </c>
      <c r="AS51" s="3">
        <v>2.765740960781281E-3</v>
      </c>
      <c r="AT51" s="3">
        <v>2.7621056364951421E-3</v>
      </c>
      <c r="AU51" s="3">
        <v>2.7584637621503381E-3</v>
      </c>
      <c r="AV51" s="3">
        <v>2.7546463765689088E-3</v>
      </c>
      <c r="AW51" s="3">
        <v>2.75541920592412E-3</v>
      </c>
      <c r="AX51" s="3">
        <v>2.754920299395162E-3</v>
      </c>
      <c r="AY51" s="3">
        <v>2.7532085711604081E-3</v>
      </c>
      <c r="AZ51" s="3">
        <v>2.7512944200131641E-3</v>
      </c>
      <c r="BA51" s="3">
        <v>2.7468795742564551E-3</v>
      </c>
      <c r="BB51" s="3">
        <v>2.740813438319392E-3</v>
      </c>
      <c r="BC51" s="3">
        <v>2.7317093533199442E-3</v>
      </c>
      <c r="BD51" s="3">
        <v>2.7223041081096311E-3</v>
      </c>
      <c r="BE51" s="3">
        <v>2.7117409696214029E-3</v>
      </c>
    </row>
    <row r="52" spans="1:57" x14ac:dyDescent="0.25">
      <c r="A52" s="1" t="str">
        <f>'Population Definitions'!$A$10</f>
        <v>65+_males</v>
      </c>
      <c r="C52" t="s">
        <v>53</v>
      </c>
      <c r="D52" s="3"/>
      <c r="E52" s="3"/>
      <c r="F52" s="4" t="s">
        <v>37</v>
      </c>
      <c r="G52" s="3">
        <v>7.0694249671407236E-2</v>
      </c>
      <c r="H52" s="3">
        <v>7.0626893016696585E-2</v>
      </c>
      <c r="I52" s="3">
        <v>7.0644046670278335E-2</v>
      </c>
      <c r="J52" s="3">
        <v>7.0609133498067009E-2</v>
      </c>
      <c r="K52" s="3">
        <v>7.0708520652628101E-2</v>
      </c>
      <c r="L52" s="3">
        <v>7.1941402402318819E-2</v>
      </c>
      <c r="M52" s="3">
        <v>7.1032386838881884E-2</v>
      </c>
      <c r="N52" s="3">
        <v>7.1150262365012873E-2</v>
      </c>
      <c r="O52" s="3">
        <v>7.1226645503425307E-2</v>
      </c>
      <c r="P52" s="3">
        <v>7.1262943466068804E-2</v>
      </c>
      <c r="Q52" s="3">
        <v>7.1381063784540372E-2</v>
      </c>
      <c r="R52" s="3">
        <v>7.1227997759287565E-2</v>
      </c>
      <c r="S52" s="3">
        <v>7.1266200189815734E-2</v>
      </c>
      <c r="T52" s="3">
        <v>7.1309610304505E-2</v>
      </c>
      <c r="U52" s="3">
        <v>7.1683227555889198E-2</v>
      </c>
      <c r="V52" s="3">
        <v>7.185352703636938E-2</v>
      </c>
      <c r="W52" s="3">
        <v>7.1972098727994163E-2</v>
      </c>
      <c r="X52" s="3">
        <v>7.1746727505414248E-2</v>
      </c>
      <c r="Y52" s="3">
        <v>7.1535453629150481E-2</v>
      </c>
      <c r="Z52" s="3">
        <v>7.1228257894843799E-2</v>
      </c>
      <c r="AA52" s="3">
        <v>8.4549694530911351E-2</v>
      </c>
      <c r="AB52" s="3">
        <v>7.8553838154903535E-2</v>
      </c>
      <c r="AC52" s="3">
        <v>6.9351411891403286E-2</v>
      </c>
      <c r="AD52" s="3">
        <v>6.9002942548178972E-2</v>
      </c>
      <c r="AE52" s="3">
        <v>6.8869834335485505E-2</v>
      </c>
      <c r="AF52" s="3">
        <v>6.8605942206449819E-2</v>
      </c>
      <c r="AG52" s="3">
        <v>6.8237639478085033E-2</v>
      </c>
      <c r="AH52" s="3">
        <v>6.7907985987066488E-2</v>
      </c>
      <c r="AI52" s="3">
        <v>6.7655491638605861E-2</v>
      </c>
      <c r="AJ52" s="3">
        <v>6.7449261066501884E-2</v>
      </c>
      <c r="AK52" s="3">
        <v>6.7272856361106956E-2</v>
      </c>
      <c r="AL52" s="3">
        <v>6.7162276014405109E-2</v>
      </c>
      <c r="AM52" s="3">
        <v>6.7152080507846795E-2</v>
      </c>
      <c r="AN52" s="3">
        <v>6.7119768337543295E-2</v>
      </c>
      <c r="AO52" s="3">
        <v>6.7111351380240589E-2</v>
      </c>
      <c r="AP52" s="3">
        <v>6.7195988751808114E-2</v>
      </c>
      <c r="AQ52" s="3">
        <v>6.7222311816831179E-2</v>
      </c>
      <c r="AR52" s="3">
        <v>6.7285130067508581E-2</v>
      </c>
      <c r="AS52" s="3">
        <v>6.730821771353955E-2</v>
      </c>
      <c r="AT52" s="3">
        <v>6.7373269222919072E-2</v>
      </c>
      <c r="AU52" s="3">
        <v>6.7289333323553094E-2</v>
      </c>
      <c r="AV52" s="3">
        <v>6.7300666809096368E-2</v>
      </c>
      <c r="AW52" s="3">
        <v>6.7184316901086921E-2</v>
      </c>
      <c r="AX52" s="3">
        <v>6.7081042600300886E-2</v>
      </c>
      <c r="AY52" s="3">
        <v>6.6893907606084824E-2</v>
      </c>
      <c r="AZ52" s="3">
        <v>6.6686789109608721E-2</v>
      </c>
      <c r="BA52" s="3">
        <v>6.6396939952155148E-2</v>
      </c>
      <c r="BB52" s="3">
        <v>6.5973906890681361E-2</v>
      </c>
      <c r="BC52" s="3">
        <v>6.5561336237797224E-2</v>
      </c>
      <c r="BD52" s="3">
        <v>6.5204533585474331E-2</v>
      </c>
      <c r="BE52" s="3">
        <v>6.4850240140992318E-2</v>
      </c>
    </row>
    <row r="53" spans="1:57" x14ac:dyDescent="0.25">
      <c r="A53" s="1" t="str">
        <f>'Population Definitions'!$A$11</f>
        <v>65+_females</v>
      </c>
      <c r="C53" t="s">
        <v>53</v>
      </c>
      <c r="D53" s="3"/>
      <c r="E53" s="3"/>
      <c r="F53" s="4" t="s">
        <v>37</v>
      </c>
      <c r="G53" s="3">
        <v>6.1814801128976651E-2</v>
      </c>
      <c r="H53" s="3">
        <v>6.151986071739747E-2</v>
      </c>
      <c r="I53" s="3">
        <v>6.1198471220222407E-2</v>
      </c>
      <c r="J53" s="3">
        <v>6.0861467226364707E-2</v>
      </c>
      <c r="K53" s="3">
        <v>6.0448189661930038E-2</v>
      </c>
      <c r="L53" s="3">
        <v>6.0661554768363317E-2</v>
      </c>
      <c r="M53" s="3">
        <v>5.9121600642995542E-2</v>
      </c>
      <c r="N53" s="3">
        <v>5.8537712269210181E-2</v>
      </c>
      <c r="O53" s="3">
        <v>5.8139668893244678E-2</v>
      </c>
      <c r="P53" s="3">
        <v>5.7883416472187692E-2</v>
      </c>
      <c r="Q53" s="3">
        <v>5.7648018513789763E-2</v>
      </c>
      <c r="R53" s="3">
        <v>5.7389779323052142E-2</v>
      </c>
      <c r="S53" s="3">
        <v>5.729269336849669E-2</v>
      </c>
      <c r="T53" s="3">
        <v>5.7286361450536373E-2</v>
      </c>
      <c r="U53" s="3">
        <v>5.7261707188900342E-2</v>
      </c>
      <c r="V53" s="3">
        <v>5.739167006753846E-2</v>
      </c>
      <c r="W53" s="3">
        <v>5.7320766491925017E-2</v>
      </c>
      <c r="X53" s="3">
        <v>5.7191154896316473E-2</v>
      </c>
      <c r="Y53" s="3">
        <v>5.701513367593871E-2</v>
      </c>
      <c r="Z53" s="3">
        <v>5.6753220734500329E-2</v>
      </c>
      <c r="AA53" s="3">
        <v>6.2683020000282849E-2</v>
      </c>
      <c r="AB53" s="3">
        <v>6.2933425522344641E-2</v>
      </c>
      <c r="AC53" s="3">
        <v>5.5266290955632319E-2</v>
      </c>
      <c r="AD53" s="3">
        <v>5.5058764544068217E-2</v>
      </c>
      <c r="AE53" s="3">
        <v>5.5148013472092132E-2</v>
      </c>
      <c r="AF53" s="3">
        <v>5.5017030564702217E-2</v>
      </c>
      <c r="AG53" s="3">
        <v>5.4903541163973869E-2</v>
      </c>
      <c r="AH53" s="3">
        <v>5.48409536085624E-2</v>
      </c>
      <c r="AI53" s="3">
        <v>5.4705904209306933E-2</v>
      </c>
      <c r="AJ53" s="3">
        <v>5.4681999090960741E-2</v>
      </c>
      <c r="AK53" s="3">
        <v>5.4646560680467457E-2</v>
      </c>
      <c r="AL53" s="3">
        <v>5.4707018635324602E-2</v>
      </c>
      <c r="AM53" s="3">
        <v>5.4761309981252317E-2</v>
      </c>
      <c r="AN53" s="3">
        <v>5.4848561773403463E-2</v>
      </c>
      <c r="AO53" s="3">
        <v>5.4913403481216649E-2</v>
      </c>
      <c r="AP53" s="3">
        <v>5.5056778667383698E-2</v>
      </c>
      <c r="AQ53" s="3">
        <v>5.5218439722167577E-2</v>
      </c>
      <c r="AR53" s="3">
        <v>5.5318903830490707E-2</v>
      </c>
      <c r="AS53" s="3">
        <v>5.5393950303829952E-2</v>
      </c>
      <c r="AT53" s="3">
        <v>5.5485778742354969E-2</v>
      </c>
      <c r="AU53" s="3">
        <v>5.5531948330749953E-2</v>
      </c>
      <c r="AV53" s="3">
        <v>5.5484586563056403E-2</v>
      </c>
      <c r="AW53" s="3">
        <v>5.5496268235266863E-2</v>
      </c>
      <c r="AX53" s="3">
        <v>5.5412191351294417E-2</v>
      </c>
      <c r="AY53" s="3">
        <v>5.5287838748121647E-2</v>
      </c>
      <c r="AZ53" s="3">
        <v>5.5092215910408561E-2</v>
      </c>
      <c r="BA53" s="3">
        <v>5.48285236949108E-2</v>
      </c>
      <c r="BB53" s="3">
        <v>5.4452765188328027E-2</v>
      </c>
      <c r="BC53" s="3">
        <v>5.4080168747669813E-2</v>
      </c>
      <c r="BD53" s="3">
        <v>5.3716247599083819E-2</v>
      </c>
      <c r="BE53" s="3">
        <v>5.3347710207593289E-2</v>
      </c>
    </row>
    <row r="54" spans="1:57" x14ac:dyDescent="0.25">
      <c r="A54" s="1" t="str">
        <f>'Population Definitions'!$A$12</f>
        <v>Prisoners_males</v>
      </c>
      <c r="C54" t="s">
        <v>53</v>
      </c>
      <c r="D54" s="3"/>
      <c r="E54" s="3"/>
      <c r="F54" s="4" t="s">
        <v>37</v>
      </c>
      <c r="G54" s="3">
        <v>4.8083789674689958E-3</v>
      </c>
      <c r="H54" s="3">
        <v>4.7487121553108627E-3</v>
      </c>
      <c r="I54" s="3">
        <v>4.719019768751366E-3</v>
      </c>
      <c r="J54" s="3">
        <v>4.6859348346313234E-3</v>
      </c>
      <c r="K54" s="3">
        <v>4.6824374092208319E-3</v>
      </c>
      <c r="L54" s="3">
        <v>5.0272707936617946E-3</v>
      </c>
      <c r="M54" s="3">
        <v>4.7211419002059348E-3</v>
      </c>
      <c r="N54" s="3">
        <v>4.7840629211712057E-3</v>
      </c>
      <c r="O54" s="3">
        <v>4.8460242671964646E-3</v>
      </c>
      <c r="P54" s="3">
        <v>4.7988264280641327E-3</v>
      </c>
      <c r="Q54" s="3">
        <v>4.8165267607088074E-3</v>
      </c>
      <c r="R54" s="3">
        <v>4.7103050405462067E-3</v>
      </c>
      <c r="S54" s="3">
        <v>4.7046290406177029E-3</v>
      </c>
      <c r="T54" s="3">
        <v>4.6836116275086213E-3</v>
      </c>
      <c r="U54" s="3">
        <v>4.6909176100789138E-3</v>
      </c>
      <c r="V54" s="3">
        <v>4.6795232193372104E-3</v>
      </c>
      <c r="W54" s="3">
        <v>4.6417389843542416E-3</v>
      </c>
      <c r="X54" s="3">
        <v>4.6022534505209762E-3</v>
      </c>
      <c r="Y54" s="3">
        <v>4.5720337469724887E-3</v>
      </c>
      <c r="Z54" s="3">
        <v>4.5472813003847824E-3</v>
      </c>
      <c r="AA54" s="3">
        <v>5.0730096586958651E-3</v>
      </c>
      <c r="AB54" s="3">
        <v>5.2253601581876401E-3</v>
      </c>
      <c r="AC54" s="3">
        <v>4.4785558147048656E-3</v>
      </c>
      <c r="AD54" s="3">
        <v>4.4674650444482527E-3</v>
      </c>
      <c r="AE54" s="3">
        <v>2.329570669789715E-3</v>
      </c>
      <c r="AF54" s="3">
        <v>2.3472927500367172E-3</v>
      </c>
      <c r="AG54" s="3">
        <v>2.4056307174296671E-3</v>
      </c>
      <c r="AH54" s="3">
        <v>2.4614547190338629E-3</v>
      </c>
      <c r="AI54" s="3">
        <v>2.482800227396656E-3</v>
      </c>
      <c r="AJ54" s="3">
        <v>2.4713915152315652E-3</v>
      </c>
      <c r="AK54" s="3">
        <v>2.4578724667804908E-3</v>
      </c>
      <c r="AL54" s="3">
        <v>2.4490397463285082E-3</v>
      </c>
      <c r="AM54" s="3">
        <v>2.440663227999447E-3</v>
      </c>
      <c r="AN54" s="3">
        <v>2.4254258310921172E-3</v>
      </c>
      <c r="AO54" s="3">
        <v>2.4180838181023052E-3</v>
      </c>
      <c r="AP54" s="3">
        <v>2.3970961431186611E-3</v>
      </c>
      <c r="AQ54" s="3">
        <v>2.3818612714924209E-3</v>
      </c>
      <c r="AR54" s="3">
        <v>2.3783855425191982E-3</v>
      </c>
      <c r="AS54" s="3">
        <v>2.37577643574448E-3</v>
      </c>
      <c r="AT54" s="3">
        <v>2.370476893454744E-3</v>
      </c>
      <c r="AU54" s="3">
        <v>2.3766183779495532E-3</v>
      </c>
      <c r="AV54" s="3">
        <v>2.383848997958766E-3</v>
      </c>
      <c r="AW54" s="3">
        <v>2.392719382835101E-3</v>
      </c>
      <c r="AX54" s="3">
        <v>2.4188738817751271E-3</v>
      </c>
      <c r="AY54" s="3">
        <v>2.4455625464241239E-3</v>
      </c>
      <c r="AZ54" s="3">
        <v>2.4671696258747938E-3</v>
      </c>
      <c r="BA54" s="3">
        <v>2.4977365134312601E-3</v>
      </c>
      <c r="BB54" s="3">
        <v>2.5331035992727209E-3</v>
      </c>
      <c r="BC54" s="3">
        <v>2.5672376405984311E-3</v>
      </c>
      <c r="BD54" s="3">
        <v>2.5948893435149192E-3</v>
      </c>
      <c r="BE54" s="3">
        <v>2.6156208255954131E-3</v>
      </c>
    </row>
    <row r="55" spans="1:57" x14ac:dyDescent="0.25">
      <c r="A55" s="1" t="str">
        <f>'Population Definitions'!$A$13</f>
        <v>Prisoners_females</v>
      </c>
      <c r="C55" t="s">
        <v>53</v>
      </c>
      <c r="D55" s="3"/>
      <c r="E55" s="3"/>
      <c r="F55" s="4" t="s">
        <v>37</v>
      </c>
      <c r="G55" s="3">
        <v>4.1278429610933564E-3</v>
      </c>
      <c r="H55" s="3">
        <v>4.0315372734496709E-3</v>
      </c>
      <c r="I55" s="3">
        <v>3.9414907660370322E-3</v>
      </c>
      <c r="J55" s="3">
        <v>3.8372271317035568E-3</v>
      </c>
      <c r="K55" s="3">
        <v>3.7164763503766901E-3</v>
      </c>
      <c r="L55" s="3">
        <v>3.9516601918222231E-3</v>
      </c>
      <c r="M55" s="3">
        <v>3.4137338578881919E-3</v>
      </c>
      <c r="N55" s="3">
        <v>3.2817303650556941E-3</v>
      </c>
      <c r="O55" s="3">
        <v>3.1933022060158119E-3</v>
      </c>
      <c r="P55" s="3">
        <v>3.1324956177505199E-3</v>
      </c>
      <c r="Q55" s="3">
        <v>3.0912278913577652E-3</v>
      </c>
      <c r="R55" s="3">
        <v>3.0156973011439018E-3</v>
      </c>
      <c r="S55" s="3">
        <v>2.9996567134647988E-3</v>
      </c>
      <c r="T55" s="3">
        <v>2.9851268107494648E-3</v>
      </c>
      <c r="U55" s="3">
        <v>2.9690529676818529E-3</v>
      </c>
      <c r="V55" s="3">
        <v>2.9586513604700441E-3</v>
      </c>
      <c r="W55" s="3">
        <v>2.9349580237210378E-3</v>
      </c>
      <c r="X55" s="3">
        <v>2.909127444861279E-3</v>
      </c>
      <c r="Y55" s="3">
        <v>2.8860151030315391E-3</v>
      </c>
      <c r="Z55" s="3">
        <v>2.8611039202439568E-3</v>
      </c>
      <c r="AA55" s="3">
        <v>3.1411623139497189E-3</v>
      </c>
      <c r="AB55" s="3">
        <v>3.346419750606022E-3</v>
      </c>
      <c r="AC55" s="3">
        <v>2.769645192925337E-3</v>
      </c>
      <c r="AD55" s="3">
        <v>2.746429194641172E-3</v>
      </c>
      <c r="AE55" s="3">
        <v>1.5633267441397371E-3</v>
      </c>
      <c r="AF55" s="3">
        <v>1.5756678221564031E-3</v>
      </c>
      <c r="AG55" s="3">
        <v>1.611005762161694E-3</v>
      </c>
      <c r="AH55" s="3">
        <v>1.641454423916481E-3</v>
      </c>
      <c r="AI55" s="3">
        <v>1.653122895575261E-3</v>
      </c>
      <c r="AJ55" s="3">
        <v>1.645055642218994E-3</v>
      </c>
      <c r="AK55" s="3">
        <v>1.639703220221031E-3</v>
      </c>
      <c r="AL55" s="3">
        <v>1.632211705310533E-3</v>
      </c>
      <c r="AM55" s="3">
        <v>1.6313346162562131E-3</v>
      </c>
      <c r="AN55" s="3">
        <v>1.6239307321624741E-3</v>
      </c>
      <c r="AO55" s="3">
        <v>1.6169903033326129E-3</v>
      </c>
      <c r="AP55" s="3">
        <v>1.6055140157034339E-3</v>
      </c>
      <c r="AQ55" s="3">
        <v>1.5902815783660131E-3</v>
      </c>
      <c r="AR55" s="3">
        <v>1.58645640914336E-3</v>
      </c>
      <c r="AS55" s="3">
        <v>1.581499074225129E-3</v>
      </c>
      <c r="AT55" s="3">
        <v>1.5809206198362669E-3</v>
      </c>
      <c r="AU55" s="3">
        <v>1.5807511159195891E-3</v>
      </c>
      <c r="AV55" s="3">
        <v>1.5799961032220461E-3</v>
      </c>
      <c r="AW55" s="3">
        <v>1.58630755645681E-3</v>
      </c>
      <c r="AX55" s="3">
        <v>1.5939586024978471E-3</v>
      </c>
      <c r="AY55" s="3">
        <v>1.606976328725813E-3</v>
      </c>
      <c r="AZ55" s="3">
        <v>1.611199177673061E-3</v>
      </c>
      <c r="BA55" s="3">
        <v>1.617485761103696E-3</v>
      </c>
      <c r="BB55" s="3">
        <v>1.636350209564499E-3</v>
      </c>
      <c r="BC55" s="3">
        <v>1.6478668000434759E-3</v>
      </c>
      <c r="BD55" s="3">
        <v>1.6563439100438779E-3</v>
      </c>
      <c r="BE55" s="3">
        <v>1.659861649428781E-3</v>
      </c>
    </row>
  </sheetData>
  <conditionalFormatting sqref="E16:E27">
    <cfRule type="expression" dxfId="913" priority="1">
      <formula>COUNTIF(G16:BE16,"&lt;&gt;" &amp; "")&gt;0</formula>
    </cfRule>
    <cfRule type="expression" dxfId="912" priority="2">
      <formula>AND(COUNTIF(G16:BE16,"&lt;&gt;" &amp; "")&gt;0,NOT(ISBLANK(E16)))</formula>
    </cfRule>
  </conditionalFormatting>
  <conditionalFormatting sqref="E30:E41">
    <cfRule type="expression" dxfId="911" priority="25">
      <formula>COUNTIF(G30:BE30,"&lt;&gt;" &amp; "")&gt;0</formula>
    </cfRule>
    <cfRule type="expression" dxfId="910" priority="26">
      <formula>AND(COUNTIF(G30:BE30,"&lt;&gt;" &amp; "")&gt;0,NOT(ISBLANK(E30)))</formula>
    </cfRule>
  </conditionalFormatting>
  <conditionalFormatting sqref="E44:E55">
    <cfRule type="expression" dxfId="909" priority="49">
      <formula>COUNTIF(G44:BE44,"&lt;&gt;" &amp; "")&gt;0</formula>
    </cfRule>
    <cfRule type="expression" dxfId="908" priority="50">
      <formula>AND(COUNTIF(G44:BE44,"&lt;&gt;" &amp; "")&gt;0,NOT(ISBLANK(E44)))</formula>
    </cfRule>
  </conditionalFormatting>
  <dataValidations count="3">
    <dataValidation type="list" allowBlank="1" showInputMessage="1" showErrorMessage="1" sqref="C2:C13" xr:uid="{00000000-0002-0000-0200-000000000000}">
      <formula1>"Number"</formula1>
    </dataValidation>
    <dataValidation type="list" allowBlank="1" showInputMessage="1" showErrorMessage="1" sqref="C16:C27" xr:uid="{00000000-0002-0000-0200-00000C000000}">
      <formula1>"Number (per year)"</formula1>
    </dataValidation>
    <dataValidation type="list" allowBlank="1" showInputMessage="1" showErrorMessage="1" sqref="C44:C55 C30:C41" xr:uid="{00000000-0002-0000-0200-000018000000}">
      <formula1>"Rate (per year)"</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08080"/>
  </sheetPr>
  <dimension ref="A1:BE27"/>
  <sheetViews>
    <sheetView tabSelected="1" topLeftCell="E1" workbookViewId="0">
      <selection activeCell="W32" sqref="W32"/>
    </sheetView>
  </sheetViews>
  <sheetFormatPr defaultRowHeight="15" x14ac:dyDescent="0.25"/>
  <cols>
    <col min="1" max="1" width="45.7109375" customWidth="1"/>
    <col min="2" max="2" width="12.7109375" customWidth="1"/>
    <col min="3" max="3" width="25.85546875" customWidth="1"/>
    <col min="4" max="4" width="13.85546875" customWidth="1"/>
    <col min="5" max="5" width="10.5703125" customWidth="1"/>
    <col min="6" max="6" width="3.85546875" customWidth="1"/>
    <col min="7" max="57" width="9.42578125" customWidth="1"/>
  </cols>
  <sheetData>
    <row r="1" spans="1:57" x14ac:dyDescent="0.25">
      <c r="A1" s="1" t="s">
        <v>55</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C2" t="s">
        <v>56</v>
      </c>
      <c r="D2" s="3"/>
      <c r="E2" s="3">
        <v>0.1</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C3" t="s">
        <v>56</v>
      </c>
      <c r="D3" s="3"/>
      <c r="E3" s="3">
        <v>0.1</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C4" t="s">
        <v>56</v>
      </c>
      <c r="D4" s="3"/>
      <c r="E4" s="3">
        <v>0</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C5" t="s">
        <v>56</v>
      </c>
      <c r="D5" s="3"/>
      <c r="E5" s="3">
        <v>0</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C6" t="s">
        <v>56</v>
      </c>
      <c r="D6" s="3"/>
      <c r="E6" s="3">
        <v>0</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C7" t="s">
        <v>56</v>
      </c>
      <c r="D7" s="3"/>
      <c r="E7" s="3">
        <v>0</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C8" t="s">
        <v>56</v>
      </c>
      <c r="D8" s="3"/>
      <c r="E8" s="3">
        <v>0</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C9" t="s">
        <v>56</v>
      </c>
      <c r="D9" s="3"/>
      <c r="E9" s="3">
        <v>0</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C10" t="s">
        <v>56</v>
      </c>
      <c r="D10" s="3"/>
      <c r="E10" s="3">
        <v>0</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C11" t="s">
        <v>56</v>
      </c>
      <c r="D11" s="3"/>
      <c r="E11" s="3">
        <v>0</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C12" t="s">
        <v>56</v>
      </c>
      <c r="D12" s="3"/>
      <c r="E12" s="3">
        <v>0.1</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C13" t="s">
        <v>56</v>
      </c>
      <c r="D13" s="3"/>
      <c r="E13" s="3">
        <v>0.1</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57</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C16" t="s">
        <v>58</v>
      </c>
      <c r="D16" s="3"/>
      <c r="E16" s="3">
        <v>0</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C17" t="s">
        <v>58</v>
      </c>
      <c r="D17" s="3"/>
      <c r="E17" s="3">
        <v>0</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C18" t="s">
        <v>58</v>
      </c>
      <c r="D18" s="3"/>
      <c r="E18" s="3">
        <v>0</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C19" t="s">
        <v>58</v>
      </c>
      <c r="D19" s="3"/>
      <c r="E19" s="3">
        <v>0</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C20" t="s">
        <v>58</v>
      </c>
      <c r="D20" s="3"/>
      <c r="E20" s="3">
        <v>0</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C21" t="s">
        <v>58</v>
      </c>
      <c r="D21" s="3"/>
      <c r="E21" s="3">
        <v>0</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C22" t="s">
        <v>58</v>
      </c>
      <c r="D22" s="3"/>
      <c r="E22" s="3"/>
      <c r="F22" s="4" t="s">
        <v>37</v>
      </c>
      <c r="G22" s="3"/>
      <c r="H22" s="3"/>
      <c r="I22" s="3"/>
      <c r="J22" s="3"/>
      <c r="K22" s="3"/>
      <c r="L22" s="3"/>
      <c r="M22" s="3"/>
      <c r="N22" s="3"/>
      <c r="O22" s="3"/>
      <c r="P22" s="3"/>
      <c r="Q22" s="3"/>
      <c r="R22" s="3"/>
      <c r="S22" s="3"/>
      <c r="T22" s="3"/>
      <c r="U22" s="3"/>
      <c r="V22" s="3">
        <v>1E-3</v>
      </c>
      <c r="W22" s="3">
        <v>1E-3</v>
      </c>
      <c r="X22" s="3">
        <v>1E-3</v>
      </c>
      <c r="Y22" s="3">
        <v>5.0000000000000001E-4</v>
      </c>
      <c r="Z22" s="3">
        <v>5.0000000000000001E-4</v>
      </c>
      <c r="AA22" s="3">
        <v>1.8000000000000001E-4</v>
      </c>
      <c r="AB22" s="3">
        <v>1.8000000000000001E-4</v>
      </c>
      <c r="AC22" s="3">
        <v>1.8000000000000001E-4</v>
      </c>
      <c r="AD22" s="3">
        <v>1.8000000000000001E-4</v>
      </c>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C23" t="s">
        <v>58</v>
      </c>
      <c r="D23" s="3"/>
      <c r="E23" s="3"/>
      <c r="F23" s="4" t="s">
        <v>37</v>
      </c>
      <c r="G23" s="3"/>
      <c r="H23" s="3"/>
      <c r="I23" s="3"/>
      <c r="J23" s="3"/>
      <c r="K23" s="3"/>
      <c r="L23" s="3"/>
      <c r="M23" s="3"/>
      <c r="N23" s="3"/>
      <c r="O23" s="3"/>
      <c r="P23" s="3"/>
      <c r="Q23" s="3"/>
      <c r="R23" s="3"/>
      <c r="S23" s="3"/>
      <c r="T23" s="3"/>
      <c r="U23" s="3"/>
      <c r="V23" s="3">
        <v>1E-3</v>
      </c>
      <c r="W23" s="3">
        <v>1E-3</v>
      </c>
      <c r="X23" s="3">
        <v>1E-3</v>
      </c>
      <c r="Y23" s="3">
        <v>5.0000000000000001E-4</v>
      </c>
      <c r="Z23" s="3">
        <v>5.0000000000000001E-4</v>
      </c>
      <c r="AA23" s="3">
        <v>1.8000000000000001E-4</v>
      </c>
      <c r="AB23" s="3">
        <v>1.8000000000000001E-4</v>
      </c>
      <c r="AC23" s="3">
        <v>1.8000000000000001E-4</v>
      </c>
      <c r="AD23" s="3">
        <v>1.8000000000000001E-4</v>
      </c>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C24" t="s">
        <v>58</v>
      </c>
      <c r="D24" s="3"/>
      <c r="E24" s="3"/>
      <c r="F24" s="4" t="s">
        <v>37</v>
      </c>
      <c r="G24" s="3"/>
      <c r="H24" s="3"/>
      <c r="I24" s="3"/>
      <c r="J24" s="3"/>
      <c r="K24" s="3"/>
      <c r="L24" s="3"/>
      <c r="M24" s="3"/>
      <c r="N24" s="3"/>
      <c r="O24" s="3"/>
      <c r="P24" s="3"/>
      <c r="Q24" s="3"/>
      <c r="R24" s="3"/>
      <c r="S24" s="3"/>
      <c r="T24" s="3"/>
      <c r="U24" s="3"/>
      <c r="V24" s="3">
        <v>1E-3</v>
      </c>
      <c r="W24" s="3">
        <v>1E-3</v>
      </c>
      <c r="X24" s="3">
        <v>1E-3</v>
      </c>
      <c r="Y24" s="3">
        <v>5.0000000000000001E-4</v>
      </c>
      <c r="Z24" s="3">
        <v>5.0000000000000001E-4</v>
      </c>
      <c r="AA24" s="3">
        <v>1.8000000000000001E-4</v>
      </c>
      <c r="AB24" s="3">
        <v>1.8000000000000001E-4</v>
      </c>
      <c r="AC24" s="3">
        <v>1.8000000000000001E-4</v>
      </c>
      <c r="AD24" s="3">
        <v>1.8000000000000001E-4</v>
      </c>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C25" t="s">
        <v>58</v>
      </c>
      <c r="D25" s="3"/>
      <c r="E25" s="3"/>
      <c r="F25" s="4" t="s">
        <v>37</v>
      </c>
      <c r="G25" s="3"/>
      <c r="H25" s="3"/>
      <c r="I25" s="3"/>
      <c r="J25" s="3"/>
      <c r="K25" s="3"/>
      <c r="L25" s="3"/>
      <c r="M25" s="3"/>
      <c r="N25" s="3"/>
      <c r="O25" s="3"/>
      <c r="P25" s="3"/>
      <c r="Q25" s="3"/>
      <c r="R25" s="3"/>
      <c r="S25" s="3"/>
      <c r="T25" s="3"/>
      <c r="U25" s="3"/>
      <c r="V25" s="3">
        <v>1E-3</v>
      </c>
      <c r="W25" s="3">
        <v>1E-3</v>
      </c>
      <c r="X25" s="3">
        <v>1E-3</v>
      </c>
      <c r="Y25" s="3">
        <v>5.0000000000000001E-4</v>
      </c>
      <c r="Z25" s="3">
        <v>5.0000000000000001E-4</v>
      </c>
      <c r="AA25" s="3">
        <v>1.8000000000000001E-4</v>
      </c>
      <c r="AB25" s="3">
        <v>1.8000000000000001E-4</v>
      </c>
      <c r="AC25" s="3">
        <v>1.8000000000000001E-4</v>
      </c>
      <c r="AD25" s="3">
        <v>1.8000000000000001E-4</v>
      </c>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C26" t="s">
        <v>58</v>
      </c>
      <c r="D26" s="3"/>
      <c r="E26" s="3">
        <v>0</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C27" t="s">
        <v>58</v>
      </c>
      <c r="D27" s="3"/>
      <c r="E27" s="3">
        <v>0</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sheetData>
  <conditionalFormatting sqref="E2:E13">
    <cfRule type="expression" dxfId="907" priority="1">
      <formula>COUNTIF(G2:BE2,"&lt;&gt;" &amp; "")&gt;0</formula>
    </cfRule>
    <cfRule type="expression" dxfId="906" priority="2">
      <formula>AND(COUNTIF(G2:BE2,"&lt;&gt;" &amp; "")&gt;0,NOT(ISBLANK(E2)))</formula>
    </cfRule>
  </conditionalFormatting>
  <conditionalFormatting sqref="E16:E27">
    <cfRule type="expression" dxfId="905" priority="25">
      <formula>COUNTIF(G16:BE16,"&lt;&gt;" &amp; "")&gt;0</formula>
    </cfRule>
    <cfRule type="expression" dxfId="904" priority="26">
      <formula>AND(COUNTIF(G16:BE16,"&lt;&gt;" &amp; "")&gt;0,NOT(ISBLANK(E16)))</formula>
    </cfRule>
  </conditionalFormatting>
  <dataValidations count="2">
    <dataValidation type="list" allowBlank="1" showInputMessage="1" showErrorMessage="1" sqref="C2:C13" xr:uid="{00000000-0002-0000-0300-000000000000}">
      <formula1>"N.A."</formula1>
    </dataValidation>
    <dataValidation type="list" allowBlank="1" showInputMessage="1" showErrorMessage="1" sqref="C16:C27" xr:uid="{00000000-0002-0000-0300-00000C000000}">
      <formula1>"Probability (per year)"</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BE251"/>
  <sheetViews>
    <sheetView workbookViewId="0"/>
  </sheetViews>
  <sheetFormatPr defaultRowHeight="15" x14ac:dyDescent="0.25"/>
  <cols>
    <col min="1" max="1" width="67.7109375" customWidth="1"/>
    <col min="2" max="2" width="30.28515625" customWidth="1"/>
    <col min="3" max="3" width="19.28515625" customWidth="1"/>
    <col min="4" max="4" width="13.85546875" customWidth="1"/>
    <col min="5" max="5" width="10.5703125" customWidth="1"/>
    <col min="6" max="6" width="3.85546875" customWidth="1"/>
    <col min="7" max="57" width="9.42578125" customWidth="1"/>
  </cols>
  <sheetData>
    <row r="1" spans="1:57" x14ac:dyDescent="0.25">
      <c r="A1" s="1" t="s">
        <v>59</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C2" t="s">
        <v>48</v>
      </c>
      <c r="D2" s="3">
        <v>2.8061224489795918E-2</v>
      </c>
      <c r="E2" s="3">
        <v>0.19889502762430941</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C3" t="s">
        <v>48</v>
      </c>
      <c r="D3" s="3">
        <v>3.3163265306122451E-2</v>
      </c>
      <c r="E3" s="3">
        <v>0.42105263157894729</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C4" t="s">
        <v>48</v>
      </c>
      <c r="D4" s="3">
        <v>2.8061224489795918E-2</v>
      </c>
      <c r="E4" s="3">
        <v>0.19889502762430941</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C5" t="s">
        <v>48</v>
      </c>
      <c r="D5" s="3">
        <v>3.3163265306122451E-2</v>
      </c>
      <c r="E5" s="3">
        <v>0.42105263157894729</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C6" t="s">
        <v>48</v>
      </c>
      <c r="D6" s="3">
        <v>2.8061224489795918E-2</v>
      </c>
      <c r="E6" s="3">
        <v>0.19889502762430941</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C7" t="s">
        <v>48</v>
      </c>
      <c r="D7" s="3">
        <v>3.3163265306122451E-2</v>
      </c>
      <c r="E7" s="3">
        <v>0.42105263157894729</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C8" t="s">
        <v>48</v>
      </c>
      <c r="D8" s="3">
        <v>2.8061224489795918E-2</v>
      </c>
      <c r="E8" s="3">
        <v>0.19889502762430941</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C9" t="s">
        <v>48</v>
      </c>
      <c r="D9" s="3">
        <v>3.3163265306122451E-2</v>
      </c>
      <c r="E9" s="3">
        <v>0.42105263157894729</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C10" t="s">
        <v>48</v>
      </c>
      <c r="D10" s="3">
        <v>2.8061224489795918E-2</v>
      </c>
      <c r="E10" s="3">
        <v>0.19889502762430941</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C11" t="s">
        <v>48</v>
      </c>
      <c r="D11" s="3">
        <v>3.3163265306122451E-2</v>
      </c>
      <c r="E11" s="3">
        <v>0.42105263157894729</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C12" t="s">
        <v>48</v>
      </c>
      <c r="D12" s="3">
        <v>2.8061224489795918E-2</v>
      </c>
      <c r="E12" s="3">
        <v>0.19889502762430941</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C13" t="s">
        <v>48</v>
      </c>
      <c r="D13" s="3">
        <v>3.3163265306122451E-2</v>
      </c>
      <c r="E13" s="3">
        <v>0.42105263157894729</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60</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B16" t="s">
        <v>61</v>
      </c>
      <c r="C16" t="s">
        <v>62</v>
      </c>
      <c r="D16" s="3"/>
      <c r="E16" s="3">
        <v>1</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B17" t="s">
        <v>61</v>
      </c>
      <c r="C17" t="s">
        <v>62</v>
      </c>
      <c r="D17" s="3"/>
      <c r="E17" s="3">
        <v>1</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B18" t="s">
        <v>61</v>
      </c>
      <c r="C18" t="s">
        <v>62</v>
      </c>
      <c r="D18" s="3"/>
      <c r="E18" s="3">
        <v>1</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B19" t="s">
        <v>61</v>
      </c>
      <c r="C19" t="s">
        <v>62</v>
      </c>
      <c r="D19" s="3"/>
      <c r="E19" s="3">
        <v>1</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B20" t="s">
        <v>61</v>
      </c>
      <c r="C20" t="s">
        <v>62</v>
      </c>
      <c r="D20" s="3"/>
      <c r="E20" s="3">
        <v>1</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B21" t="s">
        <v>61</v>
      </c>
      <c r="C21" t="s">
        <v>62</v>
      </c>
      <c r="D21" s="3"/>
      <c r="E21" s="3">
        <v>1</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B22" t="s">
        <v>61</v>
      </c>
      <c r="C22" t="s">
        <v>62</v>
      </c>
      <c r="D22" s="3"/>
      <c r="E22" s="3">
        <v>1</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B23" t="s">
        <v>61</v>
      </c>
      <c r="C23" t="s">
        <v>62</v>
      </c>
      <c r="D23" s="3"/>
      <c r="E23" s="3">
        <v>1</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B24" t="s">
        <v>61</v>
      </c>
      <c r="C24" t="s">
        <v>62</v>
      </c>
      <c r="D24" s="3"/>
      <c r="E24" s="3">
        <v>1</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B25" t="s">
        <v>61</v>
      </c>
      <c r="C25" t="s">
        <v>62</v>
      </c>
      <c r="D25" s="3"/>
      <c r="E25" s="3">
        <v>1</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B26" t="s">
        <v>61</v>
      </c>
      <c r="C26" t="s">
        <v>62</v>
      </c>
      <c r="D26" s="3"/>
      <c r="E26" s="3">
        <v>1</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B27" t="s">
        <v>61</v>
      </c>
      <c r="C27" t="s">
        <v>62</v>
      </c>
      <c r="D27" s="3"/>
      <c r="E27" s="3">
        <v>1</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63</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53</v>
      </c>
      <c r="D30" s="3">
        <v>9.438775510204081E-2</v>
      </c>
      <c r="E30" s="3">
        <v>0.39</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53</v>
      </c>
      <c r="D31" s="3">
        <v>9.438775510204081E-2</v>
      </c>
      <c r="E31" s="3">
        <v>0.39</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53</v>
      </c>
      <c r="D32" s="3">
        <v>9.438775510204081E-2</v>
      </c>
      <c r="E32" s="3">
        <v>0.39</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C33" t="s">
        <v>53</v>
      </c>
      <c r="D33" s="3">
        <v>9.438775510204081E-2</v>
      </c>
      <c r="E33" s="3">
        <v>0.39</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C34" t="s">
        <v>53</v>
      </c>
      <c r="D34" s="3">
        <v>9.438775510204081E-2</v>
      </c>
      <c r="E34" s="3">
        <v>0.39</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C35" t="s">
        <v>53</v>
      </c>
      <c r="D35" s="3">
        <v>9.438775510204081E-2</v>
      </c>
      <c r="E35" s="3">
        <v>0.39</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C36" t="s">
        <v>53</v>
      </c>
      <c r="D36" s="3">
        <v>9.438775510204081E-2</v>
      </c>
      <c r="E36" s="3">
        <v>0.39</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C37" t="s">
        <v>53</v>
      </c>
      <c r="D37" s="3">
        <v>9.438775510204081E-2</v>
      </c>
      <c r="E37" s="3">
        <v>0.39</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C38" t="s">
        <v>53</v>
      </c>
      <c r="D38" s="3">
        <v>9.438775510204081E-2</v>
      </c>
      <c r="E38" s="3">
        <v>0.39</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C39" t="s">
        <v>53</v>
      </c>
      <c r="D39" s="3">
        <v>9.438775510204081E-2</v>
      </c>
      <c r="E39" s="3">
        <v>0.39</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C40" t="s">
        <v>53</v>
      </c>
      <c r="D40" s="3">
        <v>9.438775510204081E-2</v>
      </c>
      <c r="E40" s="3">
        <v>0.39</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53</v>
      </c>
      <c r="D41" s="3">
        <v>9.438775510204081E-2</v>
      </c>
      <c r="E41" s="3">
        <v>0.39</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64</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C44" t="s">
        <v>53</v>
      </c>
      <c r="D44" s="3">
        <v>3.061224489795919E-2</v>
      </c>
      <c r="E44" s="3">
        <v>0.13</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C45" t="s">
        <v>53</v>
      </c>
      <c r="D45" s="3">
        <v>3.061224489795919E-2</v>
      </c>
      <c r="E45" s="3">
        <v>0.13</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C46" t="s">
        <v>53</v>
      </c>
      <c r="D46" s="3">
        <v>3.061224489795919E-2</v>
      </c>
      <c r="E46" s="3">
        <v>0.13</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C47" t="s">
        <v>53</v>
      </c>
      <c r="D47" s="3">
        <v>3.061224489795919E-2</v>
      </c>
      <c r="E47" s="3">
        <v>0.13</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C48" t="s">
        <v>53</v>
      </c>
      <c r="D48" s="3">
        <v>3.061224489795919E-2</v>
      </c>
      <c r="E48" s="3">
        <v>0.13</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C49" t="s">
        <v>53</v>
      </c>
      <c r="D49" s="3">
        <v>3.061224489795919E-2</v>
      </c>
      <c r="E49" s="3">
        <v>0.13</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C50" t="s">
        <v>53</v>
      </c>
      <c r="D50" s="3">
        <v>3.061224489795919E-2</v>
      </c>
      <c r="E50" s="3">
        <v>0.13</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C51" t="s">
        <v>53</v>
      </c>
      <c r="D51" s="3">
        <v>3.061224489795919E-2</v>
      </c>
      <c r="E51" s="3">
        <v>0.13</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C52" t="s">
        <v>53</v>
      </c>
      <c r="D52" s="3">
        <v>3.061224489795919E-2</v>
      </c>
      <c r="E52" s="3">
        <v>0.13</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C53" t="s">
        <v>53</v>
      </c>
      <c r="D53" s="3">
        <v>3.061224489795919E-2</v>
      </c>
      <c r="E53" s="3">
        <v>0.13</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C54" t="s">
        <v>53</v>
      </c>
      <c r="D54" s="3">
        <v>3.061224489795919E-2</v>
      </c>
      <c r="E54" s="3">
        <v>0.13</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C55" t="s">
        <v>53</v>
      </c>
      <c r="D55" s="3">
        <v>3.061224489795919E-2</v>
      </c>
      <c r="E55" s="3">
        <v>0.13</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65</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C58" t="s">
        <v>53</v>
      </c>
      <c r="D58" s="3">
        <v>1.530612244897959E-2</v>
      </c>
      <c r="E58" s="3">
        <v>0.05</v>
      </c>
      <c r="F58" s="4" t="s">
        <v>37</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C59" t="s">
        <v>53</v>
      </c>
      <c r="D59" s="3">
        <v>1.530612244897959E-2</v>
      </c>
      <c r="E59" s="3">
        <v>0.05</v>
      </c>
      <c r="F59" s="4" t="s">
        <v>37</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C60" t="s">
        <v>53</v>
      </c>
      <c r="D60" s="3">
        <v>1.530612244897959E-2</v>
      </c>
      <c r="E60" s="3">
        <v>0.05</v>
      </c>
      <c r="F60" s="4" t="s">
        <v>37</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C61" t="s">
        <v>53</v>
      </c>
      <c r="D61" s="3">
        <v>1.530612244897959E-2</v>
      </c>
      <c r="E61" s="3">
        <v>0.05</v>
      </c>
      <c r="F61" s="4" t="s">
        <v>37</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C62" t="s">
        <v>53</v>
      </c>
      <c r="D62" s="3">
        <v>1.530612244897959E-2</v>
      </c>
      <c r="E62" s="3">
        <v>0.05</v>
      </c>
      <c r="F62" s="4" t="s">
        <v>37</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C63" t="s">
        <v>53</v>
      </c>
      <c r="D63" s="3">
        <v>1.530612244897959E-2</v>
      </c>
      <c r="E63" s="3">
        <v>0.05</v>
      </c>
      <c r="F63" s="4" t="s">
        <v>37</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C64" t="s">
        <v>53</v>
      </c>
      <c r="D64" s="3">
        <v>1.530612244897959E-2</v>
      </c>
      <c r="E64" s="3">
        <v>0.05</v>
      </c>
      <c r="F64" s="4" t="s">
        <v>37</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C65" t="s">
        <v>53</v>
      </c>
      <c r="D65" s="3">
        <v>1.530612244897959E-2</v>
      </c>
      <c r="E65" s="3">
        <v>0.05</v>
      </c>
      <c r="F65" s="4" t="s">
        <v>37</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C66" t="s">
        <v>53</v>
      </c>
      <c r="D66" s="3">
        <v>1.530612244897959E-2</v>
      </c>
      <c r="E66" s="3">
        <v>0.05</v>
      </c>
      <c r="F66" s="4" t="s">
        <v>37</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C67" t="s">
        <v>53</v>
      </c>
      <c r="D67" s="3">
        <v>1.530612244897959E-2</v>
      </c>
      <c r="E67" s="3">
        <v>0.05</v>
      </c>
      <c r="F67" s="4" t="s">
        <v>37</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C68" t="s">
        <v>53</v>
      </c>
      <c r="D68" s="3">
        <v>1.530612244897959E-2</v>
      </c>
      <c r="E68" s="3">
        <v>0.05</v>
      </c>
      <c r="F68" s="4" t="s">
        <v>37</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C69" t="s">
        <v>53</v>
      </c>
      <c r="D69" s="3">
        <v>1.530612244897959E-2</v>
      </c>
      <c r="E69" s="3">
        <v>0.05</v>
      </c>
      <c r="F69" s="4" t="s">
        <v>37</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66</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C72" t="s">
        <v>53</v>
      </c>
      <c r="D72" s="3">
        <v>5.1020408163265307E-2</v>
      </c>
      <c r="E72" s="3">
        <v>0.12</v>
      </c>
      <c r="F72" s="4" t="s">
        <v>37</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C73" t="s">
        <v>53</v>
      </c>
      <c r="D73" s="3">
        <v>5.1020408163265307E-2</v>
      </c>
      <c r="E73" s="3">
        <v>0.12</v>
      </c>
      <c r="F73" s="4" t="s">
        <v>37</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C74" t="s">
        <v>53</v>
      </c>
      <c r="D74" s="3">
        <v>5.1020408163265307E-2</v>
      </c>
      <c r="E74" s="3">
        <v>0.12</v>
      </c>
      <c r="F74" s="4" t="s">
        <v>37</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C75" t="s">
        <v>53</v>
      </c>
      <c r="D75" s="3">
        <v>5.1020408163265307E-2</v>
      </c>
      <c r="E75" s="3">
        <v>0.12</v>
      </c>
      <c r="F75" s="4" t="s">
        <v>37</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C76" t="s">
        <v>53</v>
      </c>
      <c r="D76" s="3">
        <v>5.1020408163265307E-2</v>
      </c>
      <c r="E76" s="3">
        <v>0.12</v>
      </c>
      <c r="F76" s="4" t="s">
        <v>37</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C77" t="s">
        <v>53</v>
      </c>
      <c r="D77" s="3">
        <v>5.1020408163265307E-2</v>
      </c>
      <c r="E77" s="3">
        <v>0.12</v>
      </c>
      <c r="F77" s="4" t="s">
        <v>37</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C78" t="s">
        <v>53</v>
      </c>
      <c r="D78" s="3">
        <v>5.1020408163265307E-2</v>
      </c>
      <c r="E78" s="3">
        <v>0.12</v>
      </c>
      <c r="F78" s="4" t="s">
        <v>37</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C79" t="s">
        <v>53</v>
      </c>
      <c r="D79" s="3">
        <v>5.1020408163265307E-2</v>
      </c>
      <c r="E79" s="3">
        <v>0.12</v>
      </c>
      <c r="F79" s="4" t="s">
        <v>37</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C80" t="s">
        <v>53</v>
      </c>
      <c r="D80" s="3">
        <v>5.1020408163265307E-2</v>
      </c>
      <c r="E80" s="3">
        <v>0.12</v>
      </c>
      <c r="F80" s="4" t="s">
        <v>37</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C81" t="s">
        <v>53</v>
      </c>
      <c r="D81" s="3">
        <v>5.1020408163265307E-2</v>
      </c>
      <c r="E81" s="3">
        <v>0.12</v>
      </c>
      <c r="F81" s="4" t="s">
        <v>37</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C82" t="s">
        <v>53</v>
      </c>
      <c r="D82" s="3">
        <v>5.1020408163265307E-2</v>
      </c>
      <c r="E82" s="3">
        <v>0.12</v>
      </c>
      <c r="F82" s="4" t="s">
        <v>37</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C83" t="s">
        <v>53</v>
      </c>
      <c r="D83" s="3">
        <v>5.1020408163265307E-2</v>
      </c>
      <c r="E83" s="3">
        <v>0.12</v>
      </c>
      <c r="F83" s="4" t="s">
        <v>37</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row r="85" spans="1:57" x14ac:dyDescent="0.25">
      <c r="A85" s="1" t="s">
        <v>67</v>
      </c>
      <c r="B85" s="1" t="s">
        <v>29</v>
      </c>
      <c r="C85" s="1" t="s">
        <v>30</v>
      </c>
      <c r="D85" s="1" t="s">
        <v>31</v>
      </c>
      <c r="E85" s="1" t="s">
        <v>36</v>
      </c>
      <c r="F85" s="1"/>
      <c r="G85" s="1">
        <v>2000</v>
      </c>
      <c r="H85" s="1">
        <v>2001</v>
      </c>
      <c r="I85" s="1">
        <v>2002</v>
      </c>
      <c r="J85" s="1">
        <v>2003</v>
      </c>
      <c r="K85" s="1">
        <v>2004</v>
      </c>
      <c r="L85" s="1">
        <v>2005</v>
      </c>
      <c r="M85" s="1">
        <v>2006</v>
      </c>
      <c r="N85" s="1">
        <v>2007</v>
      </c>
      <c r="O85" s="1">
        <v>2008</v>
      </c>
      <c r="P85" s="1">
        <v>2009</v>
      </c>
      <c r="Q85" s="1">
        <v>2010</v>
      </c>
      <c r="R85" s="1">
        <v>2011</v>
      </c>
      <c r="S85" s="1">
        <v>2012</v>
      </c>
      <c r="T85" s="1">
        <v>2013</v>
      </c>
      <c r="U85" s="1">
        <v>2014</v>
      </c>
      <c r="V85" s="1">
        <v>2015</v>
      </c>
      <c r="W85" s="1">
        <v>2016</v>
      </c>
      <c r="X85" s="1">
        <v>2017</v>
      </c>
      <c r="Y85" s="1">
        <v>2018</v>
      </c>
      <c r="Z85" s="1">
        <v>2019</v>
      </c>
      <c r="AA85" s="1">
        <v>2020</v>
      </c>
      <c r="AB85" s="1">
        <v>2021</v>
      </c>
      <c r="AC85" s="1">
        <v>2022</v>
      </c>
      <c r="AD85" s="1">
        <v>2023</v>
      </c>
      <c r="AE85" s="1">
        <v>2024</v>
      </c>
      <c r="AF85" s="1">
        <v>2025</v>
      </c>
      <c r="AG85" s="1">
        <v>2026</v>
      </c>
      <c r="AH85" s="1">
        <v>2027</v>
      </c>
      <c r="AI85" s="1">
        <v>2028</v>
      </c>
      <c r="AJ85" s="1">
        <v>2029</v>
      </c>
      <c r="AK85" s="1">
        <v>2030</v>
      </c>
      <c r="AL85" s="1">
        <v>2031</v>
      </c>
      <c r="AM85" s="1">
        <v>2032</v>
      </c>
      <c r="AN85" s="1">
        <v>2033</v>
      </c>
      <c r="AO85" s="1">
        <v>2034</v>
      </c>
      <c r="AP85" s="1">
        <v>2035</v>
      </c>
      <c r="AQ85" s="1">
        <v>2036</v>
      </c>
      <c r="AR85" s="1">
        <v>2037</v>
      </c>
      <c r="AS85" s="1">
        <v>2038</v>
      </c>
      <c r="AT85" s="1">
        <v>2039</v>
      </c>
      <c r="AU85" s="1">
        <v>2040</v>
      </c>
      <c r="AV85" s="1">
        <v>2041</v>
      </c>
      <c r="AW85" s="1">
        <v>2042</v>
      </c>
      <c r="AX85" s="1">
        <v>2043</v>
      </c>
      <c r="AY85" s="1">
        <v>2044</v>
      </c>
      <c r="AZ85" s="1">
        <v>2045</v>
      </c>
      <c r="BA85" s="1">
        <v>2046</v>
      </c>
      <c r="BB85" s="1">
        <v>2047</v>
      </c>
      <c r="BC85" s="1">
        <v>2048</v>
      </c>
      <c r="BD85" s="1">
        <v>2049</v>
      </c>
      <c r="BE85" s="1">
        <v>2050</v>
      </c>
    </row>
    <row r="86" spans="1:57" x14ac:dyDescent="0.25">
      <c r="A86" s="1" t="str">
        <f>'Population Definitions'!$A$2</f>
        <v>PWID_males</v>
      </c>
      <c r="C86" t="s">
        <v>53</v>
      </c>
      <c r="D86" s="3">
        <v>3.5714285714285709E-3</v>
      </c>
      <c r="E86" s="3">
        <v>5.5E-2</v>
      </c>
      <c r="F86" s="4" t="s">
        <v>37</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row>
    <row r="87" spans="1:57" x14ac:dyDescent="0.25">
      <c r="A87" s="1" t="str">
        <f>'Population Definitions'!$A$3</f>
        <v>PWID_females</v>
      </c>
      <c r="C87" t="s">
        <v>53</v>
      </c>
      <c r="D87" s="3">
        <v>3.5714285714285709E-3</v>
      </c>
      <c r="E87" s="3">
        <v>5.5E-2</v>
      </c>
      <c r="F87" s="4" t="s">
        <v>37</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row>
    <row r="88" spans="1:57" x14ac:dyDescent="0.25">
      <c r="A88" s="1" t="str">
        <f>'Population Definitions'!$A$4</f>
        <v>0-9_males</v>
      </c>
      <c r="C88" t="s">
        <v>53</v>
      </c>
      <c r="D88" s="3">
        <v>3.5714285714285709E-3</v>
      </c>
      <c r="E88" s="3">
        <v>5.5E-2</v>
      </c>
      <c r="F88" s="4" t="s">
        <v>37</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row>
    <row r="89" spans="1:57" x14ac:dyDescent="0.25">
      <c r="A89" s="1" t="str">
        <f>'Population Definitions'!$A$5</f>
        <v>0-9_females</v>
      </c>
      <c r="C89" t="s">
        <v>53</v>
      </c>
      <c r="D89" s="3">
        <v>3.5714285714285709E-3</v>
      </c>
      <c r="E89" s="3">
        <v>5.5E-2</v>
      </c>
      <c r="F89" s="4" t="s">
        <v>37</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row>
    <row r="90" spans="1:57" x14ac:dyDescent="0.25">
      <c r="A90" s="1" t="str">
        <f>'Population Definitions'!$A$6</f>
        <v>10-17_males</v>
      </c>
      <c r="C90" t="s">
        <v>53</v>
      </c>
      <c r="D90" s="3">
        <v>3.5714285714285709E-3</v>
      </c>
      <c r="E90" s="3">
        <v>5.5E-2</v>
      </c>
      <c r="F90" s="4" t="s">
        <v>37</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row>
    <row r="91" spans="1:57" x14ac:dyDescent="0.25">
      <c r="A91" s="1" t="str">
        <f>'Population Definitions'!$A$7</f>
        <v>10-17_females</v>
      </c>
      <c r="C91" t="s">
        <v>53</v>
      </c>
      <c r="D91" s="3">
        <v>3.5714285714285709E-3</v>
      </c>
      <c r="E91" s="3">
        <v>5.5E-2</v>
      </c>
      <c r="F91" s="4" t="s">
        <v>37</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row>
    <row r="92" spans="1:57" x14ac:dyDescent="0.25">
      <c r="A92" s="1" t="str">
        <f>'Population Definitions'!$A$8</f>
        <v>18-64_males</v>
      </c>
      <c r="C92" t="s">
        <v>53</v>
      </c>
      <c r="D92" s="3">
        <v>3.5714285714285709E-3</v>
      </c>
      <c r="E92" s="3">
        <v>5.5E-2</v>
      </c>
      <c r="F92" s="4" t="s">
        <v>37</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row>
    <row r="93" spans="1:57" x14ac:dyDescent="0.25">
      <c r="A93" s="1" t="str">
        <f>'Population Definitions'!$A$9</f>
        <v>18-64_females</v>
      </c>
      <c r="C93" t="s">
        <v>53</v>
      </c>
      <c r="D93" s="3">
        <v>3.5714285714285709E-3</v>
      </c>
      <c r="E93" s="3">
        <v>5.5E-2</v>
      </c>
      <c r="F93" s="4" t="s">
        <v>37</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row>
    <row r="94" spans="1:57" x14ac:dyDescent="0.25">
      <c r="A94" s="1" t="str">
        <f>'Population Definitions'!$A$10</f>
        <v>65+_males</v>
      </c>
      <c r="C94" t="s">
        <v>53</v>
      </c>
      <c r="D94" s="3">
        <v>3.5714285714285709E-3</v>
      </c>
      <c r="E94" s="3">
        <v>5.5E-2</v>
      </c>
      <c r="F94" s="4" t="s">
        <v>37</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row>
    <row r="95" spans="1:57" x14ac:dyDescent="0.25">
      <c r="A95" s="1" t="str">
        <f>'Population Definitions'!$A$11</f>
        <v>65+_females</v>
      </c>
      <c r="C95" t="s">
        <v>53</v>
      </c>
      <c r="D95" s="3">
        <v>3.5714285714285709E-3</v>
      </c>
      <c r="E95" s="3">
        <v>5.5E-2</v>
      </c>
      <c r="F95" s="4" t="s">
        <v>37</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row>
    <row r="96" spans="1:57" x14ac:dyDescent="0.25">
      <c r="A96" s="1" t="str">
        <f>'Population Definitions'!$A$12</f>
        <v>Prisoners_males</v>
      </c>
      <c r="C96" t="s">
        <v>53</v>
      </c>
      <c r="D96" s="3">
        <v>3.5714285714285709E-3</v>
      </c>
      <c r="E96" s="3">
        <v>5.5E-2</v>
      </c>
      <c r="F96" s="4" t="s">
        <v>37</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row>
    <row r="97" spans="1:57" x14ac:dyDescent="0.25">
      <c r="A97" s="1" t="str">
        <f>'Population Definitions'!$A$13</f>
        <v>Prisoners_females</v>
      </c>
      <c r="C97" t="s">
        <v>53</v>
      </c>
      <c r="D97" s="3">
        <v>3.5714285714285709E-3</v>
      </c>
      <c r="E97" s="3">
        <v>5.5E-2</v>
      </c>
      <c r="F97" s="4" t="s">
        <v>37</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row>
    <row r="99" spans="1:57" x14ac:dyDescent="0.25">
      <c r="A99" s="1" t="s">
        <v>68</v>
      </c>
      <c r="B99" s="1" t="s">
        <v>29</v>
      </c>
      <c r="C99" s="1" t="s">
        <v>30</v>
      </c>
      <c r="D99" s="1" t="s">
        <v>31</v>
      </c>
      <c r="E99" s="1" t="s">
        <v>36</v>
      </c>
      <c r="F99" s="1"/>
      <c r="G99" s="1">
        <v>2000</v>
      </c>
      <c r="H99" s="1">
        <v>2001</v>
      </c>
      <c r="I99" s="1">
        <v>2002</v>
      </c>
      <c r="J99" s="1">
        <v>2003</v>
      </c>
      <c r="K99" s="1">
        <v>2004</v>
      </c>
      <c r="L99" s="1">
        <v>2005</v>
      </c>
      <c r="M99" s="1">
        <v>2006</v>
      </c>
      <c r="N99" s="1">
        <v>2007</v>
      </c>
      <c r="O99" s="1">
        <v>2008</v>
      </c>
      <c r="P99" s="1">
        <v>2009</v>
      </c>
      <c r="Q99" s="1">
        <v>2010</v>
      </c>
      <c r="R99" s="1">
        <v>2011</v>
      </c>
      <c r="S99" s="1">
        <v>2012</v>
      </c>
      <c r="T99" s="1">
        <v>2013</v>
      </c>
      <c r="U99" s="1">
        <v>2014</v>
      </c>
      <c r="V99" s="1">
        <v>2015</v>
      </c>
      <c r="W99" s="1">
        <v>2016</v>
      </c>
      <c r="X99" s="1">
        <v>2017</v>
      </c>
      <c r="Y99" s="1">
        <v>2018</v>
      </c>
      <c r="Z99" s="1">
        <v>2019</v>
      </c>
      <c r="AA99" s="1">
        <v>2020</v>
      </c>
      <c r="AB99" s="1">
        <v>2021</v>
      </c>
      <c r="AC99" s="1">
        <v>2022</v>
      </c>
      <c r="AD99" s="1">
        <v>2023</v>
      </c>
      <c r="AE99" s="1">
        <v>2024</v>
      </c>
      <c r="AF99" s="1">
        <v>2025</v>
      </c>
      <c r="AG99" s="1">
        <v>2026</v>
      </c>
      <c r="AH99" s="1">
        <v>2027</v>
      </c>
      <c r="AI99" s="1">
        <v>2028</v>
      </c>
      <c r="AJ99" s="1">
        <v>2029</v>
      </c>
      <c r="AK99" s="1">
        <v>2030</v>
      </c>
      <c r="AL99" s="1">
        <v>2031</v>
      </c>
      <c r="AM99" s="1">
        <v>2032</v>
      </c>
      <c r="AN99" s="1">
        <v>2033</v>
      </c>
      <c r="AO99" s="1">
        <v>2034</v>
      </c>
      <c r="AP99" s="1">
        <v>2035</v>
      </c>
      <c r="AQ99" s="1">
        <v>2036</v>
      </c>
      <c r="AR99" s="1">
        <v>2037</v>
      </c>
      <c r="AS99" s="1">
        <v>2038</v>
      </c>
      <c r="AT99" s="1">
        <v>2039</v>
      </c>
      <c r="AU99" s="1">
        <v>2040</v>
      </c>
      <c r="AV99" s="1">
        <v>2041</v>
      </c>
      <c r="AW99" s="1">
        <v>2042</v>
      </c>
      <c r="AX99" s="1">
        <v>2043</v>
      </c>
      <c r="AY99" s="1">
        <v>2044</v>
      </c>
      <c r="AZ99" s="1">
        <v>2045</v>
      </c>
      <c r="BA99" s="1">
        <v>2046</v>
      </c>
      <c r="BB99" s="1">
        <v>2047</v>
      </c>
      <c r="BC99" s="1">
        <v>2048</v>
      </c>
      <c r="BD99" s="1">
        <v>2049</v>
      </c>
      <c r="BE99" s="1">
        <v>2050</v>
      </c>
    </row>
    <row r="100" spans="1:57" x14ac:dyDescent="0.25">
      <c r="A100" s="1" t="str">
        <f>'Population Definitions'!$A$2</f>
        <v>PWID_males</v>
      </c>
      <c r="C100" t="s">
        <v>53</v>
      </c>
      <c r="D100" s="3"/>
      <c r="E100" s="3">
        <v>1.4999999999999999E-2</v>
      </c>
      <c r="F100" s="4" t="s">
        <v>37</v>
      </c>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row>
    <row r="101" spans="1:57" x14ac:dyDescent="0.25">
      <c r="A101" s="1" t="str">
        <f>'Population Definitions'!$A$3</f>
        <v>PWID_females</v>
      </c>
      <c r="C101" t="s">
        <v>53</v>
      </c>
      <c r="D101" s="3"/>
      <c r="E101" s="3">
        <v>1.4999999999999999E-2</v>
      </c>
      <c r="F101" s="4" t="s">
        <v>37</v>
      </c>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row>
    <row r="102" spans="1:57" x14ac:dyDescent="0.25">
      <c r="A102" s="1" t="str">
        <f>'Population Definitions'!$A$4</f>
        <v>0-9_males</v>
      </c>
      <c r="C102" t="s">
        <v>53</v>
      </c>
      <c r="D102" s="3"/>
      <c r="E102" s="3">
        <v>1.4999999999999999E-2</v>
      </c>
      <c r="F102" s="4" t="s">
        <v>37</v>
      </c>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row>
    <row r="103" spans="1:57" x14ac:dyDescent="0.25">
      <c r="A103" s="1" t="str">
        <f>'Population Definitions'!$A$5</f>
        <v>0-9_females</v>
      </c>
      <c r="C103" t="s">
        <v>53</v>
      </c>
      <c r="D103" s="3"/>
      <c r="E103" s="3">
        <v>1.4999999999999999E-2</v>
      </c>
      <c r="F103" s="4" t="s">
        <v>37</v>
      </c>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row>
    <row r="104" spans="1:57" x14ac:dyDescent="0.25">
      <c r="A104" s="1" t="str">
        <f>'Population Definitions'!$A$6</f>
        <v>10-17_males</v>
      </c>
      <c r="C104" t="s">
        <v>53</v>
      </c>
      <c r="D104" s="3"/>
      <c r="E104" s="3">
        <v>1.4999999999999999E-2</v>
      </c>
      <c r="F104" s="4" t="s">
        <v>37</v>
      </c>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row>
    <row r="105" spans="1:57" x14ac:dyDescent="0.25">
      <c r="A105" s="1" t="str">
        <f>'Population Definitions'!$A$7</f>
        <v>10-17_females</v>
      </c>
      <c r="C105" t="s">
        <v>53</v>
      </c>
      <c r="D105" s="3"/>
      <c r="E105" s="3">
        <v>1.4999999999999999E-2</v>
      </c>
      <c r="F105" s="4" t="s">
        <v>37</v>
      </c>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row>
    <row r="106" spans="1:57" x14ac:dyDescent="0.25">
      <c r="A106" s="1" t="str">
        <f>'Population Definitions'!$A$8</f>
        <v>18-64_males</v>
      </c>
      <c r="C106" t="s">
        <v>53</v>
      </c>
      <c r="D106" s="3"/>
      <c r="E106" s="3">
        <v>1.4999999999999999E-2</v>
      </c>
      <c r="F106" s="4" t="s">
        <v>37</v>
      </c>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row>
    <row r="107" spans="1:57" x14ac:dyDescent="0.25">
      <c r="A107" s="1" t="str">
        <f>'Population Definitions'!$A$9</f>
        <v>18-64_females</v>
      </c>
      <c r="C107" t="s">
        <v>53</v>
      </c>
      <c r="D107" s="3"/>
      <c r="E107" s="3">
        <v>1.4999999999999999E-2</v>
      </c>
      <c r="F107" s="4" t="s">
        <v>37</v>
      </c>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row>
    <row r="108" spans="1:57" x14ac:dyDescent="0.25">
      <c r="A108" s="1" t="str">
        <f>'Population Definitions'!$A$10</f>
        <v>65+_males</v>
      </c>
      <c r="C108" t="s">
        <v>53</v>
      </c>
      <c r="D108" s="3"/>
      <c r="E108" s="3">
        <v>1.4999999999999999E-2</v>
      </c>
      <c r="F108" s="4" t="s">
        <v>37</v>
      </c>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row>
    <row r="109" spans="1:57" x14ac:dyDescent="0.25">
      <c r="A109" s="1" t="str">
        <f>'Population Definitions'!$A$11</f>
        <v>65+_females</v>
      </c>
      <c r="C109" t="s">
        <v>53</v>
      </c>
      <c r="D109" s="3"/>
      <c r="E109" s="3">
        <v>1.4999999999999999E-2</v>
      </c>
      <c r="F109" s="4" t="s">
        <v>37</v>
      </c>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row>
    <row r="110" spans="1:57" x14ac:dyDescent="0.25">
      <c r="A110" s="1" t="str">
        <f>'Population Definitions'!$A$12</f>
        <v>Prisoners_males</v>
      </c>
      <c r="C110" t="s">
        <v>53</v>
      </c>
      <c r="D110" s="3"/>
      <c r="E110" s="3">
        <v>1.4999999999999999E-2</v>
      </c>
      <c r="F110" s="4" t="s">
        <v>37</v>
      </c>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row>
    <row r="111" spans="1:57" x14ac:dyDescent="0.25">
      <c r="A111" s="1" t="str">
        <f>'Population Definitions'!$A$13</f>
        <v>Prisoners_females</v>
      </c>
      <c r="C111" t="s">
        <v>53</v>
      </c>
      <c r="D111" s="3"/>
      <c r="E111" s="3">
        <v>1.4999999999999999E-2</v>
      </c>
      <c r="F111" s="4" t="s">
        <v>37</v>
      </c>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row>
    <row r="113" spans="1:57" x14ac:dyDescent="0.25">
      <c r="A113" s="1" t="s">
        <v>69</v>
      </c>
      <c r="B113" s="1" t="s">
        <v>29</v>
      </c>
      <c r="C113" s="1" t="s">
        <v>30</v>
      </c>
      <c r="D113" s="1" t="s">
        <v>31</v>
      </c>
      <c r="E113" s="1" t="s">
        <v>36</v>
      </c>
      <c r="F113" s="1"/>
      <c r="G113" s="1">
        <v>2000</v>
      </c>
      <c r="H113" s="1">
        <v>2001</v>
      </c>
      <c r="I113" s="1">
        <v>2002</v>
      </c>
      <c r="J113" s="1">
        <v>2003</v>
      </c>
      <c r="K113" s="1">
        <v>2004</v>
      </c>
      <c r="L113" s="1">
        <v>2005</v>
      </c>
      <c r="M113" s="1">
        <v>2006</v>
      </c>
      <c r="N113" s="1">
        <v>2007</v>
      </c>
      <c r="O113" s="1">
        <v>2008</v>
      </c>
      <c r="P113" s="1">
        <v>2009</v>
      </c>
      <c r="Q113" s="1">
        <v>2010</v>
      </c>
      <c r="R113" s="1">
        <v>2011</v>
      </c>
      <c r="S113" s="1">
        <v>2012</v>
      </c>
      <c r="T113" s="1">
        <v>2013</v>
      </c>
      <c r="U113" s="1">
        <v>2014</v>
      </c>
      <c r="V113" s="1">
        <v>2015</v>
      </c>
      <c r="W113" s="1">
        <v>2016</v>
      </c>
      <c r="X113" s="1">
        <v>2017</v>
      </c>
      <c r="Y113" s="1">
        <v>2018</v>
      </c>
      <c r="Z113" s="1">
        <v>2019</v>
      </c>
      <c r="AA113" s="1">
        <v>2020</v>
      </c>
      <c r="AB113" s="1">
        <v>2021</v>
      </c>
      <c r="AC113" s="1">
        <v>2022</v>
      </c>
      <c r="AD113" s="1">
        <v>2023</v>
      </c>
      <c r="AE113" s="1">
        <v>2024</v>
      </c>
      <c r="AF113" s="1">
        <v>2025</v>
      </c>
      <c r="AG113" s="1">
        <v>2026</v>
      </c>
      <c r="AH113" s="1">
        <v>2027</v>
      </c>
      <c r="AI113" s="1">
        <v>2028</v>
      </c>
      <c r="AJ113" s="1">
        <v>2029</v>
      </c>
      <c r="AK113" s="1">
        <v>2030</v>
      </c>
      <c r="AL113" s="1">
        <v>2031</v>
      </c>
      <c r="AM113" s="1">
        <v>2032</v>
      </c>
      <c r="AN113" s="1">
        <v>2033</v>
      </c>
      <c r="AO113" s="1">
        <v>2034</v>
      </c>
      <c r="AP113" s="1">
        <v>2035</v>
      </c>
      <c r="AQ113" s="1">
        <v>2036</v>
      </c>
      <c r="AR113" s="1">
        <v>2037</v>
      </c>
      <c r="AS113" s="1">
        <v>2038</v>
      </c>
      <c r="AT113" s="1">
        <v>2039</v>
      </c>
      <c r="AU113" s="1">
        <v>2040</v>
      </c>
      <c r="AV113" s="1">
        <v>2041</v>
      </c>
      <c r="AW113" s="1">
        <v>2042</v>
      </c>
      <c r="AX113" s="1">
        <v>2043</v>
      </c>
      <c r="AY113" s="1">
        <v>2044</v>
      </c>
      <c r="AZ113" s="1">
        <v>2045</v>
      </c>
      <c r="BA113" s="1">
        <v>2046</v>
      </c>
      <c r="BB113" s="1">
        <v>2047</v>
      </c>
      <c r="BC113" s="1">
        <v>2048</v>
      </c>
      <c r="BD113" s="1">
        <v>2049</v>
      </c>
      <c r="BE113" s="1">
        <v>2050</v>
      </c>
    </row>
    <row r="114" spans="1:57" x14ac:dyDescent="0.25">
      <c r="A114" s="1" t="str">
        <f>'Population Definitions'!$A$2</f>
        <v>PWID_males</v>
      </c>
      <c r="C114" t="s">
        <v>53</v>
      </c>
      <c r="D114" s="3"/>
      <c r="E114" s="3">
        <v>0.02</v>
      </c>
      <c r="F114" s="4" t="s">
        <v>37</v>
      </c>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row>
    <row r="115" spans="1:57" x14ac:dyDescent="0.25">
      <c r="A115" s="1" t="str">
        <f>'Population Definitions'!$A$3</f>
        <v>PWID_females</v>
      </c>
      <c r="C115" t="s">
        <v>53</v>
      </c>
      <c r="D115" s="3"/>
      <c r="E115" s="3">
        <v>0.02</v>
      </c>
      <c r="F115" s="4" t="s">
        <v>37</v>
      </c>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row>
    <row r="116" spans="1:57" x14ac:dyDescent="0.25">
      <c r="A116" s="1" t="str">
        <f>'Population Definitions'!$A$4</f>
        <v>0-9_males</v>
      </c>
      <c r="C116" t="s">
        <v>53</v>
      </c>
      <c r="D116" s="3"/>
      <c r="E116" s="3">
        <v>0.02</v>
      </c>
      <c r="F116" s="4" t="s">
        <v>37</v>
      </c>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row>
    <row r="117" spans="1:57" x14ac:dyDescent="0.25">
      <c r="A117" s="1" t="str">
        <f>'Population Definitions'!$A$5</f>
        <v>0-9_females</v>
      </c>
      <c r="C117" t="s">
        <v>53</v>
      </c>
      <c r="D117" s="3"/>
      <c r="E117" s="3">
        <v>0.02</v>
      </c>
      <c r="F117" s="4" t="s">
        <v>37</v>
      </c>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row>
    <row r="118" spans="1:57" x14ac:dyDescent="0.25">
      <c r="A118" s="1" t="str">
        <f>'Population Definitions'!$A$6</f>
        <v>10-17_males</v>
      </c>
      <c r="C118" t="s">
        <v>53</v>
      </c>
      <c r="D118" s="3"/>
      <c r="E118" s="3">
        <v>0.02</v>
      </c>
      <c r="F118" s="4" t="s">
        <v>37</v>
      </c>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row>
    <row r="119" spans="1:57" x14ac:dyDescent="0.25">
      <c r="A119" s="1" t="str">
        <f>'Population Definitions'!$A$7</f>
        <v>10-17_females</v>
      </c>
      <c r="C119" t="s">
        <v>53</v>
      </c>
      <c r="D119" s="3"/>
      <c r="E119" s="3">
        <v>0.02</v>
      </c>
      <c r="F119" s="4" t="s">
        <v>37</v>
      </c>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row>
    <row r="120" spans="1:57" x14ac:dyDescent="0.25">
      <c r="A120" s="1" t="str">
        <f>'Population Definitions'!$A$8</f>
        <v>18-64_males</v>
      </c>
      <c r="C120" t="s">
        <v>53</v>
      </c>
      <c r="D120" s="3"/>
      <c r="E120" s="3">
        <v>0.02</v>
      </c>
      <c r="F120" s="4" t="s">
        <v>37</v>
      </c>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row>
    <row r="121" spans="1:57" x14ac:dyDescent="0.25">
      <c r="A121" s="1" t="str">
        <f>'Population Definitions'!$A$9</f>
        <v>18-64_females</v>
      </c>
      <c r="C121" t="s">
        <v>53</v>
      </c>
      <c r="D121" s="3"/>
      <c r="E121" s="3">
        <v>0.02</v>
      </c>
      <c r="F121" s="4" t="s">
        <v>37</v>
      </c>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row>
    <row r="122" spans="1:57" x14ac:dyDescent="0.25">
      <c r="A122" s="1" t="str">
        <f>'Population Definitions'!$A$10</f>
        <v>65+_males</v>
      </c>
      <c r="C122" t="s">
        <v>53</v>
      </c>
      <c r="D122" s="3"/>
      <c r="E122" s="3">
        <v>0.02</v>
      </c>
      <c r="F122" s="4" t="s">
        <v>37</v>
      </c>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row>
    <row r="123" spans="1:57" x14ac:dyDescent="0.25">
      <c r="A123" s="1" t="str">
        <f>'Population Definitions'!$A$11</f>
        <v>65+_females</v>
      </c>
      <c r="C123" t="s">
        <v>53</v>
      </c>
      <c r="D123" s="3"/>
      <c r="E123" s="3">
        <v>0.02</v>
      </c>
      <c r="F123" s="4" t="s">
        <v>37</v>
      </c>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row>
    <row r="124" spans="1:57" x14ac:dyDescent="0.25">
      <c r="A124" s="1" t="str">
        <f>'Population Definitions'!$A$12</f>
        <v>Prisoners_males</v>
      </c>
      <c r="C124" t="s">
        <v>53</v>
      </c>
      <c r="D124" s="3"/>
      <c r="E124" s="3">
        <v>0.02</v>
      </c>
      <c r="F124" s="4" t="s">
        <v>37</v>
      </c>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row>
    <row r="125" spans="1:57" x14ac:dyDescent="0.25">
      <c r="A125" s="1" t="str">
        <f>'Population Definitions'!$A$13</f>
        <v>Prisoners_females</v>
      </c>
      <c r="C125" t="s">
        <v>53</v>
      </c>
      <c r="D125" s="3"/>
      <c r="E125" s="3">
        <v>0.02</v>
      </c>
      <c r="F125" s="4" t="s">
        <v>37</v>
      </c>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row>
    <row r="127" spans="1:57" x14ac:dyDescent="0.25">
      <c r="A127" s="1" t="s">
        <v>70</v>
      </c>
      <c r="B127" s="1" t="s">
        <v>29</v>
      </c>
      <c r="C127" s="1" t="s">
        <v>30</v>
      </c>
      <c r="D127" s="1" t="s">
        <v>31</v>
      </c>
      <c r="E127" s="1" t="s">
        <v>36</v>
      </c>
      <c r="F127" s="1"/>
      <c r="G127" s="1">
        <v>2000</v>
      </c>
      <c r="H127" s="1">
        <v>2001</v>
      </c>
      <c r="I127" s="1">
        <v>2002</v>
      </c>
      <c r="J127" s="1">
        <v>2003</v>
      </c>
      <c r="K127" s="1">
        <v>2004</v>
      </c>
      <c r="L127" s="1">
        <v>2005</v>
      </c>
      <c r="M127" s="1">
        <v>2006</v>
      </c>
      <c r="N127" s="1">
        <v>2007</v>
      </c>
      <c r="O127" s="1">
        <v>2008</v>
      </c>
      <c r="P127" s="1">
        <v>2009</v>
      </c>
      <c r="Q127" s="1">
        <v>2010</v>
      </c>
      <c r="R127" s="1">
        <v>2011</v>
      </c>
      <c r="S127" s="1">
        <v>2012</v>
      </c>
      <c r="T127" s="1">
        <v>2013</v>
      </c>
      <c r="U127" s="1">
        <v>2014</v>
      </c>
      <c r="V127" s="1">
        <v>2015</v>
      </c>
      <c r="W127" s="1">
        <v>2016</v>
      </c>
      <c r="X127" s="1">
        <v>2017</v>
      </c>
      <c r="Y127" s="1">
        <v>2018</v>
      </c>
      <c r="Z127" s="1">
        <v>2019</v>
      </c>
      <c r="AA127" s="1">
        <v>2020</v>
      </c>
      <c r="AB127" s="1">
        <v>2021</v>
      </c>
      <c r="AC127" s="1">
        <v>2022</v>
      </c>
      <c r="AD127" s="1">
        <v>2023</v>
      </c>
      <c r="AE127" s="1">
        <v>2024</v>
      </c>
      <c r="AF127" s="1">
        <v>2025</v>
      </c>
      <c r="AG127" s="1">
        <v>2026</v>
      </c>
      <c r="AH127" s="1">
        <v>2027</v>
      </c>
      <c r="AI127" s="1">
        <v>2028</v>
      </c>
      <c r="AJ127" s="1">
        <v>2029</v>
      </c>
      <c r="AK127" s="1">
        <v>2030</v>
      </c>
      <c r="AL127" s="1">
        <v>2031</v>
      </c>
      <c r="AM127" s="1">
        <v>2032</v>
      </c>
      <c r="AN127" s="1">
        <v>2033</v>
      </c>
      <c r="AO127" s="1">
        <v>2034</v>
      </c>
      <c r="AP127" s="1">
        <v>2035</v>
      </c>
      <c r="AQ127" s="1">
        <v>2036</v>
      </c>
      <c r="AR127" s="1">
        <v>2037</v>
      </c>
      <c r="AS127" s="1">
        <v>2038</v>
      </c>
      <c r="AT127" s="1">
        <v>2039</v>
      </c>
      <c r="AU127" s="1">
        <v>2040</v>
      </c>
      <c r="AV127" s="1">
        <v>2041</v>
      </c>
      <c r="AW127" s="1">
        <v>2042</v>
      </c>
      <c r="AX127" s="1">
        <v>2043</v>
      </c>
      <c r="AY127" s="1">
        <v>2044</v>
      </c>
      <c r="AZ127" s="1">
        <v>2045</v>
      </c>
      <c r="BA127" s="1">
        <v>2046</v>
      </c>
      <c r="BB127" s="1">
        <v>2047</v>
      </c>
      <c r="BC127" s="1">
        <v>2048</v>
      </c>
      <c r="BD127" s="1">
        <v>2049</v>
      </c>
      <c r="BE127" s="1">
        <v>2050</v>
      </c>
    </row>
    <row r="128" spans="1:57" x14ac:dyDescent="0.25">
      <c r="A128" s="1" t="str">
        <f>'Population Definitions'!$A$2</f>
        <v>PWID_males</v>
      </c>
      <c r="C128" t="s">
        <v>53</v>
      </c>
      <c r="D128" s="3">
        <v>2.551020408163265E-2</v>
      </c>
      <c r="E128" s="3">
        <v>0.18325814637483101</v>
      </c>
      <c r="F128" s="4" t="s">
        <v>37</v>
      </c>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row>
    <row r="129" spans="1:57" x14ac:dyDescent="0.25">
      <c r="A129" s="1" t="str">
        <f>'Population Definitions'!$A$3</f>
        <v>PWID_females</v>
      </c>
      <c r="C129" t="s">
        <v>53</v>
      </c>
      <c r="D129" s="3">
        <v>2.551020408163265E-2</v>
      </c>
      <c r="E129" s="3">
        <v>0.18325814637483101</v>
      </c>
      <c r="F129" s="4" t="s">
        <v>37</v>
      </c>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row>
    <row r="130" spans="1:57" x14ac:dyDescent="0.25">
      <c r="A130" s="1" t="str">
        <f>'Population Definitions'!$A$4</f>
        <v>0-9_males</v>
      </c>
      <c r="C130" t="s">
        <v>53</v>
      </c>
      <c r="D130" s="3">
        <v>2.551020408163265E-2</v>
      </c>
      <c r="E130" s="3">
        <v>0.18325814637483101</v>
      </c>
      <c r="F130" s="4" t="s">
        <v>37</v>
      </c>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row>
    <row r="131" spans="1:57" x14ac:dyDescent="0.25">
      <c r="A131" s="1" t="str">
        <f>'Population Definitions'!$A$5</f>
        <v>0-9_females</v>
      </c>
      <c r="C131" t="s">
        <v>53</v>
      </c>
      <c r="D131" s="3">
        <v>2.551020408163265E-2</v>
      </c>
      <c r="E131" s="3">
        <v>0.18325814637483101</v>
      </c>
      <c r="F131" s="4" t="s">
        <v>37</v>
      </c>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row>
    <row r="132" spans="1:57" x14ac:dyDescent="0.25">
      <c r="A132" s="1" t="str">
        <f>'Population Definitions'!$A$6</f>
        <v>10-17_males</v>
      </c>
      <c r="C132" t="s">
        <v>53</v>
      </c>
      <c r="D132" s="3">
        <v>2.551020408163265E-2</v>
      </c>
      <c r="E132" s="3">
        <v>0.18325814637483101</v>
      </c>
      <c r="F132" s="4" t="s">
        <v>37</v>
      </c>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row>
    <row r="133" spans="1:57" x14ac:dyDescent="0.25">
      <c r="A133" s="1" t="str">
        <f>'Population Definitions'!$A$7</f>
        <v>10-17_females</v>
      </c>
      <c r="C133" t="s">
        <v>53</v>
      </c>
      <c r="D133" s="3">
        <v>2.551020408163265E-2</v>
      </c>
      <c r="E133" s="3">
        <v>0.18325814637483101</v>
      </c>
      <c r="F133" s="4" t="s">
        <v>37</v>
      </c>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row>
    <row r="134" spans="1:57" x14ac:dyDescent="0.25">
      <c r="A134" s="1" t="str">
        <f>'Population Definitions'!$A$8</f>
        <v>18-64_males</v>
      </c>
      <c r="C134" t="s">
        <v>53</v>
      </c>
      <c r="D134" s="3">
        <v>2.551020408163265E-2</v>
      </c>
      <c r="E134" s="3">
        <v>0.18325814637483101</v>
      </c>
      <c r="F134" s="4" t="s">
        <v>37</v>
      </c>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row>
    <row r="135" spans="1:57" x14ac:dyDescent="0.25">
      <c r="A135" s="1" t="str">
        <f>'Population Definitions'!$A$9</f>
        <v>18-64_females</v>
      </c>
      <c r="C135" t="s">
        <v>53</v>
      </c>
      <c r="D135" s="3">
        <v>2.551020408163265E-2</v>
      </c>
      <c r="E135" s="3">
        <v>0.18325814637483101</v>
      </c>
      <c r="F135" s="4" t="s">
        <v>37</v>
      </c>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row>
    <row r="136" spans="1:57" x14ac:dyDescent="0.25">
      <c r="A136" s="1" t="str">
        <f>'Population Definitions'!$A$10</f>
        <v>65+_males</v>
      </c>
      <c r="C136" t="s">
        <v>53</v>
      </c>
      <c r="D136" s="3">
        <v>2.551020408163265E-2</v>
      </c>
      <c r="E136" s="3">
        <v>0.18325814637483101</v>
      </c>
      <c r="F136" s="4" t="s">
        <v>37</v>
      </c>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row>
    <row r="137" spans="1:57" x14ac:dyDescent="0.25">
      <c r="A137" s="1" t="str">
        <f>'Population Definitions'!$A$11</f>
        <v>65+_females</v>
      </c>
      <c r="C137" t="s">
        <v>53</v>
      </c>
      <c r="D137" s="3">
        <v>2.551020408163265E-2</v>
      </c>
      <c r="E137" s="3">
        <v>0.18325814637483101</v>
      </c>
      <c r="F137" s="4" t="s">
        <v>37</v>
      </c>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row>
    <row r="138" spans="1:57" x14ac:dyDescent="0.25">
      <c r="A138" s="1" t="str">
        <f>'Population Definitions'!$A$12</f>
        <v>Prisoners_males</v>
      </c>
      <c r="C138" t="s">
        <v>53</v>
      </c>
      <c r="D138" s="3">
        <v>2.551020408163265E-2</v>
      </c>
      <c r="E138" s="3">
        <v>0.18325814637483101</v>
      </c>
      <c r="F138" s="4" t="s">
        <v>37</v>
      </c>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row>
    <row r="139" spans="1:57" x14ac:dyDescent="0.25">
      <c r="A139" s="1" t="str">
        <f>'Population Definitions'!$A$13</f>
        <v>Prisoners_females</v>
      </c>
      <c r="C139" t="s">
        <v>53</v>
      </c>
      <c r="D139" s="3">
        <v>2.551020408163265E-2</v>
      </c>
      <c r="E139" s="3">
        <v>0.18325814637483101</v>
      </c>
      <c r="F139" s="4" t="s">
        <v>37</v>
      </c>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row>
    <row r="141" spans="1:57" x14ac:dyDescent="0.25">
      <c r="A141" s="1" t="s">
        <v>71</v>
      </c>
      <c r="B141" s="1" t="s">
        <v>29</v>
      </c>
      <c r="C141" s="1" t="s">
        <v>30</v>
      </c>
      <c r="D141" s="1" t="s">
        <v>31</v>
      </c>
      <c r="E141" s="1" t="s">
        <v>36</v>
      </c>
      <c r="F141" s="1"/>
      <c r="G141" s="1">
        <v>2000</v>
      </c>
      <c r="H141" s="1">
        <v>2001</v>
      </c>
      <c r="I141" s="1">
        <v>2002</v>
      </c>
      <c r="J141" s="1">
        <v>2003</v>
      </c>
      <c r="K141" s="1">
        <v>2004</v>
      </c>
      <c r="L141" s="1">
        <v>2005</v>
      </c>
      <c r="M141" s="1">
        <v>2006</v>
      </c>
      <c r="N141" s="1">
        <v>2007</v>
      </c>
      <c r="O141" s="1">
        <v>2008</v>
      </c>
      <c r="P141" s="1">
        <v>2009</v>
      </c>
      <c r="Q141" s="1">
        <v>2010</v>
      </c>
      <c r="R141" s="1">
        <v>2011</v>
      </c>
      <c r="S141" s="1">
        <v>2012</v>
      </c>
      <c r="T141" s="1">
        <v>2013</v>
      </c>
      <c r="U141" s="1">
        <v>2014</v>
      </c>
      <c r="V141" s="1">
        <v>2015</v>
      </c>
      <c r="W141" s="1">
        <v>2016</v>
      </c>
      <c r="X141" s="1">
        <v>2017</v>
      </c>
      <c r="Y141" s="1">
        <v>2018</v>
      </c>
      <c r="Z141" s="1">
        <v>2019</v>
      </c>
      <c r="AA141" s="1">
        <v>2020</v>
      </c>
      <c r="AB141" s="1">
        <v>2021</v>
      </c>
      <c r="AC141" s="1">
        <v>2022</v>
      </c>
      <c r="AD141" s="1">
        <v>2023</v>
      </c>
      <c r="AE141" s="1">
        <v>2024</v>
      </c>
      <c r="AF141" s="1">
        <v>2025</v>
      </c>
      <c r="AG141" s="1">
        <v>2026</v>
      </c>
      <c r="AH141" s="1">
        <v>2027</v>
      </c>
      <c r="AI141" s="1">
        <v>2028</v>
      </c>
      <c r="AJ141" s="1">
        <v>2029</v>
      </c>
      <c r="AK141" s="1">
        <v>2030</v>
      </c>
      <c r="AL141" s="1">
        <v>2031</v>
      </c>
      <c r="AM141" s="1">
        <v>2032</v>
      </c>
      <c r="AN141" s="1">
        <v>2033</v>
      </c>
      <c r="AO141" s="1">
        <v>2034</v>
      </c>
      <c r="AP141" s="1">
        <v>2035</v>
      </c>
      <c r="AQ141" s="1">
        <v>2036</v>
      </c>
      <c r="AR141" s="1">
        <v>2037</v>
      </c>
      <c r="AS141" s="1">
        <v>2038</v>
      </c>
      <c r="AT141" s="1">
        <v>2039</v>
      </c>
      <c r="AU141" s="1">
        <v>2040</v>
      </c>
      <c r="AV141" s="1">
        <v>2041</v>
      </c>
      <c r="AW141" s="1">
        <v>2042</v>
      </c>
      <c r="AX141" s="1">
        <v>2043</v>
      </c>
      <c r="AY141" s="1">
        <v>2044</v>
      </c>
      <c r="AZ141" s="1">
        <v>2045</v>
      </c>
      <c r="BA141" s="1">
        <v>2046</v>
      </c>
      <c r="BB141" s="1">
        <v>2047</v>
      </c>
      <c r="BC141" s="1">
        <v>2048</v>
      </c>
      <c r="BD141" s="1">
        <v>2049</v>
      </c>
      <c r="BE141" s="1">
        <v>2050</v>
      </c>
    </row>
    <row r="142" spans="1:57" x14ac:dyDescent="0.25">
      <c r="A142" s="1" t="str">
        <f>'Population Definitions'!$A$2</f>
        <v>PWID_males</v>
      </c>
      <c r="C142" t="s">
        <v>53</v>
      </c>
      <c r="D142" s="3"/>
      <c r="E142" s="3">
        <v>0.04</v>
      </c>
      <c r="F142" s="4" t="s">
        <v>37</v>
      </c>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row>
    <row r="143" spans="1:57" x14ac:dyDescent="0.25">
      <c r="A143" s="1" t="str">
        <f>'Population Definitions'!$A$3</f>
        <v>PWID_females</v>
      </c>
      <c r="C143" t="s">
        <v>53</v>
      </c>
      <c r="D143" s="3"/>
      <c r="E143" s="3">
        <v>0.04</v>
      </c>
      <c r="F143" s="4" t="s">
        <v>37</v>
      </c>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row>
    <row r="144" spans="1:57" x14ac:dyDescent="0.25">
      <c r="A144" s="1" t="str">
        <f>'Population Definitions'!$A$4</f>
        <v>0-9_males</v>
      </c>
      <c r="C144" t="s">
        <v>53</v>
      </c>
      <c r="D144" s="3"/>
      <c r="E144" s="3">
        <v>0.04</v>
      </c>
      <c r="F144" s="4" t="s">
        <v>37</v>
      </c>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row>
    <row r="145" spans="1:57" x14ac:dyDescent="0.25">
      <c r="A145" s="1" t="str">
        <f>'Population Definitions'!$A$5</f>
        <v>0-9_females</v>
      </c>
      <c r="C145" t="s">
        <v>53</v>
      </c>
      <c r="D145" s="3"/>
      <c r="E145" s="3">
        <v>0.04</v>
      </c>
      <c r="F145" s="4" t="s">
        <v>37</v>
      </c>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row>
    <row r="146" spans="1:57" x14ac:dyDescent="0.25">
      <c r="A146" s="1" t="str">
        <f>'Population Definitions'!$A$6</f>
        <v>10-17_males</v>
      </c>
      <c r="C146" t="s">
        <v>53</v>
      </c>
      <c r="D146" s="3"/>
      <c r="E146" s="3">
        <v>0.04</v>
      </c>
      <c r="F146" s="4" t="s">
        <v>37</v>
      </c>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row>
    <row r="147" spans="1:57" x14ac:dyDescent="0.25">
      <c r="A147" s="1" t="str">
        <f>'Population Definitions'!$A$7</f>
        <v>10-17_females</v>
      </c>
      <c r="C147" t="s">
        <v>53</v>
      </c>
      <c r="D147" s="3"/>
      <c r="E147" s="3">
        <v>0.04</v>
      </c>
      <c r="F147" s="4" t="s">
        <v>37</v>
      </c>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row>
    <row r="148" spans="1:57" x14ac:dyDescent="0.25">
      <c r="A148" s="1" t="str">
        <f>'Population Definitions'!$A$8</f>
        <v>18-64_males</v>
      </c>
      <c r="C148" t="s">
        <v>53</v>
      </c>
      <c r="D148" s="3"/>
      <c r="E148" s="3">
        <v>0.04</v>
      </c>
      <c r="F148" s="4" t="s">
        <v>37</v>
      </c>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row>
    <row r="149" spans="1:57" x14ac:dyDescent="0.25">
      <c r="A149" s="1" t="str">
        <f>'Population Definitions'!$A$9</f>
        <v>18-64_females</v>
      </c>
      <c r="C149" t="s">
        <v>53</v>
      </c>
      <c r="D149" s="3"/>
      <c r="E149" s="3">
        <v>0.04</v>
      </c>
      <c r="F149" s="4" t="s">
        <v>37</v>
      </c>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row>
    <row r="150" spans="1:57" x14ac:dyDescent="0.25">
      <c r="A150" s="1" t="str">
        <f>'Population Definitions'!$A$10</f>
        <v>65+_males</v>
      </c>
      <c r="C150" t="s">
        <v>53</v>
      </c>
      <c r="D150" s="3"/>
      <c r="E150" s="3">
        <v>0.04</v>
      </c>
      <c r="F150" s="4" t="s">
        <v>37</v>
      </c>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row>
    <row r="151" spans="1:57" x14ac:dyDescent="0.25">
      <c r="A151" s="1" t="str">
        <f>'Population Definitions'!$A$11</f>
        <v>65+_females</v>
      </c>
      <c r="C151" t="s">
        <v>53</v>
      </c>
      <c r="D151" s="3"/>
      <c r="E151" s="3">
        <v>0.04</v>
      </c>
      <c r="F151" s="4" t="s">
        <v>37</v>
      </c>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row>
    <row r="152" spans="1:57" x14ac:dyDescent="0.25">
      <c r="A152" s="1" t="str">
        <f>'Population Definitions'!$A$12</f>
        <v>Prisoners_males</v>
      </c>
      <c r="C152" t="s">
        <v>53</v>
      </c>
      <c r="D152" s="3"/>
      <c r="E152" s="3">
        <v>0.04</v>
      </c>
      <c r="F152" s="4" t="s">
        <v>37</v>
      </c>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row>
    <row r="153" spans="1:57" x14ac:dyDescent="0.25">
      <c r="A153" s="1" t="str">
        <f>'Population Definitions'!$A$13</f>
        <v>Prisoners_females</v>
      </c>
      <c r="C153" t="s">
        <v>53</v>
      </c>
      <c r="D153" s="3"/>
      <c r="E153" s="3">
        <v>0.04</v>
      </c>
      <c r="F153" s="4" t="s">
        <v>37</v>
      </c>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row>
    <row r="155" spans="1:57" x14ac:dyDescent="0.25">
      <c r="A155" s="1" t="s">
        <v>72</v>
      </c>
      <c r="B155" s="1" t="s">
        <v>29</v>
      </c>
      <c r="C155" s="1" t="s">
        <v>30</v>
      </c>
      <c r="D155" s="1" t="s">
        <v>31</v>
      </c>
      <c r="E155" s="1" t="s">
        <v>36</v>
      </c>
      <c r="F155" s="1"/>
      <c r="G155" s="1">
        <v>2000</v>
      </c>
      <c r="H155" s="1">
        <v>2001</v>
      </c>
      <c r="I155" s="1">
        <v>2002</v>
      </c>
      <c r="J155" s="1">
        <v>2003</v>
      </c>
      <c r="K155" s="1">
        <v>2004</v>
      </c>
      <c r="L155" s="1">
        <v>2005</v>
      </c>
      <c r="M155" s="1">
        <v>2006</v>
      </c>
      <c r="N155" s="1">
        <v>2007</v>
      </c>
      <c r="O155" s="1">
        <v>2008</v>
      </c>
      <c r="P155" s="1">
        <v>2009</v>
      </c>
      <c r="Q155" s="1">
        <v>2010</v>
      </c>
      <c r="R155" s="1">
        <v>2011</v>
      </c>
      <c r="S155" s="1">
        <v>2012</v>
      </c>
      <c r="T155" s="1">
        <v>2013</v>
      </c>
      <c r="U155" s="1">
        <v>2014</v>
      </c>
      <c r="V155" s="1">
        <v>2015</v>
      </c>
      <c r="W155" s="1">
        <v>2016</v>
      </c>
      <c r="X155" s="1">
        <v>2017</v>
      </c>
      <c r="Y155" s="1">
        <v>2018</v>
      </c>
      <c r="Z155" s="1">
        <v>2019</v>
      </c>
      <c r="AA155" s="1">
        <v>2020</v>
      </c>
      <c r="AB155" s="1">
        <v>2021</v>
      </c>
      <c r="AC155" s="1">
        <v>2022</v>
      </c>
      <c r="AD155" s="1">
        <v>2023</v>
      </c>
      <c r="AE155" s="1">
        <v>2024</v>
      </c>
      <c r="AF155" s="1">
        <v>2025</v>
      </c>
      <c r="AG155" s="1">
        <v>2026</v>
      </c>
      <c r="AH155" s="1">
        <v>2027</v>
      </c>
      <c r="AI155" s="1">
        <v>2028</v>
      </c>
      <c r="AJ155" s="1">
        <v>2029</v>
      </c>
      <c r="AK155" s="1">
        <v>2030</v>
      </c>
      <c r="AL155" s="1">
        <v>2031</v>
      </c>
      <c r="AM155" s="1">
        <v>2032</v>
      </c>
      <c r="AN155" s="1">
        <v>2033</v>
      </c>
      <c r="AO155" s="1">
        <v>2034</v>
      </c>
      <c r="AP155" s="1">
        <v>2035</v>
      </c>
      <c r="AQ155" s="1">
        <v>2036</v>
      </c>
      <c r="AR155" s="1">
        <v>2037</v>
      </c>
      <c r="AS155" s="1">
        <v>2038</v>
      </c>
      <c r="AT155" s="1">
        <v>2039</v>
      </c>
      <c r="AU155" s="1">
        <v>2040</v>
      </c>
      <c r="AV155" s="1">
        <v>2041</v>
      </c>
      <c r="AW155" s="1">
        <v>2042</v>
      </c>
      <c r="AX155" s="1">
        <v>2043</v>
      </c>
      <c r="AY155" s="1">
        <v>2044</v>
      </c>
      <c r="AZ155" s="1">
        <v>2045</v>
      </c>
      <c r="BA155" s="1">
        <v>2046</v>
      </c>
      <c r="BB155" s="1">
        <v>2047</v>
      </c>
      <c r="BC155" s="1">
        <v>2048</v>
      </c>
      <c r="BD155" s="1">
        <v>2049</v>
      </c>
      <c r="BE155" s="1">
        <v>2050</v>
      </c>
    </row>
    <row r="156" spans="1:57" x14ac:dyDescent="0.25">
      <c r="A156" s="1" t="str">
        <f>'Population Definitions'!$A$2</f>
        <v>PWID_males</v>
      </c>
      <c r="C156" t="s">
        <v>53</v>
      </c>
      <c r="D156" s="3"/>
      <c r="E156" s="3">
        <v>2.5999999999999999E-2</v>
      </c>
      <c r="F156" s="4" t="s">
        <v>37</v>
      </c>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row>
    <row r="157" spans="1:57" x14ac:dyDescent="0.25">
      <c r="A157" s="1" t="str">
        <f>'Population Definitions'!$A$3</f>
        <v>PWID_females</v>
      </c>
      <c r="C157" t="s">
        <v>53</v>
      </c>
      <c r="D157" s="3"/>
      <c r="E157" s="3">
        <v>2.5999999999999999E-2</v>
      </c>
      <c r="F157" s="4" t="s">
        <v>37</v>
      </c>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row>
    <row r="158" spans="1:57" x14ac:dyDescent="0.25">
      <c r="A158" s="1" t="str">
        <f>'Population Definitions'!$A$4</f>
        <v>0-9_males</v>
      </c>
      <c r="C158" t="s">
        <v>53</v>
      </c>
      <c r="D158" s="3"/>
      <c r="E158" s="3">
        <v>2.5999999999999999E-2</v>
      </c>
      <c r="F158" s="4" t="s">
        <v>37</v>
      </c>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row>
    <row r="159" spans="1:57" x14ac:dyDescent="0.25">
      <c r="A159" s="1" t="str">
        <f>'Population Definitions'!$A$5</f>
        <v>0-9_females</v>
      </c>
      <c r="C159" t="s">
        <v>53</v>
      </c>
      <c r="D159" s="3"/>
      <c r="E159" s="3">
        <v>2.5999999999999999E-2</v>
      </c>
      <c r="F159" s="4" t="s">
        <v>37</v>
      </c>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row>
    <row r="160" spans="1:57" x14ac:dyDescent="0.25">
      <c r="A160" s="1" t="str">
        <f>'Population Definitions'!$A$6</f>
        <v>10-17_males</v>
      </c>
      <c r="C160" t="s">
        <v>53</v>
      </c>
      <c r="D160" s="3"/>
      <c r="E160" s="3">
        <v>2.5999999999999999E-2</v>
      </c>
      <c r="F160" s="4" t="s">
        <v>37</v>
      </c>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row>
    <row r="161" spans="1:57" x14ac:dyDescent="0.25">
      <c r="A161" s="1" t="str">
        <f>'Population Definitions'!$A$7</f>
        <v>10-17_females</v>
      </c>
      <c r="C161" t="s">
        <v>53</v>
      </c>
      <c r="D161" s="3"/>
      <c r="E161" s="3">
        <v>2.5999999999999999E-2</v>
      </c>
      <c r="F161" s="4" t="s">
        <v>37</v>
      </c>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row>
    <row r="162" spans="1:57" x14ac:dyDescent="0.25">
      <c r="A162" s="1" t="str">
        <f>'Population Definitions'!$A$8</f>
        <v>18-64_males</v>
      </c>
      <c r="C162" t="s">
        <v>53</v>
      </c>
      <c r="D162" s="3"/>
      <c r="E162" s="3">
        <v>2.5999999999999999E-2</v>
      </c>
      <c r="F162" s="4" t="s">
        <v>37</v>
      </c>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row>
    <row r="163" spans="1:57" x14ac:dyDescent="0.25">
      <c r="A163" s="1" t="str">
        <f>'Population Definitions'!$A$9</f>
        <v>18-64_females</v>
      </c>
      <c r="C163" t="s">
        <v>53</v>
      </c>
      <c r="D163" s="3"/>
      <c r="E163" s="3">
        <v>2.5999999999999999E-2</v>
      </c>
      <c r="F163" s="4" t="s">
        <v>37</v>
      </c>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row>
    <row r="164" spans="1:57" x14ac:dyDescent="0.25">
      <c r="A164" s="1" t="str">
        <f>'Population Definitions'!$A$10</f>
        <v>65+_males</v>
      </c>
      <c r="C164" t="s">
        <v>53</v>
      </c>
      <c r="D164" s="3"/>
      <c r="E164" s="3">
        <v>2.5999999999999999E-2</v>
      </c>
      <c r="F164" s="4" t="s">
        <v>37</v>
      </c>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row>
    <row r="165" spans="1:57" x14ac:dyDescent="0.25">
      <c r="A165" s="1" t="str">
        <f>'Population Definitions'!$A$11</f>
        <v>65+_females</v>
      </c>
      <c r="C165" t="s">
        <v>53</v>
      </c>
      <c r="D165" s="3"/>
      <c r="E165" s="3">
        <v>2.5999999999999999E-2</v>
      </c>
      <c r="F165" s="4" t="s">
        <v>37</v>
      </c>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row>
    <row r="166" spans="1:57" x14ac:dyDescent="0.25">
      <c r="A166" s="1" t="str">
        <f>'Population Definitions'!$A$12</f>
        <v>Prisoners_males</v>
      </c>
      <c r="C166" t="s">
        <v>53</v>
      </c>
      <c r="D166" s="3"/>
      <c r="E166" s="3">
        <v>2.5999999999999999E-2</v>
      </c>
      <c r="F166" s="4" t="s">
        <v>37</v>
      </c>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row>
    <row r="167" spans="1:57" x14ac:dyDescent="0.25">
      <c r="A167" s="1" t="str">
        <f>'Population Definitions'!$A$13</f>
        <v>Prisoners_females</v>
      </c>
      <c r="C167" t="s">
        <v>53</v>
      </c>
      <c r="D167" s="3"/>
      <c r="E167" s="3">
        <v>2.5999999999999999E-2</v>
      </c>
      <c r="F167" s="4" t="s">
        <v>37</v>
      </c>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row>
    <row r="169" spans="1:57" x14ac:dyDescent="0.25">
      <c r="A169" s="1" t="s">
        <v>73</v>
      </c>
      <c r="B169" s="1" t="s">
        <v>29</v>
      </c>
      <c r="C169" s="1" t="s">
        <v>30</v>
      </c>
      <c r="D169" s="1" t="s">
        <v>31</v>
      </c>
      <c r="E169" s="1" t="s">
        <v>36</v>
      </c>
      <c r="F169" s="1"/>
      <c r="G169" s="1">
        <v>2000</v>
      </c>
      <c r="H169" s="1">
        <v>2001</v>
      </c>
      <c r="I169" s="1">
        <v>2002</v>
      </c>
      <c r="J169" s="1">
        <v>2003</v>
      </c>
      <c r="K169" s="1">
        <v>2004</v>
      </c>
      <c r="L169" s="1">
        <v>2005</v>
      </c>
      <c r="M169" s="1">
        <v>2006</v>
      </c>
      <c r="N169" s="1">
        <v>2007</v>
      </c>
      <c r="O169" s="1">
        <v>2008</v>
      </c>
      <c r="P169" s="1">
        <v>2009</v>
      </c>
      <c r="Q169" s="1">
        <v>2010</v>
      </c>
      <c r="R169" s="1">
        <v>2011</v>
      </c>
      <c r="S169" s="1">
        <v>2012</v>
      </c>
      <c r="T169" s="1">
        <v>2013</v>
      </c>
      <c r="U169" s="1">
        <v>2014</v>
      </c>
      <c r="V169" s="1">
        <v>2015</v>
      </c>
      <c r="W169" s="1">
        <v>2016</v>
      </c>
      <c r="X169" s="1">
        <v>2017</v>
      </c>
      <c r="Y169" s="1">
        <v>2018</v>
      </c>
      <c r="Z169" s="1">
        <v>2019</v>
      </c>
      <c r="AA169" s="1">
        <v>2020</v>
      </c>
      <c r="AB169" s="1">
        <v>2021</v>
      </c>
      <c r="AC169" s="1">
        <v>2022</v>
      </c>
      <c r="AD169" s="1">
        <v>2023</v>
      </c>
      <c r="AE169" s="1">
        <v>2024</v>
      </c>
      <c r="AF169" s="1">
        <v>2025</v>
      </c>
      <c r="AG169" s="1">
        <v>2026</v>
      </c>
      <c r="AH169" s="1">
        <v>2027</v>
      </c>
      <c r="AI169" s="1">
        <v>2028</v>
      </c>
      <c r="AJ169" s="1">
        <v>2029</v>
      </c>
      <c r="AK169" s="1">
        <v>2030</v>
      </c>
      <c r="AL169" s="1">
        <v>2031</v>
      </c>
      <c r="AM169" s="1">
        <v>2032</v>
      </c>
      <c r="AN169" s="1">
        <v>2033</v>
      </c>
      <c r="AO169" s="1">
        <v>2034</v>
      </c>
      <c r="AP169" s="1">
        <v>2035</v>
      </c>
      <c r="AQ169" s="1">
        <v>2036</v>
      </c>
      <c r="AR169" s="1">
        <v>2037</v>
      </c>
      <c r="AS169" s="1">
        <v>2038</v>
      </c>
      <c r="AT169" s="1">
        <v>2039</v>
      </c>
      <c r="AU169" s="1">
        <v>2040</v>
      </c>
      <c r="AV169" s="1">
        <v>2041</v>
      </c>
      <c r="AW169" s="1">
        <v>2042</v>
      </c>
      <c r="AX169" s="1">
        <v>2043</v>
      </c>
      <c r="AY169" s="1">
        <v>2044</v>
      </c>
      <c r="AZ169" s="1">
        <v>2045</v>
      </c>
      <c r="BA169" s="1">
        <v>2046</v>
      </c>
      <c r="BB169" s="1">
        <v>2047</v>
      </c>
      <c r="BC169" s="1">
        <v>2048</v>
      </c>
      <c r="BD169" s="1">
        <v>2049</v>
      </c>
      <c r="BE169" s="1">
        <v>2050</v>
      </c>
    </row>
    <row r="170" spans="1:57" x14ac:dyDescent="0.25">
      <c r="A170" s="1" t="str">
        <f>'Population Definitions'!$A$2</f>
        <v>PWID_males</v>
      </c>
      <c r="C170" t="s">
        <v>53</v>
      </c>
      <c r="D170" s="3"/>
      <c r="E170" s="3">
        <v>0.06</v>
      </c>
      <c r="F170" s="4" t="s">
        <v>37</v>
      </c>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row>
    <row r="171" spans="1:57" x14ac:dyDescent="0.25">
      <c r="A171" s="1" t="str">
        <f>'Population Definitions'!$A$3</f>
        <v>PWID_females</v>
      </c>
      <c r="C171" t="s">
        <v>53</v>
      </c>
      <c r="D171" s="3"/>
      <c r="E171" s="3">
        <v>0.06</v>
      </c>
      <c r="F171" s="4" t="s">
        <v>37</v>
      </c>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row>
    <row r="172" spans="1:57" x14ac:dyDescent="0.25">
      <c r="A172" s="1" t="str">
        <f>'Population Definitions'!$A$4</f>
        <v>0-9_males</v>
      </c>
      <c r="C172" t="s">
        <v>53</v>
      </c>
      <c r="D172" s="3"/>
      <c r="E172" s="3">
        <v>0.06</v>
      </c>
      <c r="F172" s="4" t="s">
        <v>37</v>
      </c>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row>
    <row r="173" spans="1:57" x14ac:dyDescent="0.25">
      <c r="A173" s="1" t="str">
        <f>'Population Definitions'!$A$5</f>
        <v>0-9_females</v>
      </c>
      <c r="C173" t="s">
        <v>53</v>
      </c>
      <c r="D173" s="3"/>
      <c r="E173" s="3">
        <v>0.06</v>
      </c>
      <c r="F173" s="4" t="s">
        <v>37</v>
      </c>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row>
    <row r="174" spans="1:57" x14ac:dyDescent="0.25">
      <c r="A174" s="1" t="str">
        <f>'Population Definitions'!$A$6</f>
        <v>10-17_males</v>
      </c>
      <c r="C174" t="s">
        <v>53</v>
      </c>
      <c r="D174" s="3"/>
      <c r="E174" s="3">
        <v>0.06</v>
      </c>
      <c r="F174" s="4" t="s">
        <v>37</v>
      </c>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row>
    <row r="175" spans="1:57" x14ac:dyDescent="0.25">
      <c r="A175" s="1" t="str">
        <f>'Population Definitions'!$A$7</f>
        <v>10-17_females</v>
      </c>
      <c r="C175" t="s">
        <v>53</v>
      </c>
      <c r="D175" s="3"/>
      <c r="E175" s="3">
        <v>0.06</v>
      </c>
      <c r="F175" s="4" t="s">
        <v>37</v>
      </c>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row>
    <row r="176" spans="1:57" x14ac:dyDescent="0.25">
      <c r="A176" s="1" t="str">
        <f>'Population Definitions'!$A$8</f>
        <v>18-64_males</v>
      </c>
      <c r="C176" t="s">
        <v>53</v>
      </c>
      <c r="D176" s="3"/>
      <c r="E176" s="3">
        <v>0.06</v>
      </c>
      <c r="F176" s="4" t="s">
        <v>37</v>
      </c>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row>
    <row r="177" spans="1:57" x14ac:dyDescent="0.25">
      <c r="A177" s="1" t="str">
        <f>'Population Definitions'!$A$9</f>
        <v>18-64_females</v>
      </c>
      <c r="C177" t="s">
        <v>53</v>
      </c>
      <c r="D177" s="3"/>
      <c r="E177" s="3">
        <v>0.06</v>
      </c>
      <c r="F177" s="4" t="s">
        <v>37</v>
      </c>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row>
    <row r="178" spans="1:57" x14ac:dyDescent="0.25">
      <c r="A178" s="1" t="str">
        <f>'Population Definitions'!$A$10</f>
        <v>65+_males</v>
      </c>
      <c r="C178" t="s">
        <v>53</v>
      </c>
      <c r="D178" s="3"/>
      <c r="E178" s="3">
        <v>0.06</v>
      </c>
      <c r="F178" s="4" t="s">
        <v>37</v>
      </c>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row>
    <row r="179" spans="1:57" x14ac:dyDescent="0.25">
      <c r="A179" s="1" t="str">
        <f>'Population Definitions'!$A$11</f>
        <v>65+_females</v>
      </c>
      <c r="C179" t="s">
        <v>53</v>
      </c>
      <c r="D179" s="3"/>
      <c r="E179" s="3">
        <v>0.06</v>
      </c>
      <c r="F179" s="4" t="s">
        <v>37</v>
      </c>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row>
    <row r="180" spans="1:57" x14ac:dyDescent="0.25">
      <c r="A180" s="1" t="str">
        <f>'Population Definitions'!$A$12</f>
        <v>Prisoners_males</v>
      </c>
      <c r="C180" t="s">
        <v>53</v>
      </c>
      <c r="D180" s="3"/>
      <c r="E180" s="3">
        <v>0.06</v>
      </c>
      <c r="F180" s="4" t="s">
        <v>37</v>
      </c>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row>
    <row r="181" spans="1:57" x14ac:dyDescent="0.25">
      <c r="A181" s="1" t="str">
        <f>'Population Definitions'!$A$13</f>
        <v>Prisoners_females</v>
      </c>
      <c r="C181" t="s">
        <v>53</v>
      </c>
      <c r="D181" s="3"/>
      <c r="E181" s="3">
        <v>0.06</v>
      </c>
      <c r="F181" s="4" t="s">
        <v>37</v>
      </c>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row>
    <row r="183" spans="1:57" x14ac:dyDescent="0.25">
      <c r="A183" s="1" t="s">
        <v>74</v>
      </c>
      <c r="B183" s="1" t="s">
        <v>29</v>
      </c>
      <c r="C183" s="1" t="s">
        <v>30</v>
      </c>
      <c r="D183" s="1" t="s">
        <v>31</v>
      </c>
      <c r="E183" s="1" t="s">
        <v>36</v>
      </c>
      <c r="F183" s="1"/>
      <c r="G183" s="1">
        <v>2000</v>
      </c>
      <c r="H183" s="1">
        <v>2001</v>
      </c>
      <c r="I183" s="1">
        <v>2002</v>
      </c>
      <c r="J183" s="1">
        <v>2003</v>
      </c>
      <c r="K183" s="1">
        <v>2004</v>
      </c>
      <c r="L183" s="1">
        <v>2005</v>
      </c>
      <c r="M183" s="1">
        <v>2006</v>
      </c>
      <c r="N183" s="1">
        <v>2007</v>
      </c>
      <c r="O183" s="1">
        <v>2008</v>
      </c>
      <c r="P183" s="1">
        <v>2009</v>
      </c>
      <c r="Q183" s="1">
        <v>2010</v>
      </c>
      <c r="R183" s="1">
        <v>2011</v>
      </c>
      <c r="S183" s="1">
        <v>2012</v>
      </c>
      <c r="T183" s="1">
        <v>2013</v>
      </c>
      <c r="U183" s="1">
        <v>2014</v>
      </c>
      <c r="V183" s="1">
        <v>2015</v>
      </c>
      <c r="W183" s="1">
        <v>2016</v>
      </c>
      <c r="X183" s="1">
        <v>2017</v>
      </c>
      <c r="Y183" s="1">
        <v>2018</v>
      </c>
      <c r="Z183" s="1">
        <v>2019</v>
      </c>
      <c r="AA183" s="1">
        <v>2020</v>
      </c>
      <c r="AB183" s="1">
        <v>2021</v>
      </c>
      <c r="AC183" s="1">
        <v>2022</v>
      </c>
      <c r="AD183" s="1">
        <v>2023</v>
      </c>
      <c r="AE183" s="1">
        <v>2024</v>
      </c>
      <c r="AF183" s="1">
        <v>2025</v>
      </c>
      <c r="AG183" s="1">
        <v>2026</v>
      </c>
      <c r="AH183" s="1">
        <v>2027</v>
      </c>
      <c r="AI183" s="1">
        <v>2028</v>
      </c>
      <c r="AJ183" s="1">
        <v>2029</v>
      </c>
      <c r="AK183" s="1">
        <v>2030</v>
      </c>
      <c r="AL183" s="1">
        <v>2031</v>
      </c>
      <c r="AM183" s="1">
        <v>2032</v>
      </c>
      <c r="AN183" s="1">
        <v>2033</v>
      </c>
      <c r="AO183" s="1">
        <v>2034</v>
      </c>
      <c r="AP183" s="1">
        <v>2035</v>
      </c>
      <c r="AQ183" s="1">
        <v>2036</v>
      </c>
      <c r="AR183" s="1">
        <v>2037</v>
      </c>
      <c r="AS183" s="1">
        <v>2038</v>
      </c>
      <c r="AT183" s="1">
        <v>2039</v>
      </c>
      <c r="AU183" s="1">
        <v>2040</v>
      </c>
      <c r="AV183" s="1">
        <v>2041</v>
      </c>
      <c r="AW183" s="1">
        <v>2042</v>
      </c>
      <c r="AX183" s="1">
        <v>2043</v>
      </c>
      <c r="AY183" s="1">
        <v>2044</v>
      </c>
      <c r="AZ183" s="1">
        <v>2045</v>
      </c>
      <c r="BA183" s="1">
        <v>2046</v>
      </c>
      <c r="BB183" s="1">
        <v>2047</v>
      </c>
      <c r="BC183" s="1">
        <v>2048</v>
      </c>
      <c r="BD183" s="1">
        <v>2049</v>
      </c>
      <c r="BE183" s="1">
        <v>2050</v>
      </c>
    </row>
    <row r="184" spans="1:57" x14ac:dyDescent="0.25">
      <c r="A184" s="1" t="str">
        <f>'Population Definitions'!$A$2</f>
        <v>PWID_males</v>
      </c>
      <c r="C184" t="s">
        <v>53</v>
      </c>
      <c r="D184" s="3"/>
      <c r="E184" s="3">
        <v>7.0000000000000007E-2</v>
      </c>
      <c r="F184" s="4" t="s">
        <v>37</v>
      </c>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row>
    <row r="185" spans="1:57" x14ac:dyDescent="0.25">
      <c r="A185" s="1" t="str">
        <f>'Population Definitions'!$A$3</f>
        <v>PWID_females</v>
      </c>
      <c r="C185" t="s">
        <v>53</v>
      </c>
      <c r="D185" s="3"/>
      <c r="E185" s="3">
        <v>7.0000000000000007E-2</v>
      </c>
      <c r="F185" s="4" t="s">
        <v>37</v>
      </c>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row>
    <row r="186" spans="1:57" x14ac:dyDescent="0.25">
      <c r="A186" s="1" t="str">
        <f>'Population Definitions'!$A$4</f>
        <v>0-9_males</v>
      </c>
      <c r="C186" t="s">
        <v>53</v>
      </c>
      <c r="D186" s="3"/>
      <c r="E186" s="3">
        <v>7.0000000000000007E-2</v>
      </c>
      <c r="F186" s="4" t="s">
        <v>37</v>
      </c>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row>
    <row r="187" spans="1:57" x14ac:dyDescent="0.25">
      <c r="A187" s="1" t="str">
        <f>'Population Definitions'!$A$5</f>
        <v>0-9_females</v>
      </c>
      <c r="C187" t="s">
        <v>53</v>
      </c>
      <c r="D187" s="3"/>
      <c r="E187" s="3">
        <v>7.0000000000000007E-2</v>
      </c>
      <c r="F187" s="4" t="s">
        <v>37</v>
      </c>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row>
    <row r="188" spans="1:57" x14ac:dyDescent="0.25">
      <c r="A188" s="1" t="str">
        <f>'Population Definitions'!$A$6</f>
        <v>10-17_males</v>
      </c>
      <c r="C188" t="s">
        <v>53</v>
      </c>
      <c r="D188" s="3"/>
      <c r="E188" s="3">
        <v>7.0000000000000007E-2</v>
      </c>
      <c r="F188" s="4" t="s">
        <v>37</v>
      </c>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row>
    <row r="189" spans="1:57" x14ac:dyDescent="0.25">
      <c r="A189" s="1" t="str">
        <f>'Population Definitions'!$A$7</f>
        <v>10-17_females</v>
      </c>
      <c r="C189" t="s">
        <v>53</v>
      </c>
      <c r="D189" s="3"/>
      <c r="E189" s="3">
        <v>7.0000000000000007E-2</v>
      </c>
      <c r="F189" s="4" t="s">
        <v>37</v>
      </c>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row>
    <row r="190" spans="1:57" x14ac:dyDescent="0.25">
      <c r="A190" s="1" t="str">
        <f>'Population Definitions'!$A$8</f>
        <v>18-64_males</v>
      </c>
      <c r="C190" t="s">
        <v>53</v>
      </c>
      <c r="D190" s="3"/>
      <c r="E190" s="3">
        <v>7.0000000000000007E-2</v>
      </c>
      <c r="F190" s="4" t="s">
        <v>37</v>
      </c>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row>
    <row r="191" spans="1:57" x14ac:dyDescent="0.25">
      <c r="A191" s="1" t="str">
        <f>'Population Definitions'!$A$9</f>
        <v>18-64_females</v>
      </c>
      <c r="C191" t="s">
        <v>53</v>
      </c>
      <c r="D191" s="3"/>
      <c r="E191" s="3">
        <v>7.0000000000000007E-2</v>
      </c>
      <c r="F191" s="4" t="s">
        <v>37</v>
      </c>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row>
    <row r="192" spans="1:57" x14ac:dyDescent="0.25">
      <c r="A192" s="1" t="str">
        <f>'Population Definitions'!$A$10</f>
        <v>65+_males</v>
      </c>
      <c r="C192" t="s">
        <v>53</v>
      </c>
      <c r="D192" s="3"/>
      <c r="E192" s="3">
        <v>7.0000000000000007E-2</v>
      </c>
      <c r="F192" s="4" t="s">
        <v>37</v>
      </c>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row>
    <row r="193" spans="1:57" x14ac:dyDescent="0.25">
      <c r="A193" s="1" t="str">
        <f>'Population Definitions'!$A$11</f>
        <v>65+_females</v>
      </c>
      <c r="C193" t="s">
        <v>53</v>
      </c>
      <c r="D193" s="3"/>
      <c r="E193" s="3">
        <v>7.0000000000000007E-2</v>
      </c>
      <c r="F193" s="4" t="s">
        <v>37</v>
      </c>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row>
    <row r="194" spans="1:57" x14ac:dyDescent="0.25">
      <c r="A194" s="1" t="str">
        <f>'Population Definitions'!$A$12</f>
        <v>Prisoners_males</v>
      </c>
      <c r="C194" t="s">
        <v>53</v>
      </c>
      <c r="D194" s="3"/>
      <c r="E194" s="3">
        <v>7.0000000000000007E-2</v>
      </c>
      <c r="F194" s="4" t="s">
        <v>37</v>
      </c>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row>
    <row r="195" spans="1:57" x14ac:dyDescent="0.25">
      <c r="A195" s="1" t="str">
        <f>'Population Definitions'!$A$13</f>
        <v>Prisoners_females</v>
      </c>
      <c r="C195" t="s">
        <v>53</v>
      </c>
      <c r="D195" s="3"/>
      <c r="E195" s="3">
        <v>7.0000000000000007E-2</v>
      </c>
      <c r="F195" s="4" t="s">
        <v>37</v>
      </c>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row>
    <row r="197" spans="1:57" x14ac:dyDescent="0.25">
      <c r="A197" s="1" t="s">
        <v>75</v>
      </c>
      <c r="B197" s="1" t="s">
        <v>29</v>
      </c>
      <c r="C197" s="1" t="s">
        <v>30</v>
      </c>
      <c r="D197" s="1" t="s">
        <v>31</v>
      </c>
      <c r="E197" s="1" t="s">
        <v>36</v>
      </c>
      <c r="F197" s="1"/>
      <c r="G197" s="1">
        <v>2000</v>
      </c>
      <c r="H197" s="1">
        <v>2001</v>
      </c>
      <c r="I197" s="1">
        <v>2002</v>
      </c>
      <c r="J197" s="1">
        <v>2003</v>
      </c>
      <c r="K197" s="1">
        <v>2004</v>
      </c>
      <c r="L197" s="1">
        <v>2005</v>
      </c>
      <c r="M197" s="1">
        <v>2006</v>
      </c>
      <c r="N197" s="1">
        <v>2007</v>
      </c>
      <c r="O197" s="1">
        <v>2008</v>
      </c>
      <c r="P197" s="1">
        <v>2009</v>
      </c>
      <c r="Q197" s="1">
        <v>2010</v>
      </c>
      <c r="R197" s="1">
        <v>2011</v>
      </c>
      <c r="S197" s="1">
        <v>2012</v>
      </c>
      <c r="T197" s="1">
        <v>2013</v>
      </c>
      <c r="U197" s="1">
        <v>2014</v>
      </c>
      <c r="V197" s="1">
        <v>2015</v>
      </c>
      <c r="W197" s="1">
        <v>2016</v>
      </c>
      <c r="X197" s="1">
        <v>2017</v>
      </c>
      <c r="Y197" s="1">
        <v>2018</v>
      </c>
      <c r="Z197" s="1">
        <v>2019</v>
      </c>
      <c r="AA197" s="1">
        <v>2020</v>
      </c>
      <c r="AB197" s="1">
        <v>2021</v>
      </c>
      <c r="AC197" s="1">
        <v>2022</v>
      </c>
      <c r="AD197" s="1">
        <v>2023</v>
      </c>
      <c r="AE197" s="1">
        <v>2024</v>
      </c>
      <c r="AF197" s="1">
        <v>2025</v>
      </c>
      <c r="AG197" s="1">
        <v>2026</v>
      </c>
      <c r="AH197" s="1">
        <v>2027</v>
      </c>
      <c r="AI197" s="1">
        <v>2028</v>
      </c>
      <c r="AJ197" s="1">
        <v>2029</v>
      </c>
      <c r="AK197" s="1">
        <v>2030</v>
      </c>
      <c r="AL197" s="1">
        <v>2031</v>
      </c>
      <c r="AM197" s="1">
        <v>2032</v>
      </c>
      <c r="AN197" s="1">
        <v>2033</v>
      </c>
      <c r="AO197" s="1">
        <v>2034</v>
      </c>
      <c r="AP197" s="1">
        <v>2035</v>
      </c>
      <c r="AQ197" s="1">
        <v>2036</v>
      </c>
      <c r="AR197" s="1">
        <v>2037</v>
      </c>
      <c r="AS197" s="1">
        <v>2038</v>
      </c>
      <c r="AT197" s="1">
        <v>2039</v>
      </c>
      <c r="AU197" s="1">
        <v>2040</v>
      </c>
      <c r="AV197" s="1">
        <v>2041</v>
      </c>
      <c r="AW197" s="1">
        <v>2042</v>
      </c>
      <c r="AX197" s="1">
        <v>2043</v>
      </c>
      <c r="AY197" s="1">
        <v>2044</v>
      </c>
      <c r="AZ197" s="1">
        <v>2045</v>
      </c>
      <c r="BA197" s="1">
        <v>2046</v>
      </c>
      <c r="BB197" s="1">
        <v>2047</v>
      </c>
      <c r="BC197" s="1">
        <v>2048</v>
      </c>
      <c r="BD197" s="1">
        <v>2049</v>
      </c>
      <c r="BE197" s="1">
        <v>2050</v>
      </c>
    </row>
    <row r="198" spans="1:57" x14ac:dyDescent="0.25">
      <c r="A198" s="1" t="str">
        <f>'Population Definitions'!$A$2</f>
        <v>PWID_males</v>
      </c>
      <c r="C198" t="s">
        <v>53</v>
      </c>
      <c r="D198" s="3"/>
      <c r="E198" s="3">
        <v>0.05</v>
      </c>
      <c r="F198" s="4" t="s">
        <v>37</v>
      </c>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row>
    <row r="199" spans="1:57" x14ac:dyDescent="0.25">
      <c r="A199" s="1" t="str">
        <f>'Population Definitions'!$A$3</f>
        <v>PWID_females</v>
      </c>
      <c r="C199" t="s">
        <v>53</v>
      </c>
      <c r="D199" s="3"/>
      <c r="E199" s="3">
        <v>0.05</v>
      </c>
      <c r="F199" s="4" t="s">
        <v>37</v>
      </c>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row>
    <row r="200" spans="1:57" x14ac:dyDescent="0.25">
      <c r="A200" s="1" t="str">
        <f>'Population Definitions'!$A$4</f>
        <v>0-9_males</v>
      </c>
      <c r="C200" t="s">
        <v>53</v>
      </c>
      <c r="D200" s="3"/>
      <c r="E200" s="3">
        <v>0.05</v>
      </c>
      <c r="F200" s="4" t="s">
        <v>37</v>
      </c>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row>
    <row r="201" spans="1:57" x14ac:dyDescent="0.25">
      <c r="A201" s="1" t="str">
        <f>'Population Definitions'!$A$5</f>
        <v>0-9_females</v>
      </c>
      <c r="C201" t="s">
        <v>53</v>
      </c>
      <c r="D201" s="3"/>
      <c r="E201" s="3">
        <v>0.05</v>
      </c>
      <c r="F201" s="4" t="s">
        <v>37</v>
      </c>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row>
    <row r="202" spans="1:57" x14ac:dyDescent="0.25">
      <c r="A202" s="1" t="str">
        <f>'Population Definitions'!$A$6</f>
        <v>10-17_males</v>
      </c>
      <c r="C202" t="s">
        <v>53</v>
      </c>
      <c r="D202" s="3"/>
      <c r="E202" s="3">
        <v>0.05</v>
      </c>
      <c r="F202" s="4" t="s">
        <v>37</v>
      </c>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row>
    <row r="203" spans="1:57" x14ac:dyDescent="0.25">
      <c r="A203" s="1" t="str">
        <f>'Population Definitions'!$A$7</f>
        <v>10-17_females</v>
      </c>
      <c r="C203" t="s">
        <v>53</v>
      </c>
      <c r="D203" s="3"/>
      <c r="E203" s="3">
        <v>0.05</v>
      </c>
      <c r="F203" s="4" t="s">
        <v>37</v>
      </c>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row>
    <row r="204" spans="1:57" x14ac:dyDescent="0.25">
      <c r="A204" s="1" t="str">
        <f>'Population Definitions'!$A$8</f>
        <v>18-64_males</v>
      </c>
      <c r="C204" t="s">
        <v>53</v>
      </c>
      <c r="D204" s="3"/>
      <c r="E204" s="3">
        <v>0.05</v>
      </c>
      <c r="F204" s="4" t="s">
        <v>37</v>
      </c>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row>
    <row r="205" spans="1:57" x14ac:dyDescent="0.25">
      <c r="A205" s="1" t="str">
        <f>'Population Definitions'!$A$9</f>
        <v>18-64_females</v>
      </c>
      <c r="C205" t="s">
        <v>53</v>
      </c>
      <c r="D205" s="3"/>
      <c r="E205" s="3">
        <v>0.05</v>
      </c>
      <c r="F205" s="4" t="s">
        <v>37</v>
      </c>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row>
    <row r="206" spans="1:57" x14ac:dyDescent="0.25">
      <c r="A206" s="1" t="str">
        <f>'Population Definitions'!$A$10</f>
        <v>65+_males</v>
      </c>
      <c r="C206" t="s">
        <v>53</v>
      </c>
      <c r="D206" s="3"/>
      <c r="E206" s="3">
        <v>0.05</v>
      </c>
      <c r="F206" s="4" t="s">
        <v>37</v>
      </c>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row>
    <row r="207" spans="1:57" x14ac:dyDescent="0.25">
      <c r="A207" s="1" t="str">
        <f>'Population Definitions'!$A$11</f>
        <v>65+_females</v>
      </c>
      <c r="C207" t="s">
        <v>53</v>
      </c>
      <c r="D207" s="3"/>
      <c r="E207" s="3">
        <v>0.05</v>
      </c>
      <c r="F207" s="4" t="s">
        <v>37</v>
      </c>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row>
    <row r="208" spans="1:57" x14ac:dyDescent="0.25">
      <c r="A208" s="1" t="str">
        <f>'Population Definitions'!$A$12</f>
        <v>Prisoners_males</v>
      </c>
      <c r="C208" t="s">
        <v>53</v>
      </c>
      <c r="D208" s="3"/>
      <c r="E208" s="3">
        <v>0.05</v>
      </c>
      <c r="F208" s="4" t="s">
        <v>37</v>
      </c>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row>
    <row r="209" spans="1:57" x14ac:dyDescent="0.25">
      <c r="A209" s="1" t="str">
        <f>'Population Definitions'!$A$13</f>
        <v>Prisoners_females</v>
      </c>
      <c r="C209" t="s">
        <v>53</v>
      </c>
      <c r="D209" s="3"/>
      <c r="E209" s="3">
        <v>0.05</v>
      </c>
      <c r="F209" s="4" t="s">
        <v>37</v>
      </c>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row>
    <row r="211" spans="1:57" x14ac:dyDescent="0.25">
      <c r="A211" s="1" t="s">
        <v>76</v>
      </c>
      <c r="B211" s="1" t="s">
        <v>29</v>
      </c>
      <c r="C211" s="1" t="s">
        <v>30</v>
      </c>
      <c r="D211" s="1" t="s">
        <v>31</v>
      </c>
      <c r="E211" s="1" t="s">
        <v>36</v>
      </c>
      <c r="F211" s="1"/>
      <c r="G211" s="1">
        <v>2000</v>
      </c>
      <c r="H211" s="1">
        <v>2001</v>
      </c>
      <c r="I211" s="1">
        <v>2002</v>
      </c>
      <c r="J211" s="1">
        <v>2003</v>
      </c>
      <c r="K211" s="1">
        <v>2004</v>
      </c>
      <c r="L211" s="1">
        <v>2005</v>
      </c>
      <c r="M211" s="1">
        <v>2006</v>
      </c>
      <c r="N211" s="1">
        <v>2007</v>
      </c>
      <c r="O211" s="1">
        <v>2008</v>
      </c>
      <c r="P211" s="1">
        <v>2009</v>
      </c>
      <c r="Q211" s="1">
        <v>2010</v>
      </c>
      <c r="R211" s="1">
        <v>2011</v>
      </c>
      <c r="S211" s="1">
        <v>2012</v>
      </c>
      <c r="T211" s="1">
        <v>2013</v>
      </c>
      <c r="U211" s="1">
        <v>2014</v>
      </c>
      <c r="V211" s="1">
        <v>2015</v>
      </c>
      <c r="W211" s="1">
        <v>2016</v>
      </c>
      <c r="X211" s="1">
        <v>2017</v>
      </c>
      <c r="Y211" s="1">
        <v>2018</v>
      </c>
      <c r="Z211" s="1">
        <v>2019</v>
      </c>
      <c r="AA211" s="1">
        <v>2020</v>
      </c>
      <c r="AB211" s="1">
        <v>2021</v>
      </c>
      <c r="AC211" s="1">
        <v>2022</v>
      </c>
      <c r="AD211" s="1">
        <v>2023</v>
      </c>
      <c r="AE211" s="1">
        <v>2024</v>
      </c>
      <c r="AF211" s="1">
        <v>2025</v>
      </c>
      <c r="AG211" s="1">
        <v>2026</v>
      </c>
      <c r="AH211" s="1">
        <v>2027</v>
      </c>
      <c r="AI211" s="1">
        <v>2028</v>
      </c>
      <c r="AJ211" s="1">
        <v>2029</v>
      </c>
      <c r="AK211" s="1">
        <v>2030</v>
      </c>
      <c r="AL211" s="1">
        <v>2031</v>
      </c>
      <c r="AM211" s="1">
        <v>2032</v>
      </c>
      <c r="AN211" s="1">
        <v>2033</v>
      </c>
      <c r="AO211" s="1">
        <v>2034</v>
      </c>
      <c r="AP211" s="1">
        <v>2035</v>
      </c>
      <c r="AQ211" s="1">
        <v>2036</v>
      </c>
      <c r="AR211" s="1">
        <v>2037</v>
      </c>
      <c r="AS211" s="1">
        <v>2038</v>
      </c>
      <c r="AT211" s="1">
        <v>2039</v>
      </c>
      <c r="AU211" s="1">
        <v>2040</v>
      </c>
      <c r="AV211" s="1">
        <v>2041</v>
      </c>
      <c r="AW211" s="1">
        <v>2042</v>
      </c>
      <c r="AX211" s="1">
        <v>2043</v>
      </c>
      <c r="AY211" s="1">
        <v>2044</v>
      </c>
      <c r="AZ211" s="1">
        <v>2045</v>
      </c>
      <c r="BA211" s="1">
        <v>2046</v>
      </c>
      <c r="BB211" s="1">
        <v>2047</v>
      </c>
      <c r="BC211" s="1">
        <v>2048</v>
      </c>
      <c r="BD211" s="1">
        <v>2049</v>
      </c>
      <c r="BE211" s="1">
        <v>2050</v>
      </c>
    </row>
    <row r="212" spans="1:57" x14ac:dyDescent="0.25">
      <c r="A212" s="1" t="str">
        <f>'Population Definitions'!$A$2</f>
        <v>PWID_males</v>
      </c>
      <c r="C212" t="s">
        <v>53</v>
      </c>
      <c r="D212" s="3"/>
      <c r="E212" s="3">
        <v>0.03</v>
      </c>
      <c r="F212" s="4" t="s">
        <v>37</v>
      </c>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row>
    <row r="213" spans="1:57" x14ac:dyDescent="0.25">
      <c r="A213" s="1" t="str">
        <f>'Population Definitions'!$A$3</f>
        <v>PWID_females</v>
      </c>
      <c r="C213" t="s">
        <v>53</v>
      </c>
      <c r="D213" s="3"/>
      <c r="E213" s="3">
        <v>0.03</v>
      </c>
      <c r="F213" s="4" t="s">
        <v>37</v>
      </c>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row>
    <row r="214" spans="1:57" x14ac:dyDescent="0.25">
      <c r="A214" s="1" t="str">
        <f>'Population Definitions'!$A$4</f>
        <v>0-9_males</v>
      </c>
      <c r="C214" t="s">
        <v>53</v>
      </c>
      <c r="D214" s="3"/>
      <c r="E214" s="3">
        <v>0.03</v>
      </c>
      <c r="F214" s="4" t="s">
        <v>37</v>
      </c>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row>
    <row r="215" spans="1:57" x14ac:dyDescent="0.25">
      <c r="A215" s="1" t="str">
        <f>'Population Definitions'!$A$5</f>
        <v>0-9_females</v>
      </c>
      <c r="C215" t="s">
        <v>53</v>
      </c>
      <c r="D215" s="3"/>
      <c r="E215" s="3">
        <v>0.03</v>
      </c>
      <c r="F215" s="4" t="s">
        <v>37</v>
      </c>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row>
    <row r="216" spans="1:57" x14ac:dyDescent="0.25">
      <c r="A216" s="1" t="str">
        <f>'Population Definitions'!$A$6</f>
        <v>10-17_males</v>
      </c>
      <c r="C216" t="s">
        <v>53</v>
      </c>
      <c r="D216" s="3"/>
      <c r="E216" s="3">
        <v>0.03</v>
      </c>
      <c r="F216" s="4" t="s">
        <v>37</v>
      </c>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row>
    <row r="217" spans="1:57" x14ac:dyDescent="0.25">
      <c r="A217" s="1" t="str">
        <f>'Population Definitions'!$A$7</f>
        <v>10-17_females</v>
      </c>
      <c r="C217" t="s">
        <v>53</v>
      </c>
      <c r="D217" s="3"/>
      <c r="E217" s="3">
        <v>0.03</v>
      </c>
      <c r="F217" s="4" t="s">
        <v>37</v>
      </c>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row>
    <row r="218" spans="1:57" x14ac:dyDescent="0.25">
      <c r="A218" s="1" t="str">
        <f>'Population Definitions'!$A$8</f>
        <v>18-64_males</v>
      </c>
      <c r="C218" t="s">
        <v>53</v>
      </c>
      <c r="D218" s="3"/>
      <c r="E218" s="3">
        <v>0.03</v>
      </c>
      <c r="F218" s="4" t="s">
        <v>37</v>
      </c>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row>
    <row r="219" spans="1:57" x14ac:dyDescent="0.25">
      <c r="A219" s="1" t="str">
        <f>'Population Definitions'!$A$9</f>
        <v>18-64_females</v>
      </c>
      <c r="C219" t="s">
        <v>53</v>
      </c>
      <c r="D219" s="3"/>
      <c r="E219" s="3">
        <v>0.03</v>
      </c>
      <c r="F219" s="4" t="s">
        <v>37</v>
      </c>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row>
    <row r="220" spans="1:57" x14ac:dyDescent="0.25">
      <c r="A220" s="1" t="str">
        <f>'Population Definitions'!$A$10</f>
        <v>65+_males</v>
      </c>
      <c r="C220" t="s">
        <v>53</v>
      </c>
      <c r="D220" s="3"/>
      <c r="E220" s="3">
        <v>0.03</v>
      </c>
      <c r="F220" s="4" t="s">
        <v>37</v>
      </c>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row>
    <row r="221" spans="1:57" x14ac:dyDescent="0.25">
      <c r="A221" s="1" t="str">
        <f>'Population Definitions'!$A$11</f>
        <v>65+_females</v>
      </c>
      <c r="C221" t="s">
        <v>53</v>
      </c>
      <c r="D221" s="3"/>
      <c r="E221" s="3">
        <v>0.03</v>
      </c>
      <c r="F221" s="4" t="s">
        <v>37</v>
      </c>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row>
    <row r="222" spans="1:57" x14ac:dyDescent="0.25">
      <c r="A222" s="1" t="str">
        <f>'Population Definitions'!$A$12</f>
        <v>Prisoners_males</v>
      </c>
      <c r="C222" t="s">
        <v>53</v>
      </c>
      <c r="D222" s="3"/>
      <c r="E222" s="3">
        <v>0.03</v>
      </c>
      <c r="F222" s="4" t="s">
        <v>37</v>
      </c>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row>
    <row r="223" spans="1:57" x14ac:dyDescent="0.25">
      <c r="A223" s="1" t="str">
        <f>'Population Definitions'!$A$13</f>
        <v>Prisoners_females</v>
      </c>
      <c r="C223" t="s">
        <v>53</v>
      </c>
      <c r="D223" s="3"/>
      <c r="E223" s="3">
        <v>0.03</v>
      </c>
      <c r="F223" s="4" t="s">
        <v>37</v>
      </c>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row>
    <row r="225" spans="1:57" x14ac:dyDescent="0.25">
      <c r="A225" s="1" t="s">
        <v>77</v>
      </c>
      <c r="B225" s="1" t="s">
        <v>29</v>
      </c>
      <c r="C225" s="1" t="s">
        <v>30</v>
      </c>
      <c r="D225" s="1" t="s">
        <v>31</v>
      </c>
      <c r="E225" s="1" t="s">
        <v>36</v>
      </c>
      <c r="F225" s="1"/>
      <c r="G225" s="1">
        <v>2000</v>
      </c>
      <c r="H225" s="1">
        <v>2001</v>
      </c>
      <c r="I225" s="1">
        <v>2002</v>
      </c>
      <c r="J225" s="1">
        <v>2003</v>
      </c>
      <c r="K225" s="1">
        <v>2004</v>
      </c>
      <c r="L225" s="1">
        <v>2005</v>
      </c>
      <c r="M225" s="1">
        <v>2006</v>
      </c>
      <c r="N225" s="1">
        <v>2007</v>
      </c>
      <c r="O225" s="1">
        <v>2008</v>
      </c>
      <c r="P225" s="1">
        <v>2009</v>
      </c>
      <c r="Q225" s="1">
        <v>2010</v>
      </c>
      <c r="R225" s="1">
        <v>2011</v>
      </c>
      <c r="S225" s="1">
        <v>2012</v>
      </c>
      <c r="T225" s="1">
        <v>2013</v>
      </c>
      <c r="U225" s="1">
        <v>2014</v>
      </c>
      <c r="V225" s="1">
        <v>2015</v>
      </c>
      <c r="W225" s="1">
        <v>2016</v>
      </c>
      <c r="X225" s="1">
        <v>2017</v>
      </c>
      <c r="Y225" s="1">
        <v>2018</v>
      </c>
      <c r="Z225" s="1">
        <v>2019</v>
      </c>
      <c r="AA225" s="1">
        <v>2020</v>
      </c>
      <c r="AB225" s="1">
        <v>2021</v>
      </c>
      <c r="AC225" s="1">
        <v>2022</v>
      </c>
      <c r="AD225" s="1">
        <v>2023</v>
      </c>
      <c r="AE225" s="1">
        <v>2024</v>
      </c>
      <c r="AF225" s="1">
        <v>2025</v>
      </c>
      <c r="AG225" s="1">
        <v>2026</v>
      </c>
      <c r="AH225" s="1">
        <v>2027</v>
      </c>
      <c r="AI225" s="1">
        <v>2028</v>
      </c>
      <c r="AJ225" s="1">
        <v>2029</v>
      </c>
      <c r="AK225" s="1">
        <v>2030</v>
      </c>
      <c r="AL225" s="1">
        <v>2031</v>
      </c>
      <c r="AM225" s="1">
        <v>2032</v>
      </c>
      <c r="AN225" s="1">
        <v>2033</v>
      </c>
      <c r="AO225" s="1">
        <v>2034</v>
      </c>
      <c r="AP225" s="1">
        <v>2035</v>
      </c>
      <c r="AQ225" s="1">
        <v>2036</v>
      </c>
      <c r="AR225" s="1">
        <v>2037</v>
      </c>
      <c r="AS225" s="1">
        <v>2038</v>
      </c>
      <c r="AT225" s="1">
        <v>2039</v>
      </c>
      <c r="AU225" s="1">
        <v>2040</v>
      </c>
      <c r="AV225" s="1">
        <v>2041</v>
      </c>
      <c r="AW225" s="1">
        <v>2042</v>
      </c>
      <c r="AX225" s="1">
        <v>2043</v>
      </c>
      <c r="AY225" s="1">
        <v>2044</v>
      </c>
      <c r="AZ225" s="1">
        <v>2045</v>
      </c>
      <c r="BA225" s="1">
        <v>2046</v>
      </c>
      <c r="BB225" s="1">
        <v>2047</v>
      </c>
      <c r="BC225" s="1">
        <v>2048</v>
      </c>
      <c r="BD225" s="1">
        <v>2049</v>
      </c>
      <c r="BE225" s="1">
        <v>2050</v>
      </c>
    </row>
    <row r="226" spans="1:57" x14ac:dyDescent="0.25">
      <c r="A226" s="1" t="str">
        <f>'Population Definitions'!$A$2</f>
        <v>PWID_males</v>
      </c>
      <c r="C226" t="s">
        <v>56</v>
      </c>
      <c r="D226" s="3"/>
      <c r="E226" s="3">
        <v>0.5</v>
      </c>
      <c r="F226" s="4" t="s">
        <v>37</v>
      </c>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row>
    <row r="227" spans="1:57" x14ac:dyDescent="0.25">
      <c r="A227" s="1" t="str">
        <f>'Population Definitions'!$A$3</f>
        <v>PWID_females</v>
      </c>
      <c r="C227" t="s">
        <v>56</v>
      </c>
      <c r="D227" s="3"/>
      <c r="E227" s="3">
        <v>0.5</v>
      </c>
      <c r="F227" s="4" t="s">
        <v>37</v>
      </c>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row>
    <row r="228" spans="1:57" x14ac:dyDescent="0.25">
      <c r="A228" s="1" t="str">
        <f>'Population Definitions'!$A$4</f>
        <v>0-9_males</v>
      </c>
      <c r="C228" t="s">
        <v>56</v>
      </c>
      <c r="D228" s="3"/>
      <c r="E228" s="3">
        <v>0.5</v>
      </c>
      <c r="F228" s="4" t="s">
        <v>37</v>
      </c>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row>
    <row r="229" spans="1:57" x14ac:dyDescent="0.25">
      <c r="A229" s="1" t="str">
        <f>'Population Definitions'!$A$5</f>
        <v>0-9_females</v>
      </c>
      <c r="C229" t="s">
        <v>56</v>
      </c>
      <c r="D229" s="3"/>
      <c r="E229" s="3">
        <v>0.5</v>
      </c>
      <c r="F229" s="4" t="s">
        <v>37</v>
      </c>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row>
    <row r="230" spans="1:57" x14ac:dyDescent="0.25">
      <c r="A230" s="1" t="str">
        <f>'Population Definitions'!$A$6</f>
        <v>10-17_males</v>
      </c>
      <c r="C230" t="s">
        <v>56</v>
      </c>
      <c r="D230" s="3"/>
      <c r="E230" s="3">
        <v>0.5</v>
      </c>
      <c r="F230" s="4" t="s">
        <v>37</v>
      </c>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row>
    <row r="231" spans="1:57" x14ac:dyDescent="0.25">
      <c r="A231" s="1" t="str">
        <f>'Population Definitions'!$A$7</f>
        <v>10-17_females</v>
      </c>
      <c r="C231" t="s">
        <v>56</v>
      </c>
      <c r="D231" s="3"/>
      <c r="E231" s="3">
        <v>0.5</v>
      </c>
      <c r="F231" s="4" t="s">
        <v>37</v>
      </c>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row>
    <row r="232" spans="1:57" x14ac:dyDescent="0.25">
      <c r="A232" s="1" t="str">
        <f>'Population Definitions'!$A$8</f>
        <v>18-64_males</v>
      </c>
      <c r="C232" t="s">
        <v>56</v>
      </c>
      <c r="D232" s="3"/>
      <c r="E232" s="3">
        <v>0.5</v>
      </c>
      <c r="F232" s="4" t="s">
        <v>37</v>
      </c>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row>
    <row r="233" spans="1:57" x14ac:dyDescent="0.25">
      <c r="A233" s="1" t="str">
        <f>'Population Definitions'!$A$9</f>
        <v>18-64_females</v>
      </c>
      <c r="C233" t="s">
        <v>56</v>
      </c>
      <c r="D233" s="3"/>
      <c r="E233" s="3">
        <v>0.5</v>
      </c>
      <c r="F233" s="4" t="s">
        <v>37</v>
      </c>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row>
    <row r="234" spans="1:57" x14ac:dyDescent="0.25">
      <c r="A234" s="1" t="str">
        <f>'Population Definitions'!$A$10</f>
        <v>65+_males</v>
      </c>
      <c r="C234" t="s">
        <v>56</v>
      </c>
      <c r="D234" s="3"/>
      <c r="E234" s="3">
        <v>0.5</v>
      </c>
      <c r="F234" s="4" t="s">
        <v>37</v>
      </c>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row>
    <row r="235" spans="1:57" x14ac:dyDescent="0.25">
      <c r="A235" s="1" t="str">
        <f>'Population Definitions'!$A$11</f>
        <v>65+_females</v>
      </c>
      <c r="C235" t="s">
        <v>56</v>
      </c>
      <c r="D235" s="3"/>
      <c r="E235" s="3">
        <v>0.5</v>
      </c>
      <c r="F235" s="4" t="s">
        <v>37</v>
      </c>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row>
    <row r="236" spans="1:57" x14ac:dyDescent="0.25">
      <c r="A236" s="1" t="str">
        <f>'Population Definitions'!$A$12</f>
        <v>Prisoners_males</v>
      </c>
      <c r="C236" t="s">
        <v>56</v>
      </c>
      <c r="D236" s="3"/>
      <c r="E236" s="3">
        <v>0.5</v>
      </c>
      <c r="F236" s="4" t="s">
        <v>37</v>
      </c>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row>
    <row r="237" spans="1:57" x14ac:dyDescent="0.25">
      <c r="A237" s="1" t="str">
        <f>'Population Definitions'!$A$13</f>
        <v>Prisoners_females</v>
      </c>
      <c r="C237" t="s">
        <v>56</v>
      </c>
      <c r="D237" s="3"/>
      <c r="E237" s="3">
        <v>0.5</v>
      </c>
      <c r="F237" s="4" t="s">
        <v>37</v>
      </c>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row>
    <row r="239" spans="1:57" x14ac:dyDescent="0.25">
      <c r="A239" s="1" t="s">
        <v>78</v>
      </c>
      <c r="B239" s="1" t="s">
        <v>29</v>
      </c>
      <c r="C239" s="1" t="s">
        <v>30</v>
      </c>
      <c r="D239" s="1" t="s">
        <v>31</v>
      </c>
      <c r="E239" s="1" t="s">
        <v>36</v>
      </c>
      <c r="F239" s="1"/>
      <c r="G239" s="1">
        <v>2000</v>
      </c>
      <c r="H239" s="1">
        <v>2001</v>
      </c>
      <c r="I239" s="1">
        <v>2002</v>
      </c>
      <c r="J239" s="1">
        <v>2003</v>
      </c>
      <c r="K239" s="1">
        <v>2004</v>
      </c>
      <c r="L239" s="1">
        <v>2005</v>
      </c>
      <c r="M239" s="1">
        <v>2006</v>
      </c>
      <c r="N239" s="1">
        <v>2007</v>
      </c>
      <c r="O239" s="1">
        <v>2008</v>
      </c>
      <c r="P239" s="1">
        <v>2009</v>
      </c>
      <c r="Q239" s="1">
        <v>2010</v>
      </c>
      <c r="R239" s="1">
        <v>2011</v>
      </c>
      <c r="S239" s="1">
        <v>2012</v>
      </c>
      <c r="T239" s="1">
        <v>2013</v>
      </c>
      <c r="U239" s="1">
        <v>2014</v>
      </c>
      <c r="V239" s="1">
        <v>2015</v>
      </c>
      <c r="W239" s="1">
        <v>2016</v>
      </c>
      <c r="X239" s="1">
        <v>2017</v>
      </c>
      <c r="Y239" s="1">
        <v>2018</v>
      </c>
      <c r="Z239" s="1">
        <v>2019</v>
      </c>
      <c r="AA239" s="1">
        <v>2020</v>
      </c>
      <c r="AB239" s="1">
        <v>2021</v>
      </c>
      <c r="AC239" s="1">
        <v>2022</v>
      </c>
      <c r="AD239" s="1">
        <v>2023</v>
      </c>
      <c r="AE239" s="1">
        <v>2024</v>
      </c>
      <c r="AF239" s="1">
        <v>2025</v>
      </c>
      <c r="AG239" s="1">
        <v>2026</v>
      </c>
      <c r="AH239" s="1">
        <v>2027</v>
      </c>
      <c r="AI239" s="1">
        <v>2028</v>
      </c>
      <c r="AJ239" s="1">
        <v>2029</v>
      </c>
      <c r="AK239" s="1">
        <v>2030</v>
      </c>
      <c r="AL239" s="1">
        <v>2031</v>
      </c>
      <c r="AM239" s="1">
        <v>2032</v>
      </c>
      <c r="AN239" s="1">
        <v>2033</v>
      </c>
      <c r="AO239" s="1">
        <v>2034</v>
      </c>
      <c r="AP239" s="1">
        <v>2035</v>
      </c>
      <c r="AQ239" s="1">
        <v>2036</v>
      </c>
      <c r="AR239" s="1">
        <v>2037</v>
      </c>
      <c r="AS239" s="1">
        <v>2038</v>
      </c>
      <c r="AT239" s="1">
        <v>2039</v>
      </c>
      <c r="AU239" s="1">
        <v>2040</v>
      </c>
      <c r="AV239" s="1">
        <v>2041</v>
      </c>
      <c r="AW239" s="1">
        <v>2042</v>
      </c>
      <c r="AX239" s="1">
        <v>2043</v>
      </c>
      <c r="AY239" s="1">
        <v>2044</v>
      </c>
      <c r="AZ239" s="1">
        <v>2045</v>
      </c>
      <c r="BA239" s="1">
        <v>2046</v>
      </c>
      <c r="BB239" s="1">
        <v>2047</v>
      </c>
      <c r="BC239" s="1">
        <v>2048</v>
      </c>
      <c r="BD239" s="1">
        <v>2049</v>
      </c>
      <c r="BE239" s="1">
        <v>2050</v>
      </c>
    </row>
    <row r="240" spans="1:57" x14ac:dyDescent="0.25">
      <c r="A240" s="1" t="str">
        <f>'Population Definitions'!$A$2</f>
        <v>PWID_males</v>
      </c>
      <c r="C240" t="s">
        <v>56</v>
      </c>
      <c r="D240" s="3"/>
      <c r="E240" s="3">
        <v>0.5</v>
      </c>
      <c r="F240" s="4" t="s">
        <v>37</v>
      </c>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row>
    <row r="241" spans="1:57" x14ac:dyDescent="0.25">
      <c r="A241" s="1" t="str">
        <f>'Population Definitions'!$A$3</f>
        <v>PWID_females</v>
      </c>
      <c r="C241" t="s">
        <v>56</v>
      </c>
      <c r="D241" s="3"/>
      <c r="E241" s="3">
        <v>0.5</v>
      </c>
      <c r="F241" s="4" t="s">
        <v>37</v>
      </c>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row>
    <row r="242" spans="1:57" x14ac:dyDescent="0.25">
      <c r="A242" s="1" t="str">
        <f>'Population Definitions'!$A$4</f>
        <v>0-9_males</v>
      </c>
      <c r="C242" t="s">
        <v>56</v>
      </c>
      <c r="D242" s="3"/>
      <c r="E242" s="3">
        <v>0.5</v>
      </c>
      <c r="F242" s="4" t="s">
        <v>37</v>
      </c>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row>
    <row r="243" spans="1:57" x14ac:dyDescent="0.25">
      <c r="A243" s="1" t="str">
        <f>'Population Definitions'!$A$5</f>
        <v>0-9_females</v>
      </c>
      <c r="C243" t="s">
        <v>56</v>
      </c>
      <c r="D243" s="3"/>
      <c r="E243" s="3">
        <v>0.5</v>
      </c>
      <c r="F243" s="4" t="s">
        <v>37</v>
      </c>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row>
    <row r="244" spans="1:57" x14ac:dyDescent="0.25">
      <c r="A244" s="1" t="str">
        <f>'Population Definitions'!$A$6</f>
        <v>10-17_males</v>
      </c>
      <c r="C244" t="s">
        <v>56</v>
      </c>
      <c r="D244" s="3"/>
      <c r="E244" s="3">
        <v>0.5</v>
      </c>
      <c r="F244" s="4" t="s">
        <v>37</v>
      </c>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row>
    <row r="245" spans="1:57" x14ac:dyDescent="0.25">
      <c r="A245" s="1" t="str">
        <f>'Population Definitions'!$A$7</f>
        <v>10-17_females</v>
      </c>
      <c r="C245" t="s">
        <v>56</v>
      </c>
      <c r="D245" s="3"/>
      <c r="E245" s="3">
        <v>0.5</v>
      </c>
      <c r="F245" s="4" t="s">
        <v>37</v>
      </c>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row>
    <row r="246" spans="1:57" x14ac:dyDescent="0.25">
      <c r="A246" s="1" t="str">
        <f>'Population Definitions'!$A$8</f>
        <v>18-64_males</v>
      </c>
      <c r="C246" t="s">
        <v>56</v>
      </c>
      <c r="D246" s="3"/>
      <c r="E246" s="3">
        <v>0.5</v>
      </c>
      <c r="F246" s="4" t="s">
        <v>37</v>
      </c>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row>
    <row r="247" spans="1:57" x14ac:dyDescent="0.25">
      <c r="A247" s="1" t="str">
        <f>'Population Definitions'!$A$9</f>
        <v>18-64_females</v>
      </c>
      <c r="C247" t="s">
        <v>56</v>
      </c>
      <c r="D247" s="3"/>
      <c r="E247" s="3">
        <v>0.5</v>
      </c>
      <c r="F247" s="4" t="s">
        <v>37</v>
      </c>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row>
    <row r="248" spans="1:57" x14ac:dyDescent="0.25">
      <c r="A248" s="1" t="str">
        <f>'Population Definitions'!$A$10</f>
        <v>65+_males</v>
      </c>
      <c r="C248" t="s">
        <v>56</v>
      </c>
      <c r="D248" s="3"/>
      <c r="E248" s="3">
        <v>0.5</v>
      </c>
      <c r="F248" s="4" t="s">
        <v>37</v>
      </c>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row>
    <row r="249" spans="1:57" x14ac:dyDescent="0.25">
      <c r="A249" s="1" t="str">
        <f>'Population Definitions'!$A$11</f>
        <v>65+_females</v>
      </c>
      <c r="C249" t="s">
        <v>56</v>
      </c>
      <c r="D249" s="3"/>
      <c r="E249" s="3">
        <v>0.5</v>
      </c>
      <c r="F249" s="4" t="s">
        <v>37</v>
      </c>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row>
    <row r="250" spans="1:57" x14ac:dyDescent="0.25">
      <c r="A250" s="1" t="str">
        <f>'Population Definitions'!$A$12</f>
        <v>Prisoners_males</v>
      </c>
      <c r="C250" t="s">
        <v>56</v>
      </c>
      <c r="D250" s="3"/>
      <c r="E250" s="3">
        <v>0.5</v>
      </c>
      <c r="F250" s="4" t="s">
        <v>37</v>
      </c>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row>
    <row r="251" spans="1:57" x14ac:dyDescent="0.25">
      <c r="A251" s="1" t="str">
        <f>'Population Definitions'!$A$13</f>
        <v>Prisoners_females</v>
      </c>
      <c r="C251" t="s">
        <v>56</v>
      </c>
      <c r="D251" s="3"/>
      <c r="E251" s="3">
        <v>0.5</v>
      </c>
      <c r="F251" s="4" t="s">
        <v>37</v>
      </c>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row>
  </sheetData>
  <conditionalFormatting sqref="E2:E13">
    <cfRule type="expression" dxfId="903" priority="1">
      <formula>COUNTIF(G2:BE2,"&lt;&gt;" &amp; "")&gt;0</formula>
    </cfRule>
    <cfRule type="expression" dxfId="902" priority="2">
      <formula>AND(COUNTIF(G2:BE2,"&lt;&gt;" &amp; "")&gt;0,NOT(ISBLANK(E2)))</formula>
    </cfRule>
  </conditionalFormatting>
  <conditionalFormatting sqref="E16:E27">
    <cfRule type="expression" dxfId="901" priority="25">
      <formula>COUNTIF(G16:BE16,"&lt;&gt;" &amp; "")&gt;0</formula>
    </cfRule>
    <cfRule type="expression" dxfId="900" priority="26">
      <formula>AND(COUNTIF(G16:BE16,"&lt;&gt;" &amp; "")&gt;0,NOT(ISBLANK(E16)))</formula>
    </cfRule>
  </conditionalFormatting>
  <conditionalFormatting sqref="E30:E41">
    <cfRule type="expression" dxfId="899" priority="49">
      <formula>COUNTIF(G30:BE30,"&lt;&gt;" &amp; "")&gt;0</formula>
    </cfRule>
    <cfRule type="expression" dxfId="898" priority="50">
      <formula>AND(COUNTIF(G30:BE30,"&lt;&gt;" &amp; "")&gt;0,NOT(ISBLANK(E30)))</formula>
    </cfRule>
  </conditionalFormatting>
  <conditionalFormatting sqref="E44:E55">
    <cfRule type="expression" dxfId="897" priority="73">
      <formula>COUNTIF(G44:BE44,"&lt;&gt;" &amp; "")&gt;0</formula>
    </cfRule>
    <cfRule type="expression" dxfId="896" priority="74">
      <formula>AND(COUNTIF(G44:BE44,"&lt;&gt;" &amp; "")&gt;0,NOT(ISBLANK(E44)))</formula>
    </cfRule>
  </conditionalFormatting>
  <conditionalFormatting sqref="E58:E69">
    <cfRule type="expression" dxfId="895" priority="97">
      <formula>COUNTIF(G58:BE58,"&lt;&gt;" &amp; "")&gt;0</formula>
    </cfRule>
    <cfRule type="expression" dxfId="894" priority="98">
      <formula>AND(COUNTIF(G58:BE58,"&lt;&gt;" &amp; "")&gt;0,NOT(ISBLANK(E58)))</formula>
    </cfRule>
  </conditionalFormatting>
  <conditionalFormatting sqref="E72:E83">
    <cfRule type="expression" dxfId="893" priority="121">
      <formula>COUNTIF(G72:BE72,"&lt;&gt;" &amp; "")&gt;0</formula>
    </cfRule>
    <cfRule type="expression" dxfId="892" priority="122">
      <formula>AND(COUNTIF(G72:BE72,"&lt;&gt;" &amp; "")&gt;0,NOT(ISBLANK(E72)))</formula>
    </cfRule>
  </conditionalFormatting>
  <conditionalFormatting sqref="E86:E97">
    <cfRule type="expression" dxfId="891" priority="145">
      <formula>COUNTIF(G86:BE86,"&lt;&gt;" &amp; "")&gt;0</formula>
    </cfRule>
    <cfRule type="expression" dxfId="890" priority="146">
      <formula>AND(COUNTIF(G86:BE86,"&lt;&gt;" &amp; "")&gt;0,NOT(ISBLANK(E86)))</formula>
    </cfRule>
  </conditionalFormatting>
  <conditionalFormatting sqref="E100:E111">
    <cfRule type="expression" dxfId="889" priority="169">
      <formula>COUNTIF(G100:BE100,"&lt;&gt;" &amp; "")&gt;0</formula>
    </cfRule>
    <cfRule type="expression" dxfId="888" priority="170">
      <formula>AND(COUNTIF(G100:BE100,"&lt;&gt;" &amp; "")&gt;0,NOT(ISBLANK(E100)))</formula>
    </cfRule>
  </conditionalFormatting>
  <conditionalFormatting sqref="E114:E125">
    <cfRule type="expression" dxfId="887" priority="193">
      <formula>COUNTIF(G114:BE114,"&lt;&gt;" &amp; "")&gt;0</formula>
    </cfRule>
    <cfRule type="expression" dxfId="886" priority="194">
      <formula>AND(COUNTIF(G114:BE114,"&lt;&gt;" &amp; "")&gt;0,NOT(ISBLANK(E114)))</formula>
    </cfRule>
  </conditionalFormatting>
  <conditionalFormatting sqref="E128:E139">
    <cfRule type="expression" dxfId="885" priority="217">
      <formula>COUNTIF(G128:BE128,"&lt;&gt;" &amp; "")&gt;0</formula>
    </cfRule>
    <cfRule type="expression" dxfId="884" priority="218">
      <formula>AND(COUNTIF(G128:BE128,"&lt;&gt;" &amp; "")&gt;0,NOT(ISBLANK(E128)))</formula>
    </cfRule>
  </conditionalFormatting>
  <conditionalFormatting sqref="E142:E153">
    <cfRule type="expression" dxfId="883" priority="241">
      <formula>COUNTIF(G142:BE142,"&lt;&gt;" &amp; "")&gt;0</formula>
    </cfRule>
    <cfRule type="expression" dxfId="882" priority="242">
      <formula>AND(COUNTIF(G142:BE142,"&lt;&gt;" &amp; "")&gt;0,NOT(ISBLANK(E142)))</formula>
    </cfRule>
  </conditionalFormatting>
  <conditionalFormatting sqref="E156:E167">
    <cfRule type="expression" dxfId="881" priority="265">
      <formula>COUNTIF(G156:BE156,"&lt;&gt;" &amp; "")&gt;0</formula>
    </cfRule>
    <cfRule type="expression" dxfId="880" priority="266">
      <formula>AND(COUNTIF(G156:BE156,"&lt;&gt;" &amp; "")&gt;0,NOT(ISBLANK(E156)))</formula>
    </cfRule>
  </conditionalFormatting>
  <conditionalFormatting sqref="E170:E181">
    <cfRule type="expression" dxfId="879" priority="289">
      <formula>COUNTIF(G170:BE170,"&lt;&gt;" &amp; "")&gt;0</formula>
    </cfRule>
    <cfRule type="expression" dxfId="878" priority="290">
      <formula>AND(COUNTIF(G170:BE170,"&lt;&gt;" &amp; "")&gt;0,NOT(ISBLANK(E170)))</formula>
    </cfRule>
  </conditionalFormatting>
  <conditionalFormatting sqref="E184:E195">
    <cfRule type="expression" dxfId="877" priority="313">
      <formula>COUNTIF(G184:BE184,"&lt;&gt;" &amp; "")&gt;0</formula>
    </cfRule>
    <cfRule type="expression" dxfId="876" priority="314">
      <formula>AND(COUNTIF(G184:BE184,"&lt;&gt;" &amp; "")&gt;0,NOT(ISBLANK(E184)))</formula>
    </cfRule>
  </conditionalFormatting>
  <conditionalFormatting sqref="E198:E209">
    <cfRule type="expression" dxfId="875" priority="337">
      <formula>COUNTIF(G198:BE198,"&lt;&gt;" &amp; "")&gt;0</formula>
    </cfRule>
    <cfRule type="expression" dxfId="874" priority="338">
      <formula>AND(COUNTIF(G198:BE198,"&lt;&gt;" &amp; "")&gt;0,NOT(ISBLANK(E198)))</formula>
    </cfRule>
  </conditionalFormatting>
  <conditionalFormatting sqref="E212:E223">
    <cfRule type="expression" dxfId="873" priority="361">
      <formula>COUNTIF(G212:BE212,"&lt;&gt;" &amp; "")&gt;0</formula>
    </cfRule>
    <cfRule type="expression" dxfId="872" priority="362">
      <formula>AND(COUNTIF(G212:BE212,"&lt;&gt;" &amp; "")&gt;0,NOT(ISBLANK(E212)))</formula>
    </cfRule>
  </conditionalFormatting>
  <conditionalFormatting sqref="E226:E237">
    <cfRule type="expression" dxfId="871" priority="385">
      <formula>COUNTIF(G226:BE226,"&lt;&gt;" &amp; "")&gt;0</formula>
    </cfRule>
    <cfRule type="expression" dxfId="870" priority="386">
      <formula>AND(COUNTIF(G226:BE226,"&lt;&gt;" &amp; "")&gt;0,NOT(ISBLANK(E226)))</formula>
    </cfRule>
  </conditionalFormatting>
  <conditionalFormatting sqref="E240:E251">
    <cfRule type="expression" dxfId="869" priority="409">
      <formula>COUNTIF(G240:BE240,"&lt;&gt;" &amp; "")&gt;0</formula>
    </cfRule>
    <cfRule type="expression" dxfId="868" priority="410">
      <formula>AND(COUNTIF(G240:BE240,"&lt;&gt;" &amp; "")&gt;0,NOT(ISBLANK(E240)))</formula>
    </cfRule>
  </conditionalFormatting>
  <dataValidations count="4">
    <dataValidation type="list" allowBlank="1" showInputMessage="1" showErrorMessage="1" sqref="C2:C13" xr:uid="{00000000-0002-0000-0400-000000000000}">
      <formula1>"Proportion"</formula1>
    </dataValidation>
    <dataValidation type="list" allowBlank="1" showInputMessage="1" showErrorMessage="1" sqref="C16:C27" xr:uid="{00000000-0002-0000-0400-00000C000000}">
      <formula1>"Duration (years)"</formula1>
    </dataValidation>
    <dataValidation type="list" allowBlank="1" showInputMessage="1" showErrorMessage="1" sqref="C212:C223 C198:C209 C184:C195 C170:C181 C156:C167 C142:C153 C128:C139 C114:C125 C100:C111 C86:C97 C72:C83 C58:C69 C44:C55 C30:C41" xr:uid="{00000000-0002-0000-0400-000018000000}">
      <formula1>"Rate (per year)"</formula1>
    </dataValidation>
    <dataValidation type="list" allowBlank="1" showInputMessage="1" showErrorMessage="1" sqref="C240:C251 C226:C237" xr:uid="{00000000-0002-0000-0400-0000C0000000}">
      <formula1>"N.A."</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BE55"/>
  <sheetViews>
    <sheetView workbookViewId="0"/>
  </sheetViews>
  <sheetFormatPr defaultRowHeight="15" x14ac:dyDescent="0.25"/>
  <cols>
    <col min="1" max="1" width="80.85546875" customWidth="1"/>
    <col min="2" max="2" width="12.7109375" customWidth="1"/>
    <col min="3" max="3" width="18.28515625" customWidth="1"/>
    <col min="4" max="4" width="13.85546875" customWidth="1"/>
    <col min="5" max="5" width="10.5703125" customWidth="1"/>
    <col min="6" max="6" width="3.85546875" customWidth="1"/>
    <col min="7" max="57" width="9.42578125" customWidth="1"/>
  </cols>
  <sheetData>
    <row r="1" spans="1:57" x14ac:dyDescent="0.25">
      <c r="A1" s="1" t="s">
        <v>79</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C2" t="s">
        <v>53</v>
      </c>
      <c r="D2" s="3">
        <v>2.576530612244899E-2</v>
      </c>
      <c r="E2" s="3"/>
      <c r="F2" s="4" t="s">
        <v>37</v>
      </c>
      <c r="G2" s="3">
        <v>4.2500000000000003E-3</v>
      </c>
      <c r="H2" s="3"/>
      <c r="I2" s="3"/>
      <c r="J2" s="3"/>
      <c r="K2" s="3"/>
      <c r="L2" s="3"/>
      <c r="M2" s="3"/>
      <c r="N2" s="3"/>
      <c r="O2" s="3"/>
      <c r="P2" s="3"/>
      <c r="Q2" s="3"/>
      <c r="R2" s="3"/>
      <c r="S2" s="3"/>
      <c r="T2" s="3"/>
      <c r="U2" s="3">
        <v>8.5000000000000006E-3</v>
      </c>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C3" t="s">
        <v>53</v>
      </c>
      <c r="D3" s="3">
        <v>2.576530612244899E-2</v>
      </c>
      <c r="E3" s="3"/>
      <c r="F3" s="4" t="s">
        <v>37</v>
      </c>
      <c r="G3" s="3">
        <v>4.2500000000000003E-3</v>
      </c>
      <c r="H3" s="3"/>
      <c r="I3" s="3"/>
      <c r="J3" s="3"/>
      <c r="K3" s="3"/>
      <c r="L3" s="3"/>
      <c r="M3" s="3"/>
      <c r="N3" s="3"/>
      <c r="O3" s="3"/>
      <c r="P3" s="3"/>
      <c r="Q3" s="3"/>
      <c r="R3" s="3"/>
      <c r="S3" s="3"/>
      <c r="T3" s="3"/>
      <c r="U3" s="3">
        <v>8.5000000000000006E-3</v>
      </c>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C4" t="s">
        <v>53</v>
      </c>
      <c r="D4" s="3"/>
      <c r="E4" s="3">
        <v>0</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C5" t="s">
        <v>53</v>
      </c>
      <c r="D5" s="3"/>
      <c r="E5" s="3">
        <v>0</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C6" t="s">
        <v>53</v>
      </c>
      <c r="D6" s="3"/>
      <c r="E6" s="3">
        <v>0</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C7" t="s">
        <v>53</v>
      </c>
      <c r="D7" s="3"/>
      <c r="E7" s="3">
        <v>0</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C8" t="s">
        <v>53</v>
      </c>
      <c r="D8" s="3"/>
      <c r="E8" s="3">
        <v>0.05</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C9" t="s">
        <v>53</v>
      </c>
      <c r="D9" s="3"/>
      <c r="E9" s="3">
        <v>0.05</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C10" t="s">
        <v>53</v>
      </c>
      <c r="D10" s="3"/>
      <c r="E10" s="3">
        <v>0.05</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C11" t="s">
        <v>53</v>
      </c>
      <c r="D11" s="3"/>
      <c r="E11" s="3">
        <v>0.05</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C12" t="s">
        <v>53</v>
      </c>
      <c r="D12" s="3"/>
      <c r="E12" s="3">
        <v>0</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C13" t="s">
        <v>53</v>
      </c>
      <c r="D13" s="3"/>
      <c r="E13" s="3">
        <v>0</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80</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C16" t="s">
        <v>53</v>
      </c>
      <c r="D16" s="3">
        <v>2.576530612244899E-2</v>
      </c>
      <c r="E16" s="3"/>
      <c r="F16" s="4" t="s">
        <v>37</v>
      </c>
      <c r="G16" s="3">
        <v>4.2500000000000003E-3</v>
      </c>
      <c r="H16" s="3"/>
      <c r="I16" s="3"/>
      <c r="J16" s="3"/>
      <c r="K16" s="3"/>
      <c r="L16" s="3"/>
      <c r="M16" s="3"/>
      <c r="N16" s="3"/>
      <c r="O16" s="3"/>
      <c r="P16" s="3"/>
      <c r="Q16" s="3"/>
      <c r="R16" s="3"/>
      <c r="S16" s="3"/>
      <c r="T16" s="3"/>
      <c r="U16" s="3">
        <v>8.5000000000000006E-3</v>
      </c>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C17" t="s">
        <v>53</v>
      </c>
      <c r="D17" s="3">
        <v>2.576530612244899E-2</v>
      </c>
      <c r="E17" s="3"/>
      <c r="F17" s="4" t="s">
        <v>37</v>
      </c>
      <c r="G17" s="3">
        <v>4.2500000000000003E-3</v>
      </c>
      <c r="H17" s="3"/>
      <c r="I17" s="3"/>
      <c r="J17" s="3"/>
      <c r="K17" s="3"/>
      <c r="L17" s="3"/>
      <c r="M17" s="3"/>
      <c r="N17" s="3"/>
      <c r="O17" s="3"/>
      <c r="P17" s="3"/>
      <c r="Q17" s="3"/>
      <c r="R17" s="3"/>
      <c r="S17" s="3"/>
      <c r="T17" s="3"/>
      <c r="U17" s="3">
        <v>8.5000000000000006E-3</v>
      </c>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C18" t="s">
        <v>53</v>
      </c>
      <c r="D18" s="3"/>
      <c r="E18" s="3">
        <v>0</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C19" t="s">
        <v>53</v>
      </c>
      <c r="D19" s="3"/>
      <c r="E19" s="3">
        <v>0</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C20" t="s">
        <v>53</v>
      </c>
      <c r="D20" s="3"/>
      <c r="E20" s="3">
        <v>0</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C21" t="s">
        <v>53</v>
      </c>
      <c r="D21" s="3"/>
      <c r="E21" s="3">
        <v>0</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C22" t="s">
        <v>53</v>
      </c>
      <c r="D22" s="3"/>
      <c r="E22" s="3">
        <v>0.05</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C23" t="s">
        <v>53</v>
      </c>
      <c r="D23" s="3"/>
      <c r="E23" s="3">
        <v>0.05</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C24" t="s">
        <v>53</v>
      </c>
      <c r="D24" s="3"/>
      <c r="E24" s="3">
        <v>0.05</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C25" t="s">
        <v>53</v>
      </c>
      <c r="D25" s="3"/>
      <c r="E25" s="3">
        <v>0.05</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C26" t="s">
        <v>53</v>
      </c>
      <c r="D26" s="3"/>
      <c r="E26" s="3">
        <v>0</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C27" t="s">
        <v>53</v>
      </c>
      <c r="D27" s="3"/>
      <c r="E27" s="3">
        <v>0</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81</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53</v>
      </c>
      <c r="D30" s="3"/>
      <c r="E30" s="3">
        <v>0.8</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53</v>
      </c>
      <c r="D31" s="3"/>
      <c r="E31" s="3">
        <v>0.8</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53</v>
      </c>
      <c r="D32" s="3"/>
      <c r="E32" s="3">
        <v>0</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C33" t="s">
        <v>53</v>
      </c>
      <c r="D33" s="3"/>
      <c r="E33" s="3">
        <v>0</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C34" t="s">
        <v>53</v>
      </c>
      <c r="D34" s="3"/>
      <c r="E34" s="3">
        <v>0</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C35" t="s">
        <v>53</v>
      </c>
      <c r="D35" s="3"/>
      <c r="E35" s="3">
        <v>0</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C36" t="s">
        <v>53</v>
      </c>
      <c r="D36" s="3"/>
      <c r="E36" s="3">
        <v>0.3</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C37" t="s">
        <v>53</v>
      </c>
      <c r="D37" s="3"/>
      <c r="E37" s="3">
        <v>0.3</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C38" t="s">
        <v>53</v>
      </c>
      <c r="D38" s="3"/>
      <c r="E38" s="3">
        <v>0.3</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C39" t="s">
        <v>53</v>
      </c>
      <c r="D39" s="3"/>
      <c r="E39" s="3">
        <v>0.3</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C40" t="s">
        <v>53</v>
      </c>
      <c r="D40" s="3"/>
      <c r="E40" s="3">
        <v>0</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53</v>
      </c>
      <c r="D41" s="3"/>
      <c r="E41" s="3">
        <v>0</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82</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C44" t="s">
        <v>53</v>
      </c>
      <c r="D44" s="3"/>
      <c r="E44" s="3">
        <v>0.8</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C45" t="s">
        <v>53</v>
      </c>
      <c r="D45" s="3"/>
      <c r="E45" s="3">
        <v>0.8</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C46" t="s">
        <v>53</v>
      </c>
      <c r="D46" s="3"/>
      <c r="E46" s="3">
        <v>0</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C47" t="s">
        <v>53</v>
      </c>
      <c r="D47" s="3"/>
      <c r="E47" s="3">
        <v>0</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C48" t="s">
        <v>53</v>
      </c>
      <c r="D48" s="3"/>
      <c r="E48" s="3">
        <v>0</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C49" t="s">
        <v>53</v>
      </c>
      <c r="D49" s="3"/>
      <c r="E49" s="3">
        <v>0</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C50" t="s">
        <v>53</v>
      </c>
      <c r="D50" s="3"/>
      <c r="E50" s="3">
        <v>0.3</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C51" t="s">
        <v>53</v>
      </c>
      <c r="D51" s="3"/>
      <c r="E51" s="3">
        <v>0.3</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C52" t="s">
        <v>53</v>
      </c>
      <c r="D52" s="3"/>
      <c r="E52" s="3">
        <v>0.3</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C53" t="s">
        <v>53</v>
      </c>
      <c r="D53" s="3"/>
      <c r="E53" s="3">
        <v>0.3</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C54" t="s">
        <v>53</v>
      </c>
      <c r="D54" s="3"/>
      <c r="E54" s="3">
        <v>0</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C55" t="s">
        <v>53</v>
      </c>
      <c r="D55" s="3"/>
      <c r="E55" s="3">
        <v>0</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sheetData>
  <conditionalFormatting sqref="E2:E13">
    <cfRule type="expression" dxfId="867" priority="1">
      <formula>COUNTIF(G2:BE2,"&lt;&gt;" &amp; "")&gt;0</formula>
    </cfRule>
    <cfRule type="expression" dxfId="866" priority="2">
      <formula>AND(COUNTIF(G2:BE2,"&lt;&gt;" &amp; "")&gt;0,NOT(ISBLANK(E2)))</formula>
    </cfRule>
  </conditionalFormatting>
  <conditionalFormatting sqref="E16:E27">
    <cfRule type="expression" dxfId="865" priority="25">
      <formula>COUNTIF(G16:BE16,"&lt;&gt;" &amp; "")&gt;0</formula>
    </cfRule>
    <cfRule type="expression" dxfId="864" priority="26">
      <formula>AND(COUNTIF(G16:BE16,"&lt;&gt;" &amp; "")&gt;0,NOT(ISBLANK(E16)))</formula>
    </cfRule>
  </conditionalFormatting>
  <conditionalFormatting sqref="E30:E41">
    <cfRule type="expression" dxfId="863" priority="49">
      <formula>COUNTIF(G30:BE30,"&lt;&gt;" &amp; "")&gt;0</formula>
    </cfRule>
    <cfRule type="expression" dxfId="862" priority="50">
      <formula>AND(COUNTIF(G30:BE30,"&lt;&gt;" &amp; "")&gt;0,NOT(ISBLANK(E30)))</formula>
    </cfRule>
  </conditionalFormatting>
  <conditionalFormatting sqref="E44:E55">
    <cfRule type="expression" dxfId="861" priority="73">
      <formula>COUNTIF(G44:BE44,"&lt;&gt;" &amp; "")&gt;0</formula>
    </cfRule>
    <cfRule type="expression" dxfId="860" priority="74">
      <formula>AND(COUNTIF(G44:BE44,"&lt;&gt;" &amp; "")&gt;0,NOT(ISBLANK(E44)))</formula>
    </cfRule>
  </conditionalFormatting>
  <dataValidations count="1">
    <dataValidation type="list" allowBlank="1" showInputMessage="1" showErrorMessage="1" sqref="C44:C55 C30:C41 C16:C27 C2:C13" xr:uid="{00000000-0002-0000-0500-000000000000}">
      <formula1>"Rate (per year)"</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BE83"/>
  <sheetViews>
    <sheetView workbookViewId="0"/>
  </sheetViews>
  <sheetFormatPr defaultRowHeight="15" x14ac:dyDescent="0.25"/>
  <cols>
    <col min="1" max="1" width="65.5703125" customWidth="1"/>
    <col min="2" max="2" width="30.28515625" customWidth="1"/>
    <col min="3" max="3" width="12.7109375" customWidth="1"/>
    <col min="4" max="4" width="13.85546875" customWidth="1"/>
    <col min="5" max="5" width="10.5703125" customWidth="1"/>
    <col min="6" max="6" width="3.85546875" customWidth="1"/>
    <col min="7" max="57" width="9.42578125" customWidth="1"/>
  </cols>
  <sheetData>
    <row r="1" spans="1:57" x14ac:dyDescent="0.25">
      <c r="A1" s="1" t="s">
        <v>83</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B2" t="s">
        <v>61</v>
      </c>
      <c r="C2" t="s">
        <v>48</v>
      </c>
      <c r="D2" s="3"/>
      <c r="E2" s="3">
        <v>0</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B3" t="s">
        <v>61</v>
      </c>
      <c r="C3" t="s">
        <v>48</v>
      </c>
      <c r="D3" s="3"/>
      <c r="E3" s="3">
        <v>0</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B4" t="s">
        <v>61</v>
      </c>
      <c r="C4" t="s">
        <v>48</v>
      </c>
      <c r="D4" s="3"/>
      <c r="E4" s="3">
        <v>0</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B5" t="s">
        <v>61</v>
      </c>
      <c r="C5" t="s">
        <v>48</v>
      </c>
      <c r="D5" s="3"/>
      <c r="E5" s="3">
        <v>0</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B6" t="s">
        <v>61</v>
      </c>
      <c r="C6" t="s">
        <v>48</v>
      </c>
      <c r="D6" s="3"/>
      <c r="E6" s="3">
        <v>0</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B7" t="s">
        <v>61</v>
      </c>
      <c r="C7" t="s">
        <v>48</v>
      </c>
      <c r="D7" s="3"/>
      <c r="E7" s="3">
        <v>0</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B8" t="s">
        <v>61</v>
      </c>
      <c r="C8" t="s">
        <v>48</v>
      </c>
      <c r="D8" s="3"/>
      <c r="E8" s="3">
        <v>0</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B9" t="s">
        <v>61</v>
      </c>
      <c r="C9" t="s">
        <v>48</v>
      </c>
      <c r="D9" s="3"/>
      <c r="E9" s="3">
        <v>0</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B10" t="s">
        <v>61</v>
      </c>
      <c r="C10" t="s">
        <v>48</v>
      </c>
      <c r="D10" s="3"/>
      <c r="E10" s="3">
        <v>0</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B11" t="s">
        <v>61</v>
      </c>
      <c r="C11" t="s">
        <v>48</v>
      </c>
      <c r="D11" s="3"/>
      <c r="E11" s="3">
        <v>0</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B12" t="s">
        <v>61</v>
      </c>
      <c r="C12" t="s">
        <v>48</v>
      </c>
      <c r="D12" s="3"/>
      <c r="E12" s="3">
        <v>0</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B13" t="s">
        <v>61</v>
      </c>
      <c r="C13" t="s">
        <v>48</v>
      </c>
      <c r="D13" s="3"/>
      <c r="E13" s="3">
        <v>0</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84</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B16" t="s">
        <v>61</v>
      </c>
      <c r="C16" t="s">
        <v>48</v>
      </c>
      <c r="D16" s="3"/>
      <c r="E16" s="3">
        <v>0</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B17" t="s">
        <v>61</v>
      </c>
      <c r="C17" t="s">
        <v>48</v>
      </c>
      <c r="D17" s="3"/>
      <c r="E17" s="3">
        <v>0</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B18" t="s">
        <v>61</v>
      </c>
      <c r="C18" t="s">
        <v>48</v>
      </c>
      <c r="D18" s="3"/>
      <c r="E18" s="3">
        <v>0</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B19" t="s">
        <v>61</v>
      </c>
      <c r="C19" t="s">
        <v>48</v>
      </c>
      <c r="D19" s="3"/>
      <c r="E19" s="3">
        <v>0</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B20" t="s">
        <v>61</v>
      </c>
      <c r="C20" t="s">
        <v>48</v>
      </c>
      <c r="D20" s="3"/>
      <c r="E20" s="3">
        <v>0</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B21" t="s">
        <v>61</v>
      </c>
      <c r="C21" t="s">
        <v>48</v>
      </c>
      <c r="D21" s="3"/>
      <c r="E21" s="3">
        <v>0</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B22" t="s">
        <v>61</v>
      </c>
      <c r="C22" t="s">
        <v>48</v>
      </c>
      <c r="D22" s="3"/>
      <c r="E22" s="3">
        <v>0</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B23" t="s">
        <v>61</v>
      </c>
      <c r="C23" t="s">
        <v>48</v>
      </c>
      <c r="D23" s="3"/>
      <c r="E23" s="3">
        <v>0</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B24" t="s">
        <v>61</v>
      </c>
      <c r="C24" t="s">
        <v>48</v>
      </c>
      <c r="D24" s="3"/>
      <c r="E24" s="3">
        <v>0</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B25" t="s">
        <v>61</v>
      </c>
      <c r="C25" t="s">
        <v>48</v>
      </c>
      <c r="D25" s="3"/>
      <c r="E25" s="3">
        <v>0</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B26" t="s">
        <v>61</v>
      </c>
      <c r="C26" t="s">
        <v>48</v>
      </c>
      <c r="D26" s="3"/>
      <c r="E26" s="3">
        <v>0</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B27" t="s">
        <v>61</v>
      </c>
      <c r="C27" t="s">
        <v>48</v>
      </c>
      <c r="D27" s="3"/>
      <c r="E27" s="3">
        <v>0</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85</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B30" t="s">
        <v>61</v>
      </c>
      <c r="C30" t="s">
        <v>48</v>
      </c>
      <c r="D30" s="3"/>
      <c r="E30" s="3">
        <v>0</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B31" t="s">
        <v>61</v>
      </c>
      <c r="C31" t="s">
        <v>48</v>
      </c>
      <c r="D31" s="3"/>
      <c r="E31" s="3">
        <v>0</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B32" t="s">
        <v>61</v>
      </c>
      <c r="C32" t="s">
        <v>48</v>
      </c>
      <c r="D32" s="3"/>
      <c r="E32" s="3">
        <v>0</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B33" t="s">
        <v>61</v>
      </c>
      <c r="C33" t="s">
        <v>48</v>
      </c>
      <c r="D33" s="3"/>
      <c r="E33" s="3">
        <v>0</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B34" t="s">
        <v>61</v>
      </c>
      <c r="C34" t="s">
        <v>48</v>
      </c>
      <c r="D34" s="3"/>
      <c r="E34" s="3">
        <v>0</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B35" t="s">
        <v>61</v>
      </c>
      <c r="C35" t="s">
        <v>48</v>
      </c>
      <c r="D35" s="3"/>
      <c r="E35" s="3">
        <v>0</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B36" t="s">
        <v>61</v>
      </c>
      <c r="C36" t="s">
        <v>48</v>
      </c>
      <c r="D36" s="3"/>
      <c r="E36" s="3">
        <v>0</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B37" t="s">
        <v>61</v>
      </c>
      <c r="C37" t="s">
        <v>48</v>
      </c>
      <c r="D37" s="3"/>
      <c r="E37" s="3">
        <v>0</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B38" t="s">
        <v>61</v>
      </c>
      <c r="C38" t="s">
        <v>48</v>
      </c>
      <c r="D38" s="3"/>
      <c r="E38" s="3">
        <v>0</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B39" t="s">
        <v>61</v>
      </c>
      <c r="C39" t="s">
        <v>48</v>
      </c>
      <c r="D39" s="3"/>
      <c r="E39" s="3">
        <v>0</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B40" t="s">
        <v>61</v>
      </c>
      <c r="C40" t="s">
        <v>48</v>
      </c>
      <c r="D40" s="3"/>
      <c r="E40" s="3">
        <v>0</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B41" t="s">
        <v>61</v>
      </c>
      <c r="C41" t="s">
        <v>48</v>
      </c>
      <c r="D41" s="3"/>
      <c r="E41" s="3">
        <v>0</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86</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B44" t="s">
        <v>61</v>
      </c>
      <c r="C44" t="s">
        <v>48</v>
      </c>
      <c r="D44" s="3"/>
      <c r="E44" s="3">
        <v>0</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B45" t="s">
        <v>61</v>
      </c>
      <c r="C45" t="s">
        <v>48</v>
      </c>
      <c r="D45" s="3"/>
      <c r="E45" s="3">
        <v>0</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B46" t="s">
        <v>61</v>
      </c>
      <c r="C46" t="s">
        <v>48</v>
      </c>
      <c r="D46" s="3"/>
      <c r="E46" s="3">
        <v>0</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B47" t="s">
        <v>61</v>
      </c>
      <c r="C47" t="s">
        <v>48</v>
      </c>
      <c r="D47" s="3"/>
      <c r="E47" s="3">
        <v>0</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B48" t="s">
        <v>61</v>
      </c>
      <c r="C48" t="s">
        <v>48</v>
      </c>
      <c r="D48" s="3"/>
      <c r="E48" s="3">
        <v>0</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B49" t="s">
        <v>61</v>
      </c>
      <c r="C49" t="s">
        <v>48</v>
      </c>
      <c r="D49" s="3"/>
      <c r="E49" s="3">
        <v>0</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B50" t="s">
        <v>61</v>
      </c>
      <c r="C50" t="s">
        <v>48</v>
      </c>
      <c r="D50" s="3"/>
      <c r="E50" s="3">
        <v>0</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B51" t="s">
        <v>61</v>
      </c>
      <c r="C51" t="s">
        <v>48</v>
      </c>
      <c r="D51" s="3"/>
      <c r="E51" s="3">
        <v>0</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B52" t="s">
        <v>61</v>
      </c>
      <c r="C52" t="s">
        <v>48</v>
      </c>
      <c r="D52" s="3"/>
      <c r="E52" s="3">
        <v>0</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B53" t="s">
        <v>61</v>
      </c>
      <c r="C53" t="s">
        <v>48</v>
      </c>
      <c r="D53" s="3"/>
      <c r="E53" s="3">
        <v>0</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B54" t="s">
        <v>61</v>
      </c>
      <c r="C54" t="s">
        <v>48</v>
      </c>
      <c r="D54" s="3"/>
      <c r="E54" s="3">
        <v>0</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B55" t="s">
        <v>61</v>
      </c>
      <c r="C55" t="s">
        <v>48</v>
      </c>
      <c r="D55" s="3"/>
      <c r="E55" s="3">
        <v>0</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87</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B58" t="s">
        <v>61</v>
      </c>
      <c r="C58" t="s">
        <v>48</v>
      </c>
      <c r="D58" s="3"/>
      <c r="E58" s="3">
        <v>0</v>
      </c>
      <c r="F58" s="4" t="s">
        <v>37</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B59" t="s">
        <v>61</v>
      </c>
      <c r="C59" t="s">
        <v>48</v>
      </c>
      <c r="D59" s="3"/>
      <c r="E59" s="3">
        <v>0</v>
      </c>
      <c r="F59" s="4" t="s">
        <v>37</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B60" t="s">
        <v>61</v>
      </c>
      <c r="C60" t="s">
        <v>48</v>
      </c>
      <c r="D60" s="3"/>
      <c r="E60" s="3">
        <v>0</v>
      </c>
      <c r="F60" s="4" t="s">
        <v>37</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B61" t="s">
        <v>61</v>
      </c>
      <c r="C61" t="s">
        <v>48</v>
      </c>
      <c r="D61" s="3"/>
      <c r="E61" s="3">
        <v>0</v>
      </c>
      <c r="F61" s="4" t="s">
        <v>37</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B62" t="s">
        <v>61</v>
      </c>
      <c r="C62" t="s">
        <v>48</v>
      </c>
      <c r="D62" s="3"/>
      <c r="E62" s="3">
        <v>0</v>
      </c>
      <c r="F62" s="4" t="s">
        <v>37</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B63" t="s">
        <v>61</v>
      </c>
      <c r="C63" t="s">
        <v>48</v>
      </c>
      <c r="D63" s="3"/>
      <c r="E63" s="3">
        <v>0</v>
      </c>
      <c r="F63" s="4" t="s">
        <v>37</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B64" t="s">
        <v>61</v>
      </c>
      <c r="C64" t="s">
        <v>48</v>
      </c>
      <c r="D64" s="3"/>
      <c r="E64" s="3">
        <v>0</v>
      </c>
      <c r="F64" s="4" t="s">
        <v>37</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B65" t="s">
        <v>61</v>
      </c>
      <c r="C65" t="s">
        <v>48</v>
      </c>
      <c r="D65" s="3"/>
      <c r="E65" s="3">
        <v>0</v>
      </c>
      <c r="F65" s="4" t="s">
        <v>37</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B66" t="s">
        <v>61</v>
      </c>
      <c r="C66" t="s">
        <v>48</v>
      </c>
      <c r="D66" s="3"/>
      <c r="E66" s="3">
        <v>0</v>
      </c>
      <c r="F66" s="4" t="s">
        <v>37</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B67" t="s">
        <v>61</v>
      </c>
      <c r="C67" t="s">
        <v>48</v>
      </c>
      <c r="D67" s="3"/>
      <c r="E67" s="3">
        <v>0</v>
      </c>
      <c r="F67" s="4" t="s">
        <v>37</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B68" t="s">
        <v>61</v>
      </c>
      <c r="C68" t="s">
        <v>48</v>
      </c>
      <c r="D68" s="3"/>
      <c r="E68" s="3">
        <v>0</v>
      </c>
      <c r="F68" s="4" t="s">
        <v>37</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B69" t="s">
        <v>61</v>
      </c>
      <c r="C69" t="s">
        <v>48</v>
      </c>
      <c r="D69" s="3"/>
      <c r="E69" s="3">
        <v>0</v>
      </c>
      <c r="F69" s="4" t="s">
        <v>37</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88</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B72" t="s">
        <v>61</v>
      </c>
      <c r="C72" t="s">
        <v>48</v>
      </c>
      <c r="D72" s="3"/>
      <c r="E72" s="3">
        <v>0</v>
      </c>
      <c r="F72" s="4" t="s">
        <v>37</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B73" t="s">
        <v>61</v>
      </c>
      <c r="C73" t="s">
        <v>48</v>
      </c>
      <c r="D73" s="3"/>
      <c r="E73" s="3">
        <v>0</v>
      </c>
      <c r="F73" s="4" t="s">
        <v>37</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B74" t="s">
        <v>61</v>
      </c>
      <c r="C74" t="s">
        <v>48</v>
      </c>
      <c r="D74" s="3"/>
      <c r="E74" s="3">
        <v>0</v>
      </c>
      <c r="F74" s="4" t="s">
        <v>37</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B75" t="s">
        <v>61</v>
      </c>
      <c r="C75" t="s">
        <v>48</v>
      </c>
      <c r="D75" s="3"/>
      <c r="E75" s="3">
        <v>0</v>
      </c>
      <c r="F75" s="4" t="s">
        <v>37</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B76" t="s">
        <v>61</v>
      </c>
      <c r="C76" t="s">
        <v>48</v>
      </c>
      <c r="D76" s="3"/>
      <c r="E76" s="3">
        <v>0</v>
      </c>
      <c r="F76" s="4" t="s">
        <v>37</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B77" t="s">
        <v>61</v>
      </c>
      <c r="C77" t="s">
        <v>48</v>
      </c>
      <c r="D77" s="3"/>
      <c r="E77" s="3">
        <v>0</v>
      </c>
      <c r="F77" s="4" t="s">
        <v>37</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B78" t="s">
        <v>61</v>
      </c>
      <c r="C78" t="s">
        <v>48</v>
      </c>
      <c r="D78" s="3"/>
      <c r="E78" s="3">
        <v>0</v>
      </c>
      <c r="F78" s="4" t="s">
        <v>37</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B79" t="s">
        <v>61</v>
      </c>
      <c r="C79" t="s">
        <v>48</v>
      </c>
      <c r="D79" s="3"/>
      <c r="E79" s="3">
        <v>0</v>
      </c>
      <c r="F79" s="4" t="s">
        <v>37</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B80" t="s">
        <v>61</v>
      </c>
      <c r="C80" t="s">
        <v>48</v>
      </c>
      <c r="D80" s="3"/>
      <c r="E80" s="3">
        <v>0</v>
      </c>
      <c r="F80" s="4" t="s">
        <v>37</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B81" t="s">
        <v>61</v>
      </c>
      <c r="C81" t="s">
        <v>48</v>
      </c>
      <c r="D81" s="3"/>
      <c r="E81" s="3">
        <v>0</v>
      </c>
      <c r="F81" s="4" t="s">
        <v>37</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B82" t="s">
        <v>61</v>
      </c>
      <c r="C82" t="s">
        <v>48</v>
      </c>
      <c r="D82" s="3"/>
      <c r="E82" s="3">
        <v>0</v>
      </c>
      <c r="F82" s="4" t="s">
        <v>37</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B83" t="s">
        <v>61</v>
      </c>
      <c r="C83" t="s">
        <v>48</v>
      </c>
      <c r="D83" s="3"/>
      <c r="E83" s="3">
        <v>0</v>
      </c>
      <c r="F83" s="4" t="s">
        <v>37</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sheetData>
  <conditionalFormatting sqref="E2:E13">
    <cfRule type="expression" dxfId="859" priority="1">
      <formula>COUNTIF(G2:BE2,"&lt;&gt;" &amp; "")&gt;0</formula>
    </cfRule>
    <cfRule type="expression" dxfId="858" priority="2">
      <formula>AND(COUNTIF(G2:BE2,"&lt;&gt;" &amp; "")&gt;0,NOT(ISBLANK(E2)))</formula>
    </cfRule>
  </conditionalFormatting>
  <conditionalFormatting sqref="E16:E27">
    <cfRule type="expression" dxfId="857" priority="25">
      <formula>COUNTIF(G16:BE16,"&lt;&gt;" &amp; "")&gt;0</formula>
    </cfRule>
    <cfRule type="expression" dxfId="856" priority="26">
      <formula>AND(COUNTIF(G16:BE16,"&lt;&gt;" &amp; "")&gt;0,NOT(ISBLANK(E16)))</formula>
    </cfRule>
  </conditionalFormatting>
  <conditionalFormatting sqref="E30:E41">
    <cfRule type="expression" dxfId="855" priority="49">
      <formula>COUNTIF(G30:BE30,"&lt;&gt;" &amp; "")&gt;0</formula>
    </cfRule>
    <cfRule type="expression" dxfId="854" priority="50">
      <formula>AND(COUNTIF(G30:BE30,"&lt;&gt;" &amp; "")&gt;0,NOT(ISBLANK(E30)))</formula>
    </cfRule>
  </conditionalFormatting>
  <conditionalFormatting sqref="E44:E55">
    <cfRule type="expression" dxfId="853" priority="73">
      <formula>COUNTIF(G44:BE44,"&lt;&gt;" &amp; "")&gt;0</formula>
    </cfRule>
    <cfRule type="expression" dxfId="852" priority="74">
      <formula>AND(COUNTIF(G44:BE44,"&lt;&gt;" &amp; "")&gt;0,NOT(ISBLANK(E44)))</formula>
    </cfRule>
  </conditionalFormatting>
  <conditionalFormatting sqref="E58:E69">
    <cfRule type="expression" dxfId="851" priority="97">
      <formula>COUNTIF(G58:BE58,"&lt;&gt;" &amp; "")&gt;0</formula>
    </cfRule>
    <cfRule type="expression" dxfId="850" priority="98">
      <formula>AND(COUNTIF(G58:BE58,"&lt;&gt;" &amp; "")&gt;0,NOT(ISBLANK(E58)))</formula>
    </cfRule>
  </conditionalFormatting>
  <conditionalFormatting sqref="E72:E83">
    <cfRule type="expression" dxfId="849" priority="121">
      <formula>COUNTIF(G72:BE72,"&lt;&gt;" &amp; "")&gt;0</formula>
    </cfRule>
    <cfRule type="expression" dxfId="848" priority="122">
      <formula>AND(COUNTIF(G72:BE72,"&lt;&gt;" &amp; "")&gt;0,NOT(ISBLANK(E72)))</formula>
    </cfRule>
  </conditionalFormatting>
  <dataValidations count="1">
    <dataValidation type="list" allowBlank="1" showInputMessage="1" showErrorMessage="1" sqref="C72:C83 C58:C69 C44:C55 C30:C41 C16:C27 C2:C13" xr:uid="{00000000-0002-0000-0600-000000000000}">
      <formula1>"Proportion"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sheetPr>
  <dimension ref="A1:BE111"/>
  <sheetViews>
    <sheetView workbookViewId="0"/>
  </sheetViews>
  <sheetFormatPr defaultRowHeight="15" x14ac:dyDescent="0.25"/>
  <cols>
    <col min="1" max="1" width="78.7109375" customWidth="1"/>
    <col min="2" max="2" width="30.28515625" customWidth="1"/>
    <col min="3" max="3" width="18.28515625" customWidth="1"/>
    <col min="4" max="4" width="13.85546875" customWidth="1"/>
    <col min="5" max="5" width="10.5703125" customWidth="1"/>
    <col min="6" max="6" width="3.85546875" customWidth="1"/>
    <col min="7" max="57" width="9.42578125" customWidth="1"/>
  </cols>
  <sheetData>
    <row r="1" spans="1:57" x14ac:dyDescent="0.25">
      <c r="A1" s="1" t="s">
        <v>89</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B2" t="s">
        <v>61</v>
      </c>
      <c r="C2" t="s">
        <v>53</v>
      </c>
      <c r="D2" s="3"/>
      <c r="E2" s="3">
        <v>0</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B3" t="s">
        <v>61</v>
      </c>
      <c r="C3" t="s">
        <v>53</v>
      </c>
      <c r="D3" s="3"/>
      <c r="E3" s="3">
        <v>0</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B4" t="s">
        <v>61</v>
      </c>
      <c r="C4" t="s">
        <v>53</v>
      </c>
      <c r="D4" s="3"/>
      <c r="E4" s="3">
        <v>0</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B5" t="s">
        <v>61</v>
      </c>
      <c r="C5" t="s">
        <v>53</v>
      </c>
      <c r="D5" s="3"/>
      <c r="E5" s="3">
        <v>0</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B6" t="s">
        <v>61</v>
      </c>
      <c r="C6" t="s">
        <v>53</v>
      </c>
      <c r="D6" s="3"/>
      <c r="E6" s="3">
        <v>0</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B7" t="s">
        <v>61</v>
      </c>
      <c r="C7" t="s">
        <v>53</v>
      </c>
      <c r="D7" s="3"/>
      <c r="E7" s="3">
        <v>0</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B8" t="s">
        <v>61</v>
      </c>
      <c r="C8" t="s">
        <v>53</v>
      </c>
      <c r="D8" s="3"/>
      <c r="E8" s="3">
        <v>0</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B9" t="s">
        <v>61</v>
      </c>
      <c r="C9" t="s">
        <v>53</v>
      </c>
      <c r="D9" s="3"/>
      <c r="E9" s="3">
        <v>0</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B10" t="s">
        <v>61</v>
      </c>
      <c r="C10" t="s">
        <v>53</v>
      </c>
      <c r="D10" s="3"/>
      <c r="E10" s="3">
        <v>0</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B11" t="s">
        <v>61</v>
      </c>
      <c r="C11" t="s">
        <v>53</v>
      </c>
      <c r="D11" s="3"/>
      <c r="E11" s="3">
        <v>0</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B12" t="s">
        <v>61</v>
      </c>
      <c r="C12" t="s">
        <v>53</v>
      </c>
      <c r="D12" s="3"/>
      <c r="E12" s="3">
        <v>0</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B13" t="s">
        <v>61</v>
      </c>
      <c r="C13" t="s">
        <v>53</v>
      </c>
      <c r="D13" s="3"/>
      <c r="E13" s="3">
        <v>0</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90</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B16" t="s">
        <v>61</v>
      </c>
      <c r="C16" t="s">
        <v>53</v>
      </c>
      <c r="D16" s="3"/>
      <c r="E16" s="3">
        <v>0</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B17" t="s">
        <v>61</v>
      </c>
      <c r="C17" t="s">
        <v>53</v>
      </c>
      <c r="D17" s="3"/>
      <c r="E17" s="3">
        <v>0</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B18" t="s">
        <v>61</v>
      </c>
      <c r="C18" t="s">
        <v>53</v>
      </c>
      <c r="D18" s="3"/>
      <c r="E18" s="3">
        <v>0</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B19" t="s">
        <v>61</v>
      </c>
      <c r="C19" t="s">
        <v>53</v>
      </c>
      <c r="D19" s="3"/>
      <c r="E19" s="3">
        <v>0</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B20" t="s">
        <v>61</v>
      </c>
      <c r="C20" t="s">
        <v>53</v>
      </c>
      <c r="D20" s="3"/>
      <c r="E20" s="3">
        <v>0</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B21" t="s">
        <v>61</v>
      </c>
      <c r="C21" t="s">
        <v>53</v>
      </c>
      <c r="D21" s="3"/>
      <c r="E21" s="3">
        <v>0</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B22" t="s">
        <v>61</v>
      </c>
      <c r="C22" t="s">
        <v>53</v>
      </c>
      <c r="D22" s="3"/>
      <c r="E22" s="3">
        <v>0</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B23" t="s">
        <v>61</v>
      </c>
      <c r="C23" t="s">
        <v>53</v>
      </c>
      <c r="D23" s="3"/>
      <c r="E23" s="3">
        <v>0</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B24" t="s">
        <v>61</v>
      </c>
      <c r="C24" t="s">
        <v>53</v>
      </c>
      <c r="D24" s="3"/>
      <c r="E24" s="3">
        <v>0</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B25" t="s">
        <v>61</v>
      </c>
      <c r="C25" t="s">
        <v>53</v>
      </c>
      <c r="D25" s="3"/>
      <c r="E25" s="3">
        <v>0</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B26" t="s">
        <v>61</v>
      </c>
      <c r="C26" t="s">
        <v>53</v>
      </c>
      <c r="D26" s="3"/>
      <c r="E26" s="3">
        <v>0</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B27" t="s">
        <v>61</v>
      </c>
      <c r="C27" t="s">
        <v>53</v>
      </c>
      <c r="D27" s="3"/>
      <c r="E27" s="3">
        <v>0</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91</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B30" t="s">
        <v>61</v>
      </c>
      <c r="C30" t="s">
        <v>53</v>
      </c>
      <c r="D30" s="3"/>
      <c r="E30" s="3">
        <v>0</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B31" t="s">
        <v>61</v>
      </c>
      <c r="C31" t="s">
        <v>53</v>
      </c>
      <c r="D31" s="3"/>
      <c r="E31" s="3">
        <v>0</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B32" t="s">
        <v>61</v>
      </c>
      <c r="C32" t="s">
        <v>53</v>
      </c>
      <c r="D32" s="3"/>
      <c r="E32" s="3">
        <v>0</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B33" t="s">
        <v>61</v>
      </c>
      <c r="C33" t="s">
        <v>53</v>
      </c>
      <c r="D33" s="3"/>
      <c r="E33" s="3">
        <v>0</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B34" t="s">
        <v>61</v>
      </c>
      <c r="C34" t="s">
        <v>53</v>
      </c>
      <c r="D34" s="3"/>
      <c r="E34" s="3">
        <v>0</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B35" t="s">
        <v>61</v>
      </c>
      <c r="C35" t="s">
        <v>53</v>
      </c>
      <c r="D35" s="3"/>
      <c r="E35" s="3">
        <v>0</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B36" t="s">
        <v>61</v>
      </c>
      <c r="C36" t="s">
        <v>53</v>
      </c>
      <c r="D36" s="3"/>
      <c r="E36" s="3">
        <v>0</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B37" t="s">
        <v>61</v>
      </c>
      <c r="C37" t="s">
        <v>53</v>
      </c>
      <c r="D37" s="3"/>
      <c r="E37" s="3">
        <v>0</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B38" t="s">
        <v>61</v>
      </c>
      <c r="C38" t="s">
        <v>53</v>
      </c>
      <c r="D38" s="3"/>
      <c r="E38" s="3">
        <v>0</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B39" t="s">
        <v>61</v>
      </c>
      <c r="C39" t="s">
        <v>53</v>
      </c>
      <c r="D39" s="3"/>
      <c r="E39" s="3">
        <v>0</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B40" t="s">
        <v>61</v>
      </c>
      <c r="C40" t="s">
        <v>53</v>
      </c>
      <c r="D40" s="3"/>
      <c r="E40" s="3">
        <v>0</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B41" t="s">
        <v>61</v>
      </c>
      <c r="C41" t="s">
        <v>53</v>
      </c>
      <c r="D41" s="3"/>
      <c r="E41" s="3">
        <v>0</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92</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B44" t="s">
        <v>61</v>
      </c>
      <c r="C44" t="s">
        <v>53</v>
      </c>
      <c r="D44" s="3"/>
      <c r="E44" s="3">
        <v>0</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B45" t="s">
        <v>61</v>
      </c>
      <c r="C45" t="s">
        <v>53</v>
      </c>
      <c r="D45" s="3"/>
      <c r="E45" s="3">
        <v>0</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B46" t="s">
        <v>61</v>
      </c>
      <c r="C46" t="s">
        <v>53</v>
      </c>
      <c r="D46" s="3"/>
      <c r="E46" s="3">
        <v>0</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B47" t="s">
        <v>61</v>
      </c>
      <c r="C47" t="s">
        <v>53</v>
      </c>
      <c r="D47" s="3"/>
      <c r="E47" s="3">
        <v>0</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B48" t="s">
        <v>61</v>
      </c>
      <c r="C48" t="s">
        <v>53</v>
      </c>
      <c r="D48" s="3"/>
      <c r="E48" s="3">
        <v>0</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B49" t="s">
        <v>61</v>
      </c>
      <c r="C49" t="s">
        <v>53</v>
      </c>
      <c r="D49" s="3"/>
      <c r="E49" s="3">
        <v>0</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B50" t="s">
        <v>61</v>
      </c>
      <c r="C50" t="s">
        <v>53</v>
      </c>
      <c r="D50" s="3"/>
      <c r="E50" s="3">
        <v>0</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B51" t="s">
        <v>61</v>
      </c>
      <c r="C51" t="s">
        <v>53</v>
      </c>
      <c r="D51" s="3"/>
      <c r="E51" s="3">
        <v>0</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B52" t="s">
        <v>61</v>
      </c>
      <c r="C52" t="s">
        <v>53</v>
      </c>
      <c r="D52" s="3"/>
      <c r="E52" s="3">
        <v>0</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B53" t="s">
        <v>61</v>
      </c>
      <c r="C53" t="s">
        <v>53</v>
      </c>
      <c r="D53" s="3"/>
      <c r="E53" s="3">
        <v>0</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B54" t="s">
        <v>61</v>
      </c>
      <c r="C54" t="s">
        <v>53</v>
      </c>
      <c r="D54" s="3"/>
      <c r="E54" s="3">
        <v>0</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B55" t="s">
        <v>61</v>
      </c>
      <c r="C55" t="s">
        <v>53</v>
      </c>
      <c r="D55" s="3"/>
      <c r="E55" s="3">
        <v>0</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93</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B58" t="s">
        <v>61</v>
      </c>
      <c r="C58" t="s">
        <v>53</v>
      </c>
      <c r="D58" s="3"/>
      <c r="E58" s="3">
        <v>0</v>
      </c>
      <c r="F58" s="4" t="s">
        <v>37</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B59" t="s">
        <v>61</v>
      </c>
      <c r="C59" t="s">
        <v>53</v>
      </c>
      <c r="D59" s="3"/>
      <c r="E59" s="3">
        <v>0</v>
      </c>
      <c r="F59" s="4" t="s">
        <v>37</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B60" t="s">
        <v>61</v>
      </c>
      <c r="C60" t="s">
        <v>53</v>
      </c>
      <c r="D60" s="3"/>
      <c r="E60" s="3">
        <v>0</v>
      </c>
      <c r="F60" s="4" t="s">
        <v>37</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B61" t="s">
        <v>61</v>
      </c>
      <c r="C61" t="s">
        <v>53</v>
      </c>
      <c r="D61" s="3"/>
      <c r="E61" s="3">
        <v>0</v>
      </c>
      <c r="F61" s="4" t="s">
        <v>37</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B62" t="s">
        <v>61</v>
      </c>
      <c r="C62" t="s">
        <v>53</v>
      </c>
      <c r="D62" s="3"/>
      <c r="E62" s="3">
        <v>0</v>
      </c>
      <c r="F62" s="4" t="s">
        <v>37</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B63" t="s">
        <v>61</v>
      </c>
      <c r="C63" t="s">
        <v>53</v>
      </c>
      <c r="D63" s="3"/>
      <c r="E63" s="3">
        <v>0</v>
      </c>
      <c r="F63" s="4" t="s">
        <v>37</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B64" t="s">
        <v>61</v>
      </c>
      <c r="C64" t="s">
        <v>53</v>
      </c>
      <c r="D64" s="3"/>
      <c r="E64" s="3">
        <v>0</v>
      </c>
      <c r="F64" s="4" t="s">
        <v>37</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B65" t="s">
        <v>61</v>
      </c>
      <c r="C65" t="s">
        <v>53</v>
      </c>
      <c r="D65" s="3"/>
      <c r="E65" s="3">
        <v>0</v>
      </c>
      <c r="F65" s="4" t="s">
        <v>37</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B66" t="s">
        <v>61</v>
      </c>
      <c r="C66" t="s">
        <v>53</v>
      </c>
      <c r="D66" s="3"/>
      <c r="E66" s="3">
        <v>0</v>
      </c>
      <c r="F66" s="4" t="s">
        <v>37</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B67" t="s">
        <v>61</v>
      </c>
      <c r="C67" t="s">
        <v>53</v>
      </c>
      <c r="D67" s="3"/>
      <c r="E67" s="3">
        <v>0</v>
      </c>
      <c r="F67" s="4" t="s">
        <v>37</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B68" t="s">
        <v>61</v>
      </c>
      <c r="C68" t="s">
        <v>53</v>
      </c>
      <c r="D68" s="3"/>
      <c r="E68" s="3">
        <v>0</v>
      </c>
      <c r="F68" s="4" t="s">
        <v>37</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B69" t="s">
        <v>61</v>
      </c>
      <c r="C69" t="s">
        <v>53</v>
      </c>
      <c r="D69" s="3"/>
      <c r="E69" s="3">
        <v>0</v>
      </c>
      <c r="F69" s="4" t="s">
        <v>37</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94</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B72" t="s">
        <v>61</v>
      </c>
      <c r="C72" t="s">
        <v>53</v>
      </c>
      <c r="D72" s="3"/>
      <c r="E72" s="3">
        <v>0</v>
      </c>
      <c r="F72" s="4" t="s">
        <v>37</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B73" t="s">
        <v>61</v>
      </c>
      <c r="C73" t="s">
        <v>53</v>
      </c>
      <c r="D73" s="3"/>
      <c r="E73" s="3">
        <v>0</v>
      </c>
      <c r="F73" s="4" t="s">
        <v>37</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B74" t="s">
        <v>61</v>
      </c>
      <c r="C74" t="s">
        <v>53</v>
      </c>
      <c r="D74" s="3"/>
      <c r="E74" s="3">
        <v>0</v>
      </c>
      <c r="F74" s="4" t="s">
        <v>37</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B75" t="s">
        <v>61</v>
      </c>
      <c r="C75" t="s">
        <v>53</v>
      </c>
      <c r="D75" s="3"/>
      <c r="E75" s="3">
        <v>0</v>
      </c>
      <c r="F75" s="4" t="s">
        <v>37</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B76" t="s">
        <v>61</v>
      </c>
      <c r="C76" t="s">
        <v>53</v>
      </c>
      <c r="D76" s="3"/>
      <c r="E76" s="3">
        <v>0</v>
      </c>
      <c r="F76" s="4" t="s">
        <v>37</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B77" t="s">
        <v>61</v>
      </c>
      <c r="C77" t="s">
        <v>53</v>
      </c>
      <c r="D77" s="3"/>
      <c r="E77" s="3">
        <v>0</v>
      </c>
      <c r="F77" s="4" t="s">
        <v>37</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B78" t="s">
        <v>61</v>
      </c>
      <c r="C78" t="s">
        <v>53</v>
      </c>
      <c r="D78" s="3"/>
      <c r="E78" s="3">
        <v>0</v>
      </c>
      <c r="F78" s="4" t="s">
        <v>37</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B79" t="s">
        <v>61</v>
      </c>
      <c r="C79" t="s">
        <v>53</v>
      </c>
      <c r="D79" s="3"/>
      <c r="E79" s="3">
        <v>0</v>
      </c>
      <c r="F79" s="4" t="s">
        <v>37</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B80" t="s">
        <v>61</v>
      </c>
      <c r="C80" t="s">
        <v>53</v>
      </c>
      <c r="D80" s="3"/>
      <c r="E80" s="3">
        <v>0</v>
      </c>
      <c r="F80" s="4" t="s">
        <v>37</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B81" t="s">
        <v>61</v>
      </c>
      <c r="C81" t="s">
        <v>53</v>
      </c>
      <c r="D81" s="3"/>
      <c r="E81" s="3">
        <v>0</v>
      </c>
      <c r="F81" s="4" t="s">
        <v>37</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B82" t="s">
        <v>61</v>
      </c>
      <c r="C82" t="s">
        <v>53</v>
      </c>
      <c r="D82" s="3"/>
      <c r="E82" s="3">
        <v>0</v>
      </c>
      <c r="F82" s="4" t="s">
        <v>37</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B83" t="s">
        <v>61</v>
      </c>
      <c r="C83" t="s">
        <v>53</v>
      </c>
      <c r="D83" s="3"/>
      <c r="E83" s="3">
        <v>0</v>
      </c>
      <c r="F83" s="4" t="s">
        <v>37</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row r="85" spans="1:57" x14ac:dyDescent="0.25">
      <c r="A85" s="1" t="s">
        <v>95</v>
      </c>
      <c r="B85" s="1" t="s">
        <v>29</v>
      </c>
      <c r="C85" s="1" t="s">
        <v>30</v>
      </c>
      <c r="D85" s="1" t="s">
        <v>31</v>
      </c>
      <c r="E85" s="1" t="s">
        <v>36</v>
      </c>
      <c r="F85" s="1"/>
      <c r="G85" s="1">
        <v>2000</v>
      </c>
      <c r="H85" s="1">
        <v>2001</v>
      </c>
      <c r="I85" s="1">
        <v>2002</v>
      </c>
      <c r="J85" s="1">
        <v>2003</v>
      </c>
      <c r="K85" s="1">
        <v>2004</v>
      </c>
      <c r="L85" s="1">
        <v>2005</v>
      </c>
      <c r="M85" s="1">
        <v>2006</v>
      </c>
      <c r="N85" s="1">
        <v>2007</v>
      </c>
      <c r="O85" s="1">
        <v>2008</v>
      </c>
      <c r="P85" s="1">
        <v>2009</v>
      </c>
      <c r="Q85" s="1">
        <v>2010</v>
      </c>
      <c r="R85" s="1">
        <v>2011</v>
      </c>
      <c r="S85" s="1">
        <v>2012</v>
      </c>
      <c r="T85" s="1">
        <v>2013</v>
      </c>
      <c r="U85" s="1">
        <v>2014</v>
      </c>
      <c r="V85" s="1">
        <v>2015</v>
      </c>
      <c r="W85" s="1">
        <v>2016</v>
      </c>
      <c r="X85" s="1">
        <v>2017</v>
      </c>
      <c r="Y85" s="1">
        <v>2018</v>
      </c>
      <c r="Z85" s="1">
        <v>2019</v>
      </c>
      <c r="AA85" s="1">
        <v>2020</v>
      </c>
      <c r="AB85" s="1">
        <v>2021</v>
      </c>
      <c r="AC85" s="1">
        <v>2022</v>
      </c>
      <c r="AD85" s="1">
        <v>2023</v>
      </c>
      <c r="AE85" s="1">
        <v>2024</v>
      </c>
      <c r="AF85" s="1">
        <v>2025</v>
      </c>
      <c r="AG85" s="1">
        <v>2026</v>
      </c>
      <c r="AH85" s="1">
        <v>2027</v>
      </c>
      <c r="AI85" s="1">
        <v>2028</v>
      </c>
      <c r="AJ85" s="1">
        <v>2029</v>
      </c>
      <c r="AK85" s="1">
        <v>2030</v>
      </c>
      <c r="AL85" s="1">
        <v>2031</v>
      </c>
      <c r="AM85" s="1">
        <v>2032</v>
      </c>
      <c r="AN85" s="1">
        <v>2033</v>
      </c>
      <c r="AO85" s="1">
        <v>2034</v>
      </c>
      <c r="AP85" s="1">
        <v>2035</v>
      </c>
      <c r="AQ85" s="1">
        <v>2036</v>
      </c>
      <c r="AR85" s="1">
        <v>2037</v>
      </c>
      <c r="AS85" s="1">
        <v>2038</v>
      </c>
      <c r="AT85" s="1">
        <v>2039</v>
      </c>
      <c r="AU85" s="1">
        <v>2040</v>
      </c>
      <c r="AV85" s="1">
        <v>2041</v>
      </c>
      <c r="AW85" s="1">
        <v>2042</v>
      </c>
      <c r="AX85" s="1">
        <v>2043</v>
      </c>
      <c r="AY85" s="1">
        <v>2044</v>
      </c>
      <c r="AZ85" s="1">
        <v>2045</v>
      </c>
      <c r="BA85" s="1">
        <v>2046</v>
      </c>
      <c r="BB85" s="1">
        <v>2047</v>
      </c>
      <c r="BC85" s="1">
        <v>2048</v>
      </c>
      <c r="BD85" s="1">
        <v>2049</v>
      </c>
      <c r="BE85" s="1">
        <v>2050</v>
      </c>
    </row>
    <row r="86" spans="1:57" x14ac:dyDescent="0.25">
      <c r="A86" s="1" t="str">
        <f>'Population Definitions'!$A$2</f>
        <v>PWID_males</v>
      </c>
      <c r="B86" t="s">
        <v>61</v>
      </c>
      <c r="C86" t="s">
        <v>53</v>
      </c>
      <c r="D86" s="3"/>
      <c r="E86" s="3">
        <v>0</v>
      </c>
      <c r="F86" s="4" t="s">
        <v>37</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row>
    <row r="87" spans="1:57" x14ac:dyDescent="0.25">
      <c r="A87" s="1" t="str">
        <f>'Population Definitions'!$A$3</f>
        <v>PWID_females</v>
      </c>
      <c r="B87" t="s">
        <v>61</v>
      </c>
      <c r="C87" t="s">
        <v>53</v>
      </c>
      <c r="D87" s="3"/>
      <c r="E87" s="3">
        <v>0</v>
      </c>
      <c r="F87" s="4" t="s">
        <v>37</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row>
    <row r="88" spans="1:57" x14ac:dyDescent="0.25">
      <c r="A88" s="1" t="str">
        <f>'Population Definitions'!$A$4</f>
        <v>0-9_males</v>
      </c>
      <c r="B88" t="s">
        <v>61</v>
      </c>
      <c r="C88" t="s">
        <v>53</v>
      </c>
      <c r="D88" s="3"/>
      <c r="E88" s="3">
        <v>0</v>
      </c>
      <c r="F88" s="4" t="s">
        <v>37</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row>
    <row r="89" spans="1:57" x14ac:dyDescent="0.25">
      <c r="A89" s="1" t="str">
        <f>'Population Definitions'!$A$5</f>
        <v>0-9_females</v>
      </c>
      <c r="B89" t="s">
        <v>61</v>
      </c>
      <c r="C89" t="s">
        <v>53</v>
      </c>
      <c r="D89" s="3"/>
      <c r="E89" s="3">
        <v>0</v>
      </c>
      <c r="F89" s="4" t="s">
        <v>37</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row>
    <row r="90" spans="1:57" x14ac:dyDescent="0.25">
      <c r="A90" s="1" t="str">
        <f>'Population Definitions'!$A$6</f>
        <v>10-17_males</v>
      </c>
      <c r="B90" t="s">
        <v>61</v>
      </c>
      <c r="C90" t="s">
        <v>53</v>
      </c>
      <c r="D90" s="3"/>
      <c r="E90" s="3">
        <v>0</v>
      </c>
      <c r="F90" s="4" t="s">
        <v>37</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row>
    <row r="91" spans="1:57" x14ac:dyDescent="0.25">
      <c r="A91" s="1" t="str">
        <f>'Population Definitions'!$A$7</f>
        <v>10-17_females</v>
      </c>
      <c r="B91" t="s">
        <v>61</v>
      </c>
      <c r="C91" t="s">
        <v>53</v>
      </c>
      <c r="D91" s="3"/>
      <c r="E91" s="3">
        <v>0</v>
      </c>
      <c r="F91" s="4" t="s">
        <v>37</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row>
    <row r="92" spans="1:57" x14ac:dyDescent="0.25">
      <c r="A92" s="1" t="str">
        <f>'Population Definitions'!$A$8</f>
        <v>18-64_males</v>
      </c>
      <c r="B92" t="s">
        <v>61</v>
      </c>
      <c r="C92" t="s">
        <v>53</v>
      </c>
      <c r="D92" s="3"/>
      <c r="E92" s="3">
        <v>0</v>
      </c>
      <c r="F92" s="4" t="s">
        <v>37</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row>
    <row r="93" spans="1:57" x14ac:dyDescent="0.25">
      <c r="A93" s="1" t="str">
        <f>'Population Definitions'!$A$9</f>
        <v>18-64_females</v>
      </c>
      <c r="B93" t="s">
        <v>61</v>
      </c>
      <c r="C93" t="s">
        <v>53</v>
      </c>
      <c r="D93" s="3"/>
      <c r="E93" s="3">
        <v>0</v>
      </c>
      <c r="F93" s="4" t="s">
        <v>37</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row>
    <row r="94" spans="1:57" x14ac:dyDescent="0.25">
      <c r="A94" s="1" t="str">
        <f>'Population Definitions'!$A$10</f>
        <v>65+_males</v>
      </c>
      <c r="B94" t="s">
        <v>61</v>
      </c>
      <c r="C94" t="s">
        <v>53</v>
      </c>
      <c r="D94" s="3"/>
      <c r="E94" s="3">
        <v>0</v>
      </c>
      <c r="F94" s="4" t="s">
        <v>37</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row>
    <row r="95" spans="1:57" x14ac:dyDescent="0.25">
      <c r="A95" s="1" t="str">
        <f>'Population Definitions'!$A$11</f>
        <v>65+_females</v>
      </c>
      <c r="B95" t="s">
        <v>61</v>
      </c>
      <c r="C95" t="s">
        <v>53</v>
      </c>
      <c r="D95" s="3"/>
      <c r="E95" s="3">
        <v>0</v>
      </c>
      <c r="F95" s="4" t="s">
        <v>37</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row>
    <row r="96" spans="1:57" x14ac:dyDescent="0.25">
      <c r="A96" s="1" t="str">
        <f>'Population Definitions'!$A$12</f>
        <v>Prisoners_males</v>
      </c>
      <c r="B96" t="s">
        <v>61</v>
      </c>
      <c r="C96" t="s">
        <v>53</v>
      </c>
      <c r="D96" s="3"/>
      <c r="E96" s="3">
        <v>0</v>
      </c>
      <c r="F96" s="4" t="s">
        <v>37</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row>
    <row r="97" spans="1:57" x14ac:dyDescent="0.25">
      <c r="A97" s="1" t="str">
        <f>'Population Definitions'!$A$13</f>
        <v>Prisoners_females</v>
      </c>
      <c r="B97" t="s">
        <v>61</v>
      </c>
      <c r="C97" t="s">
        <v>53</v>
      </c>
      <c r="D97" s="3"/>
      <c r="E97" s="3">
        <v>0</v>
      </c>
      <c r="F97" s="4" t="s">
        <v>37</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row>
    <row r="99" spans="1:57" x14ac:dyDescent="0.25">
      <c r="A99" s="1" t="s">
        <v>96</v>
      </c>
      <c r="B99" s="1" t="s">
        <v>29</v>
      </c>
      <c r="C99" s="1" t="s">
        <v>30</v>
      </c>
      <c r="D99" s="1" t="s">
        <v>31</v>
      </c>
      <c r="E99" s="1" t="s">
        <v>36</v>
      </c>
      <c r="F99" s="1"/>
      <c r="G99" s="1">
        <v>2000</v>
      </c>
      <c r="H99" s="1">
        <v>2001</v>
      </c>
      <c r="I99" s="1">
        <v>2002</v>
      </c>
      <c r="J99" s="1">
        <v>2003</v>
      </c>
      <c r="K99" s="1">
        <v>2004</v>
      </c>
      <c r="L99" s="1">
        <v>2005</v>
      </c>
      <c r="M99" s="1">
        <v>2006</v>
      </c>
      <c r="N99" s="1">
        <v>2007</v>
      </c>
      <c r="O99" s="1">
        <v>2008</v>
      </c>
      <c r="P99" s="1">
        <v>2009</v>
      </c>
      <c r="Q99" s="1">
        <v>2010</v>
      </c>
      <c r="R99" s="1">
        <v>2011</v>
      </c>
      <c r="S99" s="1">
        <v>2012</v>
      </c>
      <c r="T99" s="1">
        <v>2013</v>
      </c>
      <c r="U99" s="1">
        <v>2014</v>
      </c>
      <c r="V99" s="1">
        <v>2015</v>
      </c>
      <c r="W99" s="1">
        <v>2016</v>
      </c>
      <c r="X99" s="1">
        <v>2017</v>
      </c>
      <c r="Y99" s="1">
        <v>2018</v>
      </c>
      <c r="Z99" s="1">
        <v>2019</v>
      </c>
      <c r="AA99" s="1">
        <v>2020</v>
      </c>
      <c r="AB99" s="1">
        <v>2021</v>
      </c>
      <c r="AC99" s="1">
        <v>2022</v>
      </c>
      <c r="AD99" s="1">
        <v>2023</v>
      </c>
      <c r="AE99" s="1">
        <v>2024</v>
      </c>
      <c r="AF99" s="1">
        <v>2025</v>
      </c>
      <c r="AG99" s="1">
        <v>2026</v>
      </c>
      <c r="AH99" s="1">
        <v>2027</v>
      </c>
      <c r="AI99" s="1">
        <v>2028</v>
      </c>
      <c r="AJ99" s="1">
        <v>2029</v>
      </c>
      <c r="AK99" s="1">
        <v>2030</v>
      </c>
      <c r="AL99" s="1">
        <v>2031</v>
      </c>
      <c r="AM99" s="1">
        <v>2032</v>
      </c>
      <c r="AN99" s="1">
        <v>2033</v>
      </c>
      <c r="AO99" s="1">
        <v>2034</v>
      </c>
      <c r="AP99" s="1">
        <v>2035</v>
      </c>
      <c r="AQ99" s="1">
        <v>2036</v>
      </c>
      <c r="AR99" s="1">
        <v>2037</v>
      </c>
      <c r="AS99" s="1">
        <v>2038</v>
      </c>
      <c r="AT99" s="1">
        <v>2039</v>
      </c>
      <c r="AU99" s="1">
        <v>2040</v>
      </c>
      <c r="AV99" s="1">
        <v>2041</v>
      </c>
      <c r="AW99" s="1">
        <v>2042</v>
      </c>
      <c r="AX99" s="1">
        <v>2043</v>
      </c>
      <c r="AY99" s="1">
        <v>2044</v>
      </c>
      <c r="AZ99" s="1">
        <v>2045</v>
      </c>
      <c r="BA99" s="1">
        <v>2046</v>
      </c>
      <c r="BB99" s="1">
        <v>2047</v>
      </c>
      <c r="BC99" s="1">
        <v>2048</v>
      </c>
      <c r="BD99" s="1">
        <v>2049</v>
      </c>
      <c r="BE99" s="1">
        <v>2050</v>
      </c>
    </row>
    <row r="100" spans="1:57" x14ac:dyDescent="0.25">
      <c r="A100" s="1" t="str">
        <f>'Population Definitions'!$A$2</f>
        <v>PWID_males</v>
      </c>
      <c r="B100" t="s">
        <v>61</v>
      </c>
      <c r="C100" t="s">
        <v>53</v>
      </c>
      <c r="D100" s="3"/>
      <c r="E100" s="3">
        <v>0</v>
      </c>
      <c r="F100" s="4" t="s">
        <v>37</v>
      </c>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row>
    <row r="101" spans="1:57" x14ac:dyDescent="0.25">
      <c r="A101" s="1" t="str">
        <f>'Population Definitions'!$A$3</f>
        <v>PWID_females</v>
      </c>
      <c r="B101" t="s">
        <v>61</v>
      </c>
      <c r="C101" t="s">
        <v>53</v>
      </c>
      <c r="D101" s="3"/>
      <c r="E101" s="3">
        <v>0</v>
      </c>
      <c r="F101" s="4" t="s">
        <v>37</v>
      </c>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row>
    <row r="102" spans="1:57" x14ac:dyDescent="0.25">
      <c r="A102" s="1" t="str">
        <f>'Population Definitions'!$A$4</f>
        <v>0-9_males</v>
      </c>
      <c r="B102" t="s">
        <v>61</v>
      </c>
      <c r="C102" t="s">
        <v>53</v>
      </c>
      <c r="D102" s="3"/>
      <c r="E102" s="3">
        <v>0</v>
      </c>
      <c r="F102" s="4" t="s">
        <v>37</v>
      </c>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row>
    <row r="103" spans="1:57" x14ac:dyDescent="0.25">
      <c r="A103" s="1" t="str">
        <f>'Population Definitions'!$A$5</f>
        <v>0-9_females</v>
      </c>
      <c r="B103" t="s">
        <v>61</v>
      </c>
      <c r="C103" t="s">
        <v>53</v>
      </c>
      <c r="D103" s="3"/>
      <c r="E103" s="3">
        <v>0</v>
      </c>
      <c r="F103" s="4" t="s">
        <v>37</v>
      </c>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row>
    <row r="104" spans="1:57" x14ac:dyDescent="0.25">
      <c r="A104" s="1" t="str">
        <f>'Population Definitions'!$A$6</f>
        <v>10-17_males</v>
      </c>
      <c r="B104" t="s">
        <v>61</v>
      </c>
      <c r="C104" t="s">
        <v>53</v>
      </c>
      <c r="D104" s="3"/>
      <c r="E104" s="3">
        <v>0</v>
      </c>
      <c r="F104" s="4" t="s">
        <v>37</v>
      </c>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row>
    <row r="105" spans="1:57" x14ac:dyDescent="0.25">
      <c r="A105" s="1" t="str">
        <f>'Population Definitions'!$A$7</f>
        <v>10-17_females</v>
      </c>
      <c r="B105" t="s">
        <v>61</v>
      </c>
      <c r="C105" t="s">
        <v>53</v>
      </c>
      <c r="D105" s="3"/>
      <c r="E105" s="3">
        <v>0</v>
      </c>
      <c r="F105" s="4" t="s">
        <v>37</v>
      </c>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row>
    <row r="106" spans="1:57" x14ac:dyDescent="0.25">
      <c r="A106" s="1" t="str">
        <f>'Population Definitions'!$A$8</f>
        <v>18-64_males</v>
      </c>
      <c r="B106" t="s">
        <v>61</v>
      </c>
      <c r="C106" t="s">
        <v>53</v>
      </c>
      <c r="D106" s="3"/>
      <c r="E106" s="3">
        <v>0</v>
      </c>
      <c r="F106" s="4" t="s">
        <v>37</v>
      </c>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row>
    <row r="107" spans="1:57" x14ac:dyDescent="0.25">
      <c r="A107" s="1" t="str">
        <f>'Population Definitions'!$A$9</f>
        <v>18-64_females</v>
      </c>
      <c r="B107" t="s">
        <v>61</v>
      </c>
      <c r="C107" t="s">
        <v>53</v>
      </c>
      <c r="D107" s="3"/>
      <c r="E107" s="3">
        <v>0</v>
      </c>
      <c r="F107" s="4" t="s">
        <v>37</v>
      </c>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row>
    <row r="108" spans="1:57" x14ac:dyDescent="0.25">
      <c r="A108" s="1" t="str">
        <f>'Population Definitions'!$A$10</f>
        <v>65+_males</v>
      </c>
      <c r="B108" t="s">
        <v>61</v>
      </c>
      <c r="C108" t="s">
        <v>53</v>
      </c>
      <c r="D108" s="3"/>
      <c r="E108" s="3">
        <v>0</v>
      </c>
      <c r="F108" s="4" t="s">
        <v>37</v>
      </c>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row>
    <row r="109" spans="1:57" x14ac:dyDescent="0.25">
      <c r="A109" s="1" t="str">
        <f>'Population Definitions'!$A$11</f>
        <v>65+_females</v>
      </c>
      <c r="B109" t="s">
        <v>61</v>
      </c>
      <c r="C109" t="s">
        <v>53</v>
      </c>
      <c r="D109" s="3"/>
      <c r="E109" s="3">
        <v>0</v>
      </c>
      <c r="F109" s="4" t="s">
        <v>37</v>
      </c>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row>
    <row r="110" spans="1:57" x14ac:dyDescent="0.25">
      <c r="A110" s="1" t="str">
        <f>'Population Definitions'!$A$12</f>
        <v>Prisoners_males</v>
      </c>
      <c r="B110" t="s">
        <v>61</v>
      </c>
      <c r="C110" t="s">
        <v>53</v>
      </c>
      <c r="D110" s="3"/>
      <c r="E110" s="3">
        <v>0</v>
      </c>
      <c r="F110" s="4" t="s">
        <v>37</v>
      </c>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row>
    <row r="111" spans="1:57" x14ac:dyDescent="0.25">
      <c r="A111" s="1" t="str">
        <f>'Population Definitions'!$A$13</f>
        <v>Prisoners_females</v>
      </c>
      <c r="B111" t="s">
        <v>61</v>
      </c>
      <c r="C111" t="s">
        <v>53</v>
      </c>
      <c r="D111" s="3"/>
      <c r="E111" s="3">
        <v>0</v>
      </c>
      <c r="F111" s="4" t="s">
        <v>37</v>
      </c>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row>
  </sheetData>
  <conditionalFormatting sqref="E2:E13">
    <cfRule type="expression" dxfId="847" priority="1">
      <formula>COUNTIF(G2:BE2,"&lt;&gt;" &amp; "")&gt;0</formula>
    </cfRule>
    <cfRule type="expression" dxfId="846" priority="2">
      <formula>AND(COUNTIF(G2:BE2,"&lt;&gt;" &amp; "")&gt;0,NOT(ISBLANK(E2)))</formula>
    </cfRule>
  </conditionalFormatting>
  <conditionalFormatting sqref="E16:E27">
    <cfRule type="expression" dxfId="845" priority="25">
      <formula>COUNTIF(G16:BE16,"&lt;&gt;" &amp; "")&gt;0</formula>
    </cfRule>
    <cfRule type="expression" dxfId="844" priority="26">
      <formula>AND(COUNTIF(G16:BE16,"&lt;&gt;" &amp; "")&gt;0,NOT(ISBLANK(E16)))</formula>
    </cfRule>
  </conditionalFormatting>
  <conditionalFormatting sqref="E30:E41">
    <cfRule type="expression" dxfId="843" priority="49">
      <formula>COUNTIF(G30:BE30,"&lt;&gt;" &amp; "")&gt;0</formula>
    </cfRule>
    <cfRule type="expression" dxfId="842" priority="50">
      <formula>AND(COUNTIF(G30:BE30,"&lt;&gt;" &amp; "")&gt;0,NOT(ISBLANK(E30)))</formula>
    </cfRule>
  </conditionalFormatting>
  <conditionalFormatting sqref="E44:E55">
    <cfRule type="expression" dxfId="841" priority="73">
      <formula>COUNTIF(G44:BE44,"&lt;&gt;" &amp; "")&gt;0</formula>
    </cfRule>
    <cfRule type="expression" dxfId="840" priority="74">
      <formula>AND(COUNTIF(G44:BE44,"&lt;&gt;" &amp; "")&gt;0,NOT(ISBLANK(E44)))</formula>
    </cfRule>
  </conditionalFormatting>
  <conditionalFormatting sqref="E58:E69">
    <cfRule type="expression" dxfId="839" priority="97">
      <formula>COUNTIF(G58:BE58,"&lt;&gt;" &amp; "")&gt;0</formula>
    </cfRule>
    <cfRule type="expression" dxfId="838" priority="98">
      <formula>AND(COUNTIF(G58:BE58,"&lt;&gt;" &amp; "")&gt;0,NOT(ISBLANK(E58)))</formula>
    </cfRule>
  </conditionalFormatting>
  <conditionalFormatting sqref="E72:E83">
    <cfRule type="expression" dxfId="837" priority="121">
      <formula>COUNTIF(G72:BE72,"&lt;&gt;" &amp; "")&gt;0</formula>
    </cfRule>
    <cfRule type="expression" dxfId="836" priority="122">
      <formula>AND(COUNTIF(G72:BE72,"&lt;&gt;" &amp; "")&gt;0,NOT(ISBLANK(E72)))</formula>
    </cfRule>
  </conditionalFormatting>
  <conditionalFormatting sqref="E86:E97">
    <cfRule type="expression" dxfId="835" priority="145">
      <formula>COUNTIF(G86:BE86,"&lt;&gt;" &amp; "")&gt;0</formula>
    </cfRule>
    <cfRule type="expression" dxfId="834" priority="146">
      <formula>AND(COUNTIF(G86:BE86,"&lt;&gt;" &amp; "")&gt;0,NOT(ISBLANK(E86)))</formula>
    </cfRule>
  </conditionalFormatting>
  <conditionalFormatting sqref="E100:E111">
    <cfRule type="expression" dxfId="833" priority="169">
      <formula>COUNTIF(G100:BE100,"&lt;&gt;" &amp; "")&gt;0</formula>
    </cfRule>
    <cfRule type="expression" dxfId="832" priority="170">
      <formula>AND(COUNTIF(G100:BE100,"&lt;&gt;" &amp; "")&gt;0,NOT(ISBLANK(E100)))</formula>
    </cfRule>
  </conditionalFormatting>
  <dataValidations count="1">
    <dataValidation type="list" allowBlank="1" showInputMessage="1" showErrorMessage="1" sqref="C100:C111 C86:C97 C72:C83 C58:C69 C44:C55 C30:C41 C16:C27 C2:C13" xr:uid="{00000000-0002-0000-0700-000000000000}">
      <formula1>"Rate (per year)"</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08080"/>
  </sheetPr>
  <dimension ref="A1:BE97"/>
  <sheetViews>
    <sheetView workbookViewId="0"/>
  </sheetViews>
  <sheetFormatPr defaultRowHeight="15" x14ac:dyDescent="0.25"/>
  <cols>
    <col min="1" max="1" width="93" customWidth="1"/>
    <col min="2" max="2" width="30.28515625" customWidth="1"/>
    <col min="3" max="3" width="19.28515625" customWidth="1"/>
    <col min="4" max="4" width="13.85546875" customWidth="1"/>
    <col min="5" max="5" width="10.5703125" customWidth="1"/>
    <col min="6" max="6" width="3.85546875" customWidth="1"/>
    <col min="7" max="57" width="9.42578125" customWidth="1"/>
  </cols>
  <sheetData>
    <row r="1" spans="1:57" x14ac:dyDescent="0.25">
      <c r="A1" s="1" t="s">
        <v>97</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C2" t="s">
        <v>56</v>
      </c>
      <c r="D2" s="3"/>
      <c r="E2" s="3">
        <v>0</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C3" t="s">
        <v>56</v>
      </c>
      <c r="D3" s="3"/>
      <c r="E3" s="3">
        <v>0</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C4" t="s">
        <v>56</v>
      </c>
      <c r="D4" s="3"/>
      <c r="E4" s="3"/>
      <c r="F4" s="4" t="s">
        <v>37</v>
      </c>
      <c r="G4" s="3">
        <v>0</v>
      </c>
      <c r="H4" s="3"/>
      <c r="I4" s="3"/>
      <c r="J4" s="3"/>
      <c r="K4" s="3"/>
      <c r="L4" s="3"/>
      <c r="M4" s="3"/>
      <c r="N4" s="3"/>
      <c r="O4" s="3"/>
      <c r="P4" s="3"/>
      <c r="Q4" s="3"/>
      <c r="R4" s="3"/>
      <c r="S4" s="3"/>
      <c r="T4" s="3"/>
      <c r="U4" s="3">
        <v>0</v>
      </c>
      <c r="V4" s="3">
        <v>0</v>
      </c>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C5" t="s">
        <v>56</v>
      </c>
      <c r="D5" s="3"/>
      <c r="E5" s="3"/>
      <c r="F5" s="4" t="s">
        <v>37</v>
      </c>
      <c r="G5" s="3">
        <v>0</v>
      </c>
      <c r="H5" s="3"/>
      <c r="I5" s="3"/>
      <c r="J5" s="3"/>
      <c r="K5" s="3"/>
      <c r="L5" s="3"/>
      <c r="M5" s="3"/>
      <c r="N5" s="3"/>
      <c r="O5" s="3"/>
      <c r="P5" s="3"/>
      <c r="Q5" s="3"/>
      <c r="R5" s="3"/>
      <c r="S5" s="3"/>
      <c r="T5" s="3"/>
      <c r="U5" s="3">
        <v>0</v>
      </c>
      <c r="V5" s="3">
        <v>0</v>
      </c>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C6" t="s">
        <v>56</v>
      </c>
      <c r="D6" s="3"/>
      <c r="E6" s="3"/>
      <c r="F6" s="4" t="s">
        <v>37</v>
      </c>
      <c r="G6" s="3">
        <v>0</v>
      </c>
      <c r="H6" s="3"/>
      <c r="I6" s="3"/>
      <c r="J6" s="3"/>
      <c r="K6" s="3"/>
      <c r="L6" s="3"/>
      <c r="M6" s="3"/>
      <c r="N6" s="3"/>
      <c r="O6" s="3"/>
      <c r="P6" s="3"/>
      <c r="Q6" s="3"/>
      <c r="R6" s="3"/>
      <c r="S6" s="3"/>
      <c r="T6" s="3"/>
      <c r="U6" s="3">
        <v>0</v>
      </c>
      <c r="V6" s="3">
        <v>0</v>
      </c>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C7" t="s">
        <v>56</v>
      </c>
      <c r="D7" s="3"/>
      <c r="E7" s="3"/>
      <c r="F7" s="4" t="s">
        <v>37</v>
      </c>
      <c r="G7" s="3">
        <v>0</v>
      </c>
      <c r="H7" s="3"/>
      <c r="I7" s="3"/>
      <c r="J7" s="3"/>
      <c r="K7" s="3"/>
      <c r="L7" s="3"/>
      <c r="M7" s="3"/>
      <c r="N7" s="3"/>
      <c r="O7" s="3"/>
      <c r="P7" s="3"/>
      <c r="Q7" s="3"/>
      <c r="R7" s="3"/>
      <c r="S7" s="3"/>
      <c r="T7" s="3"/>
      <c r="U7" s="3">
        <v>0</v>
      </c>
      <c r="V7" s="3">
        <v>0</v>
      </c>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C8" t="s">
        <v>56</v>
      </c>
      <c r="D8" s="3"/>
      <c r="E8" s="3"/>
      <c r="F8" s="4" t="s">
        <v>37</v>
      </c>
      <c r="G8" s="3">
        <v>0.47245465120426888</v>
      </c>
      <c r="H8" s="3"/>
      <c r="I8" s="3"/>
      <c r="J8" s="3"/>
      <c r="K8" s="3"/>
      <c r="L8" s="3"/>
      <c r="M8" s="3"/>
      <c r="N8" s="3"/>
      <c r="O8" s="3"/>
      <c r="P8" s="3"/>
      <c r="Q8" s="3"/>
      <c r="R8" s="3"/>
      <c r="S8" s="3"/>
      <c r="T8" s="3"/>
      <c r="U8" s="3">
        <v>0.47245465120426888</v>
      </c>
      <c r="V8" s="3">
        <v>0</v>
      </c>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C9" t="s">
        <v>56</v>
      </c>
      <c r="D9" s="3"/>
      <c r="E9" s="3"/>
      <c r="F9" s="4" t="s">
        <v>37</v>
      </c>
      <c r="G9" s="3">
        <v>0.44902866803467612</v>
      </c>
      <c r="H9" s="3"/>
      <c r="I9" s="3"/>
      <c r="J9" s="3"/>
      <c r="K9" s="3"/>
      <c r="L9" s="3"/>
      <c r="M9" s="3"/>
      <c r="N9" s="3"/>
      <c r="O9" s="3"/>
      <c r="P9" s="3"/>
      <c r="Q9" s="3"/>
      <c r="R9" s="3"/>
      <c r="S9" s="3"/>
      <c r="T9" s="3"/>
      <c r="U9" s="3">
        <v>0.44902866803467612</v>
      </c>
      <c r="V9" s="3">
        <v>0</v>
      </c>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C10" t="s">
        <v>56</v>
      </c>
      <c r="D10" s="3"/>
      <c r="E10" s="3"/>
      <c r="F10" s="4" t="s">
        <v>37</v>
      </c>
      <c r="G10" s="3">
        <v>3.6992744293287493E-2</v>
      </c>
      <c r="H10" s="3"/>
      <c r="I10" s="3"/>
      <c r="J10" s="3"/>
      <c r="K10" s="3"/>
      <c r="L10" s="3"/>
      <c r="M10" s="3"/>
      <c r="N10" s="3"/>
      <c r="O10" s="3"/>
      <c r="P10" s="3"/>
      <c r="Q10" s="3"/>
      <c r="R10" s="3"/>
      <c r="S10" s="3"/>
      <c r="T10" s="3"/>
      <c r="U10" s="3">
        <v>3.6992744293287493E-2</v>
      </c>
      <c r="V10" s="3">
        <v>0</v>
      </c>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C11" t="s">
        <v>56</v>
      </c>
      <c r="D11" s="3"/>
      <c r="E11" s="3"/>
      <c r="F11" s="4" t="s">
        <v>37</v>
      </c>
      <c r="G11" s="3">
        <v>3.2352379272582853E-2</v>
      </c>
      <c r="H11" s="3"/>
      <c r="I11" s="3"/>
      <c r="J11" s="3"/>
      <c r="K11" s="3"/>
      <c r="L11" s="3"/>
      <c r="M11" s="3"/>
      <c r="N11" s="3"/>
      <c r="O11" s="3"/>
      <c r="P11" s="3"/>
      <c r="Q11" s="3"/>
      <c r="R11" s="3"/>
      <c r="S11" s="3"/>
      <c r="T11" s="3"/>
      <c r="U11" s="3">
        <v>3.2352379272582853E-2</v>
      </c>
      <c r="V11" s="3">
        <v>0</v>
      </c>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C12" t="s">
        <v>56</v>
      </c>
      <c r="D12" s="3"/>
      <c r="E12" s="3">
        <v>0</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C13" t="s">
        <v>56</v>
      </c>
      <c r="D13" s="3"/>
      <c r="E13" s="3">
        <v>0</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98</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C16" t="s">
        <v>56</v>
      </c>
      <c r="D16" s="3"/>
      <c r="E16" s="3">
        <v>0</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C17" t="s">
        <v>56</v>
      </c>
      <c r="D17" s="3"/>
      <c r="E17" s="3">
        <v>0</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C18" t="s">
        <v>56</v>
      </c>
      <c r="D18" s="3"/>
      <c r="E18" s="3"/>
      <c r="F18" s="4" t="s">
        <v>37</v>
      </c>
      <c r="G18" s="3">
        <v>0</v>
      </c>
      <c r="H18" s="3"/>
      <c r="I18" s="3"/>
      <c r="J18" s="3"/>
      <c r="K18" s="3"/>
      <c r="L18" s="3"/>
      <c r="M18" s="3"/>
      <c r="N18" s="3"/>
      <c r="O18" s="3"/>
      <c r="P18" s="3"/>
      <c r="Q18" s="3"/>
      <c r="R18" s="3"/>
      <c r="S18" s="3"/>
      <c r="T18" s="3"/>
      <c r="U18" s="3">
        <v>0</v>
      </c>
      <c r="V18" s="3">
        <v>0</v>
      </c>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C19" t="s">
        <v>56</v>
      </c>
      <c r="D19" s="3"/>
      <c r="E19" s="3"/>
      <c r="F19" s="4" t="s">
        <v>37</v>
      </c>
      <c r="G19" s="3">
        <v>0</v>
      </c>
      <c r="H19" s="3"/>
      <c r="I19" s="3"/>
      <c r="J19" s="3"/>
      <c r="K19" s="3"/>
      <c r="L19" s="3"/>
      <c r="M19" s="3"/>
      <c r="N19" s="3"/>
      <c r="O19" s="3"/>
      <c r="P19" s="3"/>
      <c r="Q19" s="3"/>
      <c r="R19" s="3"/>
      <c r="S19" s="3"/>
      <c r="T19" s="3"/>
      <c r="U19" s="3">
        <v>0</v>
      </c>
      <c r="V19" s="3">
        <v>0</v>
      </c>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C20" t="s">
        <v>56</v>
      </c>
      <c r="D20" s="3"/>
      <c r="E20" s="3"/>
      <c r="F20" s="4" t="s">
        <v>37</v>
      </c>
      <c r="G20" s="3">
        <v>0</v>
      </c>
      <c r="H20" s="3"/>
      <c r="I20" s="3"/>
      <c r="J20" s="3"/>
      <c r="K20" s="3"/>
      <c r="L20" s="3"/>
      <c r="M20" s="3"/>
      <c r="N20" s="3"/>
      <c r="O20" s="3"/>
      <c r="P20" s="3"/>
      <c r="Q20" s="3"/>
      <c r="R20" s="3"/>
      <c r="S20" s="3"/>
      <c r="T20" s="3"/>
      <c r="U20" s="3">
        <v>0</v>
      </c>
      <c r="V20" s="3">
        <v>0</v>
      </c>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C21" t="s">
        <v>56</v>
      </c>
      <c r="D21" s="3"/>
      <c r="E21" s="3"/>
      <c r="F21" s="4" t="s">
        <v>37</v>
      </c>
      <c r="G21" s="3">
        <v>0</v>
      </c>
      <c r="H21" s="3"/>
      <c r="I21" s="3"/>
      <c r="J21" s="3"/>
      <c r="K21" s="3"/>
      <c r="L21" s="3"/>
      <c r="M21" s="3"/>
      <c r="N21" s="3"/>
      <c r="O21" s="3"/>
      <c r="P21" s="3"/>
      <c r="Q21" s="3"/>
      <c r="R21" s="3"/>
      <c r="S21" s="3"/>
      <c r="T21" s="3"/>
      <c r="U21" s="3">
        <v>0</v>
      </c>
      <c r="V21" s="3">
        <v>0</v>
      </c>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C22" t="s">
        <v>56</v>
      </c>
      <c r="D22" s="3"/>
      <c r="E22" s="3"/>
      <c r="F22" s="4" t="s">
        <v>37</v>
      </c>
      <c r="G22" s="3">
        <v>0</v>
      </c>
      <c r="H22" s="3"/>
      <c r="I22" s="3"/>
      <c r="J22" s="3"/>
      <c r="K22" s="3"/>
      <c r="L22" s="3"/>
      <c r="M22" s="3"/>
      <c r="N22" s="3"/>
      <c r="O22" s="3"/>
      <c r="P22" s="3"/>
      <c r="Q22" s="3"/>
      <c r="R22" s="3"/>
      <c r="S22" s="3"/>
      <c r="T22" s="3"/>
      <c r="U22" s="3">
        <v>0</v>
      </c>
      <c r="V22" s="3">
        <v>0.47245465120426888</v>
      </c>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C23" t="s">
        <v>56</v>
      </c>
      <c r="D23" s="3"/>
      <c r="E23" s="3"/>
      <c r="F23" s="4" t="s">
        <v>37</v>
      </c>
      <c r="G23" s="3">
        <v>0</v>
      </c>
      <c r="H23" s="3"/>
      <c r="I23" s="3"/>
      <c r="J23" s="3"/>
      <c r="K23" s="3"/>
      <c r="L23" s="3"/>
      <c r="M23" s="3"/>
      <c r="N23" s="3"/>
      <c r="O23" s="3"/>
      <c r="P23" s="3"/>
      <c r="Q23" s="3"/>
      <c r="R23" s="3"/>
      <c r="S23" s="3"/>
      <c r="T23" s="3"/>
      <c r="U23" s="3">
        <v>0</v>
      </c>
      <c r="V23" s="3">
        <v>0.44902866803467612</v>
      </c>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C24" t="s">
        <v>56</v>
      </c>
      <c r="D24" s="3"/>
      <c r="E24" s="3"/>
      <c r="F24" s="4" t="s">
        <v>37</v>
      </c>
      <c r="G24" s="3">
        <v>0</v>
      </c>
      <c r="H24" s="3"/>
      <c r="I24" s="3"/>
      <c r="J24" s="3"/>
      <c r="K24" s="3"/>
      <c r="L24" s="3"/>
      <c r="M24" s="3"/>
      <c r="N24" s="3"/>
      <c r="O24" s="3"/>
      <c r="P24" s="3"/>
      <c r="Q24" s="3"/>
      <c r="R24" s="3"/>
      <c r="S24" s="3"/>
      <c r="T24" s="3"/>
      <c r="U24" s="3">
        <v>0</v>
      </c>
      <c r="V24" s="3">
        <v>3.6992744293287493E-2</v>
      </c>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C25" t="s">
        <v>56</v>
      </c>
      <c r="D25" s="3"/>
      <c r="E25" s="3"/>
      <c r="F25" s="4" t="s">
        <v>37</v>
      </c>
      <c r="G25" s="3">
        <v>0</v>
      </c>
      <c r="H25" s="3"/>
      <c r="I25" s="3"/>
      <c r="J25" s="3"/>
      <c r="K25" s="3"/>
      <c r="L25" s="3"/>
      <c r="M25" s="3"/>
      <c r="N25" s="3"/>
      <c r="O25" s="3"/>
      <c r="P25" s="3"/>
      <c r="Q25" s="3"/>
      <c r="R25" s="3"/>
      <c r="S25" s="3"/>
      <c r="T25" s="3"/>
      <c r="U25" s="3">
        <v>0</v>
      </c>
      <c r="V25" s="3">
        <v>3.2352379272582853E-2</v>
      </c>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C26" t="s">
        <v>56</v>
      </c>
      <c r="D26" s="3"/>
      <c r="E26" s="3">
        <v>0</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C27" t="s">
        <v>56</v>
      </c>
      <c r="D27" s="3"/>
      <c r="E27" s="3">
        <v>0</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99</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56</v>
      </c>
      <c r="D30" s="3"/>
      <c r="E30" s="3"/>
      <c r="F30" s="4" t="s">
        <v>37</v>
      </c>
      <c r="G30" s="3">
        <v>9.1256994092088293E-3</v>
      </c>
      <c r="H30" s="3"/>
      <c r="I30" s="3"/>
      <c r="J30" s="3"/>
      <c r="K30" s="3"/>
      <c r="L30" s="3"/>
      <c r="M30" s="3"/>
      <c r="N30" s="3"/>
      <c r="O30" s="3"/>
      <c r="P30" s="3"/>
      <c r="Q30" s="3"/>
      <c r="R30" s="3"/>
      <c r="S30" s="3"/>
      <c r="T30" s="3"/>
      <c r="U30" s="3">
        <v>9.1256994092088293E-3</v>
      </c>
      <c r="V30" s="3">
        <v>0</v>
      </c>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56</v>
      </c>
      <c r="D31" s="3"/>
      <c r="E31" s="3"/>
      <c r="F31" s="4" t="s">
        <v>37</v>
      </c>
      <c r="G31" s="3">
        <v>4.5857785975923822E-5</v>
      </c>
      <c r="H31" s="3"/>
      <c r="I31" s="3"/>
      <c r="J31" s="3"/>
      <c r="K31" s="3"/>
      <c r="L31" s="3"/>
      <c r="M31" s="3"/>
      <c r="N31" s="3"/>
      <c r="O31" s="3"/>
      <c r="P31" s="3"/>
      <c r="Q31" s="3"/>
      <c r="R31" s="3"/>
      <c r="S31" s="3"/>
      <c r="T31" s="3"/>
      <c r="U31" s="3">
        <v>4.5857785975923822E-5</v>
      </c>
      <c r="V31" s="3">
        <v>0</v>
      </c>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56</v>
      </c>
      <c r="D32" s="3"/>
      <c r="E32" s="3">
        <v>0</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C33" t="s">
        <v>56</v>
      </c>
      <c r="D33" s="3"/>
      <c r="E33" s="3">
        <v>0</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C34" t="s">
        <v>56</v>
      </c>
      <c r="D34" s="3"/>
      <c r="E34" s="3">
        <v>0</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C35" t="s">
        <v>56</v>
      </c>
      <c r="D35" s="3"/>
      <c r="E35" s="3">
        <v>0</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C36" t="s">
        <v>56</v>
      </c>
      <c r="D36" s="3"/>
      <c r="E36" s="3">
        <v>0</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C37" t="s">
        <v>56</v>
      </c>
      <c r="D37" s="3"/>
      <c r="E37" s="3">
        <v>0</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C38" t="s">
        <v>56</v>
      </c>
      <c r="D38" s="3"/>
      <c r="E38" s="3">
        <v>0</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C39" t="s">
        <v>56</v>
      </c>
      <c r="D39" s="3"/>
      <c r="E39" s="3">
        <v>0</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C40" t="s">
        <v>56</v>
      </c>
      <c r="D40" s="3"/>
      <c r="E40" s="3">
        <v>0</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56</v>
      </c>
      <c r="D41" s="3"/>
      <c r="E41" s="3">
        <v>0</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100</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C44" t="s">
        <v>56</v>
      </c>
      <c r="D44" s="3"/>
      <c r="E44" s="3"/>
      <c r="F44" s="4" t="s">
        <v>37</v>
      </c>
      <c r="G44" s="3">
        <v>0</v>
      </c>
      <c r="H44" s="3"/>
      <c r="I44" s="3"/>
      <c r="J44" s="3"/>
      <c r="K44" s="3"/>
      <c r="L44" s="3"/>
      <c r="M44" s="3"/>
      <c r="N44" s="3"/>
      <c r="O44" s="3"/>
      <c r="P44" s="3"/>
      <c r="Q44" s="3"/>
      <c r="R44" s="3"/>
      <c r="S44" s="3"/>
      <c r="T44" s="3"/>
      <c r="U44" s="3">
        <v>0</v>
      </c>
      <c r="V44" s="3">
        <v>9.1256994092088293E-3</v>
      </c>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C45" t="s">
        <v>56</v>
      </c>
      <c r="D45" s="3"/>
      <c r="E45" s="3"/>
      <c r="F45" s="4" t="s">
        <v>37</v>
      </c>
      <c r="G45" s="3">
        <v>0</v>
      </c>
      <c r="H45" s="3"/>
      <c r="I45" s="3"/>
      <c r="J45" s="3"/>
      <c r="K45" s="3"/>
      <c r="L45" s="3"/>
      <c r="M45" s="3"/>
      <c r="N45" s="3"/>
      <c r="O45" s="3"/>
      <c r="P45" s="3"/>
      <c r="Q45" s="3"/>
      <c r="R45" s="3"/>
      <c r="S45" s="3"/>
      <c r="T45" s="3"/>
      <c r="U45" s="3">
        <v>0</v>
      </c>
      <c r="V45" s="3">
        <v>4.5857785975923822E-5</v>
      </c>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C46" t="s">
        <v>56</v>
      </c>
      <c r="D46" s="3"/>
      <c r="E46" s="3">
        <v>0</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C47" t="s">
        <v>56</v>
      </c>
      <c r="D47" s="3"/>
      <c r="E47" s="3">
        <v>0</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C48" t="s">
        <v>56</v>
      </c>
      <c r="D48" s="3"/>
      <c r="E48" s="3">
        <v>0</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C49" t="s">
        <v>56</v>
      </c>
      <c r="D49" s="3"/>
      <c r="E49" s="3">
        <v>0</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C50" t="s">
        <v>56</v>
      </c>
      <c r="D50" s="3"/>
      <c r="E50" s="3">
        <v>0</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C51" t="s">
        <v>56</v>
      </c>
      <c r="D51" s="3"/>
      <c r="E51" s="3">
        <v>0</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C52" t="s">
        <v>56</v>
      </c>
      <c r="D52" s="3"/>
      <c r="E52" s="3">
        <v>0</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C53" t="s">
        <v>56</v>
      </c>
      <c r="D53" s="3"/>
      <c r="E53" s="3">
        <v>0</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C54" t="s">
        <v>56</v>
      </c>
      <c r="D54" s="3"/>
      <c r="E54" s="3">
        <v>0</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C55" t="s">
        <v>56</v>
      </c>
      <c r="D55" s="3"/>
      <c r="E55" s="3">
        <v>0</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101</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C58" t="s">
        <v>62</v>
      </c>
      <c r="D58" s="3"/>
      <c r="E58" s="3"/>
      <c r="F58" s="4" t="s">
        <v>37</v>
      </c>
      <c r="G58" s="3"/>
      <c r="H58" s="3"/>
      <c r="I58" s="3"/>
      <c r="J58" s="3"/>
      <c r="K58" s="3"/>
      <c r="L58" s="3"/>
      <c r="M58" s="3"/>
      <c r="N58" s="3"/>
      <c r="O58" s="3"/>
      <c r="P58" s="3"/>
      <c r="Q58" s="3"/>
      <c r="R58" s="3"/>
      <c r="S58" s="3"/>
      <c r="T58" s="3"/>
      <c r="U58" s="3"/>
      <c r="V58" s="3">
        <v>0.46</v>
      </c>
      <c r="W58" s="3">
        <v>0.23</v>
      </c>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C59" t="s">
        <v>62</v>
      </c>
      <c r="D59" s="3"/>
      <c r="E59" s="3"/>
      <c r="F59" s="4" t="s">
        <v>37</v>
      </c>
      <c r="G59" s="3"/>
      <c r="H59" s="3"/>
      <c r="I59" s="3"/>
      <c r="J59" s="3"/>
      <c r="K59" s="3"/>
      <c r="L59" s="3"/>
      <c r="M59" s="3"/>
      <c r="N59" s="3"/>
      <c r="O59" s="3"/>
      <c r="P59" s="3"/>
      <c r="Q59" s="3"/>
      <c r="R59" s="3"/>
      <c r="S59" s="3"/>
      <c r="T59" s="3"/>
      <c r="U59" s="3"/>
      <c r="V59" s="3">
        <v>0.46</v>
      </c>
      <c r="W59" s="3">
        <v>0.23</v>
      </c>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C60" t="s">
        <v>62</v>
      </c>
      <c r="D60" s="3"/>
      <c r="E60" s="3"/>
      <c r="F60" s="4" t="s">
        <v>37</v>
      </c>
      <c r="G60" s="3"/>
      <c r="H60" s="3"/>
      <c r="I60" s="3"/>
      <c r="J60" s="3"/>
      <c r="K60" s="3"/>
      <c r="L60" s="3"/>
      <c r="M60" s="3"/>
      <c r="N60" s="3"/>
      <c r="O60" s="3"/>
      <c r="P60" s="3"/>
      <c r="Q60" s="3"/>
      <c r="R60" s="3"/>
      <c r="S60" s="3"/>
      <c r="T60" s="3"/>
      <c r="U60" s="3"/>
      <c r="V60" s="3">
        <v>0.46</v>
      </c>
      <c r="W60" s="3">
        <v>0.23</v>
      </c>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C61" t="s">
        <v>62</v>
      </c>
      <c r="D61" s="3"/>
      <c r="E61" s="3"/>
      <c r="F61" s="4" t="s">
        <v>37</v>
      </c>
      <c r="G61" s="3"/>
      <c r="H61" s="3"/>
      <c r="I61" s="3"/>
      <c r="J61" s="3"/>
      <c r="K61" s="3"/>
      <c r="L61" s="3"/>
      <c r="M61" s="3"/>
      <c r="N61" s="3"/>
      <c r="O61" s="3"/>
      <c r="P61" s="3"/>
      <c r="Q61" s="3"/>
      <c r="R61" s="3"/>
      <c r="S61" s="3"/>
      <c r="T61" s="3"/>
      <c r="U61" s="3"/>
      <c r="V61" s="3">
        <v>0.46</v>
      </c>
      <c r="W61" s="3">
        <v>0.23</v>
      </c>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C62" t="s">
        <v>62</v>
      </c>
      <c r="D62" s="3"/>
      <c r="E62" s="3"/>
      <c r="F62" s="4" t="s">
        <v>37</v>
      </c>
      <c r="G62" s="3"/>
      <c r="H62" s="3"/>
      <c r="I62" s="3"/>
      <c r="J62" s="3"/>
      <c r="K62" s="3"/>
      <c r="L62" s="3"/>
      <c r="M62" s="3"/>
      <c r="N62" s="3"/>
      <c r="O62" s="3"/>
      <c r="P62" s="3"/>
      <c r="Q62" s="3"/>
      <c r="R62" s="3"/>
      <c r="S62" s="3"/>
      <c r="T62" s="3"/>
      <c r="U62" s="3"/>
      <c r="V62" s="3">
        <v>0.46</v>
      </c>
      <c r="W62" s="3">
        <v>0.23</v>
      </c>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C63" t="s">
        <v>62</v>
      </c>
      <c r="D63" s="3"/>
      <c r="E63" s="3"/>
      <c r="F63" s="4" t="s">
        <v>37</v>
      </c>
      <c r="G63" s="3"/>
      <c r="H63" s="3"/>
      <c r="I63" s="3"/>
      <c r="J63" s="3"/>
      <c r="K63" s="3"/>
      <c r="L63" s="3"/>
      <c r="M63" s="3"/>
      <c r="N63" s="3"/>
      <c r="O63" s="3"/>
      <c r="P63" s="3"/>
      <c r="Q63" s="3"/>
      <c r="R63" s="3"/>
      <c r="S63" s="3"/>
      <c r="T63" s="3"/>
      <c r="U63" s="3"/>
      <c r="V63" s="3">
        <v>0.46</v>
      </c>
      <c r="W63" s="3">
        <v>0.23</v>
      </c>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C64" t="s">
        <v>62</v>
      </c>
      <c r="D64" s="3"/>
      <c r="E64" s="3"/>
      <c r="F64" s="4" t="s">
        <v>37</v>
      </c>
      <c r="G64" s="3"/>
      <c r="H64" s="3"/>
      <c r="I64" s="3"/>
      <c r="J64" s="3"/>
      <c r="K64" s="3"/>
      <c r="L64" s="3"/>
      <c r="M64" s="3"/>
      <c r="N64" s="3"/>
      <c r="O64" s="3"/>
      <c r="P64" s="3"/>
      <c r="Q64" s="3"/>
      <c r="R64" s="3"/>
      <c r="S64" s="3"/>
      <c r="T64" s="3"/>
      <c r="U64" s="3"/>
      <c r="V64" s="3">
        <v>0.46</v>
      </c>
      <c r="W64" s="3">
        <v>0.23</v>
      </c>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C65" t="s">
        <v>62</v>
      </c>
      <c r="D65" s="3"/>
      <c r="E65" s="3"/>
      <c r="F65" s="4" t="s">
        <v>37</v>
      </c>
      <c r="G65" s="3"/>
      <c r="H65" s="3"/>
      <c r="I65" s="3"/>
      <c r="J65" s="3"/>
      <c r="K65" s="3"/>
      <c r="L65" s="3"/>
      <c r="M65" s="3"/>
      <c r="N65" s="3"/>
      <c r="O65" s="3"/>
      <c r="P65" s="3"/>
      <c r="Q65" s="3"/>
      <c r="R65" s="3"/>
      <c r="S65" s="3"/>
      <c r="T65" s="3"/>
      <c r="U65" s="3"/>
      <c r="V65" s="3">
        <v>0.46</v>
      </c>
      <c r="W65" s="3">
        <v>0.23</v>
      </c>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C66" t="s">
        <v>62</v>
      </c>
      <c r="D66" s="3"/>
      <c r="E66" s="3"/>
      <c r="F66" s="4" t="s">
        <v>37</v>
      </c>
      <c r="G66" s="3"/>
      <c r="H66" s="3"/>
      <c r="I66" s="3"/>
      <c r="J66" s="3"/>
      <c r="K66" s="3"/>
      <c r="L66" s="3"/>
      <c r="M66" s="3"/>
      <c r="N66" s="3"/>
      <c r="O66" s="3"/>
      <c r="P66" s="3"/>
      <c r="Q66" s="3"/>
      <c r="R66" s="3"/>
      <c r="S66" s="3"/>
      <c r="T66" s="3"/>
      <c r="U66" s="3"/>
      <c r="V66" s="3">
        <v>0.46</v>
      </c>
      <c r="W66" s="3">
        <v>0.23</v>
      </c>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C67" t="s">
        <v>62</v>
      </c>
      <c r="D67" s="3"/>
      <c r="E67" s="3"/>
      <c r="F67" s="4" t="s">
        <v>37</v>
      </c>
      <c r="G67" s="3"/>
      <c r="H67" s="3"/>
      <c r="I67" s="3"/>
      <c r="J67" s="3"/>
      <c r="K67" s="3"/>
      <c r="L67" s="3"/>
      <c r="M67" s="3"/>
      <c r="N67" s="3"/>
      <c r="O67" s="3"/>
      <c r="P67" s="3"/>
      <c r="Q67" s="3"/>
      <c r="R67" s="3"/>
      <c r="S67" s="3"/>
      <c r="T67" s="3"/>
      <c r="U67" s="3"/>
      <c r="V67" s="3">
        <v>0.46</v>
      </c>
      <c r="W67" s="3">
        <v>0.23</v>
      </c>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C68" t="s">
        <v>62</v>
      </c>
      <c r="D68" s="3"/>
      <c r="E68" s="3"/>
      <c r="F68" s="4" t="s">
        <v>37</v>
      </c>
      <c r="G68" s="3"/>
      <c r="H68" s="3"/>
      <c r="I68" s="3"/>
      <c r="J68" s="3"/>
      <c r="K68" s="3"/>
      <c r="L68" s="3"/>
      <c r="M68" s="3"/>
      <c r="N68" s="3"/>
      <c r="O68" s="3"/>
      <c r="P68" s="3"/>
      <c r="Q68" s="3"/>
      <c r="R68" s="3"/>
      <c r="S68" s="3"/>
      <c r="T68" s="3"/>
      <c r="U68" s="3"/>
      <c r="V68" s="3">
        <v>0.46</v>
      </c>
      <c r="W68" s="3">
        <v>0.23</v>
      </c>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C69" t="s">
        <v>62</v>
      </c>
      <c r="D69" s="3"/>
      <c r="E69" s="3"/>
      <c r="F69" s="4" t="s">
        <v>37</v>
      </c>
      <c r="G69" s="3"/>
      <c r="H69" s="3"/>
      <c r="I69" s="3"/>
      <c r="J69" s="3"/>
      <c r="K69" s="3"/>
      <c r="L69" s="3"/>
      <c r="M69" s="3"/>
      <c r="N69" s="3"/>
      <c r="O69" s="3"/>
      <c r="P69" s="3"/>
      <c r="Q69" s="3"/>
      <c r="R69" s="3"/>
      <c r="S69" s="3"/>
      <c r="T69" s="3"/>
      <c r="U69" s="3"/>
      <c r="V69" s="3">
        <v>0.46</v>
      </c>
      <c r="W69" s="3">
        <v>0.23</v>
      </c>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102</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C72" t="s">
        <v>48</v>
      </c>
      <c r="D72" s="3"/>
      <c r="E72" s="3"/>
      <c r="F72" s="4" t="s">
        <v>37</v>
      </c>
      <c r="G72" s="3"/>
      <c r="H72" s="3"/>
      <c r="I72" s="3"/>
      <c r="J72" s="3"/>
      <c r="K72" s="3"/>
      <c r="L72" s="3"/>
      <c r="M72" s="3"/>
      <c r="N72" s="3"/>
      <c r="O72" s="3"/>
      <c r="P72" s="3"/>
      <c r="Q72" s="3"/>
      <c r="R72" s="3"/>
      <c r="S72" s="3"/>
      <c r="T72" s="3"/>
      <c r="U72" s="3"/>
      <c r="V72" s="3">
        <v>0.5</v>
      </c>
      <c r="W72" s="3">
        <v>0.95</v>
      </c>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C73" t="s">
        <v>48</v>
      </c>
      <c r="D73" s="3"/>
      <c r="E73" s="3"/>
      <c r="F73" s="4" t="s">
        <v>37</v>
      </c>
      <c r="G73" s="3"/>
      <c r="H73" s="3"/>
      <c r="I73" s="3"/>
      <c r="J73" s="3"/>
      <c r="K73" s="3"/>
      <c r="L73" s="3"/>
      <c r="M73" s="3"/>
      <c r="N73" s="3"/>
      <c r="O73" s="3"/>
      <c r="P73" s="3"/>
      <c r="Q73" s="3"/>
      <c r="R73" s="3"/>
      <c r="S73" s="3"/>
      <c r="T73" s="3"/>
      <c r="U73" s="3"/>
      <c r="V73" s="3">
        <v>0.5</v>
      </c>
      <c r="W73" s="3">
        <v>0.95</v>
      </c>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C74" t="s">
        <v>48</v>
      </c>
      <c r="D74" s="3"/>
      <c r="E74" s="3"/>
      <c r="F74" s="4" t="s">
        <v>37</v>
      </c>
      <c r="G74" s="3"/>
      <c r="H74" s="3"/>
      <c r="I74" s="3"/>
      <c r="J74" s="3"/>
      <c r="K74" s="3"/>
      <c r="L74" s="3"/>
      <c r="M74" s="3"/>
      <c r="N74" s="3"/>
      <c r="O74" s="3"/>
      <c r="P74" s="3"/>
      <c r="Q74" s="3"/>
      <c r="R74" s="3"/>
      <c r="S74" s="3"/>
      <c r="T74" s="3"/>
      <c r="U74" s="3"/>
      <c r="V74" s="3">
        <v>0.5</v>
      </c>
      <c r="W74" s="3">
        <v>0.95</v>
      </c>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C75" t="s">
        <v>48</v>
      </c>
      <c r="D75" s="3"/>
      <c r="E75" s="3"/>
      <c r="F75" s="4" t="s">
        <v>37</v>
      </c>
      <c r="G75" s="3"/>
      <c r="H75" s="3"/>
      <c r="I75" s="3"/>
      <c r="J75" s="3"/>
      <c r="K75" s="3"/>
      <c r="L75" s="3"/>
      <c r="M75" s="3"/>
      <c r="N75" s="3"/>
      <c r="O75" s="3"/>
      <c r="P75" s="3"/>
      <c r="Q75" s="3"/>
      <c r="R75" s="3"/>
      <c r="S75" s="3"/>
      <c r="T75" s="3"/>
      <c r="U75" s="3"/>
      <c r="V75" s="3">
        <v>0.5</v>
      </c>
      <c r="W75" s="3">
        <v>0.95</v>
      </c>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C76" t="s">
        <v>48</v>
      </c>
      <c r="D76" s="3"/>
      <c r="E76" s="3"/>
      <c r="F76" s="4" t="s">
        <v>37</v>
      </c>
      <c r="G76" s="3"/>
      <c r="H76" s="3"/>
      <c r="I76" s="3"/>
      <c r="J76" s="3"/>
      <c r="K76" s="3"/>
      <c r="L76" s="3"/>
      <c r="M76" s="3"/>
      <c r="N76" s="3"/>
      <c r="O76" s="3"/>
      <c r="P76" s="3"/>
      <c r="Q76" s="3"/>
      <c r="R76" s="3"/>
      <c r="S76" s="3"/>
      <c r="T76" s="3"/>
      <c r="U76" s="3"/>
      <c r="V76" s="3">
        <v>0.5</v>
      </c>
      <c r="W76" s="3">
        <v>0.95</v>
      </c>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C77" t="s">
        <v>48</v>
      </c>
      <c r="D77" s="3"/>
      <c r="E77" s="3"/>
      <c r="F77" s="4" t="s">
        <v>37</v>
      </c>
      <c r="G77" s="3"/>
      <c r="H77" s="3"/>
      <c r="I77" s="3"/>
      <c r="J77" s="3"/>
      <c r="K77" s="3"/>
      <c r="L77" s="3"/>
      <c r="M77" s="3"/>
      <c r="N77" s="3"/>
      <c r="O77" s="3"/>
      <c r="P77" s="3"/>
      <c r="Q77" s="3"/>
      <c r="R77" s="3"/>
      <c r="S77" s="3"/>
      <c r="T77" s="3"/>
      <c r="U77" s="3"/>
      <c r="V77" s="3">
        <v>0.5</v>
      </c>
      <c r="W77" s="3">
        <v>0.95</v>
      </c>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C78" t="s">
        <v>48</v>
      </c>
      <c r="D78" s="3"/>
      <c r="E78" s="3"/>
      <c r="F78" s="4" t="s">
        <v>37</v>
      </c>
      <c r="G78" s="3"/>
      <c r="H78" s="3"/>
      <c r="I78" s="3"/>
      <c r="J78" s="3"/>
      <c r="K78" s="3"/>
      <c r="L78" s="3"/>
      <c r="M78" s="3"/>
      <c r="N78" s="3"/>
      <c r="O78" s="3"/>
      <c r="P78" s="3"/>
      <c r="Q78" s="3"/>
      <c r="R78" s="3"/>
      <c r="S78" s="3"/>
      <c r="T78" s="3"/>
      <c r="U78" s="3"/>
      <c r="V78" s="3">
        <v>0.5</v>
      </c>
      <c r="W78" s="3">
        <v>0.95</v>
      </c>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C79" t="s">
        <v>48</v>
      </c>
      <c r="D79" s="3"/>
      <c r="E79" s="3"/>
      <c r="F79" s="4" t="s">
        <v>37</v>
      </c>
      <c r="G79" s="3"/>
      <c r="H79" s="3"/>
      <c r="I79" s="3"/>
      <c r="J79" s="3"/>
      <c r="K79" s="3"/>
      <c r="L79" s="3"/>
      <c r="M79" s="3"/>
      <c r="N79" s="3"/>
      <c r="O79" s="3"/>
      <c r="P79" s="3"/>
      <c r="Q79" s="3"/>
      <c r="R79" s="3"/>
      <c r="S79" s="3"/>
      <c r="T79" s="3"/>
      <c r="U79" s="3"/>
      <c r="V79" s="3">
        <v>0.5</v>
      </c>
      <c r="W79" s="3">
        <v>0.95</v>
      </c>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C80" t="s">
        <v>48</v>
      </c>
      <c r="D80" s="3"/>
      <c r="E80" s="3"/>
      <c r="F80" s="4" t="s">
        <v>37</v>
      </c>
      <c r="G80" s="3"/>
      <c r="H80" s="3"/>
      <c r="I80" s="3"/>
      <c r="J80" s="3"/>
      <c r="K80" s="3"/>
      <c r="L80" s="3"/>
      <c r="M80" s="3"/>
      <c r="N80" s="3"/>
      <c r="O80" s="3"/>
      <c r="P80" s="3"/>
      <c r="Q80" s="3"/>
      <c r="R80" s="3"/>
      <c r="S80" s="3"/>
      <c r="T80" s="3"/>
      <c r="U80" s="3"/>
      <c r="V80" s="3">
        <v>0.5</v>
      </c>
      <c r="W80" s="3">
        <v>0.95</v>
      </c>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C81" t="s">
        <v>48</v>
      </c>
      <c r="D81" s="3"/>
      <c r="E81" s="3"/>
      <c r="F81" s="4" t="s">
        <v>37</v>
      </c>
      <c r="G81" s="3"/>
      <c r="H81" s="3"/>
      <c r="I81" s="3"/>
      <c r="J81" s="3"/>
      <c r="K81" s="3"/>
      <c r="L81" s="3"/>
      <c r="M81" s="3"/>
      <c r="N81" s="3"/>
      <c r="O81" s="3"/>
      <c r="P81" s="3"/>
      <c r="Q81" s="3"/>
      <c r="R81" s="3"/>
      <c r="S81" s="3"/>
      <c r="T81" s="3"/>
      <c r="U81" s="3"/>
      <c r="V81" s="3">
        <v>0.5</v>
      </c>
      <c r="W81" s="3">
        <v>0.95</v>
      </c>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C82" t="s">
        <v>48</v>
      </c>
      <c r="D82" s="3"/>
      <c r="E82" s="3"/>
      <c r="F82" s="4" t="s">
        <v>37</v>
      </c>
      <c r="G82" s="3"/>
      <c r="H82" s="3"/>
      <c r="I82" s="3"/>
      <c r="J82" s="3"/>
      <c r="K82" s="3"/>
      <c r="L82" s="3"/>
      <c r="M82" s="3"/>
      <c r="N82" s="3"/>
      <c r="O82" s="3"/>
      <c r="P82" s="3"/>
      <c r="Q82" s="3"/>
      <c r="R82" s="3"/>
      <c r="S82" s="3"/>
      <c r="T82" s="3"/>
      <c r="U82" s="3"/>
      <c r="V82" s="3">
        <v>0.5</v>
      </c>
      <c r="W82" s="3">
        <v>0.95</v>
      </c>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C83" t="s">
        <v>48</v>
      </c>
      <c r="D83" s="3"/>
      <c r="E83" s="3"/>
      <c r="F83" s="4" t="s">
        <v>37</v>
      </c>
      <c r="G83" s="3"/>
      <c r="H83" s="3"/>
      <c r="I83" s="3"/>
      <c r="J83" s="3"/>
      <c r="K83" s="3"/>
      <c r="L83" s="3"/>
      <c r="M83" s="3"/>
      <c r="N83" s="3"/>
      <c r="O83" s="3"/>
      <c r="P83" s="3"/>
      <c r="Q83" s="3"/>
      <c r="R83" s="3"/>
      <c r="S83" s="3"/>
      <c r="T83" s="3"/>
      <c r="U83" s="3"/>
      <c r="V83" s="3">
        <v>0.5</v>
      </c>
      <c r="W83" s="3">
        <v>0.95</v>
      </c>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row r="85" spans="1:57" x14ac:dyDescent="0.25">
      <c r="A85" s="1" t="s">
        <v>103</v>
      </c>
      <c r="B85" s="1" t="s">
        <v>29</v>
      </c>
      <c r="C85" s="1" t="s">
        <v>30</v>
      </c>
      <c r="D85" s="1" t="s">
        <v>31</v>
      </c>
      <c r="E85" s="1" t="s">
        <v>36</v>
      </c>
      <c r="F85" s="1"/>
      <c r="G85" s="1">
        <v>2000</v>
      </c>
      <c r="H85" s="1">
        <v>2001</v>
      </c>
      <c r="I85" s="1">
        <v>2002</v>
      </c>
      <c r="J85" s="1">
        <v>2003</v>
      </c>
      <c r="K85" s="1">
        <v>2004</v>
      </c>
      <c r="L85" s="1">
        <v>2005</v>
      </c>
      <c r="M85" s="1">
        <v>2006</v>
      </c>
      <c r="N85" s="1">
        <v>2007</v>
      </c>
      <c r="O85" s="1">
        <v>2008</v>
      </c>
      <c r="P85" s="1">
        <v>2009</v>
      </c>
      <c r="Q85" s="1">
        <v>2010</v>
      </c>
      <c r="R85" s="1">
        <v>2011</v>
      </c>
      <c r="S85" s="1">
        <v>2012</v>
      </c>
      <c r="T85" s="1">
        <v>2013</v>
      </c>
      <c r="U85" s="1">
        <v>2014</v>
      </c>
      <c r="V85" s="1">
        <v>2015</v>
      </c>
      <c r="W85" s="1">
        <v>2016</v>
      </c>
      <c r="X85" s="1">
        <v>2017</v>
      </c>
      <c r="Y85" s="1">
        <v>2018</v>
      </c>
      <c r="Z85" s="1">
        <v>2019</v>
      </c>
      <c r="AA85" s="1">
        <v>2020</v>
      </c>
      <c r="AB85" s="1">
        <v>2021</v>
      </c>
      <c r="AC85" s="1">
        <v>2022</v>
      </c>
      <c r="AD85" s="1">
        <v>2023</v>
      </c>
      <c r="AE85" s="1">
        <v>2024</v>
      </c>
      <c r="AF85" s="1">
        <v>2025</v>
      </c>
      <c r="AG85" s="1">
        <v>2026</v>
      </c>
      <c r="AH85" s="1">
        <v>2027</v>
      </c>
      <c r="AI85" s="1">
        <v>2028</v>
      </c>
      <c r="AJ85" s="1">
        <v>2029</v>
      </c>
      <c r="AK85" s="1">
        <v>2030</v>
      </c>
      <c r="AL85" s="1">
        <v>2031</v>
      </c>
      <c r="AM85" s="1">
        <v>2032</v>
      </c>
      <c r="AN85" s="1">
        <v>2033</v>
      </c>
      <c r="AO85" s="1">
        <v>2034</v>
      </c>
      <c r="AP85" s="1">
        <v>2035</v>
      </c>
      <c r="AQ85" s="1">
        <v>2036</v>
      </c>
      <c r="AR85" s="1">
        <v>2037</v>
      </c>
      <c r="AS85" s="1">
        <v>2038</v>
      </c>
      <c r="AT85" s="1">
        <v>2039</v>
      </c>
      <c r="AU85" s="1">
        <v>2040</v>
      </c>
      <c r="AV85" s="1">
        <v>2041</v>
      </c>
      <c r="AW85" s="1">
        <v>2042</v>
      </c>
      <c r="AX85" s="1">
        <v>2043</v>
      </c>
      <c r="AY85" s="1">
        <v>2044</v>
      </c>
      <c r="AZ85" s="1">
        <v>2045</v>
      </c>
      <c r="BA85" s="1">
        <v>2046</v>
      </c>
      <c r="BB85" s="1">
        <v>2047</v>
      </c>
      <c r="BC85" s="1">
        <v>2048</v>
      </c>
      <c r="BD85" s="1">
        <v>2049</v>
      </c>
      <c r="BE85" s="1">
        <v>2050</v>
      </c>
    </row>
    <row r="86" spans="1:57" x14ac:dyDescent="0.25">
      <c r="A86" s="1" t="str">
        <f>'Population Definitions'!$A$2</f>
        <v>PWID_males</v>
      </c>
      <c r="B86" t="s">
        <v>61</v>
      </c>
      <c r="C86" t="s">
        <v>48</v>
      </c>
      <c r="D86" s="3"/>
      <c r="E86" s="3">
        <v>0</v>
      </c>
      <c r="F86" s="4" t="s">
        <v>37</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row>
    <row r="87" spans="1:57" x14ac:dyDescent="0.25">
      <c r="A87" s="1" t="str">
        <f>'Population Definitions'!$A$3</f>
        <v>PWID_females</v>
      </c>
      <c r="B87" t="s">
        <v>61</v>
      </c>
      <c r="C87" t="s">
        <v>48</v>
      </c>
      <c r="D87" s="3"/>
      <c r="E87" s="3">
        <v>0</v>
      </c>
      <c r="F87" s="4" t="s">
        <v>37</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row>
    <row r="88" spans="1:57" x14ac:dyDescent="0.25">
      <c r="A88" s="1" t="str">
        <f>'Population Definitions'!$A$4</f>
        <v>0-9_males</v>
      </c>
      <c r="B88" t="s">
        <v>61</v>
      </c>
      <c r="C88" t="s">
        <v>48</v>
      </c>
      <c r="D88" s="3"/>
      <c r="E88" s="3">
        <v>0</v>
      </c>
      <c r="F88" s="4" t="s">
        <v>37</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row>
    <row r="89" spans="1:57" x14ac:dyDescent="0.25">
      <c r="A89" s="1" t="str">
        <f>'Population Definitions'!$A$5</f>
        <v>0-9_females</v>
      </c>
      <c r="B89" t="s">
        <v>61</v>
      </c>
      <c r="C89" t="s">
        <v>48</v>
      </c>
      <c r="D89" s="3"/>
      <c r="E89" s="3">
        <v>0</v>
      </c>
      <c r="F89" s="4" t="s">
        <v>37</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row>
    <row r="90" spans="1:57" x14ac:dyDescent="0.25">
      <c r="A90" s="1" t="str">
        <f>'Population Definitions'!$A$6</f>
        <v>10-17_males</v>
      </c>
      <c r="B90" t="s">
        <v>61</v>
      </c>
      <c r="C90" t="s">
        <v>48</v>
      </c>
      <c r="D90" s="3"/>
      <c r="E90" s="3">
        <v>0</v>
      </c>
      <c r="F90" s="4" t="s">
        <v>37</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row>
    <row r="91" spans="1:57" x14ac:dyDescent="0.25">
      <c r="A91" s="1" t="str">
        <f>'Population Definitions'!$A$7</f>
        <v>10-17_females</v>
      </c>
      <c r="B91" t="s">
        <v>61</v>
      </c>
      <c r="C91" t="s">
        <v>48</v>
      </c>
      <c r="D91" s="3"/>
      <c r="E91" s="3">
        <v>0</v>
      </c>
      <c r="F91" s="4" t="s">
        <v>37</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row>
    <row r="92" spans="1:57" x14ac:dyDescent="0.25">
      <c r="A92" s="1" t="str">
        <f>'Population Definitions'!$A$8</f>
        <v>18-64_males</v>
      </c>
      <c r="B92" t="s">
        <v>61</v>
      </c>
      <c r="C92" t="s">
        <v>48</v>
      </c>
      <c r="D92" s="3"/>
      <c r="E92" s="3">
        <v>0</v>
      </c>
      <c r="F92" s="4" t="s">
        <v>37</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row>
    <row r="93" spans="1:57" x14ac:dyDescent="0.25">
      <c r="A93" s="1" t="str">
        <f>'Population Definitions'!$A$9</f>
        <v>18-64_females</v>
      </c>
      <c r="B93" t="s">
        <v>61</v>
      </c>
      <c r="C93" t="s">
        <v>48</v>
      </c>
      <c r="D93" s="3"/>
      <c r="E93" s="3">
        <v>0</v>
      </c>
      <c r="F93" s="4" t="s">
        <v>37</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row>
    <row r="94" spans="1:57" x14ac:dyDescent="0.25">
      <c r="A94" s="1" t="str">
        <f>'Population Definitions'!$A$10</f>
        <v>65+_males</v>
      </c>
      <c r="B94" t="s">
        <v>61</v>
      </c>
      <c r="C94" t="s">
        <v>48</v>
      </c>
      <c r="D94" s="3"/>
      <c r="E94" s="3">
        <v>0</v>
      </c>
      <c r="F94" s="4" t="s">
        <v>37</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row>
    <row r="95" spans="1:57" x14ac:dyDescent="0.25">
      <c r="A95" s="1" t="str">
        <f>'Population Definitions'!$A$11</f>
        <v>65+_females</v>
      </c>
      <c r="B95" t="s">
        <v>61</v>
      </c>
      <c r="C95" t="s">
        <v>48</v>
      </c>
      <c r="D95" s="3"/>
      <c r="E95" s="3">
        <v>0</v>
      </c>
      <c r="F95" s="4" t="s">
        <v>37</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row>
    <row r="96" spans="1:57" x14ac:dyDescent="0.25">
      <c r="A96" s="1" t="str">
        <f>'Population Definitions'!$A$12</f>
        <v>Prisoners_males</v>
      </c>
      <c r="B96" t="s">
        <v>61</v>
      </c>
      <c r="C96" t="s">
        <v>48</v>
      </c>
      <c r="D96" s="3"/>
      <c r="E96" s="3">
        <v>0</v>
      </c>
      <c r="F96" s="4" t="s">
        <v>37</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row>
    <row r="97" spans="1:57" x14ac:dyDescent="0.25">
      <c r="A97" s="1" t="str">
        <f>'Population Definitions'!$A$13</f>
        <v>Prisoners_females</v>
      </c>
      <c r="B97" t="s">
        <v>61</v>
      </c>
      <c r="C97" t="s">
        <v>48</v>
      </c>
      <c r="D97" s="3"/>
      <c r="E97" s="3">
        <v>0</v>
      </c>
      <c r="F97" s="4" t="s">
        <v>37</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row>
  </sheetData>
  <conditionalFormatting sqref="E2:E13">
    <cfRule type="expression" dxfId="831" priority="1">
      <formula>COUNTIF(G2:BE2,"&lt;&gt;" &amp; "")&gt;0</formula>
    </cfRule>
    <cfRule type="expression" dxfId="830" priority="2">
      <formula>AND(COUNTIF(G2:BE2,"&lt;&gt;" &amp; "")&gt;0,NOT(ISBLANK(E2)))</formula>
    </cfRule>
  </conditionalFormatting>
  <conditionalFormatting sqref="E16:E27">
    <cfRule type="expression" dxfId="829" priority="25">
      <formula>COUNTIF(G16:BE16,"&lt;&gt;" &amp; "")&gt;0</formula>
    </cfRule>
    <cfRule type="expression" dxfId="828" priority="26">
      <formula>AND(COUNTIF(G16:BE16,"&lt;&gt;" &amp; "")&gt;0,NOT(ISBLANK(E16)))</formula>
    </cfRule>
  </conditionalFormatting>
  <conditionalFormatting sqref="E30:E41">
    <cfRule type="expression" dxfId="827" priority="49">
      <formula>COUNTIF(G30:BE30,"&lt;&gt;" &amp; "")&gt;0</formula>
    </cfRule>
    <cfRule type="expression" dxfId="826" priority="50">
      <formula>AND(COUNTIF(G30:BE30,"&lt;&gt;" &amp; "")&gt;0,NOT(ISBLANK(E30)))</formula>
    </cfRule>
  </conditionalFormatting>
  <conditionalFormatting sqref="E44:E55">
    <cfRule type="expression" dxfId="825" priority="73">
      <formula>COUNTIF(G44:BE44,"&lt;&gt;" &amp; "")&gt;0</formula>
    </cfRule>
    <cfRule type="expression" dxfId="824" priority="74">
      <formula>AND(COUNTIF(G44:BE44,"&lt;&gt;" &amp; "")&gt;0,NOT(ISBLANK(E44)))</formula>
    </cfRule>
  </conditionalFormatting>
  <conditionalFormatting sqref="E58:E69">
    <cfRule type="expression" dxfId="823" priority="97">
      <formula>COUNTIF(G58:BE58,"&lt;&gt;" &amp; "")&gt;0</formula>
    </cfRule>
    <cfRule type="expression" dxfId="822" priority="98">
      <formula>AND(COUNTIF(G58:BE58,"&lt;&gt;" &amp; "")&gt;0,NOT(ISBLANK(E58)))</formula>
    </cfRule>
  </conditionalFormatting>
  <conditionalFormatting sqref="E72:E83">
    <cfRule type="expression" dxfId="821" priority="121">
      <formula>COUNTIF(G72:BE72,"&lt;&gt;" &amp; "")&gt;0</formula>
    </cfRule>
    <cfRule type="expression" dxfId="820" priority="122">
      <formula>AND(COUNTIF(G72:BE72,"&lt;&gt;" &amp; "")&gt;0,NOT(ISBLANK(E72)))</formula>
    </cfRule>
  </conditionalFormatting>
  <conditionalFormatting sqref="E86:E97">
    <cfRule type="expression" dxfId="819" priority="145">
      <formula>COUNTIF(G86:BE86,"&lt;&gt;" &amp; "")&gt;0</formula>
    </cfRule>
    <cfRule type="expression" dxfId="818" priority="146">
      <formula>AND(COUNTIF(G86:BE86,"&lt;&gt;" &amp; "")&gt;0,NOT(ISBLANK(E86)))</formula>
    </cfRule>
  </conditionalFormatting>
  <dataValidations count="3">
    <dataValidation type="list" allowBlank="1" showInputMessage="1" showErrorMessage="1" sqref="C44:C55 C30:C41 C16:C27 C2:C13" xr:uid="{00000000-0002-0000-0800-000000000000}">
      <formula1>"N.A."</formula1>
    </dataValidation>
    <dataValidation type="list" allowBlank="1" showInputMessage="1" showErrorMessage="1" sqref="C58:C69" xr:uid="{00000000-0002-0000-0800-000030000000}">
      <formula1>"Duration (years)"</formula1>
    </dataValidation>
    <dataValidation type="list" allowBlank="1" showInputMessage="1" showErrorMessage="1" sqref="C86:C97 C72:C83" xr:uid="{00000000-0002-0000-0800-00003C000000}">
      <formula1>"Proportion"</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808080"/>
  </sheetPr>
  <dimension ref="A1:BE55"/>
  <sheetViews>
    <sheetView workbookViewId="0"/>
  </sheetViews>
  <sheetFormatPr defaultRowHeight="15" x14ac:dyDescent="0.25"/>
  <cols>
    <col min="1" max="1" width="49" customWidth="1"/>
    <col min="2" max="2" width="30.28515625" customWidth="1"/>
    <col min="3" max="3" width="19.28515625" customWidth="1"/>
    <col min="4" max="4" width="13.85546875" customWidth="1"/>
    <col min="5" max="5" width="10.5703125" customWidth="1"/>
    <col min="6" max="6" width="3.85546875" customWidth="1"/>
    <col min="7" max="57" width="9.42578125" customWidth="1"/>
  </cols>
  <sheetData>
    <row r="1" spans="1:57" x14ac:dyDescent="0.25">
      <c r="A1" s="1" t="s">
        <v>104</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C2" t="s">
        <v>53</v>
      </c>
      <c r="D2" s="3"/>
      <c r="E2" s="3">
        <v>0.45</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C3" t="s">
        <v>53</v>
      </c>
      <c r="D3" s="3"/>
      <c r="E3" s="3">
        <v>0.45</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C4" t="s">
        <v>53</v>
      </c>
      <c r="D4" s="3"/>
      <c r="E4" s="3">
        <v>0.45</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C5" t="s">
        <v>53</v>
      </c>
      <c r="D5" s="3"/>
      <c r="E5" s="3">
        <v>0.45</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C6" t="s">
        <v>53</v>
      </c>
      <c r="D6" s="3"/>
      <c r="E6" s="3">
        <v>0.45</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C7" t="s">
        <v>53</v>
      </c>
      <c r="D7" s="3"/>
      <c r="E7" s="3">
        <v>0.45</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C8" t="s">
        <v>53</v>
      </c>
      <c r="D8" s="3"/>
      <c r="E8" s="3">
        <v>0.45</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C9" t="s">
        <v>53</v>
      </c>
      <c r="D9" s="3"/>
      <c r="E9" s="3">
        <v>0.45</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C10" t="s">
        <v>53</v>
      </c>
      <c r="D10" s="3"/>
      <c r="E10" s="3">
        <v>0.45</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C11" t="s">
        <v>53</v>
      </c>
      <c r="D11" s="3"/>
      <c r="E11" s="3">
        <v>0.45</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C12" t="s">
        <v>53</v>
      </c>
      <c r="D12" s="3"/>
      <c r="E12" s="3">
        <v>0.45</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C13" t="s">
        <v>53</v>
      </c>
      <c r="D13" s="3"/>
      <c r="E13" s="3">
        <v>0.45</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105</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C16" t="s">
        <v>53</v>
      </c>
      <c r="D16" s="3"/>
      <c r="E16" s="3">
        <v>0.32854800000000001</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C17" t="s">
        <v>53</v>
      </c>
      <c r="D17" s="3"/>
      <c r="E17" s="3">
        <v>0.32854800000000001</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C18" t="s">
        <v>53</v>
      </c>
      <c r="D18" s="3"/>
      <c r="E18" s="3">
        <v>0.32854800000000001</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C19" t="s">
        <v>53</v>
      </c>
      <c r="D19" s="3"/>
      <c r="E19" s="3">
        <v>0.32854800000000001</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C20" t="s">
        <v>53</v>
      </c>
      <c r="D20" s="3"/>
      <c r="E20" s="3">
        <v>0.32854800000000001</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C21" t="s">
        <v>53</v>
      </c>
      <c r="D21" s="3"/>
      <c r="E21" s="3">
        <v>0.32854800000000001</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C22" t="s">
        <v>53</v>
      </c>
      <c r="D22" s="3"/>
      <c r="E22" s="3">
        <v>0.32854800000000001</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C23" t="s">
        <v>53</v>
      </c>
      <c r="D23" s="3"/>
      <c r="E23" s="3">
        <v>0.32854800000000001</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C24" t="s">
        <v>53</v>
      </c>
      <c r="D24" s="3"/>
      <c r="E24" s="3">
        <v>0.32854800000000001</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C25" t="s">
        <v>53</v>
      </c>
      <c r="D25" s="3"/>
      <c r="E25" s="3">
        <v>0.32854800000000001</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C26" t="s">
        <v>53</v>
      </c>
      <c r="D26" s="3"/>
      <c r="E26" s="3">
        <v>0.32854800000000001</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C27" t="s">
        <v>53</v>
      </c>
      <c r="D27" s="3"/>
      <c r="E27" s="3">
        <v>0.32854800000000001</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106</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B30" t="s">
        <v>61</v>
      </c>
      <c r="C30" t="s">
        <v>62</v>
      </c>
      <c r="D30" s="3"/>
      <c r="E30" s="3">
        <v>1</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B31" t="s">
        <v>61</v>
      </c>
      <c r="C31" t="s">
        <v>62</v>
      </c>
      <c r="D31" s="3"/>
      <c r="E31" s="3">
        <v>1</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B32" t="s">
        <v>61</v>
      </c>
      <c r="C32" t="s">
        <v>62</v>
      </c>
      <c r="D32" s="3"/>
      <c r="E32" s="3">
        <v>1</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B33" t="s">
        <v>61</v>
      </c>
      <c r="C33" t="s">
        <v>62</v>
      </c>
      <c r="D33" s="3"/>
      <c r="E33" s="3">
        <v>1</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B34" t="s">
        <v>61</v>
      </c>
      <c r="C34" t="s">
        <v>62</v>
      </c>
      <c r="D34" s="3"/>
      <c r="E34" s="3">
        <v>1</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B35" t="s">
        <v>61</v>
      </c>
      <c r="C35" t="s">
        <v>62</v>
      </c>
      <c r="D35" s="3"/>
      <c r="E35" s="3">
        <v>1</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B36" t="s">
        <v>61</v>
      </c>
      <c r="C36" t="s">
        <v>62</v>
      </c>
      <c r="D36" s="3"/>
      <c r="E36" s="3">
        <v>1</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B37" t="s">
        <v>61</v>
      </c>
      <c r="C37" t="s">
        <v>62</v>
      </c>
      <c r="D37" s="3"/>
      <c r="E37" s="3">
        <v>1</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B38" t="s">
        <v>61</v>
      </c>
      <c r="C38" t="s">
        <v>62</v>
      </c>
      <c r="D38" s="3"/>
      <c r="E38" s="3">
        <v>1</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B39" t="s">
        <v>61</v>
      </c>
      <c r="C39" t="s">
        <v>62</v>
      </c>
      <c r="D39" s="3"/>
      <c r="E39" s="3">
        <v>1</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B40" t="s">
        <v>61</v>
      </c>
      <c r="C40" t="s">
        <v>62</v>
      </c>
      <c r="D40" s="3"/>
      <c r="E40" s="3">
        <v>1</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B41" t="s">
        <v>61</v>
      </c>
      <c r="C41" t="s">
        <v>62</v>
      </c>
      <c r="D41" s="3"/>
      <c r="E41" s="3">
        <v>1</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107</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B44" t="s">
        <v>61</v>
      </c>
      <c r="C44" t="s">
        <v>62</v>
      </c>
      <c r="D44" s="3"/>
      <c r="E44" s="3">
        <v>1</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B45" t="s">
        <v>61</v>
      </c>
      <c r="C45" t="s">
        <v>62</v>
      </c>
      <c r="D45" s="3"/>
      <c r="E45" s="3">
        <v>1</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B46" t="s">
        <v>61</v>
      </c>
      <c r="C46" t="s">
        <v>62</v>
      </c>
      <c r="D46" s="3"/>
      <c r="E46" s="3">
        <v>1</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B47" t="s">
        <v>61</v>
      </c>
      <c r="C47" t="s">
        <v>62</v>
      </c>
      <c r="D47" s="3"/>
      <c r="E47" s="3">
        <v>1</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B48" t="s">
        <v>61</v>
      </c>
      <c r="C48" t="s">
        <v>62</v>
      </c>
      <c r="D48" s="3"/>
      <c r="E48" s="3">
        <v>1</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B49" t="s">
        <v>61</v>
      </c>
      <c r="C49" t="s">
        <v>62</v>
      </c>
      <c r="D49" s="3"/>
      <c r="E49" s="3">
        <v>1</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B50" t="s">
        <v>61</v>
      </c>
      <c r="C50" t="s">
        <v>62</v>
      </c>
      <c r="D50" s="3"/>
      <c r="E50" s="3">
        <v>1</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B51" t="s">
        <v>61</v>
      </c>
      <c r="C51" t="s">
        <v>62</v>
      </c>
      <c r="D51" s="3"/>
      <c r="E51" s="3">
        <v>1</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B52" t="s">
        <v>61</v>
      </c>
      <c r="C52" t="s">
        <v>62</v>
      </c>
      <c r="D52" s="3"/>
      <c r="E52" s="3">
        <v>1</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B53" t="s">
        <v>61</v>
      </c>
      <c r="C53" t="s">
        <v>62</v>
      </c>
      <c r="D53" s="3"/>
      <c r="E53" s="3">
        <v>1</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B54" t="s">
        <v>61</v>
      </c>
      <c r="C54" t="s">
        <v>62</v>
      </c>
      <c r="D54" s="3"/>
      <c r="E54" s="3">
        <v>1</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B55" t="s">
        <v>61</v>
      </c>
      <c r="C55" t="s">
        <v>62</v>
      </c>
      <c r="D55" s="3"/>
      <c r="E55" s="3">
        <v>1</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sheetData>
  <conditionalFormatting sqref="E2:E13">
    <cfRule type="expression" dxfId="817" priority="1">
      <formula>COUNTIF(G2:BE2,"&lt;&gt;" &amp; "")&gt;0</formula>
    </cfRule>
    <cfRule type="expression" dxfId="816" priority="2">
      <formula>AND(COUNTIF(G2:BE2,"&lt;&gt;" &amp; "")&gt;0,NOT(ISBLANK(E2)))</formula>
    </cfRule>
  </conditionalFormatting>
  <conditionalFormatting sqref="E16:E27">
    <cfRule type="expression" dxfId="815" priority="25">
      <formula>COUNTIF(G16:BE16,"&lt;&gt;" &amp; "")&gt;0</formula>
    </cfRule>
    <cfRule type="expression" dxfId="814" priority="26">
      <formula>AND(COUNTIF(G16:BE16,"&lt;&gt;" &amp; "")&gt;0,NOT(ISBLANK(E16)))</formula>
    </cfRule>
  </conditionalFormatting>
  <conditionalFormatting sqref="E30:E41">
    <cfRule type="expression" dxfId="813" priority="49">
      <formula>COUNTIF(G30:BE30,"&lt;&gt;" &amp; "")&gt;0</formula>
    </cfRule>
    <cfRule type="expression" dxfId="812" priority="50">
      <formula>AND(COUNTIF(G30:BE30,"&lt;&gt;" &amp; "")&gt;0,NOT(ISBLANK(E30)))</formula>
    </cfRule>
  </conditionalFormatting>
  <conditionalFormatting sqref="E44:E55">
    <cfRule type="expression" dxfId="811" priority="73">
      <formula>COUNTIF(G44:BE44,"&lt;&gt;" &amp; "")&gt;0</formula>
    </cfRule>
    <cfRule type="expression" dxfId="810" priority="74">
      <formula>AND(COUNTIF(G44:BE44,"&lt;&gt;" &amp; "")&gt;0,NOT(ISBLANK(E44)))</formula>
    </cfRule>
  </conditionalFormatting>
  <dataValidations count="2">
    <dataValidation type="list" allowBlank="1" showInputMessage="1" showErrorMessage="1" sqref="C16:C27 C2:C13" xr:uid="{00000000-0002-0000-0900-000000000000}">
      <formula1>"Rate (per year)"</formula1>
    </dataValidation>
    <dataValidation type="list" allowBlank="1" showInputMessage="1" showErrorMessage="1" sqref="C44:C55 C30:C41" xr:uid="{00000000-0002-0000-0900-000018000000}">
      <formula1>"Duration (years)"</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08080"/>
  </sheetPr>
  <dimension ref="A1:BE254"/>
  <sheetViews>
    <sheetView workbookViewId="0"/>
  </sheetViews>
  <sheetFormatPr defaultRowHeight="15" x14ac:dyDescent="0.25"/>
  <cols>
    <col min="1" max="1" width="104" customWidth="1"/>
    <col min="2" max="2" width="12.7109375" customWidth="1"/>
    <col min="3" max="3" width="10.5703125" customWidth="1"/>
    <col min="4" max="4" width="13.85546875" customWidth="1"/>
    <col min="5" max="5" width="10.5703125" customWidth="1"/>
    <col min="6" max="57" width="9.42578125" customWidth="1"/>
  </cols>
  <sheetData>
    <row r="1" spans="1:57" x14ac:dyDescent="0.25">
      <c r="A1" s="1" t="s">
        <v>108</v>
      </c>
      <c r="B1" s="1" t="s">
        <v>29</v>
      </c>
      <c r="C1" s="1" t="s">
        <v>30</v>
      </c>
      <c r="D1" s="1" t="s">
        <v>31</v>
      </c>
      <c r="E1" s="1">
        <v>2000</v>
      </c>
      <c r="F1" s="1">
        <v>2001</v>
      </c>
      <c r="G1" s="1">
        <v>2002</v>
      </c>
      <c r="H1" s="1">
        <v>2003</v>
      </c>
      <c r="I1" s="1">
        <v>2004</v>
      </c>
      <c r="J1" s="1">
        <v>2005</v>
      </c>
      <c r="K1" s="1">
        <v>2006</v>
      </c>
      <c r="L1" s="1">
        <v>2007</v>
      </c>
      <c r="M1" s="1">
        <v>2008</v>
      </c>
      <c r="N1" s="1">
        <v>2009</v>
      </c>
      <c r="O1" s="1">
        <v>2010</v>
      </c>
      <c r="P1" s="1">
        <v>2011</v>
      </c>
      <c r="Q1" s="1">
        <v>2012</v>
      </c>
      <c r="R1" s="1">
        <v>2013</v>
      </c>
      <c r="S1" s="1">
        <v>2014</v>
      </c>
      <c r="T1" s="1">
        <v>2015</v>
      </c>
      <c r="U1" s="1">
        <v>2016</v>
      </c>
      <c r="V1" s="1">
        <v>2017</v>
      </c>
      <c r="W1" s="1">
        <v>2018</v>
      </c>
      <c r="X1" s="1">
        <v>2019</v>
      </c>
      <c r="Y1" s="1">
        <v>2020</v>
      </c>
      <c r="Z1" s="1">
        <v>2021</v>
      </c>
      <c r="AA1" s="1">
        <v>2022</v>
      </c>
      <c r="AB1" s="1">
        <v>2023</v>
      </c>
      <c r="AC1" s="1">
        <v>2024</v>
      </c>
      <c r="AD1" s="1">
        <v>2025</v>
      </c>
      <c r="AE1" s="1">
        <v>2026</v>
      </c>
      <c r="AF1" s="1">
        <v>2027</v>
      </c>
      <c r="AG1" s="1">
        <v>2028</v>
      </c>
      <c r="AH1" s="1">
        <v>2029</v>
      </c>
      <c r="AI1" s="1">
        <v>2030</v>
      </c>
      <c r="AJ1" s="1">
        <v>2031</v>
      </c>
      <c r="AK1" s="1">
        <v>2032</v>
      </c>
      <c r="AL1" s="1">
        <v>2033</v>
      </c>
      <c r="AM1" s="1">
        <v>2034</v>
      </c>
      <c r="AN1" s="1">
        <v>2035</v>
      </c>
      <c r="AO1" s="1">
        <v>2036</v>
      </c>
      <c r="AP1" s="1">
        <v>2037</v>
      </c>
      <c r="AQ1" s="1">
        <v>2038</v>
      </c>
      <c r="AR1" s="1">
        <v>2039</v>
      </c>
      <c r="AS1" s="1">
        <v>2040</v>
      </c>
      <c r="AT1" s="1">
        <v>2041</v>
      </c>
      <c r="AU1" s="1">
        <v>2042</v>
      </c>
      <c r="AV1" s="1">
        <v>2043</v>
      </c>
      <c r="AW1" s="1">
        <v>2044</v>
      </c>
      <c r="AX1" s="1">
        <v>2045</v>
      </c>
      <c r="AY1" s="1">
        <v>2046</v>
      </c>
      <c r="AZ1" s="1">
        <v>2047</v>
      </c>
      <c r="BA1" s="1">
        <v>2048</v>
      </c>
      <c r="BB1" s="1">
        <v>2049</v>
      </c>
      <c r="BC1" s="1">
        <v>2050</v>
      </c>
    </row>
    <row r="2" spans="1:57" x14ac:dyDescent="0.25">
      <c r="A2" s="1" t="str">
        <f>'Population Definitions'!$A$2</f>
        <v>PWID_males</v>
      </c>
      <c r="C2" t="s">
        <v>34</v>
      </c>
      <c r="D2" s="3"/>
      <c r="E2" s="3">
        <v>0</v>
      </c>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row>
    <row r="3" spans="1:57" x14ac:dyDescent="0.25">
      <c r="A3" s="1" t="str">
        <f>'Population Definitions'!$A$3</f>
        <v>PWID_females</v>
      </c>
      <c r="C3" t="s">
        <v>34</v>
      </c>
      <c r="D3" s="3"/>
      <c r="E3" s="3">
        <v>0</v>
      </c>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row>
    <row r="4" spans="1:57" x14ac:dyDescent="0.25">
      <c r="A4" s="1" t="str">
        <f>'Population Definitions'!$A$4</f>
        <v>0-9_males</v>
      </c>
      <c r="C4" t="s">
        <v>34</v>
      </c>
      <c r="D4" s="3"/>
      <c r="E4" s="3">
        <v>0</v>
      </c>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row>
    <row r="5" spans="1:57" x14ac:dyDescent="0.25">
      <c r="A5" s="1" t="str">
        <f>'Population Definitions'!$A$5</f>
        <v>0-9_females</v>
      </c>
      <c r="C5" t="s">
        <v>34</v>
      </c>
      <c r="D5" s="3"/>
      <c r="E5" s="3">
        <v>0</v>
      </c>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row>
    <row r="6" spans="1:57" x14ac:dyDescent="0.25">
      <c r="A6" s="1" t="str">
        <f>'Population Definitions'!$A$6</f>
        <v>10-17_males</v>
      </c>
      <c r="C6" t="s">
        <v>34</v>
      </c>
      <c r="D6" s="3"/>
      <c r="E6" s="3">
        <v>0</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row>
    <row r="7" spans="1:57" x14ac:dyDescent="0.25">
      <c r="A7" s="1" t="str">
        <f>'Population Definitions'!$A$7</f>
        <v>10-17_females</v>
      </c>
      <c r="C7" t="s">
        <v>34</v>
      </c>
      <c r="D7" s="3"/>
      <c r="E7" s="3">
        <v>0</v>
      </c>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row>
    <row r="8" spans="1:57" x14ac:dyDescent="0.25">
      <c r="A8" s="1" t="str">
        <f>'Population Definitions'!$A$8</f>
        <v>18-64_males</v>
      </c>
      <c r="C8" t="s">
        <v>34</v>
      </c>
      <c r="D8" s="3"/>
      <c r="E8" s="3">
        <v>0</v>
      </c>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row>
    <row r="9" spans="1:57" x14ac:dyDescent="0.25">
      <c r="A9" s="1" t="str">
        <f>'Population Definitions'!$A$9</f>
        <v>18-64_females</v>
      </c>
      <c r="C9" t="s">
        <v>34</v>
      </c>
      <c r="D9" s="3"/>
      <c r="E9" s="3">
        <v>0</v>
      </c>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row>
    <row r="10" spans="1:57" x14ac:dyDescent="0.25">
      <c r="A10" s="1" t="str">
        <f>'Population Definitions'!$A$10</f>
        <v>65+_males</v>
      </c>
      <c r="C10" t="s">
        <v>34</v>
      </c>
      <c r="D10" s="3"/>
      <c r="E10" s="3">
        <v>0</v>
      </c>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row>
    <row r="11" spans="1:57" x14ac:dyDescent="0.25">
      <c r="A11" s="1" t="str">
        <f>'Population Definitions'!$A$11</f>
        <v>65+_females</v>
      </c>
      <c r="C11" t="s">
        <v>34</v>
      </c>
      <c r="D11" s="3"/>
      <c r="E11" s="3">
        <v>0</v>
      </c>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row>
    <row r="12" spans="1:57" x14ac:dyDescent="0.25">
      <c r="A12" s="1" t="str">
        <f>'Population Definitions'!$A$12</f>
        <v>Prisoners_males</v>
      </c>
      <c r="C12" t="s">
        <v>34</v>
      </c>
      <c r="D12" s="3"/>
      <c r="E12" s="3">
        <v>0</v>
      </c>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row>
    <row r="13" spans="1:57" x14ac:dyDescent="0.25">
      <c r="A13" s="1" t="str">
        <f>'Population Definitions'!$A$13</f>
        <v>Prisoners_females</v>
      </c>
      <c r="C13" t="s">
        <v>34</v>
      </c>
      <c r="D13" s="3"/>
      <c r="E13" s="3">
        <v>0</v>
      </c>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row>
    <row r="14" spans="1:57" x14ac:dyDescent="0.25">
      <c r="A14" s="1" t="s">
        <v>109</v>
      </c>
      <c r="C14" t="s">
        <v>34</v>
      </c>
      <c r="D14" s="3"/>
      <c r="E14" s="3">
        <v>5.8354952260400578E-2</v>
      </c>
      <c r="F14" s="3"/>
      <c r="G14" s="3"/>
      <c r="H14" s="3"/>
      <c r="I14" s="3"/>
      <c r="J14" s="3"/>
      <c r="K14" s="3"/>
      <c r="L14" s="3"/>
      <c r="M14" s="3"/>
      <c r="N14" s="3"/>
      <c r="O14" s="3"/>
      <c r="P14" s="3"/>
      <c r="Q14" s="3"/>
      <c r="R14" s="3"/>
      <c r="S14" s="3"/>
      <c r="T14" s="3">
        <v>0.17506485678120171</v>
      </c>
      <c r="U14" s="3">
        <v>0.18275766830609419</v>
      </c>
      <c r="V14" s="3">
        <v>0.1897249426914695</v>
      </c>
      <c r="W14" s="3">
        <v>0.19591701232318401</v>
      </c>
      <c r="X14" s="3">
        <v>0.2021838239253205</v>
      </c>
      <c r="Y14" s="3">
        <v>0.2077201263796751</v>
      </c>
      <c r="Z14" s="3">
        <v>0.20602344132992331</v>
      </c>
      <c r="AA14" s="3">
        <v>0.20452399504000149</v>
      </c>
      <c r="AB14" s="3">
        <v>0.20771380826483879</v>
      </c>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row>
    <row r="16" spans="1:57" x14ac:dyDescent="0.25">
      <c r="A16" s="1" t="s">
        <v>110</v>
      </c>
      <c r="B16" s="1" t="s">
        <v>29</v>
      </c>
      <c r="C16" s="1" t="s">
        <v>30</v>
      </c>
      <c r="D16" s="1" t="s">
        <v>31</v>
      </c>
      <c r="E16" s="1" t="s">
        <v>36</v>
      </c>
      <c r="F16" s="1"/>
      <c r="G16" s="1">
        <v>2000</v>
      </c>
      <c r="H16" s="1">
        <v>2001</v>
      </c>
      <c r="I16" s="1">
        <v>2002</v>
      </c>
      <c r="J16" s="1">
        <v>2003</v>
      </c>
      <c r="K16" s="1">
        <v>2004</v>
      </c>
      <c r="L16" s="1">
        <v>2005</v>
      </c>
      <c r="M16" s="1">
        <v>2006</v>
      </c>
      <c r="N16" s="1">
        <v>2007</v>
      </c>
      <c r="O16" s="1">
        <v>2008</v>
      </c>
      <c r="P16" s="1">
        <v>2009</v>
      </c>
      <c r="Q16" s="1">
        <v>2010</v>
      </c>
      <c r="R16" s="1">
        <v>2011</v>
      </c>
      <c r="S16" s="1">
        <v>2012</v>
      </c>
      <c r="T16" s="1">
        <v>2013</v>
      </c>
      <c r="U16" s="1">
        <v>2014</v>
      </c>
      <c r="V16" s="1">
        <v>2015</v>
      </c>
      <c r="W16" s="1">
        <v>2016</v>
      </c>
      <c r="X16" s="1">
        <v>2017</v>
      </c>
      <c r="Y16" s="1">
        <v>2018</v>
      </c>
      <c r="Z16" s="1">
        <v>2019</v>
      </c>
      <c r="AA16" s="1">
        <v>2020</v>
      </c>
      <c r="AB16" s="1">
        <v>2021</v>
      </c>
      <c r="AC16" s="1">
        <v>2022</v>
      </c>
      <c r="AD16" s="1">
        <v>2023</v>
      </c>
      <c r="AE16" s="1">
        <v>2024</v>
      </c>
      <c r="AF16" s="1">
        <v>2025</v>
      </c>
      <c r="AG16" s="1">
        <v>2026</v>
      </c>
      <c r="AH16" s="1">
        <v>2027</v>
      </c>
      <c r="AI16" s="1">
        <v>2028</v>
      </c>
      <c r="AJ16" s="1">
        <v>2029</v>
      </c>
      <c r="AK16" s="1">
        <v>2030</v>
      </c>
      <c r="AL16" s="1">
        <v>2031</v>
      </c>
      <c r="AM16" s="1">
        <v>2032</v>
      </c>
      <c r="AN16" s="1">
        <v>2033</v>
      </c>
      <c r="AO16" s="1">
        <v>2034</v>
      </c>
      <c r="AP16" s="1">
        <v>2035</v>
      </c>
      <c r="AQ16" s="1">
        <v>2036</v>
      </c>
      <c r="AR16" s="1">
        <v>2037</v>
      </c>
      <c r="AS16" s="1">
        <v>2038</v>
      </c>
      <c r="AT16" s="1">
        <v>2039</v>
      </c>
      <c r="AU16" s="1">
        <v>2040</v>
      </c>
      <c r="AV16" s="1">
        <v>2041</v>
      </c>
      <c r="AW16" s="1">
        <v>2042</v>
      </c>
      <c r="AX16" s="1">
        <v>2043</v>
      </c>
      <c r="AY16" s="1">
        <v>2044</v>
      </c>
      <c r="AZ16" s="1">
        <v>2045</v>
      </c>
      <c r="BA16" s="1">
        <v>2046</v>
      </c>
      <c r="BB16" s="1">
        <v>2047</v>
      </c>
      <c r="BC16" s="1">
        <v>2048</v>
      </c>
      <c r="BD16" s="1">
        <v>2049</v>
      </c>
      <c r="BE16" s="1">
        <v>2050</v>
      </c>
    </row>
    <row r="17" spans="1:57" x14ac:dyDescent="0.25">
      <c r="A17" s="1" t="str">
        <f>'Population Definitions'!$A$2</f>
        <v>PWID_males</v>
      </c>
      <c r="C17" t="s">
        <v>32</v>
      </c>
      <c r="D17" s="3"/>
      <c r="E17" s="3"/>
      <c r="F17" s="4" t="s">
        <v>37</v>
      </c>
      <c r="G17" s="3">
        <v>0</v>
      </c>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Definitions'!$A$3</f>
        <v>PWID_females</v>
      </c>
      <c r="C18" t="s">
        <v>32</v>
      </c>
      <c r="D18" s="3"/>
      <c r="E18" s="3"/>
      <c r="F18" s="4" t="s">
        <v>37</v>
      </c>
      <c r="G18" s="3">
        <v>0</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Definitions'!$A$4</f>
        <v>0-9_males</v>
      </c>
      <c r="C19" t="s">
        <v>32</v>
      </c>
      <c r="D19" s="3"/>
      <c r="E19" s="3"/>
      <c r="F19" s="4" t="s">
        <v>37</v>
      </c>
      <c r="G19" s="3">
        <v>0</v>
      </c>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Definitions'!$A$5</f>
        <v>0-9_females</v>
      </c>
      <c r="C20" t="s">
        <v>32</v>
      </c>
      <c r="D20" s="3"/>
      <c r="E20" s="3"/>
      <c r="F20" s="4" t="s">
        <v>37</v>
      </c>
      <c r="G20" s="3">
        <v>0</v>
      </c>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Definitions'!$A$6</f>
        <v>10-17_males</v>
      </c>
      <c r="C21" t="s">
        <v>32</v>
      </c>
      <c r="D21" s="3"/>
      <c r="E21" s="3"/>
      <c r="F21" s="4" t="s">
        <v>37</v>
      </c>
      <c r="G21" s="3">
        <v>0</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Definitions'!$A$7</f>
        <v>10-17_females</v>
      </c>
      <c r="C22" t="s">
        <v>32</v>
      </c>
      <c r="D22" s="3"/>
      <c r="E22" s="3"/>
      <c r="F22" s="4" t="s">
        <v>37</v>
      </c>
      <c r="G22" s="3">
        <v>0</v>
      </c>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Definitions'!$A$8</f>
        <v>18-64_males</v>
      </c>
      <c r="C23" t="s">
        <v>32</v>
      </c>
      <c r="D23" s="3"/>
      <c r="E23" s="3"/>
      <c r="F23" s="4" t="s">
        <v>37</v>
      </c>
      <c r="G23" s="3">
        <v>0</v>
      </c>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Definitions'!$A$9</f>
        <v>18-64_females</v>
      </c>
      <c r="C24" t="s">
        <v>32</v>
      </c>
      <c r="D24" s="3"/>
      <c r="E24" s="3"/>
      <c r="F24" s="4" t="s">
        <v>37</v>
      </c>
      <c r="G24" s="3">
        <v>0</v>
      </c>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Definitions'!$A$10</f>
        <v>65+_males</v>
      </c>
      <c r="C25" t="s">
        <v>32</v>
      </c>
      <c r="D25" s="3"/>
      <c r="E25" s="3"/>
      <c r="F25" s="4" t="s">
        <v>37</v>
      </c>
      <c r="G25" s="3">
        <v>0</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Definitions'!$A$11</f>
        <v>65+_females</v>
      </c>
      <c r="C26" t="s">
        <v>32</v>
      </c>
      <c r="D26" s="3"/>
      <c r="E26" s="3"/>
      <c r="F26" s="4" t="s">
        <v>37</v>
      </c>
      <c r="G26" s="3">
        <v>0</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Definitions'!$A$12</f>
        <v>Prisoners_males</v>
      </c>
      <c r="C27" t="s">
        <v>32</v>
      </c>
      <c r="D27" s="3"/>
      <c r="E27" s="3"/>
      <c r="F27" s="4" t="s">
        <v>37</v>
      </c>
      <c r="G27" s="3">
        <v>0</v>
      </c>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8" spans="1:57" x14ac:dyDescent="0.25">
      <c r="A28" s="1" t="str">
        <f>'Population Definitions'!$A$13</f>
        <v>Prisoners_females</v>
      </c>
      <c r="C28" t="s">
        <v>32</v>
      </c>
      <c r="D28" s="3"/>
      <c r="E28" s="3"/>
      <c r="F28" s="4" t="s">
        <v>37</v>
      </c>
      <c r="G28" s="3">
        <v>0</v>
      </c>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row>
    <row r="29" spans="1:57" x14ac:dyDescent="0.25">
      <c r="A29" s="1" t="s">
        <v>109</v>
      </c>
      <c r="C29" t="s">
        <v>32</v>
      </c>
      <c r="D29" s="3"/>
      <c r="E29" s="3"/>
      <c r="F29" s="4" t="s">
        <v>37</v>
      </c>
      <c r="G29" s="3">
        <v>76032.333333333328</v>
      </c>
      <c r="H29" s="3"/>
      <c r="I29" s="3"/>
      <c r="J29" s="3"/>
      <c r="K29" s="3"/>
      <c r="L29" s="3"/>
      <c r="M29" s="3"/>
      <c r="N29" s="3"/>
      <c r="O29" s="3"/>
      <c r="P29" s="3"/>
      <c r="Q29" s="3"/>
      <c r="R29" s="3"/>
      <c r="S29" s="3"/>
      <c r="T29" s="3"/>
      <c r="U29" s="3">
        <v>76032.333333333328</v>
      </c>
      <c r="V29" s="3">
        <v>228097</v>
      </c>
      <c r="W29" s="3">
        <v>359500</v>
      </c>
      <c r="X29" s="3">
        <v>348901</v>
      </c>
      <c r="Y29" s="3">
        <v>353695</v>
      </c>
      <c r="Z29" s="3">
        <v>324021</v>
      </c>
      <c r="AA29" s="3">
        <v>154276</v>
      </c>
      <c r="AB29" s="3">
        <v>143141</v>
      </c>
      <c r="AC29" s="3">
        <v>175580</v>
      </c>
      <c r="AD29" s="3">
        <v>194445</v>
      </c>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row>
    <row r="31" spans="1:57" x14ac:dyDescent="0.25">
      <c r="A31" s="1" t="s">
        <v>111</v>
      </c>
      <c r="B31" s="1" t="s">
        <v>29</v>
      </c>
      <c r="C31" s="1" t="s">
        <v>30</v>
      </c>
      <c r="D31" s="1" t="s">
        <v>31</v>
      </c>
      <c r="E31" s="1" t="s">
        <v>36</v>
      </c>
      <c r="F31" s="1"/>
      <c r="G31" s="1">
        <v>2000</v>
      </c>
      <c r="H31" s="1">
        <v>2001</v>
      </c>
      <c r="I31" s="1">
        <v>2002</v>
      </c>
      <c r="J31" s="1">
        <v>2003</v>
      </c>
      <c r="K31" s="1">
        <v>2004</v>
      </c>
      <c r="L31" s="1">
        <v>2005</v>
      </c>
      <c r="M31" s="1">
        <v>2006</v>
      </c>
      <c r="N31" s="1">
        <v>2007</v>
      </c>
      <c r="O31" s="1">
        <v>2008</v>
      </c>
      <c r="P31" s="1">
        <v>2009</v>
      </c>
      <c r="Q31" s="1">
        <v>2010</v>
      </c>
      <c r="R31" s="1">
        <v>2011</v>
      </c>
      <c r="S31" s="1">
        <v>2012</v>
      </c>
      <c r="T31" s="1">
        <v>2013</v>
      </c>
      <c r="U31" s="1">
        <v>2014</v>
      </c>
      <c r="V31" s="1">
        <v>2015</v>
      </c>
      <c r="W31" s="1">
        <v>2016</v>
      </c>
      <c r="X31" s="1">
        <v>2017</v>
      </c>
      <c r="Y31" s="1">
        <v>2018</v>
      </c>
      <c r="Z31" s="1">
        <v>2019</v>
      </c>
      <c r="AA31" s="1">
        <v>2020</v>
      </c>
      <c r="AB31" s="1">
        <v>2021</v>
      </c>
      <c r="AC31" s="1">
        <v>2022</v>
      </c>
      <c r="AD31" s="1">
        <v>2023</v>
      </c>
      <c r="AE31" s="1">
        <v>2024</v>
      </c>
      <c r="AF31" s="1">
        <v>2025</v>
      </c>
      <c r="AG31" s="1">
        <v>2026</v>
      </c>
      <c r="AH31" s="1">
        <v>2027</v>
      </c>
      <c r="AI31" s="1">
        <v>2028</v>
      </c>
      <c r="AJ31" s="1">
        <v>2029</v>
      </c>
      <c r="AK31" s="1">
        <v>2030</v>
      </c>
      <c r="AL31" s="1">
        <v>2031</v>
      </c>
      <c r="AM31" s="1">
        <v>2032</v>
      </c>
      <c r="AN31" s="1">
        <v>2033</v>
      </c>
      <c r="AO31" s="1">
        <v>2034</v>
      </c>
      <c r="AP31" s="1">
        <v>2035</v>
      </c>
      <c r="AQ31" s="1">
        <v>2036</v>
      </c>
      <c r="AR31" s="1">
        <v>2037</v>
      </c>
      <c r="AS31" s="1">
        <v>2038</v>
      </c>
      <c r="AT31" s="1">
        <v>2039</v>
      </c>
      <c r="AU31" s="1">
        <v>2040</v>
      </c>
      <c r="AV31" s="1">
        <v>2041</v>
      </c>
      <c r="AW31" s="1">
        <v>2042</v>
      </c>
      <c r="AX31" s="1">
        <v>2043</v>
      </c>
      <c r="AY31" s="1">
        <v>2044</v>
      </c>
      <c r="AZ31" s="1">
        <v>2045</v>
      </c>
      <c r="BA31" s="1">
        <v>2046</v>
      </c>
      <c r="BB31" s="1">
        <v>2047</v>
      </c>
      <c r="BC31" s="1">
        <v>2048</v>
      </c>
      <c r="BD31" s="1">
        <v>2049</v>
      </c>
      <c r="BE31" s="1">
        <v>2050</v>
      </c>
    </row>
    <row r="32" spans="1:57" x14ac:dyDescent="0.25">
      <c r="A32" s="1" t="str">
        <f>'Population Definitions'!$A$2</f>
        <v>PWID_males</v>
      </c>
      <c r="C32" t="s">
        <v>32</v>
      </c>
      <c r="D32" s="3"/>
      <c r="E32" s="3"/>
      <c r="F32" s="4" t="s">
        <v>37</v>
      </c>
      <c r="G32" s="3">
        <v>0</v>
      </c>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Definitions'!$A$3</f>
        <v>PWID_females</v>
      </c>
      <c r="C33" t="s">
        <v>32</v>
      </c>
      <c r="D33" s="3"/>
      <c r="E33" s="3"/>
      <c r="F33" s="4" t="s">
        <v>37</v>
      </c>
      <c r="G33" s="3">
        <v>0</v>
      </c>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Definitions'!$A$4</f>
        <v>0-9_males</v>
      </c>
      <c r="C34" t="s">
        <v>32</v>
      </c>
      <c r="D34" s="3"/>
      <c r="E34" s="3"/>
      <c r="F34" s="4" t="s">
        <v>37</v>
      </c>
      <c r="G34" s="3">
        <v>0</v>
      </c>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Definitions'!$A$5</f>
        <v>0-9_females</v>
      </c>
      <c r="C35" t="s">
        <v>32</v>
      </c>
      <c r="D35" s="3"/>
      <c r="E35" s="3"/>
      <c r="F35" s="4" t="s">
        <v>37</v>
      </c>
      <c r="G35" s="3">
        <v>0</v>
      </c>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Definitions'!$A$6</f>
        <v>10-17_males</v>
      </c>
      <c r="C36" t="s">
        <v>32</v>
      </c>
      <c r="D36" s="3"/>
      <c r="E36" s="3"/>
      <c r="F36" s="4" t="s">
        <v>37</v>
      </c>
      <c r="G36" s="3">
        <v>0</v>
      </c>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Definitions'!$A$7</f>
        <v>10-17_females</v>
      </c>
      <c r="C37" t="s">
        <v>32</v>
      </c>
      <c r="D37" s="3"/>
      <c r="E37" s="3"/>
      <c r="F37" s="4" t="s">
        <v>37</v>
      </c>
      <c r="G37" s="3">
        <v>0</v>
      </c>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Definitions'!$A$8</f>
        <v>18-64_males</v>
      </c>
      <c r="C38" t="s">
        <v>32</v>
      </c>
      <c r="D38" s="3"/>
      <c r="E38" s="3"/>
      <c r="F38" s="4" t="s">
        <v>37</v>
      </c>
      <c r="G38" s="3">
        <v>0</v>
      </c>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Definitions'!$A$9</f>
        <v>18-64_females</v>
      </c>
      <c r="C39" t="s">
        <v>32</v>
      </c>
      <c r="D39" s="3"/>
      <c r="E39" s="3"/>
      <c r="F39" s="4" t="s">
        <v>37</v>
      </c>
      <c r="G39" s="3">
        <v>0</v>
      </c>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Definitions'!$A$10</f>
        <v>65+_males</v>
      </c>
      <c r="C40" t="s">
        <v>32</v>
      </c>
      <c r="D40" s="3"/>
      <c r="E40" s="3"/>
      <c r="F40" s="4" t="s">
        <v>37</v>
      </c>
      <c r="G40" s="3">
        <v>0</v>
      </c>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Definitions'!$A$11</f>
        <v>65+_females</v>
      </c>
      <c r="C41" t="s">
        <v>32</v>
      </c>
      <c r="D41" s="3"/>
      <c r="E41" s="3"/>
      <c r="F41" s="4" t="s">
        <v>37</v>
      </c>
      <c r="G41" s="3">
        <v>0</v>
      </c>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2" spans="1:57" x14ac:dyDescent="0.25">
      <c r="A42" s="1" t="str">
        <f>'Population Definitions'!$A$12</f>
        <v>Prisoners_males</v>
      </c>
      <c r="C42" t="s">
        <v>32</v>
      </c>
      <c r="D42" s="3"/>
      <c r="E42" s="3"/>
      <c r="F42" s="4" t="s">
        <v>37</v>
      </c>
      <c r="G42" s="3">
        <v>0</v>
      </c>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row>
    <row r="43" spans="1:57" x14ac:dyDescent="0.25">
      <c r="A43" s="1" t="str">
        <f>'Population Definitions'!$A$13</f>
        <v>Prisoners_females</v>
      </c>
      <c r="C43" t="s">
        <v>32</v>
      </c>
      <c r="D43" s="3"/>
      <c r="E43" s="3"/>
      <c r="F43" s="4" t="s">
        <v>37</v>
      </c>
      <c r="G43" s="3">
        <v>0</v>
      </c>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row>
    <row r="44" spans="1:57" x14ac:dyDescent="0.25">
      <c r="A44" s="1" t="s">
        <v>109</v>
      </c>
      <c r="C44" t="s">
        <v>32</v>
      </c>
      <c r="D44" s="3"/>
      <c r="E44" s="3"/>
      <c r="F44" s="4" t="s">
        <v>37</v>
      </c>
      <c r="G44" s="3">
        <v>0</v>
      </c>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6" spans="1:57" x14ac:dyDescent="0.25">
      <c r="A46" s="1" t="s">
        <v>112</v>
      </c>
      <c r="B46" s="1" t="s">
        <v>29</v>
      </c>
      <c r="C46" s="1" t="s">
        <v>30</v>
      </c>
      <c r="D46" s="1" t="s">
        <v>31</v>
      </c>
      <c r="E46" s="1" t="s">
        <v>36</v>
      </c>
      <c r="F46" s="1"/>
      <c r="G46" s="1">
        <v>2000</v>
      </c>
      <c r="H46" s="1">
        <v>2001</v>
      </c>
      <c r="I46" s="1">
        <v>2002</v>
      </c>
      <c r="J46" s="1">
        <v>2003</v>
      </c>
      <c r="K46" s="1">
        <v>2004</v>
      </c>
      <c r="L46" s="1">
        <v>2005</v>
      </c>
      <c r="M46" s="1">
        <v>2006</v>
      </c>
      <c r="N46" s="1">
        <v>2007</v>
      </c>
      <c r="O46" s="1">
        <v>2008</v>
      </c>
      <c r="P46" s="1">
        <v>2009</v>
      </c>
      <c r="Q46" s="1">
        <v>2010</v>
      </c>
      <c r="R46" s="1">
        <v>2011</v>
      </c>
      <c r="S46" s="1">
        <v>2012</v>
      </c>
      <c r="T46" s="1">
        <v>2013</v>
      </c>
      <c r="U46" s="1">
        <v>2014</v>
      </c>
      <c r="V46" s="1">
        <v>2015</v>
      </c>
      <c r="W46" s="1">
        <v>2016</v>
      </c>
      <c r="X46" s="1">
        <v>2017</v>
      </c>
      <c r="Y46" s="1">
        <v>2018</v>
      </c>
      <c r="Z46" s="1">
        <v>2019</v>
      </c>
      <c r="AA46" s="1">
        <v>2020</v>
      </c>
      <c r="AB46" s="1">
        <v>2021</v>
      </c>
      <c r="AC46" s="1">
        <v>2022</v>
      </c>
      <c r="AD46" s="1">
        <v>2023</v>
      </c>
      <c r="AE46" s="1">
        <v>2024</v>
      </c>
      <c r="AF46" s="1">
        <v>2025</v>
      </c>
      <c r="AG46" s="1">
        <v>2026</v>
      </c>
      <c r="AH46" s="1">
        <v>2027</v>
      </c>
      <c r="AI46" s="1">
        <v>2028</v>
      </c>
      <c r="AJ46" s="1">
        <v>2029</v>
      </c>
      <c r="AK46" s="1">
        <v>2030</v>
      </c>
      <c r="AL46" s="1">
        <v>2031</v>
      </c>
      <c r="AM46" s="1">
        <v>2032</v>
      </c>
      <c r="AN46" s="1">
        <v>2033</v>
      </c>
      <c r="AO46" s="1">
        <v>2034</v>
      </c>
      <c r="AP46" s="1">
        <v>2035</v>
      </c>
      <c r="AQ46" s="1">
        <v>2036</v>
      </c>
      <c r="AR46" s="1">
        <v>2037</v>
      </c>
      <c r="AS46" s="1">
        <v>2038</v>
      </c>
      <c r="AT46" s="1">
        <v>2039</v>
      </c>
      <c r="AU46" s="1">
        <v>2040</v>
      </c>
      <c r="AV46" s="1">
        <v>2041</v>
      </c>
      <c r="AW46" s="1">
        <v>2042</v>
      </c>
      <c r="AX46" s="1">
        <v>2043</v>
      </c>
      <c r="AY46" s="1">
        <v>2044</v>
      </c>
      <c r="AZ46" s="1">
        <v>2045</v>
      </c>
      <c r="BA46" s="1">
        <v>2046</v>
      </c>
      <c r="BB46" s="1">
        <v>2047</v>
      </c>
      <c r="BC46" s="1">
        <v>2048</v>
      </c>
      <c r="BD46" s="1">
        <v>2049</v>
      </c>
      <c r="BE46" s="1">
        <v>2050</v>
      </c>
    </row>
    <row r="47" spans="1:57" x14ac:dyDescent="0.25">
      <c r="A47" s="1" t="str">
        <f>'Population Definitions'!$A$2</f>
        <v>PWID_males</v>
      </c>
      <c r="C47" t="s">
        <v>32</v>
      </c>
      <c r="D47" s="3"/>
      <c r="E47" s="3"/>
      <c r="F47" s="4" t="s">
        <v>37</v>
      </c>
      <c r="G47" s="3">
        <v>0</v>
      </c>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Definitions'!$A$3</f>
        <v>PWID_females</v>
      </c>
      <c r="C48" t="s">
        <v>32</v>
      </c>
      <c r="D48" s="3"/>
      <c r="E48" s="3"/>
      <c r="F48" s="4" t="s">
        <v>37</v>
      </c>
      <c r="G48" s="3">
        <v>0</v>
      </c>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Definitions'!$A$4</f>
        <v>0-9_males</v>
      </c>
      <c r="C49" t="s">
        <v>32</v>
      </c>
      <c r="D49" s="3"/>
      <c r="E49" s="3"/>
      <c r="F49" s="4" t="s">
        <v>37</v>
      </c>
      <c r="G49" s="3">
        <v>0</v>
      </c>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Definitions'!$A$5</f>
        <v>0-9_females</v>
      </c>
      <c r="C50" t="s">
        <v>32</v>
      </c>
      <c r="D50" s="3"/>
      <c r="E50" s="3"/>
      <c r="F50" s="4" t="s">
        <v>37</v>
      </c>
      <c r="G50" s="3">
        <v>0</v>
      </c>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Definitions'!$A$6</f>
        <v>10-17_males</v>
      </c>
      <c r="C51" t="s">
        <v>32</v>
      </c>
      <c r="D51" s="3"/>
      <c r="E51" s="3"/>
      <c r="F51" s="4" t="s">
        <v>37</v>
      </c>
      <c r="G51" s="3">
        <v>0</v>
      </c>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Definitions'!$A$7</f>
        <v>10-17_females</v>
      </c>
      <c r="C52" t="s">
        <v>32</v>
      </c>
      <c r="D52" s="3"/>
      <c r="E52" s="3"/>
      <c r="F52" s="4" t="s">
        <v>37</v>
      </c>
      <c r="G52" s="3">
        <v>0</v>
      </c>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Definitions'!$A$8</f>
        <v>18-64_males</v>
      </c>
      <c r="C53" t="s">
        <v>32</v>
      </c>
      <c r="D53" s="3"/>
      <c r="E53" s="3"/>
      <c r="F53" s="4" t="s">
        <v>37</v>
      </c>
      <c r="G53" s="3">
        <v>0</v>
      </c>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Definitions'!$A$9</f>
        <v>18-64_females</v>
      </c>
      <c r="C54" t="s">
        <v>32</v>
      </c>
      <c r="D54" s="3"/>
      <c r="E54" s="3"/>
      <c r="F54" s="4" t="s">
        <v>37</v>
      </c>
      <c r="G54" s="3">
        <v>0</v>
      </c>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Definitions'!$A$10</f>
        <v>65+_males</v>
      </c>
      <c r="C55" t="s">
        <v>32</v>
      </c>
      <c r="D55" s="3"/>
      <c r="E55" s="3"/>
      <c r="F55" s="4" t="s">
        <v>37</v>
      </c>
      <c r="G55" s="3">
        <v>0</v>
      </c>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6" spans="1:57" x14ac:dyDescent="0.25">
      <c r="A56" s="1" t="str">
        <f>'Population Definitions'!$A$11</f>
        <v>65+_females</v>
      </c>
      <c r="C56" t="s">
        <v>32</v>
      </c>
      <c r="D56" s="3"/>
      <c r="E56" s="3"/>
      <c r="F56" s="4" t="s">
        <v>37</v>
      </c>
      <c r="G56" s="3">
        <v>0</v>
      </c>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row>
    <row r="57" spans="1:57" x14ac:dyDescent="0.25">
      <c r="A57" s="1" t="str">
        <f>'Population Definitions'!$A$12</f>
        <v>Prisoners_males</v>
      </c>
      <c r="C57" t="s">
        <v>32</v>
      </c>
      <c r="D57" s="3"/>
      <c r="E57" s="3"/>
      <c r="F57" s="4" t="s">
        <v>37</v>
      </c>
      <c r="G57" s="3">
        <v>0</v>
      </c>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row>
    <row r="58" spans="1:57" x14ac:dyDescent="0.25">
      <c r="A58" s="1" t="str">
        <f>'Population Definitions'!$A$13</f>
        <v>Prisoners_females</v>
      </c>
      <c r="C58" t="s">
        <v>32</v>
      </c>
      <c r="D58" s="3"/>
      <c r="E58" s="3"/>
      <c r="F58" s="4" t="s">
        <v>37</v>
      </c>
      <c r="G58" s="3">
        <v>0</v>
      </c>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
        <v>109</v>
      </c>
      <c r="C59" t="s">
        <v>32</v>
      </c>
      <c r="D59" s="3"/>
      <c r="E59" s="3"/>
      <c r="F59" s="4" t="s">
        <v>37</v>
      </c>
      <c r="G59" s="3">
        <v>11842370</v>
      </c>
      <c r="H59" s="3"/>
      <c r="I59" s="3"/>
      <c r="J59" s="3"/>
      <c r="K59" s="3"/>
      <c r="L59" s="3"/>
      <c r="M59" s="3"/>
      <c r="N59" s="3"/>
      <c r="O59" s="3"/>
      <c r="P59" s="3"/>
      <c r="Q59" s="3"/>
      <c r="R59" s="3"/>
      <c r="S59" s="3"/>
      <c r="T59" s="3"/>
      <c r="U59" s="3"/>
      <c r="V59" s="3">
        <v>11842370</v>
      </c>
      <c r="W59" s="3">
        <v>11594901</v>
      </c>
      <c r="X59" s="3">
        <v>11253124</v>
      </c>
      <c r="Y59" s="3">
        <v>10826017</v>
      </c>
      <c r="Z59" s="3">
        <v>10400496</v>
      </c>
      <c r="AA59" s="3">
        <v>10013952</v>
      </c>
      <c r="AB59" s="3">
        <v>9775000</v>
      </c>
      <c r="AC59" s="3">
        <v>9548390</v>
      </c>
      <c r="AD59" s="3">
        <v>9311083</v>
      </c>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1" spans="1:57" x14ac:dyDescent="0.25">
      <c r="A61" s="1" t="s">
        <v>113</v>
      </c>
      <c r="B61" s="1" t="s">
        <v>29</v>
      </c>
      <c r="C61" s="1" t="s">
        <v>30</v>
      </c>
      <c r="D61" s="1" t="s">
        <v>31</v>
      </c>
      <c r="E61" s="1" t="s">
        <v>36</v>
      </c>
      <c r="F61" s="1"/>
      <c r="G61" s="1">
        <v>2000</v>
      </c>
      <c r="H61" s="1">
        <v>2001</v>
      </c>
      <c r="I61" s="1">
        <v>2002</v>
      </c>
      <c r="J61" s="1">
        <v>2003</v>
      </c>
      <c r="K61" s="1">
        <v>2004</v>
      </c>
      <c r="L61" s="1">
        <v>2005</v>
      </c>
      <c r="M61" s="1">
        <v>2006</v>
      </c>
      <c r="N61" s="1">
        <v>2007</v>
      </c>
      <c r="O61" s="1">
        <v>2008</v>
      </c>
      <c r="P61" s="1">
        <v>2009</v>
      </c>
      <c r="Q61" s="1">
        <v>2010</v>
      </c>
      <c r="R61" s="1">
        <v>2011</v>
      </c>
      <c r="S61" s="1">
        <v>2012</v>
      </c>
      <c r="T61" s="1">
        <v>2013</v>
      </c>
      <c r="U61" s="1">
        <v>2014</v>
      </c>
      <c r="V61" s="1">
        <v>2015</v>
      </c>
      <c r="W61" s="1">
        <v>2016</v>
      </c>
      <c r="X61" s="1">
        <v>2017</v>
      </c>
      <c r="Y61" s="1">
        <v>2018</v>
      </c>
      <c r="Z61" s="1">
        <v>2019</v>
      </c>
      <c r="AA61" s="1">
        <v>2020</v>
      </c>
      <c r="AB61" s="1">
        <v>2021</v>
      </c>
      <c r="AC61" s="1">
        <v>2022</v>
      </c>
      <c r="AD61" s="1">
        <v>2023</v>
      </c>
      <c r="AE61" s="1">
        <v>2024</v>
      </c>
      <c r="AF61" s="1">
        <v>2025</v>
      </c>
      <c r="AG61" s="1">
        <v>2026</v>
      </c>
      <c r="AH61" s="1">
        <v>2027</v>
      </c>
      <c r="AI61" s="1">
        <v>2028</v>
      </c>
      <c r="AJ61" s="1">
        <v>2029</v>
      </c>
      <c r="AK61" s="1">
        <v>2030</v>
      </c>
      <c r="AL61" s="1">
        <v>2031</v>
      </c>
      <c r="AM61" s="1">
        <v>2032</v>
      </c>
      <c r="AN61" s="1">
        <v>2033</v>
      </c>
      <c r="AO61" s="1">
        <v>2034</v>
      </c>
      <c r="AP61" s="1">
        <v>2035</v>
      </c>
      <c r="AQ61" s="1">
        <v>2036</v>
      </c>
      <c r="AR61" s="1">
        <v>2037</v>
      </c>
      <c r="AS61" s="1">
        <v>2038</v>
      </c>
      <c r="AT61" s="1">
        <v>2039</v>
      </c>
      <c r="AU61" s="1">
        <v>2040</v>
      </c>
      <c r="AV61" s="1">
        <v>2041</v>
      </c>
      <c r="AW61" s="1">
        <v>2042</v>
      </c>
      <c r="AX61" s="1">
        <v>2043</v>
      </c>
      <c r="AY61" s="1">
        <v>2044</v>
      </c>
      <c r="AZ61" s="1">
        <v>2045</v>
      </c>
      <c r="BA61" s="1">
        <v>2046</v>
      </c>
      <c r="BB61" s="1">
        <v>2047</v>
      </c>
      <c r="BC61" s="1">
        <v>2048</v>
      </c>
      <c r="BD61" s="1">
        <v>2049</v>
      </c>
      <c r="BE61" s="1">
        <v>2050</v>
      </c>
    </row>
    <row r="62" spans="1:57" x14ac:dyDescent="0.25">
      <c r="A62" s="1" t="str">
        <f>'Population Definitions'!$A$2</f>
        <v>PWID_males</v>
      </c>
      <c r="C62" t="s">
        <v>32</v>
      </c>
      <c r="D62" s="3"/>
      <c r="E62" s="3"/>
      <c r="F62" s="4" t="s">
        <v>37</v>
      </c>
      <c r="G62" s="3">
        <v>0</v>
      </c>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Definitions'!$A$3</f>
        <v>PWID_females</v>
      </c>
      <c r="C63" t="s">
        <v>32</v>
      </c>
      <c r="D63" s="3"/>
      <c r="E63" s="3"/>
      <c r="F63" s="4" t="s">
        <v>37</v>
      </c>
      <c r="G63" s="3">
        <v>0</v>
      </c>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Definitions'!$A$4</f>
        <v>0-9_males</v>
      </c>
      <c r="C64" t="s">
        <v>32</v>
      </c>
      <c r="D64" s="3"/>
      <c r="E64" s="3"/>
      <c r="F64" s="4" t="s">
        <v>37</v>
      </c>
      <c r="G64" s="3">
        <v>0</v>
      </c>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Definitions'!$A$5</f>
        <v>0-9_females</v>
      </c>
      <c r="C65" t="s">
        <v>32</v>
      </c>
      <c r="D65" s="3"/>
      <c r="E65" s="3"/>
      <c r="F65" s="4" t="s">
        <v>37</v>
      </c>
      <c r="G65" s="3">
        <v>0</v>
      </c>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Definitions'!$A$6</f>
        <v>10-17_males</v>
      </c>
      <c r="C66" t="s">
        <v>32</v>
      </c>
      <c r="D66" s="3"/>
      <c r="E66" s="3"/>
      <c r="F66" s="4" t="s">
        <v>37</v>
      </c>
      <c r="G66" s="3">
        <v>0</v>
      </c>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Definitions'!$A$7</f>
        <v>10-17_females</v>
      </c>
      <c r="C67" t="s">
        <v>32</v>
      </c>
      <c r="D67" s="3"/>
      <c r="E67" s="3"/>
      <c r="F67" s="4" t="s">
        <v>37</v>
      </c>
      <c r="G67" s="3">
        <v>0</v>
      </c>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Definitions'!$A$8</f>
        <v>18-64_males</v>
      </c>
      <c r="C68" t="s">
        <v>32</v>
      </c>
      <c r="D68" s="3"/>
      <c r="E68" s="3"/>
      <c r="F68" s="4" t="s">
        <v>37</v>
      </c>
      <c r="G68" s="3">
        <v>0</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Definitions'!$A$9</f>
        <v>18-64_females</v>
      </c>
      <c r="C69" t="s">
        <v>32</v>
      </c>
      <c r="D69" s="3"/>
      <c r="E69" s="3"/>
      <c r="F69" s="4" t="s">
        <v>37</v>
      </c>
      <c r="G69" s="3">
        <v>0</v>
      </c>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0" spans="1:57" x14ac:dyDescent="0.25">
      <c r="A70" s="1" t="str">
        <f>'Population Definitions'!$A$10</f>
        <v>65+_males</v>
      </c>
      <c r="C70" t="s">
        <v>32</v>
      </c>
      <c r="D70" s="3"/>
      <c r="E70" s="3"/>
      <c r="F70" s="4" t="s">
        <v>37</v>
      </c>
      <c r="G70" s="3">
        <v>0</v>
      </c>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row>
    <row r="71" spans="1:57" x14ac:dyDescent="0.25">
      <c r="A71" s="1" t="str">
        <f>'Population Definitions'!$A$11</f>
        <v>65+_females</v>
      </c>
      <c r="C71" t="s">
        <v>32</v>
      </c>
      <c r="D71" s="3"/>
      <c r="E71" s="3"/>
      <c r="F71" s="4" t="s">
        <v>37</v>
      </c>
      <c r="G71" s="3">
        <v>0</v>
      </c>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row>
    <row r="72" spans="1:57" x14ac:dyDescent="0.25">
      <c r="A72" s="1" t="str">
        <f>'Population Definitions'!$A$12</f>
        <v>Prisoners_males</v>
      </c>
      <c r="C72" t="s">
        <v>32</v>
      </c>
      <c r="D72" s="3"/>
      <c r="E72" s="3"/>
      <c r="F72" s="4" t="s">
        <v>37</v>
      </c>
      <c r="G72" s="3">
        <v>0</v>
      </c>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Definitions'!$A$13</f>
        <v>Prisoners_females</v>
      </c>
      <c r="C73" t="s">
        <v>32</v>
      </c>
      <c r="D73" s="3"/>
      <c r="E73" s="3"/>
      <c r="F73" s="4" t="s">
        <v>37</v>
      </c>
      <c r="G73" s="3">
        <v>0</v>
      </c>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
        <v>109</v>
      </c>
      <c r="C74" t="s">
        <v>32</v>
      </c>
      <c r="D74" s="3"/>
      <c r="E74" s="3"/>
      <c r="F74" s="4" t="s">
        <v>37</v>
      </c>
      <c r="G74" s="3">
        <v>0</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6" spans="1:57" x14ac:dyDescent="0.25">
      <c r="A76" s="1" t="s">
        <v>114</v>
      </c>
      <c r="B76" s="1" t="s">
        <v>29</v>
      </c>
      <c r="C76" s="1" t="s">
        <v>30</v>
      </c>
      <c r="D76" s="1" t="s">
        <v>31</v>
      </c>
      <c r="E76" s="1" t="s">
        <v>36</v>
      </c>
      <c r="F76" s="1"/>
      <c r="G76" s="1">
        <v>2000</v>
      </c>
      <c r="H76" s="1">
        <v>2001</v>
      </c>
      <c r="I76" s="1">
        <v>2002</v>
      </c>
      <c r="J76" s="1">
        <v>2003</v>
      </c>
      <c r="K76" s="1">
        <v>2004</v>
      </c>
      <c r="L76" s="1">
        <v>2005</v>
      </c>
      <c r="M76" s="1">
        <v>2006</v>
      </c>
      <c r="N76" s="1">
        <v>2007</v>
      </c>
      <c r="O76" s="1">
        <v>2008</v>
      </c>
      <c r="P76" s="1">
        <v>2009</v>
      </c>
      <c r="Q76" s="1">
        <v>2010</v>
      </c>
      <c r="R76" s="1">
        <v>2011</v>
      </c>
      <c r="S76" s="1">
        <v>2012</v>
      </c>
      <c r="T76" s="1">
        <v>2013</v>
      </c>
      <c r="U76" s="1">
        <v>2014</v>
      </c>
      <c r="V76" s="1">
        <v>2015</v>
      </c>
      <c r="W76" s="1">
        <v>2016</v>
      </c>
      <c r="X76" s="1">
        <v>2017</v>
      </c>
      <c r="Y76" s="1">
        <v>2018</v>
      </c>
      <c r="Z76" s="1">
        <v>2019</v>
      </c>
      <c r="AA76" s="1">
        <v>2020</v>
      </c>
      <c r="AB76" s="1">
        <v>2021</v>
      </c>
      <c r="AC76" s="1">
        <v>2022</v>
      </c>
      <c r="AD76" s="1">
        <v>2023</v>
      </c>
      <c r="AE76" s="1">
        <v>2024</v>
      </c>
      <c r="AF76" s="1">
        <v>2025</v>
      </c>
      <c r="AG76" s="1">
        <v>2026</v>
      </c>
      <c r="AH76" s="1">
        <v>2027</v>
      </c>
      <c r="AI76" s="1">
        <v>2028</v>
      </c>
      <c r="AJ76" s="1">
        <v>2029</v>
      </c>
      <c r="AK76" s="1">
        <v>2030</v>
      </c>
      <c r="AL76" s="1">
        <v>2031</v>
      </c>
      <c r="AM76" s="1">
        <v>2032</v>
      </c>
      <c r="AN76" s="1">
        <v>2033</v>
      </c>
      <c r="AO76" s="1">
        <v>2034</v>
      </c>
      <c r="AP76" s="1">
        <v>2035</v>
      </c>
      <c r="AQ76" s="1">
        <v>2036</v>
      </c>
      <c r="AR76" s="1">
        <v>2037</v>
      </c>
      <c r="AS76" s="1">
        <v>2038</v>
      </c>
      <c r="AT76" s="1">
        <v>2039</v>
      </c>
      <c r="AU76" s="1">
        <v>2040</v>
      </c>
      <c r="AV76" s="1">
        <v>2041</v>
      </c>
      <c r="AW76" s="1">
        <v>2042</v>
      </c>
      <c r="AX76" s="1">
        <v>2043</v>
      </c>
      <c r="AY76" s="1">
        <v>2044</v>
      </c>
      <c r="AZ76" s="1">
        <v>2045</v>
      </c>
      <c r="BA76" s="1">
        <v>2046</v>
      </c>
      <c r="BB76" s="1">
        <v>2047</v>
      </c>
      <c r="BC76" s="1">
        <v>2048</v>
      </c>
      <c r="BD76" s="1">
        <v>2049</v>
      </c>
      <c r="BE76" s="1">
        <v>2050</v>
      </c>
    </row>
    <row r="77" spans="1:57" x14ac:dyDescent="0.25">
      <c r="A77" s="1" t="str">
        <f>'Population Definitions'!$A$2</f>
        <v>PWID_males</v>
      </c>
      <c r="C77" t="s">
        <v>32</v>
      </c>
      <c r="D77" s="3"/>
      <c r="E77" s="3"/>
      <c r="F77" s="4" t="s">
        <v>37</v>
      </c>
      <c r="G77" s="3">
        <v>0</v>
      </c>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Definitions'!$A$3</f>
        <v>PWID_females</v>
      </c>
      <c r="C78" t="s">
        <v>32</v>
      </c>
      <c r="D78" s="3"/>
      <c r="E78" s="3"/>
      <c r="F78" s="4" t="s">
        <v>37</v>
      </c>
      <c r="G78" s="3">
        <v>0</v>
      </c>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Definitions'!$A$4</f>
        <v>0-9_males</v>
      </c>
      <c r="C79" t="s">
        <v>32</v>
      </c>
      <c r="D79" s="3"/>
      <c r="E79" s="3"/>
      <c r="F79" s="4" t="s">
        <v>37</v>
      </c>
      <c r="G79" s="3">
        <v>0</v>
      </c>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Definitions'!$A$5</f>
        <v>0-9_females</v>
      </c>
      <c r="C80" t="s">
        <v>32</v>
      </c>
      <c r="D80" s="3"/>
      <c r="E80" s="3"/>
      <c r="F80" s="4" t="s">
        <v>37</v>
      </c>
      <c r="G80" s="3">
        <v>0</v>
      </c>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Definitions'!$A$6</f>
        <v>10-17_males</v>
      </c>
      <c r="C81" t="s">
        <v>32</v>
      </c>
      <c r="D81" s="3"/>
      <c r="E81" s="3"/>
      <c r="F81" s="4" t="s">
        <v>37</v>
      </c>
      <c r="G81" s="3">
        <v>0</v>
      </c>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Definitions'!$A$7</f>
        <v>10-17_females</v>
      </c>
      <c r="C82" t="s">
        <v>32</v>
      </c>
      <c r="D82" s="3"/>
      <c r="E82" s="3"/>
      <c r="F82" s="4" t="s">
        <v>37</v>
      </c>
      <c r="G82" s="3">
        <v>0</v>
      </c>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Definitions'!$A$8</f>
        <v>18-64_males</v>
      </c>
      <c r="C83" t="s">
        <v>32</v>
      </c>
      <c r="D83" s="3"/>
      <c r="E83" s="3"/>
      <c r="F83" s="4" t="s">
        <v>37</v>
      </c>
      <c r="G83" s="3">
        <v>0</v>
      </c>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row r="84" spans="1:57" x14ac:dyDescent="0.25">
      <c r="A84" s="1" t="str">
        <f>'Population Definitions'!$A$9</f>
        <v>18-64_females</v>
      </c>
      <c r="C84" t="s">
        <v>32</v>
      </c>
      <c r="D84" s="3"/>
      <c r="E84" s="3"/>
      <c r="F84" s="4" t="s">
        <v>37</v>
      </c>
      <c r="G84" s="3">
        <v>0</v>
      </c>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row>
    <row r="85" spans="1:57" x14ac:dyDescent="0.25">
      <c r="A85" s="1" t="str">
        <f>'Population Definitions'!$A$10</f>
        <v>65+_males</v>
      </c>
      <c r="C85" t="s">
        <v>32</v>
      </c>
      <c r="D85" s="3"/>
      <c r="E85" s="3"/>
      <c r="F85" s="4" t="s">
        <v>37</v>
      </c>
      <c r="G85" s="3">
        <v>0</v>
      </c>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row>
    <row r="86" spans="1:57" x14ac:dyDescent="0.25">
      <c r="A86" s="1" t="str">
        <f>'Population Definitions'!$A$11</f>
        <v>65+_females</v>
      </c>
      <c r="C86" t="s">
        <v>32</v>
      </c>
      <c r="D86" s="3"/>
      <c r="E86" s="3"/>
      <c r="F86" s="4" t="s">
        <v>37</v>
      </c>
      <c r="G86" s="3">
        <v>0</v>
      </c>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row>
    <row r="87" spans="1:57" x14ac:dyDescent="0.25">
      <c r="A87" s="1" t="str">
        <f>'Population Definitions'!$A$12</f>
        <v>Prisoners_males</v>
      </c>
      <c r="C87" t="s">
        <v>32</v>
      </c>
      <c r="D87" s="3"/>
      <c r="E87" s="3"/>
      <c r="F87" s="4" t="s">
        <v>37</v>
      </c>
      <c r="G87" s="3">
        <v>0</v>
      </c>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row>
    <row r="88" spans="1:57" x14ac:dyDescent="0.25">
      <c r="A88" s="1" t="str">
        <f>'Population Definitions'!$A$13</f>
        <v>Prisoners_females</v>
      </c>
      <c r="C88" t="s">
        <v>32</v>
      </c>
      <c r="D88" s="3"/>
      <c r="E88" s="3"/>
      <c r="F88" s="4" t="s">
        <v>37</v>
      </c>
      <c r="G88" s="3">
        <v>0</v>
      </c>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row>
    <row r="89" spans="1:57" x14ac:dyDescent="0.25">
      <c r="A89" s="1" t="s">
        <v>109</v>
      </c>
      <c r="C89" t="s">
        <v>32</v>
      </c>
      <c r="D89" s="3"/>
      <c r="E89" s="3"/>
      <c r="F89" s="4" t="s">
        <v>37</v>
      </c>
      <c r="G89" s="3">
        <v>113800</v>
      </c>
      <c r="H89" s="3"/>
      <c r="I89" s="3"/>
      <c r="J89" s="3"/>
      <c r="K89" s="3"/>
      <c r="L89" s="3"/>
      <c r="M89" s="3"/>
      <c r="N89" s="3"/>
      <c r="O89" s="3"/>
      <c r="P89" s="3"/>
      <c r="Q89" s="3"/>
      <c r="R89" s="3"/>
      <c r="S89" s="3"/>
      <c r="T89" s="3"/>
      <c r="U89" s="3"/>
      <c r="V89" s="3">
        <v>113800</v>
      </c>
      <c r="W89" s="3">
        <v>113800</v>
      </c>
      <c r="X89" s="3">
        <v>152200</v>
      </c>
      <c r="Y89" s="3">
        <v>404400</v>
      </c>
      <c r="Z89" s="3">
        <v>177200</v>
      </c>
      <c r="AA89" s="3">
        <v>163900</v>
      </c>
      <c r="AB89" s="3">
        <v>152000</v>
      </c>
      <c r="AC89" s="3">
        <v>211201</v>
      </c>
      <c r="AD89" s="3">
        <v>125960</v>
      </c>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row>
    <row r="91" spans="1:57" x14ac:dyDescent="0.25">
      <c r="A91" s="1" t="s">
        <v>115</v>
      </c>
      <c r="B91" s="1" t="s">
        <v>29</v>
      </c>
      <c r="C91" s="1" t="s">
        <v>30</v>
      </c>
      <c r="D91" s="1" t="s">
        <v>31</v>
      </c>
      <c r="E91" s="1" t="s">
        <v>36</v>
      </c>
      <c r="F91" s="1"/>
      <c r="G91" s="1">
        <v>2000</v>
      </c>
      <c r="H91" s="1">
        <v>2001</v>
      </c>
      <c r="I91" s="1">
        <v>2002</v>
      </c>
      <c r="J91" s="1">
        <v>2003</v>
      </c>
      <c r="K91" s="1">
        <v>2004</v>
      </c>
      <c r="L91" s="1">
        <v>2005</v>
      </c>
      <c r="M91" s="1">
        <v>2006</v>
      </c>
      <c r="N91" s="1">
        <v>2007</v>
      </c>
      <c r="O91" s="1">
        <v>2008</v>
      </c>
      <c r="P91" s="1">
        <v>2009</v>
      </c>
      <c r="Q91" s="1">
        <v>2010</v>
      </c>
      <c r="R91" s="1">
        <v>2011</v>
      </c>
      <c r="S91" s="1">
        <v>2012</v>
      </c>
      <c r="T91" s="1">
        <v>2013</v>
      </c>
      <c r="U91" s="1">
        <v>2014</v>
      </c>
      <c r="V91" s="1">
        <v>2015</v>
      </c>
      <c r="W91" s="1">
        <v>2016</v>
      </c>
      <c r="X91" s="1">
        <v>2017</v>
      </c>
      <c r="Y91" s="1">
        <v>2018</v>
      </c>
      <c r="Z91" s="1">
        <v>2019</v>
      </c>
      <c r="AA91" s="1">
        <v>2020</v>
      </c>
      <c r="AB91" s="1">
        <v>2021</v>
      </c>
      <c r="AC91" s="1">
        <v>2022</v>
      </c>
      <c r="AD91" s="1">
        <v>2023</v>
      </c>
      <c r="AE91" s="1">
        <v>2024</v>
      </c>
      <c r="AF91" s="1">
        <v>2025</v>
      </c>
      <c r="AG91" s="1">
        <v>2026</v>
      </c>
      <c r="AH91" s="1">
        <v>2027</v>
      </c>
      <c r="AI91" s="1">
        <v>2028</v>
      </c>
      <c r="AJ91" s="1">
        <v>2029</v>
      </c>
      <c r="AK91" s="1">
        <v>2030</v>
      </c>
      <c r="AL91" s="1">
        <v>2031</v>
      </c>
      <c r="AM91" s="1">
        <v>2032</v>
      </c>
      <c r="AN91" s="1">
        <v>2033</v>
      </c>
      <c r="AO91" s="1">
        <v>2034</v>
      </c>
      <c r="AP91" s="1">
        <v>2035</v>
      </c>
      <c r="AQ91" s="1">
        <v>2036</v>
      </c>
      <c r="AR91" s="1">
        <v>2037</v>
      </c>
      <c r="AS91" s="1">
        <v>2038</v>
      </c>
      <c r="AT91" s="1">
        <v>2039</v>
      </c>
      <c r="AU91" s="1">
        <v>2040</v>
      </c>
      <c r="AV91" s="1">
        <v>2041</v>
      </c>
      <c r="AW91" s="1">
        <v>2042</v>
      </c>
      <c r="AX91" s="1">
        <v>2043</v>
      </c>
      <c r="AY91" s="1">
        <v>2044</v>
      </c>
      <c r="AZ91" s="1">
        <v>2045</v>
      </c>
      <c r="BA91" s="1">
        <v>2046</v>
      </c>
      <c r="BB91" s="1">
        <v>2047</v>
      </c>
      <c r="BC91" s="1">
        <v>2048</v>
      </c>
      <c r="BD91" s="1">
        <v>2049</v>
      </c>
      <c r="BE91" s="1">
        <v>2050</v>
      </c>
    </row>
    <row r="92" spans="1:57" x14ac:dyDescent="0.25">
      <c r="A92" s="1" t="str">
        <f>'Population Definitions'!$A$2</f>
        <v>PWID_males</v>
      </c>
      <c r="C92" t="s">
        <v>32</v>
      </c>
      <c r="D92" s="3"/>
      <c r="E92" s="3"/>
      <c r="F92" s="4" t="s">
        <v>37</v>
      </c>
      <c r="G92" s="3">
        <v>0</v>
      </c>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row>
    <row r="93" spans="1:57" x14ac:dyDescent="0.25">
      <c r="A93" s="1" t="str">
        <f>'Population Definitions'!$A$3</f>
        <v>PWID_females</v>
      </c>
      <c r="C93" t="s">
        <v>32</v>
      </c>
      <c r="D93" s="3"/>
      <c r="E93" s="3"/>
      <c r="F93" s="4" t="s">
        <v>37</v>
      </c>
      <c r="G93" s="3">
        <v>0</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row>
    <row r="94" spans="1:57" x14ac:dyDescent="0.25">
      <c r="A94" s="1" t="str">
        <f>'Population Definitions'!$A$4</f>
        <v>0-9_males</v>
      </c>
      <c r="C94" t="s">
        <v>32</v>
      </c>
      <c r="D94" s="3"/>
      <c r="E94" s="3"/>
      <c r="F94" s="4" t="s">
        <v>37</v>
      </c>
      <c r="G94" s="3">
        <v>0</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row>
    <row r="95" spans="1:57" x14ac:dyDescent="0.25">
      <c r="A95" s="1" t="str">
        <f>'Population Definitions'!$A$5</f>
        <v>0-9_females</v>
      </c>
      <c r="C95" t="s">
        <v>32</v>
      </c>
      <c r="D95" s="3"/>
      <c r="E95" s="3"/>
      <c r="F95" s="4" t="s">
        <v>37</v>
      </c>
      <c r="G95" s="3">
        <v>0</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row>
    <row r="96" spans="1:57" x14ac:dyDescent="0.25">
      <c r="A96" s="1" t="str">
        <f>'Population Definitions'!$A$6</f>
        <v>10-17_males</v>
      </c>
      <c r="C96" t="s">
        <v>32</v>
      </c>
      <c r="D96" s="3"/>
      <c r="E96" s="3"/>
      <c r="F96" s="4" t="s">
        <v>37</v>
      </c>
      <c r="G96" s="3">
        <v>0</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row>
    <row r="97" spans="1:57" x14ac:dyDescent="0.25">
      <c r="A97" s="1" t="str">
        <f>'Population Definitions'!$A$7</f>
        <v>10-17_females</v>
      </c>
      <c r="C97" t="s">
        <v>32</v>
      </c>
      <c r="D97" s="3"/>
      <c r="E97" s="3"/>
      <c r="F97" s="4" t="s">
        <v>37</v>
      </c>
      <c r="G97" s="3">
        <v>0</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row>
    <row r="98" spans="1:57" x14ac:dyDescent="0.25">
      <c r="A98" s="1" t="str">
        <f>'Population Definitions'!$A$8</f>
        <v>18-64_males</v>
      </c>
      <c r="C98" t="s">
        <v>32</v>
      </c>
      <c r="D98" s="3"/>
      <c r="E98" s="3"/>
      <c r="F98" s="4" t="s">
        <v>37</v>
      </c>
      <c r="G98" s="3">
        <v>0</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row>
    <row r="99" spans="1:57" x14ac:dyDescent="0.25">
      <c r="A99" s="1" t="str">
        <f>'Population Definitions'!$A$9</f>
        <v>18-64_females</v>
      </c>
      <c r="C99" t="s">
        <v>32</v>
      </c>
      <c r="D99" s="3"/>
      <c r="E99" s="3"/>
      <c r="F99" s="4" t="s">
        <v>37</v>
      </c>
      <c r="G99" s="3">
        <v>0</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row>
    <row r="100" spans="1:57" x14ac:dyDescent="0.25">
      <c r="A100" s="1" t="str">
        <f>'Population Definitions'!$A$10</f>
        <v>65+_males</v>
      </c>
      <c r="C100" t="s">
        <v>32</v>
      </c>
      <c r="D100" s="3"/>
      <c r="E100" s="3"/>
      <c r="F100" s="4" t="s">
        <v>37</v>
      </c>
      <c r="G100" s="3">
        <v>0</v>
      </c>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row>
    <row r="101" spans="1:57" x14ac:dyDescent="0.25">
      <c r="A101" s="1" t="str">
        <f>'Population Definitions'!$A$11</f>
        <v>65+_females</v>
      </c>
      <c r="C101" t="s">
        <v>32</v>
      </c>
      <c r="D101" s="3"/>
      <c r="E101" s="3"/>
      <c r="F101" s="4" t="s">
        <v>37</v>
      </c>
      <c r="G101" s="3">
        <v>0</v>
      </c>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row>
    <row r="102" spans="1:57" x14ac:dyDescent="0.25">
      <c r="A102" s="1" t="str">
        <f>'Population Definitions'!$A$12</f>
        <v>Prisoners_males</v>
      </c>
      <c r="C102" t="s">
        <v>32</v>
      </c>
      <c r="D102" s="3"/>
      <c r="E102" s="3"/>
      <c r="F102" s="4" t="s">
        <v>37</v>
      </c>
      <c r="G102" s="3">
        <v>0</v>
      </c>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row>
    <row r="103" spans="1:57" x14ac:dyDescent="0.25">
      <c r="A103" s="1" t="str">
        <f>'Population Definitions'!$A$13</f>
        <v>Prisoners_females</v>
      </c>
      <c r="C103" t="s">
        <v>32</v>
      </c>
      <c r="D103" s="3"/>
      <c r="E103" s="3"/>
      <c r="F103" s="4" t="s">
        <v>37</v>
      </c>
      <c r="G103" s="3">
        <v>0</v>
      </c>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row>
    <row r="104" spans="1:57" x14ac:dyDescent="0.25">
      <c r="A104" s="1" t="s">
        <v>109</v>
      </c>
      <c r="C104" t="s">
        <v>32</v>
      </c>
      <c r="D104" s="3"/>
      <c r="E104" s="3"/>
      <c r="F104" s="4" t="s">
        <v>37</v>
      </c>
      <c r="G104" s="3">
        <v>0</v>
      </c>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row>
    <row r="106" spans="1:57" x14ac:dyDescent="0.25">
      <c r="A106" s="1" t="s">
        <v>116</v>
      </c>
      <c r="B106" s="1" t="s">
        <v>29</v>
      </c>
      <c r="C106" s="1" t="s">
        <v>30</v>
      </c>
      <c r="D106" s="1" t="s">
        <v>31</v>
      </c>
      <c r="E106" s="1" t="s">
        <v>36</v>
      </c>
      <c r="F106" s="1"/>
      <c r="G106" s="1">
        <v>2000</v>
      </c>
      <c r="H106" s="1">
        <v>2001</v>
      </c>
      <c r="I106" s="1">
        <v>2002</v>
      </c>
      <c r="J106" s="1">
        <v>2003</v>
      </c>
      <c r="K106" s="1">
        <v>2004</v>
      </c>
      <c r="L106" s="1">
        <v>2005</v>
      </c>
      <c r="M106" s="1">
        <v>2006</v>
      </c>
      <c r="N106" s="1">
        <v>2007</v>
      </c>
      <c r="O106" s="1">
        <v>2008</v>
      </c>
      <c r="P106" s="1">
        <v>2009</v>
      </c>
      <c r="Q106" s="1">
        <v>2010</v>
      </c>
      <c r="R106" s="1">
        <v>2011</v>
      </c>
      <c r="S106" s="1">
        <v>2012</v>
      </c>
      <c r="T106" s="1">
        <v>2013</v>
      </c>
      <c r="U106" s="1">
        <v>2014</v>
      </c>
      <c r="V106" s="1">
        <v>2015</v>
      </c>
      <c r="W106" s="1">
        <v>2016</v>
      </c>
      <c r="X106" s="1">
        <v>2017</v>
      </c>
      <c r="Y106" s="1">
        <v>2018</v>
      </c>
      <c r="Z106" s="1">
        <v>2019</v>
      </c>
      <c r="AA106" s="1">
        <v>2020</v>
      </c>
      <c r="AB106" s="1">
        <v>2021</v>
      </c>
      <c r="AC106" s="1">
        <v>2022</v>
      </c>
      <c r="AD106" s="1">
        <v>2023</v>
      </c>
      <c r="AE106" s="1">
        <v>2024</v>
      </c>
      <c r="AF106" s="1">
        <v>2025</v>
      </c>
      <c r="AG106" s="1">
        <v>2026</v>
      </c>
      <c r="AH106" s="1">
        <v>2027</v>
      </c>
      <c r="AI106" s="1">
        <v>2028</v>
      </c>
      <c r="AJ106" s="1">
        <v>2029</v>
      </c>
      <c r="AK106" s="1">
        <v>2030</v>
      </c>
      <c r="AL106" s="1">
        <v>2031</v>
      </c>
      <c r="AM106" s="1">
        <v>2032</v>
      </c>
      <c r="AN106" s="1">
        <v>2033</v>
      </c>
      <c r="AO106" s="1">
        <v>2034</v>
      </c>
      <c r="AP106" s="1">
        <v>2035</v>
      </c>
      <c r="AQ106" s="1">
        <v>2036</v>
      </c>
      <c r="AR106" s="1">
        <v>2037</v>
      </c>
      <c r="AS106" s="1">
        <v>2038</v>
      </c>
      <c r="AT106" s="1">
        <v>2039</v>
      </c>
      <c r="AU106" s="1">
        <v>2040</v>
      </c>
      <c r="AV106" s="1">
        <v>2041</v>
      </c>
      <c r="AW106" s="1">
        <v>2042</v>
      </c>
      <c r="AX106" s="1">
        <v>2043</v>
      </c>
      <c r="AY106" s="1">
        <v>2044</v>
      </c>
      <c r="AZ106" s="1">
        <v>2045</v>
      </c>
      <c r="BA106" s="1">
        <v>2046</v>
      </c>
      <c r="BB106" s="1">
        <v>2047</v>
      </c>
      <c r="BC106" s="1">
        <v>2048</v>
      </c>
      <c r="BD106" s="1">
        <v>2049</v>
      </c>
      <c r="BE106" s="1">
        <v>2050</v>
      </c>
    </row>
    <row r="107" spans="1:57" x14ac:dyDescent="0.25">
      <c r="A107" s="1" t="str">
        <f>'Population Definitions'!$A$2</f>
        <v>PWID_males</v>
      </c>
      <c r="C107" t="s">
        <v>32</v>
      </c>
      <c r="D107" s="3"/>
      <c r="E107" s="3"/>
      <c r="F107" s="4" t="s">
        <v>37</v>
      </c>
      <c r="G107" s="3">
        <v>0</v>
      </c>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row>
    <row r="108" spans="1:57" x14ac:dyDescent="0.25">
      <c r="A108" s="1" t="str">
        <f>'Population Definitions'!$A$3</f>
        <v>PWID_females</v>
      </c>
      <c r="C108" t="s">
        <v>32</v>
      </c>
      <c r="D108" s="3"/>
      <c r="E108" s="3"/>
      <c r="F108" s="4" t="s">
        <v>37</v>
      </c>
      <c r="G108" s="3">
        <v>0</v>
      </c>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row>
    <row r="109" spans="1:57" x14ac:dyDescent="0.25">
      <c r="A109" s="1" t="str">
        <f>'Population Definitions'!$A$4</f>
        <v>0-9_males</v>
      </c>
      <c r="C109" t="s">
        <v>32</v>
      </c>
      <c r="D109" s="3"/>
      <c r="E109" s="3"/>
      <c r="F109" s="4" t="s">
        <v>37</v>
      </c>
      <c r="G109" s="3">
        <v>0</v>
      </c>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row>
    <row r="110" spans="1:57" x14ac:dyDescent="0.25">
      <c r="A110" s="1" t="str">
        <f>'Population Definitions'!$A$5</f>
        <v>0-9_females</v>
      </c>
      <c r="C110" t="s">
        <v>32</v>
      </c>
      <c r="D110" s="3"/>
      <c r="E110" s="3"/>
      <c r="F110" s="4" t="s">
        <v>37</v>
      </c>
      <c r="G110" s="3">
        <v>0</v>
      </c>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row>
    <row r="111" spans="1:57" x14ac:dyDescent="0.25">
      <c r="A111" s="1" t="str">
        <f>'Population Definitions'!$A$6</f>
        <v>10-17_males</v>
      </c>
      <c r="C111" t="s">
        <v>32</v>
      </c>
      <c r="D111" s="3"/>
      <c r="E111" s="3"/>
      <c r="F111" s="4" t="s">
        <v>37</v>
      </c>
      <c r="G111" s="3">
        <v>0</v>
      </c>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row>
    <row r="112" spans="1:57" x14ac:dyDescent="0.25">
      <c r="A112" s="1" t="str">
        <f>'Population Definitions'!$A$7</f>
        <v>10-17_females</v>
      </c>
      <c r="C112" t="s">
        <v>32</v>
      </c>
      <c r="D112" s="3"/>
      <c r="E112" s="3"/>
      <c r="F112" s="4" t="s">
        <v>37</v>
      </c>
      <c r="G112" s="3">
        <v>0</v>
      </c>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row>
    <row r="113" spans="1:57" x14ac:dyDescent="0.25">
      <c r="A113" s="1" t="str">
        <f>'Population Definitions'!$A$8</f>
        <v>18-64_males</v>
      </c>
      <c r="C113" t="s">
        <v>32</v>
      </c>
      <c r="D113" s="3"/>
      <c r="E113" s="3"/>
      <c r="F113" s="4" t="s">
        <v>37</v>
      </c>
      <c r="G113" s="3">
        <v>0</v>
      </c>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row>
    <row r="114" spans="1:57" x14ac:dyDescent="0.25">
      <c r="A114" s="1" t="str">
        <f>'Population Definitions'!$A$9</f>
        <v>18-64_females</v>
      </c>
      <c r="C114" t="s">
        <v>32</v>
      </c>
      <c r="D114" s="3"/>
      <c r="E114" s="3"/>
      <c r="F114" s="4" t="s">
        <v>37</v>
      </c>
      <c r="G114" s="3">
        <v>0</v>
      </c>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row>
    <row r="115" spans="1:57" x14ac:dyDescent="0.25">
      <c r="A115" s="1" t="str">
        <f>'Population Definitions'!$A$10</f>
        <v>65+_males</v>
      </c>
      <c r="C115" t="s">
        <v>32</v>
      </c>
      <c r="D115" s="3"/>
      <c r="E115" s="3"/>
      <c r="F115" s="4" t="s">
        <v>37</v>
      </c>
      <c r="G115" s="3">
        <v>0</v>
      </c>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row>
    <row r="116" spans="1:57" x14ac:dyDescent="0.25">
      <c r="A116" s="1" t="str">
        <f>'Population Definitions'!$A$11</f>
        <v>65+_females</v>
      </c>
      <c r="C116" t="s">
        <v>32</v>
      </c>
      <c r="D116" s="3"/>
      <c r="E116" s="3"/>
      <c r="F116" s="4" t="s">
        <v>37</v>
      </c>
      <c r="G116" s="3">
        <v>0</v>
      </c>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row>
    <row r="117" spans="1:57" x14ac:dyDescent="0.25">
      <c r="A117" s="1" t="str">
        <f>'Population Definitions'!$A$12</f>
        <v>Prisoners_males</v>
      </c>
      <c r="C117" t="s">
        <v>32</v>
      </c>
      <c r="D117" s="3"/>
      <c r="E117" s="3"/>
      <c r="F117" s="4" t="s">
        <v>37</v>
      </c>
      <c r="G117" s="3">
        <v>0</v>
      </c>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row>
    <row r="118" spans="1:57" x14ac:dyDescent="0.25">
      <c r="A118" s="1" t="str">
        <f>'Population Definitions'!$A$13</f>
        <v>Prisoners_females</v>
      </c>
      <c r="C118" t="s">
        <v>32</v>
      </c>
      <c r="D118" s="3"/>
      <c r="E118" s="3"/>
      <c r="F118" s="4" t="s">
        <v>37</v>
      </c>
      <c r="G118" s="3">
        <v>0</v>
      </c>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row>
    <row r="119" spans="1:57" x14ac:dyDescent="0.25">
      <c r="A119" s="1" t="s">
        <v>109</v>
      </c>
      <c r="C119" t="s">
        <v>32</v>
      </c>
      <c r="D119" s="3"/>
      <c r="E119" s="3"/>
      <c r="F119" s="4" t="s">
        <v>37</v>
      </c>
      <c r="G119" s="3">
        <v>0</v>
      </c>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row>
    <row r="121" spans="1:57" x14ac:dyDescent="0.25">
      <c r="A121" s="1" t="s">
        <v>117</v>
      </c>
      <c r="B121" s="1" t="s">
        <v>29</v>
      </c>
      <c r="C121" s="1" t="s">
        <v>30</v>
      </c>
      <c r="D121" s="1" t="s">
        <v>31</v>
      </c>
      <c r="E121" s="1" t="s">
        <v>36</v>
      </c>
      <c r="F121" s="1"/>
      <c r="G121" s="1">
        <v>2000</v>
      </c>
      <c r="H121" s="1">
        <v>2001</v>
      </c>
      <c r="I121" s="1">
        <v>2002</v>
      </c>
      <c r="J121" s="1">
        <v>2003</v>
      </c>
      <c r="K121" s="1">
        <v>2004</v>
      </c>
      <c r="L121" s="1">
        <v>2005</v>
      </c>
      <c r="M121" s="1">
        <v>2006</v>
      </c>
      <c r="N121" s="1">
        <v>2007</v>
      </c>
      <c r="O121" s="1">
        <v>2008</v>
      </c>
      <c r="P121" s="1">
        <v>2009</v>
      </c>
      <c r="Q121" s="1">
        <v>2010</v>
      </c>
      <c r="R121" s="1">
        <v>2011</v>
      </c>
      <c r="S121" s="1">
        <v>2012</v>
      </c>
      <c r="T121" s="1">
        <v>2013</v>
      </c>
      <c r="U121" s="1">
        <v>2014</v>
      </c>
      <c r="V121" s="1">
        <v>2015</v>
      </c>
      <c r="W121" s="1">
        <v>2016</v>
      </c>
      <c r="X121" s="1">
        <v>2017</v>
      </c>
      <c r="Y121" s="1">
        <v>2018</v>
      </c>
      <c r="Z121" s="1">
        <v>2019</v>
      </c>
      <c r="AA121" s="1">
        <v>2020</v>
      </c>
      <c r="AB121" s="1">
        <v>2021</v>
      </c>
      <c r="AC121" s="1">
        <v>2022</v>
      </c>
      <c r="AD121" s="1">
        <v>2023</v>
      </c>
      <c r="AE121" s="1">
        <v>2024</v>
      </c>
      <c r="AF121" s="1">
        <v>2025</v>
      </c>
      <c r="AG121" s="1">
        <v>2026</v>
      </c>
      <c r="AH121" s="1">
        <v>2027</v>
      </c>
      <c r="AI121" s="1">
        <v>2028</v>
      </c>
      <c r="AJ121" s="1">
        <v>2029</v>
      </c>
      <c r="AK121" s="1">
        <v>2030</v>
      </c>
      <c r="AL121" s="1">
        <v>2031</v>
      </c>
      <c r="AM121" s="1">
        <v>2032</v>
      </c>
      <c r="AN121" s="1">
        <v>2033</v>
      </c>
      <c r="AO121" s="1">
        <v>2034</v>
      </c>
      <c r="AP121" s="1">
        <v>2035</v>
      </c>
      <c r="AQ121" s="1">
        <v>2036</v>
      </c>
      <c r="AR121" s="1">
        <v>2037</v>
      </c>
      <c r="AS121" s="1">
        <v>2038</v>
      </c>
      <c r="AT121" s="1">
        <v>2039</v>
      </c>
      <c r="AU121" s="1">
        <v>2040</v>
      </c>
      <c r="AV121" s="1">
        <v>2041</v>
      </c>
      <c r="AW121" s="1">
        <v>2042</v>
      </c>
      <c r="AX121" s="1">
        <v>2043</v>
      </c>
      <c r="AY121" s="1">
        <v>2044</v>
      </c>
      <c r="AZ121" s="1">
        <v>2045</v>
      </c>
      <c r="BA121" s="1">
        <v>2046</v>
      </c>
      <c r="BB121" s="1">
        <v>2047</v>
      </c>
      <c r="BC121" s="1">
        <v>2048</v>
      </c>
      <c r="BD121" s="1">
        <v>2049</v>
      </c>
      <c r="BE121" s="1">
        <v>2050</v>
      </c>
    </row>
    <row r="122" spans="1:57" x14ac:dyDescent="0.25">
      <c r="A122" s="1" t="str">
        <f>'Population Definitions'!$A$2</f>
        <v>PWID_males</v>
      </c>
      <c r="C122" t="s">
        <v>32</v>
      </c>
      <c r="D122" s="3"/>
      <c r="E122" s="3"/>
      <c r="F122" s="4" t="s">
        <v>37</v>
      </c>
      <c r="G122" s="3">
        <v>0</v>
      </c>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row>
    <row r="123" spans="1:57" x14ac:dyDescent="0.25">
      <c r="A123" s="1" t="str">
        <f>'Population Definitions'!$A$3</f>
        <v>PWID_females</v>
      </c>
      <c r="C123" t="s">
        <v>32</v>
      </c>
      <c r="D123" s="3"/>
      <c r="E123" s="3"/>
      <c r="F123" s="4" t="s">
        <v>37</v>
      </c>
      <c r="G123" s="3">
        <v>0</v>
      </c>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row>
    <row r="124" spans="1:57" x14ac:dyDescent="0.25">
      <c r="A124" s="1" t="str">
        <f>'Population Definitions'!$A$4</f>
        <v>0-9_males</v>
      </c>
      <c r="C124" t="s">
        <v>32</v>
      </c>
      <c r="D124" s="3"/>
      <c r="E124" s="3"/>
      <c r="F124" s="4" t="s">
        <v>37</v>
      </c>
      <c r="G124" s="3">
        <v>0</v>
      </c>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row>
    <row r="125" spans="1:57" x14ac:dyDescent="0.25">
      <c r="A125" s="1" t="str">
        <f>'Population Definitions'!$A$5</f>
        <v>0-9_females</v>
      </c>
      <c r="C125" t="s">
        <v>32</v>
      </c>
      <c r="D125" s="3"/>
      <c r="E125" s="3"/>
      <c r="F125" s="4" t="s">
        <v>37</v>
      </c>
      <c r="G125" s="3">
        <v>0</v>
      </c>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row>
    <row r="126" spans="1:57" x14ac:dyDescent="0.25">
      <c r="A126" s="1" t="str">
        <f>'Population Definitions'!$A$6</f>
        <v>10-17_males</v>
      </c>
      <c r="C126" t="s">
        <v>32</v>
      </c>
      <c r="D126" s="3"/>
      <c r="E126" s="3"/>
      <c r="F126" s="4" t="s">
        <v>37</v>
      </c>
      <c r="G126" s="3">
        <v>0</v>
      </c>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row>
    <row r="127" spans="1:57" x14ac:dyDescent="0.25">
      <c r="A127" s="1" t="str">
        <f>'Population Definitions'!$A$7</f>
        <v>10-17_females</v>
      </c>
      <c r="C127" t="s">
        <v>32</v>
      </c>
      <c r="D127" s="3"/>
      <c r="E127" s="3"/>
      <c r="F127" s="4" t="s">
        <v>37</v>
      </c>
      <c r="G127" s="3">
        <v>0</v>
      </c>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row>
    <row r="128" spans="1:57" x14ac:dyDescent="0.25">
      <c r="A128" s="1" t="str">
        <f>'Population Definitions'!$A$8</f>
        <v>18-64_males</v>
      </c>
      <c r="C128" t="s">
        <v>32</v>
      </c>
      <c r="D128" s="3"/>
      <c r="E128" s="3"/>
      <c r="F128" s="4" t="s">
        <v>37</v>
      </c>
      <c r="G128" s="3">
        <v>0</v>
      </c>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row>
    <row r="129" spans="1:57" x14ac:dyDescent="0.25">
      <c r="A129" s="1" t="str">
        <f>'Population Definitions'!$A$9</f>
        <v>18-64_females</v>
      </c>
      <c r="C129" t="s">
        <v>32</v>
      </c>
      <c r="D129" s="3"/>
      <c r="E129" s="3"/>
      <c r="F129" s="4" t="s">
        <v>37</v>
      </c>
      <c r="G129" s="3">
        <v>0</v>
      </c>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row>
    <row r="130" spans="1:57" x14ac:dyDescent="0.25">
      <c r="A130" s="1" t="str">
        <f>'Population Definitions'!$A$10</f>
        <v>65+_males</v>
      </c>
      <c r="C130" t="s">
        <v>32</v>
      </c>
      <c r="D130" s="3"/>
      <c r="E130" s="3"/>
      <c r="F130" s="4" t="s">
        <v>37</v>
      </c>
      <c r="G130" s="3">
        <v>0</v>
      </c>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row>
    <row r="131" spans="1:57" x14ac:dyDescent="0.25">
      <c r="A131" s="1" t="str">
        <f>'Population Definitions'!$A$11</f>
        <v>65+_females</v>
      </c>
      <c r="C131" t="s">
        <v>32</v>
      </c>
      <c r="D131" s="3"/>
      <c r="E131" s="3"/>
      <c r="F131" s="4" t="s">
        <v>37</v>
      </c>
      <c r="G131" s="3">
        <v>0</v>
      </c>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row>
    <row r="132" spans="1:57" x14ac:dyDescent="0.25">
      <c r="A132" s="1" t="str">
        <f>'Population Definitions'!$A$12</f>
        <v>Prisoners_males</v>
      </c>
      <c r="C132" t="s">
        <v>32</v>
      </c>
      <c r="D132" s="3"/>
      <c r="E132" s="3"/>
      <c r="F132" s="4" t="s">
        <v>37</v>
      </c>
      <c r="G132" s="3">
        <v>0</v>
      </c>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row>
    <row r="133" spans="1:57" x14ac:dyDescent="0.25">
      <c r="A133" s="1" t="str">
        <f>'Population Definitions'!$A$13</f>
        <v>Prisoners_females</v>
      </c>
      <c r="C133" t="s">
        <v>32</v>
      </c>
      <c r="D133" s="3"/>
      <c r="E133" s="3"/>
      <c r="F133" s="4" t="s">
        <v>37</v>
      </c>
      <c r="G133" s="3">
        <v>0</v>
      </c>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row>
    <row r="134" spans="1:57" x14ac:dyDescent="0.25">
      <c r="A134" s="1" t="s">
        <v>109</v>
      </c>
      <c r="C134" t="s">
        <v>32</v>
      </c>
      <c r="D134" s="3"/>
      <c r="E134" s="3"/>
      <c r="F134" s="4" t="s">
        <v>37</v>
      </c>
      <c r="G134" s="3">
        <v>315204</v>
      </c>
      <c r="H134" s="3"/>
      <c r="I134" s="3"/>
      <c r="J134" s="3"/>
      <c r="K134" s="3"/>
      <c r="L134" s="3"/>
      <c r="M134" s="3"/>
      <c r="N134" s="3"/>
      <c r="O134" s="3"/>
      <c r="P134" s="3"/>
      <c r="Q134" s="3"/>
      <c r="R134" s="3"/>
      <c r="S134" s="3"/>
      <c r="T134" s="3"/>
      <c r="U134" s="3"/>
      <c r="V134" s="3"/>
      <c r="W134" s="3"/>
      <c r="X134" s="3">
        <v>493568</v>
      </c>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row>
    <row r="136" spans="1:57" x14ac:dyDescent="0.25">
      <c r="A136" s="1" t="s">
        <v>118</v>
      </c>
      <c r="B136" s="1" t="s">
        <v>29</v>
      </c>
      <c r="C136" s="1" t="s">
        <v>30</v>
      </c>
      <c r="D136" s="1" t="s">
        <v>31</v>
      </c>
      <c r="E136" s="1" t="s">
        <v>36</v>
      </c>
      <c r="F136" s="1"/>
      <c r="G136" s="1">
        <v>2000</v>
      </c>
      <c r="H136" s="1">
        <v>2001</v>
      </c>
      <c r="I136" s="1">
        <v>2002</v>
      </c>
      <c r="J136" s="1">
        <v>2003</v>
      </c>
      <c r="K136" s="1">
        <v>2004</v>
      </c>
      <c r="L136" s="1">
        <v>2005</v>
      </c>
      <c r="M136" s="1">
        <v>2006</v>
      </c>
      <c r="N136" s="1">
        <v>2007</v>
      </c>
      <c r="O136" s="1">
        <v>2008</v>
      </c>
      <c r="P136" s="1">
        <v>2009</v>
      </c>
      <c r="Q136" s="1">
        <v>2010</v>
      </c>
      <c r="R136" s="1">
        <v>2011</v>
      </c>
      <c r="S136" s="1">
        <v>2012</v>
      </c>
      <c r="T136" s="1">
        <v>2013</v>
      </c>
      <c r="U136" s="1">
        <v>2014</v>
      </c>
      <c r="V136" s="1">
        <v>2015</v>
      </c>
      <c r="W136" s="1">
        <v>2016</v>
      </c>
      <c r="X136" s="1">
        <v>2017</v>
      </c>
      <c r="Y136" s="1">
        <v>2018</v>
      </c>
      <c r="Z136" s="1">
        <v>2019</v>
      </c>
      <c r="AA136" s="1">
        <v>2020</v>
      </c>
      <c r="AB136" s="1">
        <v>2021</v>
      </c>
      <c r="AC136" s="1">
        <v>2022</v>
      </c>
      <c r="AD136" s="1">
        <v>2023</v>
      </c>
      <c r="AE136" s="1">
        <v>2024</v>
      </c>
      <c r="AF136" s="1">
        <v>2025</v>
      </c>
      <c r="AG136" s="1">
        <v>2026</v>
      </c>
      <c r="AH136" s="1">
        <v>2027</v>
      </c>
      <c r="AI136" s="1">
        <v>2028</v>
      </c>
      <c r="AJ136" s="1">
        <v>2029</v>
      </c>
      <c r="AK136" s="1">
        <v>2030</v>
      </c>
      <c r="AL136" s="1">
        <v>2031</v>
      </c>
      <c r="AM136" s="1">
        <v>2032</v>
      </c>
      <c r="AN136" s="1">
        <v>2033</v>
      </c>
      <c r="AO136" s="1">
        <v>2034</v>
      </c>
      <c r="AP136" s="1">
        <v>2035</v>
      </c>
      <c r="AQ136" s="1">
        <v>2036</v>
      </c>
      <c r="AR136" s="1">
        <v>2037</v>
      </c>
      <c r="AS136" s="1">
        <v>2038</v>
      </c>
      <c r="AT136" s="1">
        <v>2039</v>
      </c>
      <c r="AU136" s="1">
        <v>2040</v>
      </c>
      <c r="AV136" s="1">
        <v>2041</v>
      </c>
      <c r="AW136" s="1">
        <v>2042</v>
      </c>
      <c r="AX136" s="1">
        <v>2043</v>
      </c>
      <c r="AY136" s="1">
        <v>2044</v>
      </c>
      <c r="AZ136" s="1">
        <v>2045</v>
      </c>
      <c r="BA136" s="1">
        <v>2046</v>
      </c>
      <c r="BB136" s="1">
        <v>2047</v>
      </c>
      <c r="BC136" s="1">
        <v>2048</v>
      </c>
      <c r="BD136" s="1">
        <v>2049</v>
      </c>
      <c r="BE136" s="1">
        <v>2050</v>
      </c>
    </row>
    <row r="137" spans="1:57" x14ac:dyDescent="0.25">
      <c r="A137" s="1" t="str">
        <f>'Population Definitions'!$A$2</f>
        <v>PWID_males</v>
      </c>
      <c r="C137" t="s">
        <v>32</v>
      </c>
      <c r="D137" s="3"/>
      <c r="E137" s="3"/>
      <c r="F137" s="4" t="s">
        <v>37</v>
      </c>
      <c r="G137" s="3">
        <v>0</v>
      </c>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row>
    <row r="138" spans="1:57" x14ac:dyDescent="0.25">
      <c r="A138" s="1" t="str">
        <f>'Population Definitions'!$A$3</f>
        <v>PWID_females</v>
      </c>
      <c r="C138" t="s">
        <v>32</v>
      </c>
      <c r="D138" s="3"/>
      <c r="E138" s="3"/>
      <c r="F138" s="4" t="s">
        <v>37</v>
      </c>
      <c r="G138" s="3">
        <v>0</v>
      </c>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row>
    <row r="139" spans="1:57" x14ac:dyDescent="0.25">
      <c r="A139" s="1" t="str">
        <f>'Population Definitions'!$A$4</f>
        <v>0-9_males</v>
      </c>
      <c r="C139" t="s">
        <v>32</v>
      </c>
      <c r="D139" s="3"/>
      <c r="E139" s="3"/>
      <c r="F139" s="4" t="s">
        <v>37</v>
      </c>
      <c r="G139" s="3">
        <v>0</v>
      </c>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row>
    <row r="140" spans="1:57" x14ac:dyDescent="0.25">
      <c r="A140" s="1" t="str">
        <f>'Population Definitions'!$A$5</f>
        <v>0-9_females</v>
      </c>
      <c r="C140" t="s">
        <v>32</v>
      </c>
      <c r="D140" s="3"/>
      <c r="E140" s="3"/>
      <c r="F140" s="4" t="s">
        <v>37</v>
      </c>
      <c r="G140" s="3">
        <v>0</v>
      </c>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row>
    <row r="141" spans="1:57" x14ac:dyDescent="0.25">
      <c r="A141" s="1" t="str">
        <f>'Population Definitions'!$A$6</f>
        <v>10-17_males</v>
      </c>
      <c r="C141" t="s">
        <v>32</v>
      </c>
      <c r="D141" s="3"/>
      <c r="E141" s="3"/>
      <c r="F141" s="4" t="s">
        <v>37</v>
      </c>
      <c r="G141" s="3">
        <v>0</v>
      </c>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row>
    <row r="142" spans="1:57" x14ac:dyDescent="0.25">
      <c r="A142" s="1" t="str">
        <f>'Population Definitions'!$A$7</f>
        <v>10-17_females</v>
      </c>
      <c r="C142" t="s">
        <v>32</v>
      </c>
      <c r="D142" s="3"/>
      <c r="E142" s="3"/>
      <c r="F142" s="4" t="s">
        <v>37</v>
      </c>
      <c r="G142" s="3">
        <v>0</v>
      </c>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row>
    <row r="143" spans="1:57" x14ac:dyDescent="0.25">
      <c r="A143" s="1" t="str">
        <f>'Population Definitions'!$A$8</f>
        <v>18-64_males</v>
      </c>
      <c r="C143" t="s">
        <v>32</v>
      </c>
      <c r="D143" s="3"/>
      <c r="E143" s="3"/>
      <c r="F143" s="4" t="s">
        <v>37</v>
      </c>
      <c r="G143" s="3">
        <v>0</v>
      </c>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row>
    <row r="144" spans="1:57" x14ac:dyDescent="0.25">
      <c r="A144" s="1" t="str">
        <f>'Population Definitions'!$A$9</f>
        <v>18-64_females</v>
      </c>
      <c r="C144" t="s">
        <v>32</v>
      </c>
      <c r="D144" s="3"/>
      <c r="E144" s="3"/>
      <c r="F144" s="4" t="s">
        <v>37</v>
      </c>
      <c r="G144" s="3">
        <v>0</v>
      </c>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row>
    <row r="145" spans="1:57" x14ac:dyDescent="0.25">
      <c r="A145" s="1" t="str">
        <f>'Population Definitions'!$A$10</f>
        <v>65+_males</v>
      </c>
      <c r="C145" t="s">
        <v>32</v>
      </c>
      <c r="D145" s="3"/>
      <c r="E145" s="3"/>
      <c r="F145" s="4" t="s">
        <v>37</v>
      </c>
      <c r="G145" s="3">
        <v>0</v>
      </c>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row>
    <row r="146" spans="1:57" x14ac:dyDescent="0.25">
      <c r="A146" s="1" t="str">
        <f>'Population Definitions'!$A$11</f>
        <v>65+_females</v>
      </c>
      <c r="C146" t="s">
        <v>32</v>
      </c>
      <c r="D146" s="3"/>
      <c r="E146" s="3"/>
      <c r="F146" s="4" t="s">
        <v>37</v>
      </c>
      <c r="G146" s="3">
        <v>0</v>
      </c>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row>
    <row r="147" spans="1:57" x14ac:dyDescent="0.25">
      <c r="A147" s="1" t="str">
        <f>'Population Definitions'!$A$12</f>
        <v>Prisoners_males</v>
      </c>
      <c r="C147" t="s">
        <v>32</v>
      </c>
      <c r="D147" s="3"/>
      <c r="E147" s="3"/>
      <c r="F147" s="4" t="s">
        <v>37</v>
      </c>
      <c r="G147" s="3">
        <v>0</v>
      </c>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row>
    <row r="148" spans="1:57" x14ac:dyDescent="0.25">
      <c r="A148" s="1" t="str">
        <f>'Population Definitions'!$A$13</f>
        <v>Prisoners_females</v>
      </c>
      <c r="C148" t="s">
        <v>32</v>
      </c>
      <c r="D148" s="3"/>
      <c r="E148" s="3"/>
      <c r="F148" s="4" t="s">
        <v>37</v>
      </c>
      <c r="G148" s="3">
        <v>0</v>
      </c>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row>
    <row r="149" spans="1:57" x14ac:dyDescent="0.25">
      <c r="A149" s="1" t="s">
        <v>109</v>
      </c>
      <c r="C149" t="s">
        <v>32</v>
      </c>
      <c r="D149" s="3"/>
      <c r="E149" s="3"/>
      <c r="F149" s="4" t="s">
        <v>37</v>
      </c>
      <c r="G149" s="3">
        <v>21409.85185185185</v>
      </c>
      <c r="H149" s="3"/>
      <c r="I149" s="3"/>
      <c r="J149" s="3"/>
      <c r="K149" s="3"/>
      <c r="L149" s="3"/>
      <c r="M149" s="3"/>
      <c r="N149" s="3"/>
      <c r="O149" s="3"/>
      <c r="P149" s="3"/>
      <c r="Q149" s="3"/>
      <c r="R149" s="3"/>
      <c r="S149" s="3"/>
      <c r="T149" s="3"/>
      <c r="U149" s="3"/>
      <c r="V149" s="3"/>
      <c r="W149" s="3"/>
      <c r="X149" s="3">
        <v>34520</v>
      </c>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row>
    <row r="151" spans="1:57" x14ac:dyDescent="0.25">
      <c r="A151" s="1" t="s">
        <v>119</v>
      </c>
      <c r="B151" s="1" t="s">
        <v>29</v>
      </c>
      <c r="C151" s="1" t="s">
        <v>30</v>
      </c>
      <c r="D151" s="1" t="s">
        <v>31</v>
      </c>
      <c r="E151" s="1" t="s">
        <v>36</v>
      </c>
      <c r="F151" s="1"/>
      <c r="G151" s="1">
        <v>2000</v>
      </c>
      <c r="H151" s="1">
        <v>2001</v>
      </c>
      <c r="I151" s="1">
        <v>2002</v>
      </c>
      <c r="J151" s="1">
        <v>2003</v>
      </c>
      <c r="K151" s="1">
        <v>2004</v>
      </c>
      <c r="L151" s="1">
        <v>2005</v>
      </c>
      <c r="M151" s="1">
        <v>2006</v>
      </c>
      <c r="N151" s="1">
        <v>2007</v>
      </c>
      <c r="O151" s="1">
        <v>2008</v>
      </c>
      <c r="P151" s="1">
        <v>2009</v>
      </c>
      <c r="Q151" s="1">
        <v>2010</v>
      </c>
      <c r="R151" s="1">
        <v>2011</v>
      </c>
      <c r="S151" s="1">
        <v>2012</v>
      </c>
      <c r="T151" s="1">
        <v>2013</v>
      </c>
      <c r="U151" s="1">
        <v>2014</v>
      </c>
      <c r="V151" s="1">
        <v>2015</v>
      </c>
      <c r="W151" s="1">
        <v>2016</v>
      </c>
      <c r="X151" s="1">
        <v>2017</v>
      </c>
      <c r="Y151" s="1">
        <v>2018</v>
      </c>
      <c r="Z151" s="1">
        <v>2019</v>
      </c>
      <c r="AA151" s="1">
        <v>2020</v>
      </c>
      <c r="AB151" s="1">
        <v>2021</v>
      </c>
      <c r="AC151" s="1">
        <v>2022</v>
      </c>
      <c r="AD151" s="1">
        <v>2023</v>
      </c>
      <c r="AE151" s="1">
        <v>2024</v>
      </c>
      <c r="AF151" s="1">
        <v>2025</v>
      </c>
      <c r="AG151" s="1">
        <v>2026</v>
      </c>
      <c r="AH151" s="1">
        <v>2027</v>
      </c>
      <c r="AI151" s="1">
        <v>2028</v>
      </c>
      <c r="AJ151" s="1">
        <v>2029</v>
      </c>
      <c r="AK151" s="1">
        <v>2030</v>
      </c>
      <c r="AL151" s="1">
        <v>2031</v>
      </c>
      <c r="AM151" s="1">
        <v>2032</v>
      </c>
      <c r="AN151" s="1">
        <v>2033</v>
      </c>
      <c r="AO151" s="1">
        <v>2034</v>
      </c>
      <c r="AP151" s="1">
        <v>2035</v>
      </c>
      <c r="AQ151" s="1">
        <v>2036</v>
      </c>
      <c r="AR151" s="1">
        <v>2037</v>
      </c>
      <c r="AS151" s="1">
        <v>2038</v>
      </c>
      <c r="AT151" s="1">
        <v>2039</v>
      </c>
      <c r="AU151" s="1">
        <v>2040</v>
      </c>
      <c r="AV151" s="1">
        <v>2041</v>
      </c>
      <c r="AW151" s="1">
        <v>2042</v>
      </c>
      <c r="AX151" s="1">
        <v>2043</v>
      </c>
      <c r="AY151" s="1">
        <v>2044</v>
      </c>
      <c r="AZ151" s="1">
        <v>2045</v>
      </c>
      <c r="BA151" s="1">
        <v>2046</v>
      </c>
      <c r="BB151" s="1">
        <v>2047</v>
      </c>
      <c r="BC151" s="1">
        <v>2048</v>
      </c>
      <c r="BD151" s="1">
        <v>2049</v>
      </c>
      <c r="BE151" s="1">
        <v>2050</v>
      </c>
    </row>
    <row r="152" spans="1:57" x14ac:dyDescent="0.25">
      <c r="A152" s="1" t="str">
        <f>'Population Definitions'!$A$2</f>
        <v>PWID_males</v>
      </c>
      <c r="C152" t="s">
        <v>32</v>
      </c>
      <c r="D152" s="3"/>
      <c r="E152" s="3"/>
      <c r="F152" s="4" t="s">
        <v>37</v>
      </c>
      <c r="G152" s="3">
        <v>0</v>
      </c>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row>
    <row r="153" spans="1:57" x14ac:dyDescent="0.25">
      <c r="A153" s="1" t="str">
        <f>'Population Definitions'!$A$3</f>
        <v>PWID_females</v>
      </c>
      <c r="C153" t="s">
        <v>32</v>
      </c>
      <c r="D153" s="3"/>
      <c r="E153" s="3"/>
      <c r="F153" s="4" t="s">
        <v>37</v>
      </c>
      <c r="G153" s="3">
        <v>0</v>
      </c>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row>
    <row r="154" spans="1:57" x14ac:dyDescent="0.25">
      <c r="A154" s="1" t="str">
        <f>'Population Definitions'!$A$4</f>
        <v>0-9_males</v>
      </c>
      <c r="C154" t="s">
        <v>32</v>
      </c>
      <c r="D154" s="3"/>
      <c r="E154" s="3"/>
      <c r="F154" s="4" t="s">
        <v>37</v>
      </c>
      <c r="G154" s="3">
        <v>0</v>
      </c>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row>
    <row r="155" spans="1:57" x14ac:dyDescent="0.25">
      <c r="A155" s="1" t="str">
        <f>'Population Definitions'!$A$5</f>
        <v>0-9_females</v>
      </c>
      <c r="C155" t="s">
        <v>32</v>
      </c>
      <c r="D155" s="3"/>
      <c r="E155" s="3"/>
      <c r="F155" s="4" t="s">
        <v>37</v>
      </c>
      <c r="G155" s="3">
        <v>0</v>
      </c>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row>
    <row r="156" spans="1:57" x14ac:dyDescent="0.25">
      <c r="A156" s="1" t="str">
        <f>'Population Definitions'!$A$6</f>
        <v>10-17_males</v>
      </c>
      <c r="C156" t="s">
        <v>32</v>
      </c>
      <c r="D156" s="3"/>
      <c r="E156" s="3"/>
      <c r="F156" s="4" t="s">
        <v>37</v>
      </c>
      <c r="G156" s="3">
        <v>0</v>
      </c>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row>
    <row r="157" spans="1:57" x14ac:dyDescent="0.25">
      <c r="A157" s="1" t="str">
        <f>'Population Definitions'!$A$7</f>
        <v>10-17_females</v>
      </c>
      <c r="C157" t="s">
        <v>32</v>
      </c>
      <c r="D157" s="3"/>
      <c r="E157" s="3"/>
      <c r="F157" s="4" t="s">
        <v>37</v>
      </c>
      <c r="G157" s="3">
        <v>0</v>
      </c>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row>
    <row r="158" spans="1:57" x14ac:dyDescent="0.25">
      <c r="A158" s="1" t="str">
        <f>'Population Definitions'!$A$8</f>
        <v>18-64_males</v>
      </c>
      <c r="C158" t="s">
        <v>32</v>
      </c>
      <c r="D158" s="3"/>
      <c r="E158" s="3"/>
      <c r="F158" s="4" t="s">
        <v>37</v>
      </c>
      <c r="G158" s="3">
        <v>0</v>
      </c>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row>
    <row r="159" spans="1:57" x14ac:dyDescent="0.25">
      <c r="A159" s="1" t="str">
        <f>'Population Definitions'!$A$9</f>
        <v>18-64_females</v>
      </c>
      <c r="C159" t="s">
        <v>32</v>
      </c>
      <c r="D159" s="3"/>
      <c r="E159" s="3"/>
      <c r="F159" s="4" t="s">
        <v>37</v>
      </c>
      <c r="G159" s="3">
        <v>0</v>
      </c>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row>
    <row r="160" spans="1:57" x14ac:dyDescent="0.25">
      <c r="A160" s="1" t="str">
        <f>'Population Definitions'!$A$10</f>
        <v>65+_males</v>
      </c>
      <c r="C160" t="s">
        <v>32</v>
      </c>
      <c r="D160" s="3"/>
      <c r="E160" s="3"/>
      <c r="F160" s="4" t="s">
        <v>37</v>
      </c>
      <c r="G160" s="3">
        <v>0</v>
      </c>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row>
    <row r="161" spans="1:57" x14ac:dyDescent="0.25">
      <c r="A161" s="1" t="str">
        <f>'Population Definitions'!$A$11</f>
        <v>65+_females</v>
      </c>
      <c r="C161" t="s">
        <v>32</v>
      </c>
      <c r="D161" s="3"/>
      <c r="E161" s="3"/>
      <c r="F161" s="4" t="s">
        <v>37</v>
      </c>
      <c r="G161" s="3">
        <v>0</v>
      </c>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row>
    <row r="162" spans="1:57" x14ac:dyDescent="0.25">
      <c r="A162" s="1" t="str">
        <f>'Population Definitions'!$A$12</f>
        <v>Prisoners_males</v>
      </c>
      <c r="C162" t="s">
        <v>32</v>
      </c>
      <c r="D162" s="3"/>
      <c r="E162" s="3"/>
      <c r="F162" s="4" t="s">
        <v>37</v>
      </c>
      <c r="G162" s="3">
        <v>0</v>
      </c>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row>
    <row r="163" spans="1:57" x14ac:dyDescent="0.25">
      <c r="A163" s="1" t="str">
        <f>'Population Definitions'!$A$13</f>
        <v>Prisoners_females</v>
      </c>
      <c r="C163" t="s">
        <v>32</v>
      </c>
      <c r="D163" s="3"/>
      <c r="E163" s="3"/>
      <c r="F163" s="4" t="s">
        <v>37</v>
      </c>
      <c r="G163" s="3">
        <v>0</v>
      </c>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row>
    <row r="164" spans="1:57" x14ac:dyDescent="0.25">
      <c r="A164" s="1" t="s">
        <v>109</v>
      </c>
      <c r="C164" t="s">
        <v>32</v>
      </c>
      <c r="D164" s="3"/>
      <c r="E164" s="3"/>
      <c r="F164" s="4" t="s">
        <v>37</v>
      </c>
      <c r="G164" s="3">
        <v>0</v>
      </c>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row>
    <row r="166" spans="1:57" x14ac:dyDescent="0.25">
      <c r="A166" s="1" t="s">
        <v>120</v>
      </c>
      <c r="B166" s="1" t="s">
        <v>29</v>
      </c>
      <c r="C166" s="1" t="s">
        <v>30</v>
      </c>
      <c r="D166" s="1" t="s">
        <v>31</v>
      </c>
      <c r="E166" s="1" t="s">
        <v>36</v>
      </c>
      <c r="F166" s="1"/>
      <c r="G166" s="1">
        <v>2000</v>
      </c>
      <c r="H166" s="1">
        <v>2001</v>
      </c>
      <c r="I166" s="1">
        <v>2002</v>
      </c>
      <c r="J166" s="1">
        <v>2003</v>
      </c>
      <c r="K166" s="1">
        <v>2004</v>
      </c>
      <c r="L166" s="1">
        <v>2005</v>
      </c>
      <c r="M166" s="1">
        <v>2006</v>
      </c>
      <c r="N166" s="1">
        <v>2007</v>
      </c>
      <c r="O166" s="1">
        <v>2008</v>
      </c>
      <c r="P166" s="1">
        <v>2009</v>
      </c>
      <c r="Q166" s="1">
        <v>2010</v>
      </c>
      <c r="R166" s="1">
        <v>2011</v>
      </c>
      <c r="S166" s="1">
        <v>2012</v>
      </c>
      <c r="T166" s="1">
        <v>2013</v>
      </c>
      <c r="U166" s="1">
        <v>2014</v>
      </c>
      <c r="V166" s="1">
        <v>2015</v>
      </c>
      <c r="W166" s="1">
        <v>2016</v>
      </c>
      <c r="X166" s="1">
        <v>2017</v>
      </c>
      <c r="Y166" s="1">
        <v>2018</v>
      </c>
      <c r="Z166" s="1">
        <v>2019</v>
      </c>
      <c r="AA166" s="1">
        <v>2020</v>
      </c>
      <c r="AB166" s="1">
        <v>2021</v>
      </c>
      <c r="AC166" s="1">
        <v>2022</v>
      </c>
      <c r="AD166" s="1">
        <v>2023</v>
      </c>
      <c r="AE166" s="1">
        <v>2024</v>
      </c>
      <c r="AF166" s="1">
        <v>2025</v>
      </c>
      <c r="AG166" s="1">
        <v>2026</v>
      </c>
      <c r="AH166" s="1">
        <v>2027</v>
      </c>
      <c r="AI166" s="1">
        <v>2028</v>
      </c>
      <c r="AJ166" s="1">
        <v>2029</v>
      </c>
      <c r="AK166" s="1">
        <v>2030</v>
      </c>
      <c r="AL166" s="1">
        <v>2031</v>
      </c>
      <c r="AM166" s="1">
        <v>2032</v>
      </c>
      <c r="AN166" s="1">
        <v>2033</v>
      </c>
      <c r="AO166" s="1">
        <v>2034</v>
      </c>
      <c r="AP166" s="1">
        <v>2035</v>
      </c>
      <c r="AQ166" s="1">
        <v>2036</v>
      </c>
      <c r="AR166" s="1">
        <v>2037</v>
      </c>
      <c r="AS166" s="1">
        <v>2038</v>
      </c>
      <c r="AT166" s="1">
        <v>2039</v>
      </c>
      <c r="AU166" s="1">
        <v>2040</v>
      </c>
      <c r="AV166" s="1">
        <v>2041</v>
      </c>
      <c r="AW166" s="1">
        <v>2042</v>
      </c>
      <c r="AX166" s="1">
        <v>2043</v>
      </c>
      <c r="AY166" s="1">
        <v>2044</v>
      </c>
      <c r="AZ166" s="1">
        <v>2045</v>
      </c>
      <c r="BA166" s="1">
        <v>2046</v>
      </c>
      <c r="BB166" s="1">
        <v>2047</v>
      </c>
      <c r="BC166" s="1">
        <v>2048</v>
      </c>
      <c r="BD166" s="1">
        <v>2049</v>
      </c>
      <c r="BE166" s="1">
        <v>2050</v>
      </c>
    </row>
    <row r="167" spans="1:57" x14ac:dyDescent="0.25">
      <c r="A167" s="1" t="str">
        <f>'Population Definitions'!$A$2</f>
        <v>PWID_males</v>
      </c>
      <c r="C167" t="s">
        <v>32</v>
      </c>
      <c r="D167" s="3"/>
      <c r="E167" s="3"/>
      <c r="F167" s="4" t="s">
        <v>37</v>
      </c>
      <c r="G167" s="3">
        <v>0</v>
      </c>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row>
    <row r="168" spans="1:57" x14ac:dyDescent="0.25">
      <c r="A168" s="1" t="str">
        <f>'Population Definitions'!$A$3</f>
        <v>PWID_females</v>
      </c>
      <c r="C168" t="s">
        <v>32</v>
      </c>
      <c r="D168" s="3"/>
      <c r="E168" s="3"/>
      <c r="F168" s="4" t="s">
        <v>37</v>
      </c>
      <c r="G168" s="3">
        <v>0</v>
      </c>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row>
    <row r="169" spans="1:57" x14ac:dyDescent="0.25">
      <c r="A169" s="1" t="str">
        <f>'Population Definitions'!$A$4</f>
        <v>0-9_males</v>
      </c>
      <c r="C169" t="s">
        <v>32</v>
      </c>
      <c r="D169" s="3"/>
      <c r="E169" s="3"/>
      <c r="F169" s="4" t="s">
        <v>37</v>
      </c>
      <c r="G169" s="3">
        <v>0</v>
      </c>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row>
    <row r="170" spans="1:57" x14ac:dyDescent="0.25">
      <c r="A170" s="1" t="str">
        <f>'Population Definitions'!$A$5</f>
        <v>0-9_females</v>
      </c>
      <c r="C170" t="s">
        <v>32</v>
      </c>
      <c r="D170" s="3"/>
      <c r="E170" s="3"/>
      <c r="F170" s="4" t="s">
        <v>37</v>
      </c>
      <c r="G170" s="3">
        <v>0</v>
      </c>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row>
    <row r="171" spans="1:57" x14ac:dyDescent="0.25">
      <c r="A171" s="1" t="str">
        <f>'Population Definitions'!$A$6</f>
        <v>10-17_males</v>
      </c>
      <c r="C171" t="s">
        <v>32</v>
      </c>
      <c r="D171" s="3"/>
      <c r="E171" s="3"/>
      <c r="F171" s="4" t="s">
        <v>37</v>
      </c>
      <c r="G171" s="3">
        <v>0</v>
      </c>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row>
    <row r="172" spans="1:57" x14ac:dyDescent="0.25">
      <c r="A172" s="1" t="str">
        <f>'Population Definitions'!$A$7</f>
        <v>10-17_females</v>
      </c>
      <c r="C172" t="s">
        <v>32</v>
      </c>
      <c r="D172" s="3"/>
      <c r="E172" s="3"/>
      <c r="F172" s="4" t="s">
        <v>37</v>
      </c>
      <c r="G172" s="3">
        <v>0</v>
      </c>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row>
    <row r="173" spans="1:57" x14ac:dyDescent="0.25">
      <c r="A173" s="1" t="str">
        <f>'Population Definitions'!$A$8</f>
        <v>18-64_males</v>
      </c>
      <c r="C173" t="s">
        <v>32</v>
      </c>
      <c r="D173" s="3"/>
      <c r="E173" s="3"/>
      <c r="F173" s="4" t="s">
        <v>37</v>
      </c>
      <c r="G173" s="3">
        <v>0</v>
      </c>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row>
    <row r="174" spans="1:57" x14ac:dyDescent="0.25">
      <c r="A174" s="1" t="str">
        <f>'Population Definitions'!$A$9</f>
        <v>18-64_females</v>
      </c>
      <c r="C174" t="s">
        <v>32</v>
      </c>
      <c r="D174" s="3"/>
      <c r="E174" s="3"/>
      <c r="F174" s="4" t="s">
        <v>37</v>
      </c>
      <c r="G174" s="3">
        <v>0</v>
      </c>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row>
    <row r="175" spans="1:57" x14ac:dyDescent="0.25">
      <c r="A175" s="1" t="str">
        <f>'Population Definitions'!$A$10</f>
        <v>65+_males</v>
      </c>
      <c r="C175" t="s">
        <v>32</v>
      </c>
      <c r="D175" s="3"/>
      <c r="E175" s="3"/>
      <c r="F175" s="4" t="s">
        <v>37</v>
      </c>
      <c r="G175" s="3">
        <v>0</v>
      </c>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row>
    <row r="176" spans="1:57" x14ac:dyDescent="0.25">
      <c r="A176" s="1" t="str">
        <f>'Population Definitions'!$A$11</f>
        <v>65+_females</v>
      </c>
      <c r="C176" t="s">
        <v>32</v>
      </c>
      <c r="D176" s="3"/>
      <c r="E176" s="3"/>
      <c r="F176" s="4" t="s">
        <v>37</v>
      </c>
      <c r="G176" s="3">
        <v>0</v>
      </c>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row>
    <row r="177" spans="1:57" x14ac:dyDescent="0.25">
      <c r="A177" s="1" t="str">
        <f>'Population Definitions'!$A$12</f>
        <v>Prisoners_males</v>
      </c>
      <c r="C177" t="s">
        <v>32</v>
      </c>
      <c r="D177" s="3"/>
      <c r="E177" s="3"/>
      <c r="F177" s="4" t="s">
        <v>37</v>
      </c>
      <c r="G177" s="3">
        <v>0</v>
      </c>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row>
    <row r="178" spans="1:57" x14ac:dyDescent="0.25">
      <c r="A178" s="1" t="str">
        <f>'Population Definitions'!$A$13</f>
        <v>Prisoners_females</v>
      </c>
      <c r="C178" t="s">
        <v>32</v>
      </c>
      <c r="D178" s="3"/>
      <c r="E178" s="3"/>
      <c r="F178" s="4" t="s">
        <v>37</v>
      </c>
      <c r="G178" s="3">
        <v>0</v>
      </c>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row>
    <row r="179" spans="1:57" x14ac:dyDescent="0.25">
      <c r="A179" s="1" t="s">
        <v>109</v>
      </c>
      <c r="C179" t="s">
        <v>32</v>
      </c>
      <c r="D179" s="3"/>
      <c r="E179" s="3"/>
      <c r="F179" s="4" t="s">
        <v>37</v>
      </c>
      <c r="G179" s="3">
        <v>0</v>
      </c>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row>
    <row r="181" spans="1:57" x14ac:dyDescent="0.25">
      <c r="A181" s="1" t="s">
        <v>121</v>
      </c>
      <c r="B181" s="1" t="s">
        <v>29</v>
      </c>
      <c r="C181" s="1" t="s">
        <v>30</v>
      </c>
      <c r="D181" s="1" t="s">
        <v>31</v>
      </c>
      <c r="E181" s="1" t="s">
        <v>36</v>
      </c>
      <c r="F181" s="1"/>
      <c r="G181" s="1">
        <v>2000</v>
      </c>
      <c r="H181" s="1">
        <v>2001</v>
      </c>
      <c r="I181" s="1">
        <v>2002</v>
      </c>
      <c r="J181" s="1">
        <v>2003</v>
      </c>
      <c r="K181" s="1">
        <v>2004</v>
      </c>
      <c r="L181" s="1">
        <v>2005</v>
      </c>
      <c r="M181" s="1">
        <v>2006</v>
      </c>
      <c r="N181" s="1">
        <v>2007</v>
      </c>
      <c r="O181" s="1">
        <v>2008</v>
      </c>
      <c r="P181" s="1">
        <v>2009</v>
      </c>
      <c r="Q181" s="1">
        <v>2010</v>
      </c>
      <c r="R181" s="1">
        <v>2011</v>
      </c>
      <c r="S181" s="1">
        <v>2012</v>
      </c>
      <c r="T181" s="1">
        <v>2013</v>
      </c>
      <c r="U181" s="1">
        <v>2014</v>
      </c>
      <c r="V181" s="1">
        <v>2015</v>
      </c>
      <c r="W181" s="1">
        <v>2016</v>
      </c>
      <c r="X181" s="1">
        <v>2017</v>
      </c>
      <c r="Y181" s="1">
        <v>2018</v>
      </c>
      <c r="Z181" s="1">
        <v>2019</v>
      </c>
      <c r="AA181" s="1">
        <v>2020</v>
      </c>
      <c r="AB181" s="1">
        <v>2021</v>
      </c>
      <c r="AC181" s="1">
        <v>2022</v>
      </c>
      <c r="AD181" s="1">
        <v>2023</v>
      </c>
      <c r="AE181" s="1">
        <v>2024</v>
      </c>
      <c r="AF181" s="1">
        <v>2025</v>
      </c>
      <c r="AG181" s="1">
        <v>2026</v>
      </c>
      <c r="AH181" s="1">
        <v>2027</v>
      </c>
      <c r="AI181" s="1">
        <v>2028</v>
      </c>
      <c r="AJ181" s="1">
        <v>2029</v>
      </c>
      <c r="AK181" s="1">
        <v>2030</v>
      </c>
      <c r="AL181" s="1">
        <v>2031</v>
      </c>
      <c r="AM181" s="1">
        <v>2032</v>
      </c>
      <c r="AN181" s="1">
        <v>2033</v>
      </c>
      <c r="AO181" s="1">
        <v>2034</v>
      </c>
      <c r="AP181" s="1">
        <v>2035</v>
      </c>
      <c r="AQ181" s="1">
        <v>2036</v>
      </c>
      <c r="AR181" s="1">
        <v>2037</v>
      </c>
      <c r="AS181" s="1">
        <v>2038</v>
      </c>
      <c r="AT181" s="1">
        <v>2039</v>
      </c>
      <c r="AU181" s="1">
        <v>2040</v>
      </c>
      <c r="AV181" s="1">
        <v>2041</v>
      </c>
      <c r="AW181" s="1">
        <v>2042</v>
      </c>
      <c r="AX181" s="1">
        <v>2043</v>
      </c>
      <c r="AY181" s="1">
        <v>2044</v>
      </c>
      <c r="AZ181" s="1">
        <v>2045</v>
      </c>
      <c r="BA181" s="1">
        <v>2046</v>
      </c>
      <c r="BB181" s="1">
        <v>2047</v>
      </c>
      <c r="BC181" s="1">
        <v>2048</v>
      </c>
      <c r="BD181" s="1">
        <v>2049</v>
      </c>
      <c r="BE181" s="1">
        <v>2050</v>
      </c>
    </row>
    <row r="182" spans="1:57" x14ac:dyDescent="0.25">
      <c r="A182" s="1" t="str">
        <f>'Population Definitions'!$A$2</f>
        <v>PWID_males</v>
      </c>
      <c r="C182" t="s">
        <v>32</v>
      </c>
      <c r="D182" s="3"/>
      <c r="E182" s="3"/>
      <c r="F182" s="4" t="s">
        <v>37</v>
      </c>
      <c r="G182" s="3">
        <v>0</v>
      </c>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row>
    <row r="183" spans="1:57" x14ac:dyDescent="0.25">
      <c r="A183" s="1" t="str">
        <f>'Population Definitions'!$A$3</f>
        <v>PWID_females</v>
      </c>
      <c r="C183" t="s">
        <v>32</v>
      </c>
      <c r="D183" s="3"/>
      <c r="E183" s="3"/>
      <c r="F183" s="4" t="s">
        <v>37</v>
      </c>
      <c r="G183" s="3">
        <v>0</v>
      </c>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row>
    <row r="184" spans="1:57" x14ac:dyDescent="0.25">
      <c r="A184" s="1" t="str">
        <f>'Population Definitions'!$A$4</f>
        <v>0-9_males</v>
      </c>
      <c r="C184" t="s">
        <v>32</v>
      </c>
      <c r="D184" s="3"/>
      <c r="E184" s="3"/>
      <c r="F184" s="4" t="s">
        <v>37</v>
      </c>
      <c r="G184" s="3">
        <v>0</v>
      </c>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row>
    <row r="185" spans="1:57" x14ac:dyDescent="0.25">
      <c r="A185" s="1" t="str">
        <f>'Population Definitions'!$A$5</f>
        <v>0-9_females</v>
      </c>
      <c r="C185" t="s">
        <v>32</v>
      </c>
      <c r="D185" s="3"/>
      <c r="E185" s="3"/>
      <c r="F185" s="4" t="s">
        <v>37</v>
      </c>
      <c r="G185" s="3">
        <v>0</v>
      </c>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row>
    <row r="186" spans="1:57" x14ac:dyDescent="0.25">
      <c r="A186" s="1" t="str">
        <f>'Population Definitions'!$A$6</f>
        <v>10-17_males</v>
      </c>
      <c r="C186" t="s">
        <v>32</v>
      </c>
      <c r="D186" s="3"/>
      <c r="E186" s="3"/>
      <c r="F186" s="4" t="s">
        <v>37</v>
      </c>
      <c r="G186" s="3">
        <v>0</v>
      </c>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row>
    <row r="187" spans="1:57" x14ac:dyDescent="0.25">
      <c r="A187" s="1" t="str">
        <f>'Population Definitions'!$A$7</f>
        <v>10-17_females</v>
      </c>
      <c r="C187" t="s">
        <v>32</v>
      </c>
      <c r="D187" s="3"/>
      <c r="E187" s="3"/>
      <c r="F187" s="4" t="s">
        <v>37</v>
      </c>
      <c r="G187" s="3">
        <v>0</v>
      </c>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row>
    <row r="188" spans="1:57" x14ac:dyDescent="0.25">
      <c r="A188" s="1" t="str">
        <f>'Population Definitions'!$A$8</f>
        <v>18-64_males</v>
      </c>
      <c r="C188" t="s">
        <v>32</v>
      </c>
      <c r="D188" s="3"/>
      <c r="E188" s="3"/>
      <c r="F188" s="4" t="s">
        <v>37</v>
      </c>
      <c r="G188" s="3">
        <v>0</v>
      </c>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row>
    <row r="189" spans="1:57" x14ac:dyDescent="0.25">
      <c r="A189" s="1" t="str">
        <f>'Population Definitions'!$A$9</f>
        <v>18-64_females</v>
      </c>
      <c r="C189" t="s">
        <v>32</v>
      </c>
      <c r="D189" s="3"/>
      <c r="E189" s="3"/>
      <c r="F189" s="4" t="s">
        <v>37</v>
      </c>
      <c r="G189" s="3">
        <v>0</v>
      </c>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row>
    <row r="190" spans="1:57" x14ac:dyDescent="0.25">
      <c r="A190" s="1" t="str">
        <f>'Population Definitions'!$A$10</f>
        <v>65+_males</v>
      </c>
      <c r="C190" t="s">
        <v>32</v>
      </c>
      <c r="D190" s="3"/>
      <c r="E190" s="3"/>
      <c r="F190" s="4" t="s">
        <v>37</v>
      </c>
      <c r="G190" s="3">
        <v>0</v>
      </c>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row>
    <row r="191" spans="1:57" x14ac:dyDescent="0.25">
      <c r="A191" s="1" t="str">
        <f>'Population Definitions'!$A$11</f>
        <v>65+_females</v>
      </c>
      <c r="C191" t="s">
        <v>32</v>
      </c>
      <c r="D191" s="3"/>
      <c r="E191" s="3"/>
      <c r="F191" s="4" t="s">
        <v>37</v>
      </c>
      <c r="G191" s="3">
        <v>0</v>
      </c>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row>
    <row r="192" spans="1:57" x14ac:dyDescent="0.25">
      <c r="A192" s="1" t="str">
        <f>'Population Definitions'!$A$12</f>
        <v>Prisoners_males</v>
      </c>
      <c r="C192" t="s">
        <v>32</v>
      </c>
      <c r="D192" s="3"/>
      <c r="E192" s="3"/>
      <c r="F192" s="4" t="s">
        <v>37</v>
      </c>
      <c r="G192" s="3">
        <v>0</v>
      </c>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row>
    <row r="193" spans="1:57" x14ac:dyDescent="0.25">
      <c r="A193" s="1" t="str">
        <f>'Population Definitions'!$A$13</f>
        <v>Prisoners_females</v>
      </c>
      <c r="C193" t="s">
        <v>32</v>
      </c>
      <c r="D193" s="3"/>
      <c r="E193" s="3"/>
      <c r="F193" s="4" t="s">
        <v>37</v>
      </c>
      <c r="G193" s="3">
        <v>0</v>
      </c>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row>
    <row r="194" spans="1:57" x14ac:dyDescent="0.25">
      <c r="A194" s="1" t="s">
        <v>109</v>
      </c>
      <c r="C194" t="s">
        <v>32</v>
      </c>
      <c r="D194" s="3"/>
      <c r="E194" s="3"/>
      <c r="F194" s="4" t="s">
        <v>37</v>
      </c>
      <c r="G194" s="3">
        <v>0</v>
      </c>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row>
    <row r="196" spans="1:57" x14ac:dyDescent="0.25">
      <c r="A196" s="1" t="s">
        <v>122</v>
      </c>
      <c r="B196" s="1" t="s">
        <v>29</v>
      </c>
      <c r="C196" s="1" t="s">
        <v>30</v>
      </c>
      <c r="D196" s="1" t="s">
        <v>31</v>
      </c>
      <c r="E196" s="1" t="s">
        <v>36</v>
      </c>
      <c r="F196" s="1"/>
      <c r="G196" s="1">
        <v>2000</v>
      </c>
      <c r="H196" s="1">
        <v>2001</v>
      </c>
      <c r="I196" s="1">
        <v>2002</v>
      </c>
      <c r="J196" s="1">
        <v>2003</v>
      </c>
      <c r="K196" s="1">
        <v>2004</v>
      </c>
      <c r="L196" s="1">
        <v>2005</v>
      </c>
      <c r="M196" s="1">
        <v>2006</v>
      </c>
      <c r="N196" s="1">
        <v>2007</v>
      </c>
      <c r="O196" s="1">
        <v>2008</v>
      </c>
      <c r="P196" s="1">
        <v>2009</v>
      </c>
      <c r="Q196" s="1">
        <v>2010</v>
      </c>
      <c r="R196" s="1">
        <v>2011</v>
      </c>
      <c r="S196" s="1">
        <v>2012</v>
      </c>
      <c r="T196" s="1">
        <v>2013</v>
      </c>
      <c r="U196" s="1">
        <v>2014</v>
      </c>
      <c r="V196" s="1">
        <v>2015</v>
      </c>
      <c r="W196" s="1">
        <v>2016</v>
      </c>
      <c r="X196" s="1">
        <v>2017</v>
      </c>
      <c r="Y196" s="1">
        <v>2018</v>
      </c>
      <c r="Z196" s="1">
        <v>2019</v>
      </c>
      <c r="AA196" s="1">
        <v>2020</v>
      </c>
      <c r="AB196" s="1">
        <v>2021</v>
      </c>
      <c r="AC196" s="1">
        <v>2022</v>
      </c>
      <c r="AD196" s="1">
        <v>2023</v>
      </c>
      <c r="AE196" s="1">
        <v>2024</v>
      </c>
      <c r="AF196" s="1">
        <v>2025</v>
      </c>
      <c r="AG196" s="1">
        <v>2026</v>
      </c>
      <c r="AH196" s="1">
        <v>2027</v>
      </c>
      <c r="AI196" s="1">
        <v>2028</v>
      </c>
      <c r="AJ196" s="1">
        <v>2029</v>
      </c>
      <c r="AK196" s="1">
        <v>2030</v>
      </c>
      <c r="AL196" s="1">
        <v>2031</v>
      </c>
      <c r="AM196" s="1">
        <v>2032</v>
      </c>
      <c r="AN196" s="1">
        <v>2033</v>
      </c>
      <c r="AO196" s="1">
        <v>2034</v>
      </c>
      <c r="AP196" s="1">
        <v>2035</v>
      </c>
      <c r="AQ196" s="1">
        <v>2036</v>
      </c>
      <c r="AR196" s="1">
        <v>2037</v>
      </c>
      <c r="AS196" s="1">
        <v>2038</v>
      </c>
      <c r="AT196" s="1">
        <v>2039</v>
      </c>
      <c r="AU196" s="1">
        <v>2040</v>
      </c>
      <c r="AV196" s="1">
        <v>2041</v>
      </c>
      <c r="AW196" s="1">
        <v>2042</v>
      </c>
      <c r="AX196" s="1">
        <v>2043</v>
      </c>
      <c r="AY196" s="1">
        <v>2044</v>
      </c>
      <c r="AZ196" s="1">
        <v>2045</v>
      </c>
      <c r="BA196" s="1">
        <v>2046</v>
      </c>
      <c r="BB196" s="1">
        <v>2047</v>
      </c>
      <c r="BC196" s="1">
        <v>2048</v>
      </c>
      <c r="BD196" s="1">
        <v>2049</v>
      </c>
      <c r="BE196" s="1">
        <v>2050</v>
      </c>
    </row>
    <row r="197" spans="1:57" x14ac:dyDescent="0.25">
      <c r="A197" s="1" t="str">
        <f>'Population Definitions'!$A$2</f>
        <v>PWID_males</v>
      </c>
      <c r="C197" t="s">
        <v>32</v>
      </c>
      <c r="D197" s="3"/>
      <c r="E197" s="3"/>
      <c r="F197" s="4" t="s">
        <v>37</v>
      </c>
      <c r="G197" s="3">
        <v>0</v>
      </c>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row>
    <row r="198" spans="1:57" x14ac:dyDescent="0.25">
      <c r="A198" s="1" t="str">
        <f>'Population Definitions'!$A$3</f>
        <v>PWID_females</v>
      </c>
      <c r="C198" t="s">
        <v>32</v>
      </c>
      <c r="D198" s="3"/>
      <c r="E198" s="3"/>
      <c r="F198" s="4" t="s">
        <v>37</v>
      </c>
      <c r="G198" s="3">
        <v>0</v>
      </c>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row>
    <row r="199" spans="1:57" x14ac:dyDescent="0.25">
      <c r="A199" s="1" t="str">
        <f>'Population Definitions'!$A$4</f>
        <v>0-9_males</v>
      </c>
      <c r="C199" t="s">
        <v>32</v>
      </c>
      <c r="D199" s="3"/>
      <c r="E199" s="3"/>
      <c r="F199" s="4" t="s">
        <v>37</v>
      </c>
      <c r="G199" s="3">
        <v>0</v>
      </c>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row>
    <row r="200" spans="1:57" x14ac:dyDescent="0.25">
      <c r="A200" s="1" t="str">
        <f>'Population Definitions'!$A$5</f>
        <v>0-9_females</v>
      </c>
      <c r="C200" t="s">
        <v>32</v>
      </c>
      <c r="D200" s="3"/>
      <c r="E200" s="3"/>
      <c r="F200" s="4" t="s">
        <v>37</v>
      </c>
      <c r="G200" s="3">
        <v>0</v>
      </c>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row>
    <row r="201" spans="1:57" x14ac:dyDescent="0.25">
      <c r="A201" s="1" t="str">
        <f>'Population Definitions'!$A$6</f>
        <v>10-17_males</v>
      </c>
      <c r="C201" t="s">
        <v>32</v>
      </c>
      <c r="D201" s="3"/>
      <c r="E201" s="3"/>
      <c r="F201" s="4" t="s">
        <v>37</v>
      </c>
      <c r="G201" s="3">
        <v>0</v>
      </c>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row>
    <row r="202" spans="1:57" x14ac:dyDescent="0.25">
      <c r="A202" s="1" t="str">
        <f>'Population Definitions'!$A$7</f>
        <v>10-17_females</v>
      </c>
      <c r="C202" t="s">
        <v>32</v>
      </c>
      <c r="D202" s="3"/>
      <c r="E202" s="3"/>
      <c r="F202" s="4" t="s">
        <v>37</v>
      </c>
      <c r="G202" s="3">
        <v>0</v>
      </c>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row>
    <row r="203" spans="1:57" x14ac:dyDescent="0.25">
      <c r="A203" s="1" t="str">
        <f>'Population Definitions'!$A$8</f>
        <v>18-64_males</v>
      </c>
      <c r="C203" t="s">
        <v>32</v>
      </c>
      <c r="D203" s="3"/>
      <c r="E203" s="3"/>
      <c r="F203" s="4" t="s">
        <v>37</v>
      </c>
      <c r="G203" s="3">
        <v>0</v>
      </c>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row>
    <row r="204" spans="1:57" x14ac:dyDescent="0.25">
      <c r="A204" s="1" t="str">
        <f>'Population Definitions'!$A$9</f>
        <v>18-64_females</v>
      </c>
      <c r="C204" t="s">
        <v>32</v>
      </c>
      <c r="D204" s="3"/>
      <c r="E204" s="3"/>
      <c r="F204" s="4" t="s">
        <v>37</v>
      </c>
      <c r="G204" s="3">
        <v>0</v>
      </c>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row>
    <row r="205" spans="1:57" x14ac:dyDescent="0.25">
      <c r="A205" s="1" t="str">
        <f>'Population Definitions'!$A$10</f>
        <v>65+_males</v>
      </c>
      <c r="C205" t="s">
        <v>32</v>
      </c>
      <c r="D205" s="3"/>
      <c r="E205" s="3"/>
      <c r="F205" s="4" t="s">
        <v>37</v>
      </c>
      <c r="G205" s="3">
        <v>0</v>
      </c>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row>
    <row r="206" spans="1:57" x14ac:dyDescent="0.25">
      <c r="A206" s="1" t="str">
        <f>'Population Definitions'!$A$11</f>
        <v>65+_females</v>
      </c>
      <c r="C206" t="s">
        <v>32</v>
      </c>
      <c r="D206" s="3"/>
      <c r="E206" s="3"/>
      <c r="F206" s="4" t="s">
        <v>37</v>
      </c>
      <c r="G206" s="3">
        <v>0</v>
      </c>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row>
    <row r="207" spans="1:57" x14ac:dyDescent="0.25">
      <c r="A207" s="1" t="str">
        <f>'Population Definitions'!$A$12</f>
        <v>Prisoners_males</v>
      </c>
      <c r="C207" t="s">
        <v>32</v>
      </c>
      <c r="D207" s="3"/>
      <c r="E207" s="3"/>
      <c r="F207" s="4" t="s">
        <v>37</v>
      </c>
      <c r="G207" s="3">
        <v>0</v>
      </c>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row>
    <row r="208" spans="1:57" x14ac:dyDescent="0.25">
      <c r="A208" s="1" t="str">
        <f>'Population Definitions'!$A$13</f>
        <v>Prisoners_females</v>
      </c>
      <c r="C208" t="s">
        <v>32</v>
      </c>
      <c r="D208" s="3"/>
      <c r="E208" s="3"/>
      <c r="F208" s="4" t="s">
        <v>37</v>
      </c>
      <c r="G208" s="3">
        <v>0</v>
      </c>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row>
    <row r="209" spans="1:57" x14ac:dyDescent="0.25">
      <c r="A209" s="1" t="s">
        <v>109</v>
      </c>
      <c r="C209" t="s">
        <v>32</v>
      </c>
      <c r="D209" s="3"/>
      <c r="E209" s="3"/>
      <c r="F209" s="4" t="s">
        <v>37</v>
      </c>
      <c r="G209" s="3">
        <v>0</v>
      </c>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row>
    <row r="211" spans="1:57" x14ac:dyDescent="0.25">
      <c r="A211" s="1" t="s">
        <v>123</v>
      </c>
      <c r="B211" s="1" t="s">
        <v>29</v>
      </c>
      <c r="C211" s="1" t="s">
        <v>30</v>
      </c>
      <c r="D211" s="1" t="s">
        <v>31</v>
      </c>
      <c r="E211" s="1" t="s">
        <v>36</v>
      </c>
      <c r="F211" s="1"/>
      <c r="G211" s="1">
        <v>2000</v>
      </c>
      <c r="H211" s="1">
        <v>2001</v>
      </c>
      <c r="I211" s="1">
        <v>2002</v>
      </c>
      <c r="J211" s="1">
        <v>2003</v>
      </c>
      <c r="K211" s="1">
        <v>2004</v>
      </c>
      <c r="L211" s="1">
        <v>2005</v>
      </c>
      <c r="M211" s="1">
        <v>2006</v>
      </c>
      <c r="N211" s="1">
        <v>2007</v>
      </c>
      <c r="O211" s="1">
        <v>2008</v>
      </c>
      <c r="P211" s="1">
        <v>2009</v>
      </c>
      <c r="Q211" s="1">
        <v>2010</v>
      </c>
      <c r="R211" s="1">
        <v>2011</v>
      </c>
      <c r="S211" s="1">
        <v>2012</v>
      </c>
      <c r="T211" s="1">
        <v>2013</v>
      </c>
      <c r="U211" s="1">
        <v>2014</v>
      </c>
      <c r="V211" s="1">
        <v>2015</v>
      </c>
      <c r="W211" s="1">
        <v>2016</v>
      </c>
      <c r="X211" s="1">
        <v>2017</v>
      </c>
      <c r="Y211" s="1">
        <v>2018</v>
      </c>
      <c r="Z211" s="1">
        <v>2019</v>
      </c>
      <c r="AA211" s="1">
        <v>2020</v>
      </c>
      <c r="AB211" s="1">
        <v>2021</v>
      </c>
      <c r="AC211" s="1">
        <v>2022</v>
      </c>
      <c r="AD211" s="1">
        <v>2023</v>
      </c>
      <c r="AE211" s="1">
        <v>2024</v>
      </c>
      <c r="AF211" s="1">
        <v>2025</v>
      </c>
      <c r="AG211" s="1">
        <v>2026</v>
      </c>
      <c r="AH211" s="1">
        <v>2027</v>
      </c>
      <c r="AI211" s="1">
        <v>2028</v>
      </c>
      <c r="AJ211" s="1">
        <v>2029</v>
      </c>
      <c r="AK211" s="1">
        <v>2030</v>
      </c>
      <c r="AL211" s="1">
        <v>2031</v>
      </c>
      <c r="AM211" s="1">
        <v>2032</v>
      </c>
      <c r="AN211" s="1">
        <v>2033</v>
      </c>
      <c r="AO211" s="1">
        <v>2034</v>
      </c>
      <c r="AP211" s="1">
        <v>2035</v>
      </c>
      <c r="AQ211" s="1">
        <v>2036</v>
      </c>
      <c r="AR211" s="1">
        <v>2037</v>
      </c>
      <c r="AS211" s="1">
        <v>2038</v>
      </c>
      <c r="AT211" s="1">
        <v>2039</v>
      </c>
      <c r="AU211" s="1">
        <v>2040</v>
      </c>
      <c r="AV211" s="1">
        <v>2041</v>
      </c>
      <c r="AW211" s="1">
        <v>2042</v>
      </c>
      <c r="AX211" s="1">
        <v>2043</v>
      </c>
      <c r="AY211" s="1">
        <v>2044</v>
      </c>
      <c r="AZ211" s="1">
        <v>2045</v>
      </c>
      <c r="BA211" s="1">
        <v>2046</v>
      </c>
      <c r="BB211" s="1">
        <v>2047</v>
      </c>
      <c r="BC211" s="1">
        <v>2048</v>
      </c>
      <c r="BD211" s="1">
        <v>2049</v>
      </c>
      <c r="BE211" s="1">
        <v>2050</v>
      </c>
    </row>
    <row r="212" spans="1:57" x14ac:dyDescent="0.25">
      <c r="A212" s="1" t="str">
        <f>'Population Definitions'!$A$2</f>
        <v>PWID_males</v>
      </c>
      <c r="C212" t="s">
        <v>32</v>
      </c>
      <c r="D212" s="3"/>
      <c r="E212" s="3"/>
      <c r="F212" s="4" t="s">
        <v>37</v>
      </c>
      <c r="G212" s="3">
        <v>0</v>
      </c>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row>
    <row r="213" spans="1:57" x14ac:dyDescent="0.25">
      <c r="A213" s="1" t="str">
        <f>'Population Definitions'!$A$3</f>
        <v>PWID_females</v>
      </c>
      <c r="C213" t="s">
        <v>32</v>
      </c>
      <c r="D213" s="3"/>
      <c r="E213" s="3"/>
      <c r="F213" s="4" t="s">
        <v>37</v>
      </c>
      <c r="G213" s="3">
        <v>0</v>
      </c>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row>
    <row r="214" spans="1:57" x14ac:dyDescent="0.25">
      <c r="A214" s="1" t="str">
        <f>'Population Definitions'!$A$4</f>
        <v>0-9_males</v>
      </c>
      <c r="C214" t="s">
        <v>32</v>
      </c>
      <c r="D214" s="3"/>
      <c r="E214" s="3"/>
      <c r="F214" s="4" t="s">
        <v>37</v>
      </c>
      <c r="G214" s="3">
        <v>0</v>
      </c>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row>
    <row r="215" spans="1:57" x14ac:dyDescent="0.25">
      <c r="A215" s="1" t="str">
        <f>'Population Definitions'!$A$5</f>
        <v>0-9_females</v>
      </c>
      <c r="C215" t="s">
        <v>32</v>
      </c>
      <c r="D215" s="3"/>
      <c r="E215" s="3"/>
      <c r="F215" s="4" t="s">
        <v>37</v>
      </c>
      <c r="G215" s="3">
        <v>0</v>
      </c>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row>
    <row r="216" spans="1:57" x14ac:dyDescent="0.25">
      <c r="A216" s="1" t="str">
        <f>'Population Definitions'!$A$6</f>
        <v>10-17_males</v>
      </c>
      <c r="C216" t="s">
        <v>32</v>
      </c>
      <c r="D216" s="3"/>
      <c r="E216" s="3"/>
      <c r="F216" s="4" t="s">
        <v>37</v>
      </c>
      <c r="G216" s="3">
        <v>0</v>
      </c>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row>
    <row r="217" spans="1:57" x14ac:dyDescent="0.25">
      <c r="A217" s="1" t="str">
        <f>'Population Definitions'!$A$7</f>
        <v>10-17_females</v>
      </c>
      <c r="C217" t="s">
        <v>32</v>
      </c>
      <c r="D217" s="3"/>
      <c r="E217" s="3"/>
      <c r="F217" s="4" t="s">
        <v>37</v>
      </c>
      <c r="G217" s="3">
        <v>0</v>
      </c>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row>
    <row r="218" spans="1:57" x14ac:dyDescent="0.25">
      <c r="A218" s="1" t="str">
        <f>'Population Definitions'!$A$8</f>
        <v>18-64_males</v>
      </c>
      <c r="C218" t="s">
        <v>32</v>
      </c>
      <c r="D218" s="3"/>
      <c r="E218" s="3"/>
      <c r="F218" s="4" t="s">
        <v>37</v>
      </c>
      <c r="G218" s="3">
        <v>0</v>
      </c>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row>
    <row r="219" spans="1:57" x14ac:dyDescent="0.25">
      <c r="A219" s="1" t="str">
        <f>'Population Definitions'!$A$9</f>
        <v>18-64_females</v>
      </c>
      <c r="C219" t="s">
        <v>32</v>
      </c>
      <c r="D219" s="3"/>
      <c r="E219" s="3"/>
      <c r="F219" s="4" t="s">
        <v>37</v>
      </c>
      <c r="G219" s="3">
        <v>0</v>
      </c>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row>
    <row r="220" spans="1:57" x14ac:dyDescent="0.25">
      <c r="A220" s="1" t="str">
        <f>'Population Definitions'!$A$10</f>
        <v>65+_males</v>
      </c>
      <c r="C220" t="s">
        <v>32</v>
      </c>
      <c r="D220" s="3"/>
      <c r="E220" s="3"/>
      <c r="F220" s="4" t="s">
        <v>37</v>
      </c>
      <c r="G220" s="3">
        <v>0</v>
      </c>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row>
    <row r="221" spans="1:57" x14ac:dyDescent="0.25">
      <c r="A221" s="1" t="str">
        <f>'Population Definitions'!$A$11</f>
        <v>65+_females</v>
      </c>
      <c r="C221" t="s">
        <v>32</v>
      </c>
      <c r="D221" s="3"/>
      <c r="E221" s="3"/>
      <c r="F221" s="4" t="s">
        <v>37</v>
      </c>
      <c r="G221" s="3">
        <v>0</v>
      </c>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row>
    <row r="222" spans="1:57" x14ac:dyDescent="0.25">
      <c r="A222" s="1" t="str">
        <f>'Population Definitions'!$A$12</f>
        <v>Prisoners_males</v>
      </c>
      <c r="C222" t="s">
        <v>32</v>
      </c>
      <c r="D222" s="3"/>
      <c r="E222" s="3"/>
      <c r="F222" s="4" t="s">
        <v>37</v>
      </c>
      <c r="G222" s="3">
        <v>0</v>
      </c>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row>
    <row r="223" spans="1:57" x14ac:dyDescent="0.25">
      <c r="A223" s="1" t="str">
        <f>'Population Definitions'!$A$13</f>
        <v>Prisoners_females</v>
      </c>
      <c r="C223" t="s">
        <v>32</v>
      </c>
      <c r="D223" s="3"/>
      <c r="E223" s="3"/>
      <c r="F223" s="4" t="s">
        <v>37</v>
      </c>
      <c r="G223" s="3">
        <v>0</v>
      </c>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row>
    <row r="224" spans="1:57" x14ac:dyDescent="0.25">
      <c r="A224" s="1" t="s">
        <v>109</v>
      </c>
      <c r="C224" t="s">
        <v>32</v>
      </c>
      <c r="D224" s="3"/>
      <c r="E224" s="3"/>
      <c r="F224" s="4" t="s">
        <v>37</v>
      </c>
      <c r="G224" s="3">
        <v>0</v>
      </c>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row>
    <row r="226" spans="1:57" x14ac:dyDescent="0.25">
      <c r="A226" s="1" t="s">
        <v>124</v>
      </c>
      <c r="B226" s="1" t="s">
        <v>29</v>
      </c>
      <c r="C226" s="1" t="s">
        <v>30</v>
      </c>
      <c r="D226" s="1" t="s">
        <v>31</v>
      </c>
      <c r="E226" s="1" t="s">
        <v>36</v>
      </c>
      <c r="F226" s="1"/>
      <c r="G226" s="1">
        <v>2000</v>
      </c>
      <c r="H226" s="1">
        <v>2001</v>
      </c>
      <c r="I226" s="1">
        <v>2002</v>
      </c>
      <c r="J226" s="1">
        <v>2003</v>
      </c>
      <c r="K226" s="1">
        <v>2004</v>
      </c>
      <c r="L226" s="1">
        <v>2005</v>
      </c>
      <c r="M226" s="1">
        <v>2006</v>
      </c>
      <c r="N226" s="1">
        <v>2007</v>
      </c>
      <c r="O226" s="1">
        <v>2008</v>
      </c>
      <c r="P226" s="1">
        <v>2009</v>
      </c>
      <c r="Q226" s="1">
        <v>2010</v>
      </c>
      <c r="R226" s="1">
        <v>2011</v>
      </c>
      <c r="S226" s="1">
        <v>2012</v>
      </c>
      <c r="T226" s="1">
        <v>2013</v>
      </c>
      <c r="U226" s="1">
        <v>2014</v>
      </c>
      <c r="V226" s="1">
        <v>2015</v>
      </c>
      <c r="W226" s="1">
        <v>2016</v>
      </c>
      <c r="X226" s="1">
        <v>2017</v>
      </c>
      <c r="Y226" s="1">
        <v>2018</v>
      </c>
      <c r="Z226" s="1">
        <v>2019</v>
      </c>
      <c r="AA226" s="1">
        <v>2020</v>
      </c>
      <c r="AB226" s="1">
        <v>2021</v>
      </c>
      <c r="AC226" s="1">
        <v>2022</v>
      </c>
      <c r="AD226" s="1">
        <v>2023</v>
      </c>
      <c r="AE226" s="1">
        <v>2024</v>
      </c>
      <c r="AF226" s="1">
        <v>2025</v>
      </c>
      <c r="AG226" s="1">
        <v>2026</v>
      </c>
      <c r="AH226" s="1">
        <v>2027</v>
      </c>
      <c r="AI226" s="1">
        <v>2028</v>
      </c>
      <c r="AJ226" s="1">
        <v>2029</v>
      </c>
      <c r="AK226" s="1">
        <v>2030</v>
      </c>
      <c r="AL226" s="1">
        <v>2031</v>
      </c>
      <c r="AM226" s="1">
        <v>2032</v>
      </c>
      <c r="AN226" s="1">
        <v>2033</v>
      </c>
      <c r="AO226" s="1">
        <v>2034</v>
      </c>
      <c r="AP226" s="1">
        <v>2035</v>
      </c>
      <c r="AQ226" s="1">
        <v>2036</v>
      </c>
      <c r="AR226" s="1">
        <v>2037</v>
      </c>
      <c r="AS226" s="1">
        <v>2038</v>
      </c>
      <c r="AT226" s="1">
        <v>2039</v>
      </c>
      <c r="AU226" s="1">
        <v>2040</v>
      </c>
      <c r="AV226" s="1">
        <v>2041</v>
      </c>
      <c r="AW226" s="1">
        <v>2042</v>
      </c>
      <c r="AX226" s="1">
        <v>2043</v>
      </c>
      <c r="AY226" s="1">
        <v>2044</v>
      </c>
      <c r="AZ226" s="1">
        <v>2045</v>
      </c>
      <c r="BA226" s="1">
        <v>2046</v>
      </c>
      <c r="BB226" s="1">
        <v>2047</v>
      </c>
      <c r="BC226" s="1">
        <v>2048</v>
      </c>
      <c r="BD226" s="1">
        <v>2049</v>
      </c>
      <c r="BE226" s="1">
        <v>2050</v>
      </c>
    </row>
    <row r="227" spans="1:57" x14ac:dyDescent="0.25">
      <c r="A227" s="1" t="str">
        <f>'Population Definitions'!$A$2</f>
        <v>PWID_males</v>
      </c>
      <c r="C227" t="s">
        <v>32</v>
      </c>
      <c r="D227" s="3"/>
      <c r="E227" s="3"/>
      <c r="F227" s="4" t="s">
        <v>37</v>
      </c>
      <c r="G227" s="3">
        <v>0</v>
      </c>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row>
    <row r="228" spans="1:57" x14ac:dyDescent="0.25">
      <c r="A228" s="1" t="str">
        <f>'Population Definitions'!$A$3</f>
        <v>PWID_females</v>
      </c>
      <c r="C228" t="s">
        <v>32</v>
      </c>
      <c r="D228" s="3"/>
      <c r="E228" s="3"/>
      <c r="F228" s="4" t="s">
        <v>37</v>
      </c>
      <c r="G228" s="3">
        <v>0</v>
      </c>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row>
    <row r="229" spans="1:57" x14ac:dyDescent="0.25">
      <c r="A229" s="1" t="str">
        <f>'Population Definitions'!$A$4</f>
        <v>0-9_males</v>
      </c>
      <c r="C229" t="s">
        <v>32</v>
      </c>
      <c r="D229" s="3"/>
      <c r="E229" s="3"/>
      <c r="F229" s="4" t="s">
        <v>37</v>
      </c>
      <c r="G229" s="3">
        <v>0</v>
      </c>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row>
    <row r="230" spans="1:57" x14ac:dyDescent="0.25">
      <c r="A230" s="1" t="str">
        <f>'Population Definitions'!$A$5</f>
        <v>0-9_females</v>
      </c>
      <c r="C230" t="s">
        <v>32</v>
      </c>
      <c r="D230" s="3"/>
      <c r="E230" s="3"/>
      <c r="F230" s="4" t="s">
        <v>37</v>
      </c>
      <c r="G230" s="3">
        <v>0</v>
      </c>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row>
    <row r="231" spans="1:57" x14ac:dyDescent="0.25">
      <c r="A231" s="1" t="str">
        <f>'Population Definitions'!$A$6</f>
        <v>10-17_males</v>
      </c>
      <c r="C231" t="s">
        <v>32</v>
      </c>
      <c r="D231" s="3"/>
      <c r="E231" s="3"/>
      <c r="F231" s="4" t="s">
        <v>37</v>
      </c>
      <c r="G231" s="3">
        <v>0</v>
      </c>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row>
    <row r="232" spans="1:57" x14ac:dyDescent="0.25">
      <c r="A232" s="1" t="str">
        <f>'Population Definitions'!$A$7</f>
        <v>10-17_females</v>
      </c>
      <c r="C232" t="s">
        <v>32</v>
      </c>
      <c r="D232" s="3"/>
      <c r="E232" s="3"/>
      <c r="F232" s="4" t="s">
        <v>37</v>
      </c>
      <c r="G232" s="3">
        <v>0</v>
      </c>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row>
    <row r="233" spans="1:57" x14ac:dyDescent="0.25">
      <c r="A233" s="1" t="str">
        <f>'Population Definitions'!$A$8</f>
        <v>18-64_males</v>
      </c>
      <c r="C233" t="s">
        <v>32</v>
      </c>
      <c r="D233" s="3"/>
      <c r="E233" s="3"/>
      <c r="F233" s="4" t="s">
        <v>37</v>
      </c>
      <c r="G233" s="3">
        <v>0</v>
      </c>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row>
    <row r="234" spans="1:57" x14ac:dyDescent="0.25">
      <c r="A234" s="1" t="str">
        <f>'Population Definitions'!$A$9</f>
        <v>18-64_females</v>
      </c>
      <c r="C234" t="s">
        <v>32</v>
      </c>
      <c r="D234" s="3"/>
      <c r="E234" s="3"/>
      <c r="F234" s="4" t="s">
        <v>37</v>
      </c>
      <c r="G234" s="3">
        <v>0</v>
      </c>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row>
    <row r="235" spans="1:57" x14ac:dyDescent="0.25">
      <c r="A235" s="1" t="str">
        <f>'Population Definitions'!$A$10</f>
        <v>65+_males</v>
      </c>
      <c r="C235" t="s">
        <v>32</v>
      </c>
      <c r="D235" s="3"/>
      <c r="E235" s="3"/>
      <c r="F235" s="4" t="s">
        <v>37</v>
      </c>
      <c r="G235" s="3">
        <v>0</v>
      </c>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row>
    <row r="236" spans="1:57" x14ac:dyDescent="0.25">
      <c r="A236" s="1" t="str">
        <f>'Population Definitions'!$A$11</f>
        <v>65+_females</v>
      </c>
      <c r="C236" t="s">
        <v>32</v>
      </c>
      <c r="D236" s="3"/>
      <c r="E236" s="3"/>
      <c r="F236" s="4" t="s">
        <v>37</v>
      </c>
      <c r="G236" s="3">
        <v>0</v>
      </c>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row>
    <row r="237" spans="1:57" x14ac:dyDescent="0.25">
      <c r="A237" s="1" t="str">
        <f>'Population Definitions'!$A$12</f>
        <v>Prisoners_males</v>
      </c>
      <c r="C237" t="s">
        <v>32</v>
      </c>
      <c r="D237" s="3"/>
      <c r="E237" s="3"/>
      <c r="F237" s="4" t="s">
        <v>37</v>
      </c>
      <c r="G237" s="3">
        <v>0</v>
      </c>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row>
    <row r="238" spans="1:57" x14ac:dyDescent="0.25">
      <c r="A238" s="1" t="str">
        <f>'Population Definitions'!$A$13</f>
        <v>Prisoners_females</v>
      </c>
      <c r="C238" t="s">
        <v>32</v>
      </c>
      <c r="D238" s="3"/>
      <c r="E238" s="3"/>
      <c r="F238" s="4" t="s">
        <v>37</v>
      </c>
      <c r="G238" s="3">
        <v>0</v>
      </c>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row>
    <row r="239" spans="1:57" x14ac:dyDescent="0.25">
      <c r="A239" s="1" t="s">
        <v>109</v>
      </c>
      <c r="C239" t="s">
        <v>32</v>
      </c>
      <c r="D239" s="3"/>
      <c r="E239" s="3"/>
      <c r="F239" s="4" t="s">
        <v>37</v>
      </c>
      <c r="G239" s="3">
        <v>14258.5</v>
      </c>
      <c r="H239" s="3"/>
      <c r="I239" s="3"/>
      <c r="J239" s="3"/>
      <c r="K239" s="3"/>
      <c r="L239" s="3"/>
      <c r="M239" s="3"/>
      <c r="N239" s="3"/>
      <c r="O239" s="3"/>
      <c r="P239" s="3"/>
      <c r="Q239" s="3">
        <v>14258.5</v>
      </c>
      <c r="R239" s="3"/>
      <c r="S239" s="3"/>
      <c r="T239" s="3"/>
      <c r="U239" s="3"/>
      <c r="V239" s="3"/>
      <c r="W239" s="3"/>
      <c r="X239" s="3"/>
      <c r="Y239" s="3"/>
      <c r="Z239" s="3">
        <v>16459.8</v>
      </c>
      <c r="AA239" s="3">
        <v>16647</v>
      </c>
      <c r="AB239" s="3">
        <v>16667.8</v>
      </c>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row>
    <row r="241" spans="1:57" x14ac:dyDescent="0.25">
      <c r="A241" s="1" t="s">
        <v>125</v>
      </c>
      <c r="B241" s="1" t="s">
        <v>29</v>
      </c>
      <c r="C241" s="1" t="s">
        <v>30</v>
      </c>
      <c r="D241" s="1" t="s">
        <v>31</v>
      </c>
      <c r="E241" s="1" t="s">
        <v>36</v>
      </c>
      <c r="F241" s="1"/>
      <c r="G241" s="1">
        <v>2000</v>
      </c>
      <c r="H241" s="1">
        <v>2001</v>
      </c>
      <c r="I241" s="1">
        <v>2002</v>
      </c>
      <c r="J241" s="1">
        <v>2003</v>
      </c>
      <c r="K241" s="1">
        <v>2004</v>
      </c>
      <c r="L241" s="1">
        <v>2005</v>
      </c>
      <c r="M241" s="1">
        <v>2006</v>
      </c>
      <c r="N241" s="1">
        <v>2007</v>
      </c>
      <c r="O241" s="1">
        <v>2008</v>
      </c>
      <c r="P241" s="1">
        <v>2009</v>
      </c>
      <c r="Q241" s="1">
        <v>2010</v>
      </c>
      <c r="R241" s="1">
        <v>2011</v>
      </c>
      <c r="S241" s="1">
        <v>2012</v>
      </c>
      <c r="T241" s="1">
        <v>2013</v>
      </c>
      <c r="U241" s="1">
        <v>2014</v>
      </c>
      <c r="V241" s="1">
        <v>2015</v>
      </c>
      <c r="W241" s="1">
        <v>2016</v>
      </c>
      <c r="X241" s="1">
        <v>2017</v>
      </c>
      <c r="Y241" s="1">
        <v>2018</v>
      </c>
      <c r="Z241" s="1">
        <v>2019</v>
      </c>
      <c r="AA241" s="1">
        <v>2020</v>
      </c>
      <c r="AB241" s="1">
        <v>2021</v>
      </c>
      <c r="AC241" s="1">
        <v>2022</v>
      </c>
      <c r="AD241" s="1">
        <v>2023</v>
      </c>
      <c r="AE241" s="1">
        <v>2024</v>
      </c>
      <c r="AF241" s="1">
        <v>2025</v>
      </c>
      <c r="AG241" s="1">
        <v>2026</v>
      </c>
      <c r="AH241" s="1">
        <v>2027</v>
      </c>
      <c r="AI241" s="1">
        <v>2028</v>
      </c>
      <c r="AJ241" s="1">
        <v>2029</v>
      </c>
      <c r="AK241" s="1">
        <v>2030</v>
      </c>
      <c r="AL241" s="1">
        <v>2031</v>
      </c>
      <c r="AM241" s="1">
        <v>2032</v>
      </c>
      <c r="AN241" s="1">
        <v>2033</v>
      </c>
      <c r="AO241" s="1">
        <v>2034</v>
      </c>
      <c r="AP241" s="1">
        <v>2035</v>
      </c>
      <c r="AQ241" s="1">
        <v>2036</v>
      </c>
      <c r="AR241" s="1">
        <v>2037</v>
      </c>
      <c r="AS241" s="1">
        <v>2038</v>
      </c>
      <c r="AT241" s="1">
        <v>2039</v>
      </c>
      <c r="AU241" s="1">
        <v>2040</v>
      </c>
      <c r="AV241" s="1">
        <v>2041</v>
      </c>
      <c r="AW241" s="1">
        <v>2042</v>
      </c>
      <c r="AX241" s="1">
        <v>2043</v>
      </c>
      <c r="AY241" s="1">
        <v>2044</v>
      </c>
      <c r="AZ241" s="1">
        <v>2045</v>
      </c>
      <c r="BA241" s="1">
        <v>2046</v>
      </c>
      <c r="BB241" s="1">
        <v>2047</v>
      </c>
      <c r="BC241" s="1">
        <v>2048</v>
      </c>
      <c r="BD241" s="1">
        <v>2049</v>
      </c>
      <c r="BE241" s="1">
        <v>2050</v>
      </c>
    </row>
    <row r="242" spans="1:57" x14ac:dyDescent="0.25">
      <c r="A242" s="1" t="str">
        <f>'Population Definitions'!$A$2</f>
        <v>PWID_males</v>
      </c>
      <c r="C242" t="s">
        <v>32</v>
      </c>
      <c r="D242" s="3"/>
      <c r="E242" s="3"/>
      <c r="F242" s="4" t="s">
        <v>37</v>
      </c>
      <c r="G242" s="3">
        <v>0</v>
      </c>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row>
    <row r="243" spans="1:57" x14ac:dyDescent="0.25">
      <c r="A243" s="1" t="str">
        <f>'Population Definitions'!$A$3</f>
        <v>PWID_females</v>
      </c>
      <c r="C243" t="s">
        <v>32</v>
      </c>
      <c r="D243" s="3"/>
      <c r="E243" s="3"/>
      <c r="F243" s="4" t="s">
        <v>37</v>
      </c>
      <c r="G243" s="3">
        <v>0</v>
      </c>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row>
    <row r="244" spans="1:57" x14ac:dyDescent="0.25">
      <c r="A244" s="1" t="str">
        <f>'Population Definitions'!$A$4</f>
        <v>0-9_males</v>
      </c>
      <c r="C244" t="s">
        <v>32</v>
      </c>
      <c r="D244" s="3"/>
      <c r="E244" s="3"/>
      <c r="F244" s="4" t="s">
        <v>37</v>
      </c>
      <c r="G244" s="3">
        <v>0</v>
      </c>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row>
    <row r="245" spans="1:57" x14ac:dyDescent="0.25">
      <c r="A245" s="1" t="str">
        <f>'Population Definitions'!$A$5</f>
        <v>0-9_females</v>
      </c>
      <c r="C245" t="s">
        <v>32</v>
      </c>
      <c r="D245" s="3"/>
      <c r="E245" s="3"/>
      <c r="F245" s="4" t="s">
        <v>37</v>
      </c>
      <c r="G245" s="3">
        <v>0</v>
      </c>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row>
    <row r="246" spans="1:57" x14ac:dyDescent="0.25">
      <c r="A246" s="1" t="str">
        <f>'Population Definitions'!$A$6</f>
        <v>10-17_males</v>
      </c>
      <c r="C246" t="s">
        <v>32</v>
      </c>
      <c r="D246" s="3"/>
      <c r="E246" s="3"/>
      <c r="F246" s="4" t="s">
        <v>37</v>
      </c>
      <c r="G246" s="3">
        <v>0</v>
      </c>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row>
    <row r="247" spans="1:57" x14ac:dyDescent="0.25">
      <c r="A247" s="1" t="str">
        <f>'Population Definitions'!$A$7</f>
        <v>10-17_females</v>
      </c>
      <c r="C247" t="s">
        <v>32</v>
      </c>
      <c r="D247" s="3"/>
      <c r="E247" s="3"/>
      <c r="F247" s="4" t="s">
        <v>37</v>
      </c>
      <c r="G247" s="3">
        <v>0</v>
      </c>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row>
    <row r="248" spans="1:57" x14ac:dyDescent="0.25">
      <c r="A248" s="1" t="str">
        <f>'Population Definitions'!$A$8</f>
        <v>18-64_males</v>
      </c>
      <c r="C248" t="s">
        <v>32</v>
      </c>
      <c r="D248" s="3"/>
      <c r="E248" s="3"/>
      <c r="F248" s="4" t="s">
        <v>37</v>
      </c>
      <c r="G248" s="3">
        <v>0</v>
      </c>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row>
    <row r="249" spans="1:57" x14ac:dyDescent="0.25">
      <c r="A249" s="1" t="str">
        <f>'Population Definitions'!$A$9</f>
        <v>18-64_females</v>
      </c>
      <c r="C249" t="s">
        <v>32</v>
      </c>
      <c r="D249" s="3"/>
      <c r="E249" s="3"/>
      <c r="F249" s="4" t="s">
        <v>37</v>
      </c>
      <c r="G249" s="3">
        <v>0</v>
      </c>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row>
    <row r="250" spans="1:57" x14ac:dyDescent="0.25">
      <c r="A250" s="1" t="str">
        <f>'Population Definitions'!$A$10</f>
        <v>65+_males</v>
      </c>
      <c r="C250" t="s">
        <v>32</v>
      </c>
      <c r="D250" s="3"/>
      <c r="E250" s="3"/>
      <c r="F250" s="4" t="s">
        <v>37</v>
      </c>
      <c r="G250" s="3">
        <v>0</v>
      </c>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row>
    <row r="251" spans="1:57" x14ac:dyDescent="0.25">
      <c r="A251" s="1" t="str">
        <f>'Population Definitions'!$A$11</f>
        <v>65+_females</v>
      </c>
      <c r="C251" t="s">
        <v>32</v>
      </c>
      <c r="D251" s="3"/>
      <c r="E251" s="3"/>
      <c r="F251" s="4" t="s">
        <v>37</v>
      </c>
      <c r="G251" s="3">
        <v>0</v>
      </c>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row>
    <row r="252" spans="1:57" x14ac:dyDescent="0.25">
      <c r="A252" s="1" t="str">
        <f>'Population Definitions'!$A$12</f>
        <v>Prisoners_males</v>
      </c>
      <c r="C252" t="s">
        <v>32</v>
      </c>
      <c r="D252" s="3"/>
      <c r="E252" s="3"/>
      <c r="F252" s="4" t="s">
        <v>37</v>
      </c>
      <c r="G252" s="3">
        <v>0</v>
      </c>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row>
    <row r="253" spans="1:57" x14ac:dyDescent="0.25">
      <c r="A253" s="1" t="str">
        <f>'Population Definitions'!$A$13</f>
        <v>Prisoners_females</v>
      </c>
      <c r="C253" t="s">
        <v>32</v>
      </c>
      <c r="D253" s="3"/>
      <c r="E253" s="3"/>
      <c r="F253" s="4" t="s">
        <v>37</v>
      </c>
      <c r="G253" s="3">
        <v>0</v>
      </c>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row>
    <row r="254" spans="1:57" x14ac:dyDescent="0.25">
      <c r="A254" s="1" t="s">
        <v>109</v>
      </c>
      <c r="C254" t="s">
        <v>32</v>
      </c>
      <c r="D254" s="3"/>
      <c r="E254" s="3"/>
      <c r="F254" s="4" t="s">
        <v>37</v>
      </c>
      <c r="G254" s="3">
        <v>0</v>
      </c>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row>
  </sheetData>
  <conditionalFormatting sqref="E17:E29">
    <cfRule type="expression" dxfId="809" priority="1">
      <formula>COUNTIF(G17:BE17,"&lt;&gt;" &amp; "")&gt;0</formula>
    </cfRule>
    <cfRule type="expression" dxfId="808" priority="2">
      <formula>AND(COUNTIF(G17:BE17,"&lt;&gt;" &amp; "")&gt;0,NOT(ISBLANK(E17)))</formula>
    </cfRule>
  </conditionalFormatting>
  <conditionalFormatting sqref="E32:E44">
    <cfRule type="expression" dxfId="807" priority="27">
      <formula>COUNTIF(G32:BE32,"&lt;&gt;" &amp; "")&gt;0</formula>
    </cfRule>
    <cfRule type="expression" dxfId="806" priority="28">
      <formula>AND(COUNTIF(G32:BE32,"&lt;&gt;" &amp; "")&gt;0,NOT(ISBLANK(E32)))</formula>
    </cfRule>
  </conditionalFormatting>
  <conditionalFormatting sqref="E47:E59">
    <cfRule type="expression" dxfId="805" priority="53">
      <formula>COUNTIF(G47:BE47,"&lt;&gt;" &amp; "")&gt;0</formula>
    </cfRule>
    <cfRule type="expression" dxfId="804" priority="54">
      <formula>AND(COUNTIF(G47:BE47,"&lt;&gt;" &amp; "")&gt;0,NOT(ISBLANK(E47)))</formula>
    </cfRule>
  </conditionalFormatting>
  <conditionalFormatting sqref="E62:E74">
    <cfRule type="expression" dxfId="803" priority="79">
      <formula>COUNTIF(G62:BE62,"&lt;&gt;" &amp; "")&gt;0</formula>
    </cfRule>
    <cfRule type="expression" dxfId="802" priority="80">
      <formula>AND(COUNTIF(G62:BE62,"&lt;&gt;" &amp; "")&gt;0,NOT(ISBLANK(E62)))</formula>
    </cfRule>
  </conditionalFormatting>
  <conditionalFormatting sqref="E77:E89">
    <cfRule type="expression" dxfId="801" priority="105">
      <formula>COUNTIF(G77:BE77,"&lt;&gt;" &amp; "")&gt;0</formula>
    </cfRule>
    <cfRule type="expression" dxfId="800" priority="106">
      <formula>AND(COUNTIF(G77:BE77,"&lt;&gt;" &amp; "")&gt;0,NOT(ISBLANK(E77)))</formula>
    </cfRule>
  </conditionalFormatting>
  <conditionalFormatting sqref="E92:E104">
    <cfRule type="expression" dxfId="799" priority="131">
      <formula>COUNTIF(G92:BE92,"&lt;&gt;" &amp; "")&gt;0</formula>
    </cfRule>
    <cfRule type="expression" dxfId="798" priority="132">
      <formula>AND(COUNTIF(G92:BE92,"&lt;&gt;" &amp; "")&gt;0,NOT(ISBLANK(E92)))</formula>
    </cfRule>
  </conditionalFormatting>
  <conditionalFormatting sqref="E107:E119">
    <cfRule type="expression" dxfId="797" priority="157">
      <formula>COUNTIF(G107:BE107,"&lt;&gt;" &amp; "")&gt;0</formula>
    </cfRule>
    <cfRule type="expression" dxfId="796" priority="158">
      <formula>AND(COUNTIF(G107:BE107,"&lt;&gt;" &amp; "")&gt;0,NOT(ISBLANK(E107)))</formula>
    </cfRule>
  </conditionalFormatting>
  <conditionalFormatting sqref="E122:E134">
    <cfRule type="expression" dxfId="795" priority="183">
      <formula>COUNTIF(G122:BE122,"&lt;&gt;" &amp; "")&gt;0</formula>
    </cfRule>
    <cfRule type="expression" dxfId="794" priority="184">
      <formula>AND(COUNTIF(G122:BE122,"&lt;&gt;" &amp; "")&gt;0,NOT(ISBLANK(E122)))</formula>
    </cfRule>
  </conditionalFormatting>
  <conditionalFormatting sqref="E137:E149">
    <cfRule type="expression" dxfId="793" priority="209">
      <formula>COUNTIF(G137:BE137,"&lt;&gt;" &amp; "")&gt;0</formula>
    </cfRule>
    <cfRule type="expression" dxfId="792" priority="210">
      <formula>AND(COUNTIF(G137:BE137,"&lt;&gt;" &amp; "")&gt;0,NOT(ISBLANK(E137)))</formula>
    </cfRule>
  </conditionalFormatting>
  <conditionalFormatting sqref="E152:E164">
    <cfRule type="expression" dxfId="791" priority="235">
      <formula>COUNTIF(G152:BE152,"&lt;&gt;" &amp; "")&gt;0</formula>
    </cfRule>
    <cfRule type="expression" dxfId="790" priority="236">
      <formula>AND(COUNTIF(G152:BE152,"&lt;&gt;" &amp; "")&gt;0,NOT(ISBLANK(E152)))</formula>
    </cfRule>
  </conditionalFormatting>
  <conditionalFormatting sqref="E167:E179">
    <cfRule type="expression" dxfId="789" priority="261">
      <formula>COUNTIF(G167:BE167,"&lt;&gt;" &amp; "")&gt;0</formula>
    </cfRule>
    <cfRule type="expression" dxfId="788" priority="262">
      <formula>AND(COUNTIF(G167:BE167,"&lt;&gt;" &amp; "")&gt;0,NOT(ISBLANK(E167)))</formula>
    </cfRule>
  </conditionalFormatting>
  <conditionalFormatting sqref="E182:E194">
    <cfRule type="expression" dxfId="787" priority="287">
      <formula>COUNTIF(G182:BE182,"&lt;&gt;" &amp; "")&gt;0</formula>
    </cfRule>
    <cfRule type="expression" dxfId="786" priority="288">
      <formula>AND(COUNTIF(G182:BE182,"&lt;&gt;" &amp; "")&gt;0,NOT(ISBLANK(E182)))</formula>
    </cfRule>
  </conditionalFormatting>
  <conditionalFormatting sqref="E197:E209">
    <cfRule type="expression" dxfId="785" priority="313">
      <formula>COUNTIF(G197:BE197,"&lt;&gt;" &amp; "")&gt;0</formula>
    </cfRule>
    <cfRule type="expression" dxfId="784" priority="314">
      <formula>AND(COUNTIF(G197:BE197,"&lt;&gt;" &amp; "")&gt;0,NOT(ISBLANK(E197)))</formula>
    </cfRule>
  </conditionalFormatting>
  <conditionalFormatting sqref="E212:E224">
    <cfRule type="expression" dxfId="783" priority="339">
      <formula>COUNTIF(G212:BE212,"&lt;&gt;" &amp; "")&gt;0</formula>
    </cfRule>
    <cfRule type="expression" dxfId="782" priority="340">
      <formula>AND(COUNTIF(G212:BE212,"&lt;&gt;" &amp; "")&gt;0,NOT(ISBLANK(E212)))</formula>
    </cfRule>
  </conditionalFormatting>
  <conditionalFormatting sqref="E227:E239">
    <cfRule type="expression" dxfId="781" priority="365">
      <formula>COUNTIF(G227:BE227,"&lt;&gt;" &amp; "")&gt;0</formula>
    </cfRule>
    <cfRule type="expression" dxfId="780" priority="366">
      <formula>AND(COUNTIF(G227:BE227,"&lt;&gt;" &amp; "")&gt;0,NOT(ISBLANK(E227)))</formula>
    </cfRule>
  </conditionalFormatting>
  <conditionalFormatting sqref="E242:E254">
    <cfRule type="expression" dxfId="779" priority="391">
      <formula>COUNTIF(G242:BE242,"&lt;&gt;" &amp; "")&gt;0</formula>
    </cfRule>
    <cfRule type="expression" dxfId="778" priority="392">
      <formula>AND(COUNTIF(G242:BE242,"&lt;&gt;" &amp; "")&gt;0,NOT(ISBLANK(E242)))</formula>
    </cfRule>
  </conditionalFormatting>
  <dataValidations count="3">
    <dataValidation type="list" allowBlank="1" showInputMessage="1" showErrorMessage="1" sqref="C2:C14" xr:uid="{00000000-0002-0000-0A00-000000000000}">
      <formula1>"Fraction"</formula1>
    </dataValidation>
    <dataValidation type="list" allowBlank="1" showInputMessage="1" showErrorMessage="1" sqref="C242:C254 C227:C239 C212:C224 C197:C209 C182:C194 C167:C179 C77:C89 C62:C74 C47:C59 C32:C44 C17:C29" xr:uid="{00000000-0002-0000-0A00-00000D000000}">
      <formula1>"Number (per year)"</formula1>
    </dataValidation>
    <dataValidation type="list" allowBlank="1" showInputMessage="1" showErrorMessage="1" sqref="C152:C164 C137:C149 C122:C134 C107:C119 C92:C104" xr:uid="{00000000-0002-0000-0A00-00004E000000}">
      <formula1>"Number"</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08080"/>
  </sheetPr>
  <dimension ref="A1:BE1161"/>
  <sheetViews>
    <sheetView workbookViewId="0"/>
  </sheetViews>
  <sheetFormatPr defaultRowHeight="15" x14ac:dyDescent="0.25"/>
  <cols>
    <col min="1" max="1" width="84.28515625" customWidth="1"/>
    <col min="2" max="2" width="30.28515625" customWidth="1"/>
    <col min="3" max="3" width="8.28515625" customWidth="1"/>
    <col min="4" max="4" width="13.85546875" customWidth="1"/>
    <col min="5" max="5" width="10.5703125" customWidth="1"/>
    <col min="6" max="57" width="9.42578125" customWidth="1"/>
  </cols>
  <sheetData>
    <row r="1" spans="1:57" x14ac:dyDescent="0.25">
      <c r="A1" s="1" t="s">
        <v>126</v>
      </c>
      <c r="B1" s="1" t="s">
        <v>29</v>
      </c>
      <c r="C1" s="1" t="s">
        <v>30</v>
      </c>
      <c r="D1" s="1" t="s">
        <v>31</v>
      </c>
      <c r="E1" s="1">
        <v>2000</v>
      </c>
      <c r="F1" s="1">
        <v>2001</v>
      </c>
      <c r="G1" s="1">
        <v>2002</v>
      </c>
      <c r="H1" s="1">
        <v>2003</v>
      </c>
      <c r="I1" s="1">
        <v>2004</v>
      </c>
      <c r="J1" s="1">
        <v>2005</v>
      </c>
      <c r="K1" s="1">
        <v>2006</v>
      </c>
      <c r="L1" s="1">
        <v>2007</v>
      </c>
      <c r="M1" s="1">
        <v>2008</v>
      </c>
      <c r="N1" s="1">
        <v>2009</v>
      </c>
      <c r="O1" s="1">
        <v>2010</v>
      </c>
      <c r="P1" s="1">
        <v>2011</v>
      </c>
      <c r="Q1" s="1">
        <v>2012</v>
      </c>
      <c r="R1" s="1">
        <v>2013</v>
      </c>
      <c r="S1" s="1">
        <v>2014</v>
      </c>
      <c r="T1" s="1">
        <v>2015</v>
      </c>
      <c r="U1" s="1">
        <v>2016</v>
      </c>
      <c r="V1" s="1">
        <v>2017</v>
      </c>
      <c r="W1" s="1">
        <v>2018</v>
      </c>
      <c r="X1" s="1">
        <v>2019</v>
      </c>
      <c r="Y1" s="1">
        <v>2020</v>
      </c>
      <c r="Z1" s="1">
        <v>2021</v>
      </c>
      <c r="AA1" s="1">
        <v>2022</v>
      </c>
      <c r="AB1" s="1">
        <v>2023</v>
      </c>
      <c r="AC1" s="1">
        <v>2024</v>
      </c>
      <c r="AD1" s="1">
        <v>2025</v>
      </c>
      <c r="AE1" s="1">
        <v>2026</v>
      </c>
      <c r="AF1" s="1">
        <v>2027</v>
      </c>
      <c r="AG1" s="1">
        <v>2028</v>
      </c>
      <c r="AH1" s="1">
        <v>2029</v>
      </c>
      <c r="AI1" s="1">
        <v>2030</v>
      </c>
      <c r="AJ1" s="1">
        <v>2031</v>
      </c>
      <c r="AK1" s="1">
        <v>2032</v>
      </c>
      <c r="AL1" s="1">
        <v>2033</v>
      </c>
      <c r="AM1" s="1">
        <v>2034</v>
      </c>
      <c r="AN1" s="1">
        <v>2035</v>
      </c>
      <c r="AO1" s="1">
        <v>2036</v>
      </c>
      <c r="AP1" s="1">
        <v>2037</v>
      </c>
      <c r="AQ1" s="1">
        <v>2038</v>
      </c>
      <c r="AR1" s="1">
        <v>2039</v>
      </c>
      <c r="AS1" s="1">
        <v>2040</v>
      </c>
      <c r="AT1" s="1">
        <v>2041</v>
      </c>
      <c r="AU1" s="1">
        <v>2042</v>
      </c>
      <c r="AV1" s="1">
        <v>2043</v>
      </c>
      <c r="AW1" s="1">
        <v>2044</v>
      </c>
      <c r="AX1" s="1">
        <v>2045</v>
      </c>
      <c r="AY1" s="1">
        <v>2046</v>
      </c>
      <c r="AZ1" s="1">
        <v>2047</v>
      </c>
      <c r="BA1" s="1">
        <v>2048</v>
      </c>
      <c r="BB1" s="1">
        <v>2049</v>
      </c>
      <c r="BC1" s="1">
        <v>2050</v>
      </c>
    </row>
    <row r="2" spans="1:57" x14ac:dyDescent="0.25">
      <c r="A2" s="1" t="str">
        <f>'Population Definitions'!$A$2</f>
        <v>PWID_males</v>
      </c>
      <c r="C2" t="s">
        <v>32</v>
      </c>
      <c r="D2" s="3"/>
      <c r="E2" s="3">
        <v>0</v>
      </c>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row>
    <row r="3" spans="1:57" x14ac:dyDescent="0.25">
      <c r="A3" s="1" t="str">
        <f>'Population Definitions'!$A$3</f>
        <v>PWID_females</v>
      </c>
      <c r="C3" t="s">
        <v>32</v>
      </c>
      <c r="D3" s="3"/>
      <c r="E3" s="3">
        <v>0</v>
      </c>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row>
    <row r="4" spans="1:57" x14ac:dyDescent="0.25">
      <c r="A4" s="1" t="str">
        <f>'Population Definitions'!$A$4</f>
        <v>0-9_males</v>
      </c>
      <c r="C4" t="s">
        <v>32</v>
      </c>
      <c r="D4" s="3"/>
      <c r="E4" s="3">
        <v>0</v>
      </c>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row>
    <row r="5" spans="1:57" x14ac:dyDescent="0.25">
      <c r="A5" s="1" t="str">
        <f>'Population Definitions'!$A$5</f>
        <v>0-9_females</v>
      </c>
      <c r="C5" t="s">
        <v>32</v>
      </c>
      <c r="D5" s="3"/>
      <c r="E5" s="3">
        <v>0</v>
      </c>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row>
    <row r="6" spans="1:57" x14ac:dyDescent="0.25">
      <c r="A6" s="1" t="str">
        <f>'Population Definitions'!$A$6</f>
        <v>10-17_males</v>
      </c>
      <c r="C6" t="s">
        <v>32</v>
      </c>
      <c r="D6" s="3"/>
      <c r="E6" s="3">
        <v>0</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row>
    <row r="7" spans="1:57" x14ac:dyDescent="0.25">
      <c r="A7" s="1" t="str">
        <f>'Population Definitions'!$A$7</f>
        <v>10-17_females</v>
      </c>
      <c r="C7" t="s">
        <v>32</v>
      </c>
      <c r="D7" s="3"/>
      <c r="E7" s="3">
        <v>0</v>
      </c>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row>
    <row r="8" spans="1:57" x14ac:dyDescent="0.25">
      <c r="A8" s="1" t="str">
        <f>'Population Definitions'!$A$8</f>
        <v>18-64_males</v>
      </c>
      <c r="C8" t="s">
        <v>32</v>
      </c>
      <c r="D8" s="3"/>
      <c r="E8" s="3">
        <v>0</v>
      </c>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row>
    <row r="9" spans="1:57" x14ac:dyDescent="0.25">
      <c r="A9" s="1" t="str">
        <f>'Population Definitions'!$A$9</f>
        <v>18-64_females</v>
      </c>
      <c r="C9" t="s">
        <v>32</v>
      </c>
      <c r="D9" s="3"/>
      <c r="E9" s="3">
        <v>0</v>
      </c>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row>
    <row r="10" spans="1:57" x14ac:dyDescent="0.25">
      <c r="A10" s="1" t="str">
        <f>'Population Definitions'!$A$10</f>
        <v>65+_males</v>
      </c>
      <c r="C10" t="s">
        <v>32</v>
      </c>
      <c r="D10" s="3"/>
      <c r="E10" s="3">
        <v>0</v>
      </c>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row>
    <row r="11" spans="1:57" x14ac:dyDescent="0.25">
      <c r="A11" s="1" t="str">
        <f>'Population Definitions'!$A$11</f>
        <v>65+_females</v>
      </c>
      <c r="C11" t="s">
        <v>32</v>
      </c>
      <c r="D11" s="3"/>
      <c r="E11" s="3">
        <v>0</v>
      </c>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row>
    <row r="12" spans="1:57" x14ac:dyDescent="0.25">
      <c r="A12" s="1" t="str">
        <f>'Population Definitions'!$A$12</f>
        <v>Prisoners_males</v>
      </c>
      <c r="C12" t="s">
        <v>32</v>
      </c>
      <c r="D12" s="3"/>
      <c r="E12" s="3">
        <v>0</v>
      </c>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row>
    <row r="13" spans="1:57" x14ac:dyDescent="0.25">
      <c r="A13" s="1" t="str">
        <f>'Population Definitions'!$A$13</f>
        <v>Prisoners_females</v>
      </c>
      <c r="C13" t="s">
        <v>32</v>
      </c>
      <c r="D13" s="3"/>
      <c r="E13" s="3">
        <v>0</v>
      </c>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row>
    <row r="15" spans="1:57" x14ac:dyDescent="0.25">
      <c r="A15" s="1" t="s">
        <v>127</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C16" t="s">
        <v>32</v>
      </c>
      <c r="D16" s="3"/>
      <c r="E16" s="3">
        <v>1247.0941659658999</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C17" t="s">
        <v>32</v>
      </c>
      <c r="D17" s="3"/>
      <c r="E17" s="3">
        <v>6.2668048541000081</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C18" t="s">
        <v>32</v>
      </c>
      <c r="D18" s="3"/>
      <c r="E18" s="3">
        <v>0</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C19" t="s">
        <v>32</v>
      </c>
      <c r="D19" s="3"/>
      <c r="E19" s="3">
        <v>0</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C20" t="s">
        <v>32</v>
      </c>
      <c r="D20" s="3"/>
      <c r="E20" s="3">
        <v>0</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C21" t="s">
        <v>32</v>
      </c>
      <c r="D21" s="3"/>
      <c r="E21" s="3">
        <v>0</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C22" t="s">
        <v>32</v>
      </c>
      <c r="D22" s="3"/>
      <c r="E22" s="3">
        <v>155583.6658184274</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C23" t="s">
        <v>32</v>
      </c>
      <c r="D23" s="3"/>
      <c r="E23" s="3">
        <v>147869.273913012</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C24" t="s">
        <v>32</v>
      </c>
      <c r="D24" s="3"/>
      <c r="E24" s="3">
        <v>12182.051232140289</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C25" t="s">
        <v>32</v>
      </c>
      <c r="D25" s="3"/>
      <c r="E25" s="3">
        <v>10653.93631398557</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C26" t="s">
        <v>32</v>
      </c>
      <c r="D26" s="3"/>
      <c r="E26" s="3">
        <v>304.43928834916062</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C27" t="s">
        <v>32</v>
      </c>
      <c r="D27" s="3"/>
      <c r="E27" s="3">
        <v>5.232463265530189</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128</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32</v>
      </c>
      <c r="D30" s="3"/>
      <c r="E30" s="3">
        <v>249418.83319318001</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32</v>
      </c>
      <c r="D31" s="3"/>
      <c r="E31" s="3">
        <v>1253.360970820002</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32</v>
      </c>
      <c r="D32" s="3"/>
      <c r="E32" s="3">
        <v>24377903.5</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C33" t="s">
        <v>32</v>
      </c>
      <c r="D33" s="3"/>
      <c r="E33" s="3">
        <v>22808597</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C34" t="s">
        <v>32</v>
      </c>
      <c r="D34" s="3"/>
      <c r="E34" s="3">
        <v>15573281.5</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C35" t="s">
        <v>32</v>
      </c>
      <c r="D35" s="3"/>
      <c r="E35" s="3">
        <v>14706582.5</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C36" t="s">
        <v>32</v>
      </c>
      <c r="D36" s="3"/>
      <c r="E36" s="3">
        <v>31116733.163685471</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C37" t="s">
        <v>32</v>
      </c>
      <c r="D37" s="3"/>
      <c r="E37" s="3">
        <v>29573854.7826024</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C38" t="s">
        <v>32</v>
      </c>
      <c r="D38" s="3"/>
      <c r="E38" s="3">
        <v>2436410.246428058</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C39" t="s">
        <v>32</v>
      </c>
      <c r="D39" s="3"/>
      <c r="E39" s="3">
        <v>2130787.262797114</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C40" t="s">
        <v>32</v>
      </c>
      <c r="D40" s="3"/>
      <c r="E40" s="3">
        <v>60887.857669832127</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32</v>
      </c>
      <c r="D41" s="3"/>
      <c r="E41" s="3">
        <v>1046.492653106038</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129</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B44" t="s">
        <v>61</v>
      </c>
      <c r="C44" t="s">
        <v>32</v>
      </c>
      <c r="D44" s="3"/>
      <c r="E44" s="3">
        <v>0</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B45" t="s">
        <v>61</v>
      </c>
      <c r="C45" t="s">
        <v>32</v>
      </c>
      <c r="D45" s="3"/>
      <c r="E45" s="3">
        <v>0</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B46" t="s">
        <v>61</v>
      </c>
      <c r="C46" t="s">
        <v>32</v>
      </c>
      <c r="D46" s="3"/>
      <c r="E46" s="3">
        <v>0</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B47" t="s">
        <v>61</v>
      </c>
      <c r="C47" t="s">
        <v>32</v>
      </c>
      <c r="D47" s="3"/>
      <c r="E47" s="3">
        <v>0</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B48" t="s">
        <v>61</v>
      </c>
      <c r="C48" t="s">
        <v>32</v>
      </c>
      <c r="D48" s="3"/>
      <c r="E48" s="3">
        <v>0</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B49" t="s">
        <v>61</v>
      </c>
      <c r="C49" t="s">
        <v>32</v>
      </c>
      <c r="D49" s="3"/>
      <c r="E49" s="3">
        <v>0</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B50" t="s">
        <v>61</v>
      </c>
      <c r="C50" t="s">
        <v>32</v>
      </c>
      <c r="D50" s="3"/>
      <c r="E50" s="3">
        <v>0</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B51" t="s">
        <v>61</v>
      </c>
      <c r="C51" t="s">
        <v>32</v>
      </c>
      <c r="D51" s="3"/>
      <c r="E51" s="3">
        <v>0</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B52" t="s">
        <v>61</v>
      </c>
      <c r="C52" t="s">
        <v>32</v>
      </c>
      <c r="D52" s="3"/>
      <c r="E52" s="3">
        <v>0</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B53" t="s">
        <v>61</v>
      </c>
      <c r="C53" t="s">
        <v>32</v>
      </c>
      <c r="D53" s="3"/>
      <c r="E53" s="3">
        <v>0</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B54" t="s">
        <v>61</v>
      </c>
      <c r="C54" t="s">
        <v>32</v>
      </c>
      <c r="D54" s="3"/>
      <c r="E54" s="3">
        <v>0</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B55" t="s">
        <v>61</v>
      </c>
      <c r="C55" t="s">
        <v>32</v>
      </c>
      <c r="D55" s="3"/>
      <c r="E55" s="3">
        <v>0</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130</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B58" t="s">
        <v>61</v>
      </c>
      <c r="C58" t="s">
        <v>32</v>
      </c>
      <c r="D58" s="3"/>
      <c r="E58" s="3">
        <v>0</v>
      </c>
      <c r="F58" s="4" t="s">
        <v>37</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B59" t="s">
        <v>61</v>
      </c>
      <c r="C59" t="s">
        <v>32</v>
      </c>
      <c r="D59" s="3"/>
      <c r="E59" s="3">
        <v>0</v>
      </c>
      <c r="F59" s="4" t="s">
        <v>37</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B60" t="s">
        <v>61</v>
      </c>
      <c r="C60" t="s">
        <v>32</v>
      </c>
      <c r="D60" s="3"/>
      <c r="E60" s="3">
        <v>0</v>
      </c>
      <c r="F60" s="4" t="s">
        <v>37</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B61" t="s">
        <v>61</v>
      </c>
      <c r="C61" t="s">
        <v>32</v>
      </c>
      <c r="D61" s="3"/>
      <c r="E61" s="3">
        <v>0</v>
      </c>
      <c r="F61" s="4" t="s">
        <v>37</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B62" t="s">
        <v>61</v>
      </c>
      <c r="C62" t="s">
        <v>32</v>
      </c>
      <c r="D62" s="3"/>
      <c r="E62" s="3">
        <v>0</v>
      </c>
      <c r="F62" s="4" t="s">
        <v>37</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B63" t="s">
        <v>61</v>
      </c>
      <c r="C63" t="s">
        <v>32</v>
      </c>
      <c r="D63" s="3"/>
      <c r="E63" s="3">
        <v>0</v>
      </c>
      <c r="F63" s="4" t="s">
        <v>37</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B64" t="s">
        <v>61</v>
      </c>
      <c r="C64" t="s">
        <v>32</v>
      </c>
      <c r="D64" s="3"/>
      <c r="E64" s="3">
        <v>0</v>
      </c>
      <c r="F64" s="4" t="s">
        <v>37</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B65" t="s">
        <v>61</v>
      </c>
      <c r="C65" t="s">
        <v>32</v>
      </c>
      <c r="D65" s="3"/>
      <c r="E65" s="3">
        <v>0</v>
      </c>
      <c r="F65" s="4" t="s">
        <v>37</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B66" t="s">
        <v>61</v>
      </c>
      <c r="C66" t="s">
        <v>32</v>
      </c>
      <c r="D66" s="3"/>
      <c r="E66" s="3">
        <v>0</v>
      </c>
      <c r="F66" s="4" t="s">
        <v>37</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B67" t="s">
        <v>61</v>
      </c>
      <c r="C67" t="s">
        <v>32</v>
      </c>
      <c r="D67" s="3"/>
      <c r="E67" s="3">
        <v>0</v>
      </c>
      <c r="F67" s="4" t="s">
        <v>37</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B68" t="s">
        <v>61</v>
      </c>
      <c r="C68" t="s">
        <v>32</v>
      </c>
      <c r="D68" s="3"/>
      <c r="E68" s="3">
        <v>0</v>
      </c>
      <c r="F68" s="4" t="s">
        <v>37</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B69" t="s">
        <v>61</v>
      </c>
      <c r="C69" t="s">
        <v>32</v>
      </c>
      <c r="D69" s="3"/>
      <c r="E69" s="3">
        <v>0</v>
      </c>
      <c r="F69" s="4" t="s">
        <v>37</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131</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B72" t="s">
        <v>61</v>
      </c>
      <c r="C72" t="s">
        <v>32</v>
      </c>
      <c r="D72" s="3"/>
      <c r="E72" s="3">
        <v>0</v>
      </c>
      <c r="F72" s="4" t="s">
        <v>37</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B73" t="s">
        <v>61</v>
      </c>
      <c r="C73" t="s">
        <v>32</v>
      </c>
      <c r="D73" s="3"/>
      <c r="E73" s="3">
        <v>0</v>
      </c>
      <c r="F73" s="4" t="s">
        <v>37</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B74" t="s">
        <v>61</v>
      </c>
      <c r="C74" t="s">
        <v>32</v>
      </c>
      <c r="D74" s="3"/>
      <c r="E74" s="3">
        <v>0</v>
      </c>
      <c r="F74" s="4" t="s">
        <v>37</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B75" t="s">
        <v>61</v>
      </c>
      <c r="C75" t="s">
        <v>32</v>
      </c>
      <c r="D75" s="3"/>
      <c r="E75" s="3">
        <v>0</v>
      </c>
      <c r="F75" s="4" t="s">
        <v>37</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B76" t="s">
        <v>61</v>
      </c>
      <c r="C76" t="s">
        <v>32</v>
      </c>
      <c r="D76" s="3"/>
      <c r="E76" s="3">
        <v>0</v>
      </c>
      <c r="F76" s="4" t="s">
        <v>37</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B77" t="s">
        <v>61</v>
      </c>
      <c r="C77" t="s">
        <v>32</v>
      </c>
      <c r="D77" s="3"/>
      <c r="E77" s="3">
        <v>0</v>
      </c>
      <c r="F77" s="4" t="s">
        <v>37</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B78" t="s">
        <v>61</v>
      </c>
      <c r="C78" t="s">
        <v>32</v>
      </c>
      <c r="D78" s="3"/>
      <c r="E78" s="3">
        <v>0</v>
      </c>
      <c r="F78" s="4" t="s">
        <v>37</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B79" t="s">
        <v>61</v>
      </c>
      <c r="C79" t="s">
        <v>32</v>
      </c>
      <c r="D79" s="3"/>
      <c r="E79" s="3">
        <v>0</v>
      </c>
      <c r="F79" s="4" t="s">
        <v>37</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B80" t="s">
        <v>61</v>
      </c>
      <c r="C80" t="s">
        <v>32</v>
      </c>
      <c r="D80" s="3"/>
      <c r="E80" s="3">
        <v>0</v>
      </c>
      <c r="F80" s="4" t="s">
        <v>37</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B81" t="s">
        <v>61</v>
      </c>
      <c r="C81" t="s">
        <v>32</v>
      </c>
      <c r="D81" s="3"/>
      <c r="E81" s="3">
        <v>0</v>
      </c>
      <c r="F81" s="4" t="s">
        <v>37</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B82" t="s">
        <v>61</v>
      </c>
      <c r="C82" t="s">
        <v>32</v>
      </c>
      <c r="D82" s="3"/>
      <c r="E82" s="3">
        <v>0</v>
      </c>
      <c r="F82" s="4" t="s">
        <v>37</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B83" t="s">
        <v>61</v>
      </c>
      <c r="C83" t="s">
        <v>32</v>
      </c>
      <c r="D83" s="3"/>
      <c r="E83" s="3">
        <v>0</v>
      </c>
      <c r="F83" s="4" t="s">
        <v>37</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row r="85" spans="1:57" x14ac:dyDescent="0.25">
      <c r="A85" s="1" t="s">
        <v>132</v>
      </c>
      <c r="B85" s="1" t="s">
        <v>29</v>
      </c>
      <c r="C85" s="1" t="s">
        <v>30</v>
      </c>
      <c r="D85" s="1" t="s">
        <v>31</v>
      </c>
      <c r="E85" s="1" t="s">
        <v>36</v>
      </c>
      <c r="F85" s="1"/>
      <c r="G85" s="1">
        <v>2000</v>
      </c>
      <c r="H85" s="1">
        <v>2001</v>
      </c>
      <c r="I85" s="1">
        <v>2002</v>
      </c>
      <c r="J85" s="1">
        <v>2003</v>
      </c>
      <c r="K85" s="1">
        <v>2004</v>
      </c>
      <c r="L85" s="1">
        <v>2005</v>
      </c>
      <c r="M85" s="1">
        <v>2006</v>
      </c>
      <c r="N85" s="1">
        <v>2007</v>
      </c>
      <c r="O85" s="1">
        <v>2008</v>
      </c>
      <c r="P85" s="1">
        <v>2009</v>
      </c>
      <c r="Q85" s="1">
        <v>2010</v>
      </c>
      <c r="R85" s="1">
        <v>2011</v>
      </c>
      <c r="S85" s="1">
        <v>2012</v>
      </c>
      <c r="T85" s="1">
        <v>2013</v>
      </c>
      <c r="U85" s="1">
        <v>2014</v>
      </c>
      <c r="V85" s="1">
        <v>2015</v>
      </c>
      <c r="W85" s="1">
        <v>2016</v>
      </c>
      <c r="X85" s="1">
        <v>2017</v>
      </c>
      <c r="Y85" s="1">
        <v>2018</v>
      </c>
      <c r="Z85" s="1">
        <v>2019</v>
      </c>
      <c r="AA85" s="1">
        <v>2020</v>
      </c>
      <c r="AB85" s="1">
        <v>2021</v>
      </c>
      <c r="AC85" s="1">
        <v>2022</v>
      </c>
      <c r="AD85" s="1">
        <v>2023</v>
      </c>
      <c r="AE85" s="1">
        <v>2024</v>
      </c>
      <c r="AF85" s="1">
        <v>2025</v>
      </c>
      <c r="AG85" s="1">
        <v>2026</v>
      </c>
      <c r="AH85" s="1">
        <v>2027</v>
      </c>
      <c r="AI85" s="1">
        <v>2028</v>
      </c>
      <c r="AJ85" s="1">
        <v>2029</v>
      </c>
      <c r="AK85" s="1">
        <v>2030</v>
      </c>
      <c r="AL85" s="1">
        <v>2031</v>
      </c>
      <c r="AM85" s="1">
        <v>2032</v>
      </c>
      <c r="AN85" s="1">
        <v>2033</v>
      </c>
      <c r="AO85" s="1">
        <v>2034</v>
      </c>
      <c r="AP85" s="1">
        <v>2035</v>
      </c>
      <c r="AQ85" s="1">
        <v>2036</v>
      </c>
      <c r="AR85" s="1">
        <v>2037</v>
      </c>
      <c r="AS85" s="1">
        <v>2038</v>
      </c>
      <c r="AT85" s="1">
        <v>2039</v>
      </c>
      <c r="AU85" s="1">
        <v>2040</v>
      </c>
      <c r="AV85" s="1">
        <v>2041</v>
      </c>
      <c r="AW85" s="1">
        <v>2042</v>
      </c>
      <c r="AX85" s="1">
        <v>2043</v>
      </c>
      <c r="AY85" s="1">
        <v>2044</v>
      </c>
      <c r="AZ85" s="1">
        <v>2045</v>
      </c>
      <c r="BA85" s="1">
        <v>2046</v>
      </c>
      <c r="BB85" s="1">
        <v>2047</v>
      </c>
      <c r="BC85" s="1">
        <v>2048</v>
      </c>
      <c r="BD85" s="1">
        <v>2049</v>
      </c>
      <c r="BE85" s="1">
        <v>2050</v>
      </c>
    </row>
    <row r="86" spans="1:57" x14ac:dyDescent="0.25">
      <c r="A86" s="1" t="str">
        <f>'Population Definitions'!$A$2</f>
        <v>PWID_males</v>
      </c>
      <c r="B86" t="s">
        <v>61</v>
      </c>
      <c r="C86" t="s">
        <v>32</v>
      </c>
      <c r="D86" s="3"/>
      <c r="E86" s="3">
        <v>0</v>
      </c>
      <c r="F86" s="4" t="s">
        <v>37</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row>
    <row r="87" spans="1:57" x14ac:dyDescent="0.25">
      <c r="A87" s="1" t="str">
        <f>'Population Definitions'!$A$3</f>
        <v>PWID_females</v>
      </c>
      <c r="B87" t="s">
        <v>61</v>
      </c>
      <c r="C87" t="s">
        <v>32</v>
      </c>
      <c r="D87" s="3"/>
      <c r="E87" s="3">
        <v>0</v>
      </c>
      <c r="F87" s="4" t="s">
        <v>37</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row>
    <row r="88" spans="1:57" x14ac:dyDescent="0.25">
      <c r="A88" s="1" t="str">
        <f>'Population Definitions'!$A$4</f>
        <v>0-9_males</v>
      </c>
      <c r="B88" t="s">
        <v>61</v>
      </c>
      <c r="C88" t="s">
        <v>32</v>
      </c>
      <c r="D88" s="3"/>
      <c r="E88" s="3">
        <v>0</v>
      </c>
      <c r="F88" s="4" t="s">
        <v>37</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row>
    <row r="89" spans="1:57" x14ac:dyDescent="0.25">
      <c r="A89" s="1" t="str">
        <f>'Population Definitions'!$A$5</f>
        <v>0-9_females</v>
      </c>
      <c r="B89" t="s">
        <v>61</v>
      </c>
      <c r="C89" t="s">
        <v>32</v>
      </c>
      <c r="D89" s="3"/>
      <c r="E89" s="3">
        <v>0</v>
      </c>
      <c r="F89" s="4" t="s">
        <v>37</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row>
    <row r="90" spans="1:57" x14ac:dyDescent="0.25">
      <c r="A90" s="1" t="str">
        <f>'Population Definitions'!$A$6</f>
        <v>10-17_males</v>
      </c>
      <c r="B90" t="s">
        <v>61</v>
      </c>
      <c r="C90" t="s">
        <v>32</v>
      </c>
      <c r="D90" s="3"/>
      <c r="E90" s="3">
        <v>0</v>
      </c>
      <c r="F90" s="4" t="s">
        <v>37</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row>
    <row r="91" spans="1:57" x14ac:dyDescent="0.25">
      <c r="A91" s="1" t="str">
        <f>'Population Definitions'!$A$7</f>
        <v>10-17_females</v>
      </c>
      <c r="B91" t="s">
        <v>61</v>
      </c>
      <c r="C91" t="s">
        <v>32</v>
      </c>
      <c r="D91" s="3"/>
      <c r="E91" s="3">
        <v>0</v>
      </c>
      <c r="F91" s="4" t="s">
        <v>37</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row>
    <row r="92" spans="1:57" x14ac:dyDescent="0.25">
      <c r="A92" s="1" t="str">
        <f>'Population Definitions'!$A$8</f>
        <v>18-64_males</v>
      </c>
      <c r="B92" t="s">
        <v>61</v>
      </c>
      <c r="C92" t="s">
        <v>32</v>
      </c>
      <c r="D92" s="3"/>
      <c r="E92" s="3">
        <v>0</v>
      </c>
      <c r="F92" s="4" t="s">
        <v>37</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row>
    <row r="93" spans="1:57" x14ac:dyDescent="0.25">
      <c r="A93" s="1" t="str">
        <f>'Population Definitions'!$A$9</f>
        <v>18-64_females</v>
      </c>
      <c r="B93" t="s">
        <v>61</v>
      </c>
      <c r="C93" t="s">
        <v>32</v>
      </c>
      <c r="D93" s="3"/>
      <c r="E93" s="3">
        <v>0</v>
      </c>
      <c r="F93" s="4" t="s">
        <v>37</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row>
    <row r="94" spans="1:57" x14ac:dyDescent="0.25">
      <c r="A94" s="1" t="str">
        <f>'Population Definitions'!$A$10</f>
        <v>65+_males</v>
      </c>
      <c r="B94" t="s">
        <v>61</v>
      </c>
      <c r="C94" t="s">
        <v>32</v>
      </c>
      <c r="D94" s="3"/>
      <c r="E94" s="3">
        <v>0</v>
      </c>
      <c r="F94" s="4" t="s">
        <v>37</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row>
    <row r="95" spans="1:57" x14ac:dyDescent="0.25">
      <c r="A95" s="1" t="str">
        <f>'Population Definitions'!$A$11</f>
        <v>65+_females</v>
      </c>
      <c r="B95" t="s">
        <v>61</v>
      </c>
      <c r="C95" t="s">
        <v>32</v>
      </c>
      <c r="D95" s="3"/>
      <c r="E95" s="3">
        <v>0</v>
      </c>
      <c r="F95" s="4" t="s">
        <v>37</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row>
    <row r="96" spans="1:57" x14ac:dyDescent="0.25">
      <c r="A96" s="1" t="str">
        <f>'Population Definitions'!$A$12</f>
        <v>Prisoners_males</v>
      </c>
      <c r="B96" t="s">
        <v>61</v>
      </c>
      <c r="C96" t="s">
        <v>32</v>
      </c>
      <c r="D96" s="3"/>
      <c r="E96" s="3">
        <v>0</v>
      </c>
      <c r="F96" s="4" t="s">
        <v>37</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row>
    <row r="97" spans="1:57" x14ac:dyDescent="0.25">
      <c r="A97" s="1" t="str">
        <f>'Population Definitions'!$A$13</f>
        <v>Prisoners_females</v>
      </c>
      <c r="B97" t="s">
        <v>61</v>
      </c>
      <c r="C97" t="s">
        <v>32</v>
      </c>
      <c r="D97" s="3"/>
      <c r="E97" s="3">
        <v>0</v>
      </c>
      <c r="F97" s="4" t="s">
        <v>37</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row>
    <row r="99" spans="1:57" x14ac:dyDescent="0.25">
      <c r="A99" s="1" t="s">
        <v>133</v>
      </c>
      <c r="B99" s="1" t="s">
        <v>29</v>
      </c>
      <c r="C99" s="1" t="s">
        <v>30</v>
      </c>
      <c r="D99" s="1" t="s">
        <v>31</v>
      </c>
      <c r="E99" s="1" t="s">
        <v>36</v>
      </c>
      <c r="F99" s="1"/>
      <c r="G99" s="1">
        <v>2000</v>
      </c>
      <c r="H99" s="1">
        <v>2001</v>
      </c>
      <c r="I99" s="1">
        <v>2002</v>
      </c>
      <c r="J99" s="1">
        <v>2003</v>
      </c>
      <c r="K99" s="1">
        <v>2004</v>
      </c>
      <c r="L99" s="1">
        <v>2005</v>
      </c>
      <c r="M99" s="1">
        <v>2006</v>
      </c>
      <c r="N99" s="1">
        <v>2007</v>
      </c>
      <c r="O99" s="1">
        <v>2008</v>
      </c>
      <c r="P99" s="1">
        <v>2009</v>
      </c>
      <c r="Q99" s="1">
        <v>2010</v>
      </c>
      <c r="R99" s="1">
        <v>2011</v>
      </c>
      <c r="S99" s="1">
        <v>2012</v>
      </c>
      <c r="T99" s="1">
        <v>2013</v>
      </c>
      <c r="U99" s="1">
        <v>2014</v>
      </c>
      <c r="V99" s="1">
        <v>2015</v>
      </c>
      <c r="W99" s="1">
        <v>2016</v>
      </c>
      <c r="X99" s="1">
        <v>2017</v>
      </c>
      <c r="Y99" s="1">
        <v>2018</v>
      </c>
      <c r="Z99" s="1">
        <v>2019</v>
      </c>
      <c r="AA99" s="1">
        <v>2020</v>
      </c>
      <c r="AB99" s="1">
        <v>2021</v>
      </c>
      <c r="AC99" s="1">
        <v>2022</v>
      </c>
      <c r="AD99" s="1">
        <v>2023</v>
      </c>
      <c r="AE99" s="1">
        <v>2024</v>
      </c>
      <c r="AF99" s="1">
        <v>2025</v>
      </c>
      <c r="AG99" s="1">
        <v>2026</v>
      </c>
      <c r="AH99" s="1">
        <v>2027</v>
      </c>
      <c r="AI99" s="1">
        <v>2028</v>
      </c>
      <c r="AJ99" s="1">
        <v>2029</v>
      </c>
      <c r="AK99" s="1">
        <v>2030</v>
      </c>
      <c r="AL99" s="1">
        <v>2031</v>
      </c>
      <c r="AM99" s="1">
        <v>2032</v>
      </c>
      <c r="AN99" s="1">
        <v>2033</v>
      </c>
      <c r="AO99" s="1">
        <v>2034</v>
      </c>
      <c r="AP99" s="1">
        <v>2035</v>
      </c>
      <c r="AQ99" s="1">
        <v>2036</v>
      </c>
      <c r="AR99" s="1">
        <v>2037</v>
      </c>
      <c r="AS99" s="1">
        <v>2038</v>
      </c>
      <c r="AT99" s="1">
        <v>2039</v>
      </c>
      <c r="AU99" s="1">
        <v>2040</v>
      </c>
      <c r="AV99" s="1">
        <v>2041</v>
      </c>
      <c r="AW99" s="1">
        <v>2042</v>
      </c>
      <c r="AX99" s="1">
        <v>2043</v>
      </c>
      <c r="AY99" s="1">
        <v>2044</v>
      </c>
      <c r="AZ99" s="1">
        <v>2045</v>
      </c>
      <c r="BA99" s="1">
        <v>2046</v>
      </c>
      <c r="BB99" s="1">
        <v>2047</v>
      </c>
      <c r="BC99" s="1">
        <v>2048</v>
      </c>
      <c r="BD99" s="1">
        <v>2049</v>
      </c>
      <c r="BE99" s="1">
        <v>2050</v>
      </c>
    </row>
    <row r="100" spans="1:57" x14ac:dyDescent="0.25">
      <c r="A100" s="1" t="str">
        <f>'Population Definitions'!$A$2</f>
        <v>PWID_males</v>
      </c>
      <c r="B100" t="s">
        <v>61</v>
      </c>
      <c r="C100" t="s">
        <v>32</v>
      </c>
      <c r="D100" s="3"/>
      <c r="E100" s="3">
        <v>0</v>
      </c>
      <c r="F100" s="4" t="s">
        <v>37</v>
      </c>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row>
    <row r="101" spans="1:57" x14ac:dyDescent="0.25">
      <c r="A101" s="1" t="str">
        <f>'Population Definitions'!$A$3</f>
        <v>PWID_females</v>
      </c>
      <c r="B101" t="s">
        <v>61</v>
      </c>
      <c r="C101" t="s">
        <v>32</v>
      </c>
      <c r="D101" s="3"/>
      <c r="E101" s="3">
        <v>0</v>
      </c>
      <c r="F101" s="4" t="s">
        <v>37</v>
      </c>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row>
    <row r="102" spans="1:57" x14ac:dyDescent="0.25">
      <c r="A102" s="1" t="str">
        <f>'Population Definitions'!$A$4</f>
        <v>0-9_males</v>
      </c>
      <c r="B102" t="s">
        <v>61</v>
      </c>
      <c r="C102" t="s">
        <v>32</v>
      </c>
      <c r="D102" s="3"/>
      <c r="E102" s="3">
        <v>0</v>
      </c>
      <c r="F102" s="4" t="s">
        <v>37</v>
      </c>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row>
    <row r="103" spans="1:57" x14ac:dyDescent="0.25">
      <c r="A103" s="1" t="str">
        <f>'Population Definitions'!$A$5</f>
        <v>0-9_females</v>
      </c>
      <c r="B103" t="s">
        <v>61</v>
      </c>
      <c r="C103" t="s">
        <v>32</v>
      </c>
      <c r="D103" s="3"/>
      <c r="E103" s="3">
        <v>0</v>
      </c>
      <c r="F103" s="4" t="s">
        <v>37</v>
      </c>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row>
    <row r="104" spans="1:57" x14ac:dyDescent="0.25">
      <c r="A104" s="1" t="str">
        <f>'Population Definitions'!$A$6</f>
        <v>10-17_males</v>
      </c>
      <c r="B104" t="s">
        <v>61</v>
      </c>
      <c r="C104" t="s">
        <v>32</v>
      </c>
      <c r="D104" s="3"/>
      <c r="E104" s="3">
        <v>0</v>
      </c>
      <c r="F104" s="4" t="s">
        <v>37</v>
      </c>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row>
    <row r="105" spans="1:57" x14ac:dyDescent="0.25">
      <c r="A105" s="1" t="str">
        <f>'Population Definitions'!$A$7</f>
        <v>10-17_females</v>
      </c>
      <c r="B105" t="s">
        <v>61</v>
      </c>
      <c r="C105" t="s">
        <v>32</v>
      </c>
      <c r="D105" s="3"/>
      <c r="E105" s="3">
        <v>0</v>
      </c>
      <c r="F105" s="4" t="s">
        <v>37</v>
      </c>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row>
    <row r="106" spans="1:57" x14ac:dyDescent="0.25">
      <c r="A106" s="1" t="str">
        <f>'Population Definitions'!$A$8</f>
        <v>18-64_males</v>
      </c>
      <c r="B106" t="s">
        <v>61</v>
      </c>
      <c r="C106" t="s">
        <v>32</v>
      </c>
      <c r="D106" s="3"/>
      <c r="E106" s="3">
        <v>0</v>
      </c>
      <c r="F106" s="4" t="s">
        <v>37</v>
      </c>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row>
    <row r="107" spans="1:57" x14ac:dyDescent="0.25">
      <c r="A107" s="1" t="str">
        <f>'Population Definitions'!$A$9</f>
        <v>18-64_females</v>
      </c>
      <c r="B107" t="s">
        <v>61</v>
      </c>
      <c r="C107" t="s">
        <v>32</v>
      </c>
      <c r="D107" s="3"/>
      <c r="E107" s="3">
        <v>0</v>
      </c>
      <c r="F107" s="4" t="s">
        <v>37</v>
      </c>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row>
    <row r="108" spans="1:57" x14ac:dyDescent="0.25">
      <c r="A108" s="1" t="str">
        <f>'Population Definitions'!$A$10</f>
        <v>65+_males</v>
      </c>
      <c r="B108" t="s">
        <v>61</v>
      </c>
      <c r="C108" t="s">
        <v>32</v>
      </c>
      <c r="D108" s="3"/>
      <c r="E108" s="3">
        <v>0</v>
      </c>
      <c r="F108" s="4" t="s">
        <v>37</v>
      </c>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row>
    <row r="109" spans="1:57" x14ac:dyDescent="0.25">
      <c r="A109" s="1" t="str">
        <f>'Population Definitions'!$A$11</f>
        <v>65+_females</v>
      </c>
      <c r="B109" t="s">
        <v>61</v>
      </c>
      <c r="C109" t="s">
        <v>32</v>
      </c>
      <c r="D109" s="3"/>
      <c r="E109" s="3">
        <v>0</v>
      </c>
      <c r="F109" s="4" t="s">
        <v>37</v>
      </c>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row>
    <row r="110" spans="1:57" x14ac:dyDescent="0.25">
      <c r="A110" s="1" t="str">
        <f>'Population Definitions'!$A$12</f>
        <v>Prisoners_males</v>
      </c>
      <c r="B110" t="s">
        <v>61</v>
      </c>
      <c r="C110" t="s">
        <v>32</v>
      </c>
      <c r="D110" s="3"/>
      <c r="E110" s="3">
        <v>0</v>
      </c>
      <c r="F110" s="4" t="s">
        <v>37</v>
      </c>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row>
    <row r="111" spans="1:57" x14ac:dyDescent="0.25">
      <c r="A111" s="1" t="str">
        <f>'Population Definitions'!$A$13</f>
        <v>Prisoners_females</v>
      </c>
      <c r="B111" t="s">
        <v>61</v>
      </c>
      <c r="C111" t="s">
        <v>32</v>
      </c>
      <c r="D111" s="3"/>
      <c r="E111" s="3">
        <v>0</v>
      </c>
      <c r="F111" s="4" t="s">
        <v>37</v>
      </c>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row>
    <row r="113" spans="1:57" x14ac:dyDescent="0.25">
      <c r="A113" s="1" t="s">
        <v>134</v>
      </c>
      <c r="B113" s="1" t="s">
        <v>29</v>
      </c>
      <c r="C113" s="1" t="s">
        <v>30</v>
      </c>
      <c r="D113" s="1" t="s">
        <v>31</v>
      </c>
      <c r="E113" s="1" t="s">
        <v>36</v>
      </c>
      <c r="F113" s="1"/>
      <c r="G113" s="1">
        <v>2000</v>
      </c>
      <c r="H113" s="1">
        <v>2001</v>
      </c>
      <c r="I113" s="1">
        <v>2002</v>
      </c>
      <c r="J113" s="1">
        <v>2003</v>
      </c>
      <c r="K113" s="1">
        <v>2004</v>
      </c>
      <c r="L113" s="1">
        <v>2005</v>
      </c>
      <c r="M113" s="1">
        <v>2006</v>
      </c>
      <c r="N113" s="1">
        <v>2007</v>
      </c>
      <c r="O113" s="1">
        <v>2008</v>
      </c>
      <c r="P113" s="1">
        <v>2009</v>
      </c>
      <c r="Q113" s="1">
        <v>2010</v>
      </c>
      <c r="R113" s="1">
        <v>2011</v>
      </c>
      <c r="S113" s="1">
        <v>2012</v>
      </c>
      <c r="T113" s="1">
        <v>2013</v>
      </c>
      <c r="U113" s="1">
        <v>2014</v>
      </c>
      <c r="V113" s="1">
        <v>2015</v>
      </c>
      <c r="W113" s="1">
        <v>2016</v>
      </c>
      <c r="X113" s="1">
        <v>2017</v>
      </c>
      <c r="Y113" s="1">
        <v>2018</v>
      </c>
      <c r="Z113" s="1">
        <v>2019</v>
      </c>
      <c r="AA113" s="1">
        <v>2020</v>
      </c>
      <c r="AB113" s="1">
        <v>2021</v>
      </c>
      <c r="AC113" s="1">
        <v>2022</v>
      </c>
      <c r="AD113" s="1">
        <v>2023</v>
      </c>
      <c r="AE113" s="1">
        <v>2024</v>
      </c>
      <c r="AF113" s="1">
        <v>2025</v>
      </c>
      <c r="AG113" s="1">
        <v>2026</v>
      </c>
      <c r="AH113" s="1">
        <v>2027</v>
      </c>
      <c r="AI113" s="1">
        <v>2028</v>
      </c>
      <c r="AJ113" s="1">
        <v>2029</v>
      </c>
      <c r="AK113" s="1">
        <v>2030</v>
      </c>
      <c r="AL113" s="1">
        <v>2031</v>
      </c>
      <c r="AM113" s="1">
        <v>2032</v>
      </c>
      <c r="AN113" s="1">
        <v>2033</v>
      </c>
      <c r="AO113" s="1">
        <v>2034</v>
      </c>
      <c r="AP113" s="1">
        <v>2035</v>
      </c>
      <c r="AQ113" s="1">
        <v>2036</v>
      </c>
      <c r="AR113" s="1">
        <v>2037</v>
      </c>
      <c r="AS113" s="1">
        <v>2038</v>
      </c>
      <c r="AT113" s="1">
        <v>2039</v>
      </c>
      <c r="AU113" s="1">
        <v>2040</v>
      </c>
      <c r="AV113" s="1">
        <v>2041</v>
      </c>
      <c r="AW113" s="1">
        <v>2042</v>
      </c>
      <c r="AX113" s="1">
        <v>2043</v>
      </c>
      <c r="AY113" s="1">
        <v>2044</v>
      </c>
      <c r="AZ113" s="1">
        <v>2045</v>
      </c>
      <c r="BA113" s="1">
        <v>2046</v>
      </c>
      <c r="BB113" s="1">
        <v>2047</v>
      </c>
      <c r="BC113" s="1">
        <v>2048</v>
      </c>
      <c r="BD113" s="1">
        <v>2049</v>
      </c>
      <c r="BE113" s="1">
        <v>2050</v>
      </c>
    </row>
    <row r="114" spans="1:57" x14ac:dyDescent="0.25">
      <c r="A114" s="1" t="str">
        <f>'Population Definitions'!$A$2</f>
        <v>PWID_males</v>
      </c>
      <c r="B114" t="s">
        <v>61</v>
      </c>
      <c r="C114" t="s">
        <v>32</v>
      </c>
      <c r="D114" s="3"/>
      <c r="E114" s="3">
        <v>0</v>
      </c>
      <c r="F114" s="4" t="s">
        <v>37</v>
      </c>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row>
    <row r="115" spans="1:57" x14ac:dyDescent="0.25">
      <c r="A115" s="1" t="str">
        <f>'Population Definitions'!$A$3</f>
        <v>PWID_females</v>
      </c>
      <c r="B115" t="s">
        <v>61</v>
      </c>
      <c r="C115" t="s">
        <v>32</v>
      </c>
      <c r="D115" s="3"/>
      <c r="E115" s="3">
        <v>0</v>
      </c>
      <c r="F115" s="4" t="s">
        <v>37</v>
      </c>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row>
    <row r="116" spans="1:57" x14ac:dyDescent="0.25">
      <c r="A116" s="1" t="str">
        <f>'Population Definitions'!$A$4</f>
        <v>0-9_males</v>
      </c>
      <c r="B116" t="s">
        <v>61</v>
      </c>
      <c r="C116" t="s">
        <v>32</v>
      </c>
      <c r="D116" s="3"/>
      <c r="E116" s="3">
        <v>0</v>
      </c>
      <c r="F116" s="4" t="s">
        <v>37</v>
      </c>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row>
    <row r="117" spans="1:57" x14ac:dyDescent="0.25">
      <c r="A117" s="1" t="str">
        <f>'Population Definitions'!$A$5</f>
        <v>0-9_females</v>
      </c>
      <c r="B117" t="s">
        <v>61</v>
      </c>
      <c r="C117" t="s">
        <v>32</v>
      </c>
      <c r="D117" s="3"/>
      <c r="E117" s="3">
        <v>0</v>
      </c>
      <c r="F117" s="4" t="s">
        <v>37</v>
      </c>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row>
    <row r="118" spans="1:57" x14ac:dyDescent="0.25">
      <c r="A118" s="1" t="str">
        <f>'Population Definitions'!$A$6</f>
        <v>10-17_males</v>
      </c>
      <c r="B118" t="s">
        <v>61</v>
      </c>
      <c r="C118" t="s">
        <v>32</v>
      </c>
      <c r="D118" s="3"/>
      <c r="E118" s="3">
        <v>0</v>
      </c>
      <c r="F118" s="4" t="s">
        <v>37</v>
      </c>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row>
    <row r="119" spans="1:57" x14ac:dyDescent="0.25">
      <c r="A119" s="1" t="str">
        <f>'Population Definitions'!$A$7</f>
        <v>10-17_females</v>
      </c>
      <c r="B119" t="s">
        <v>61</v>
      </c>
      <c r="C119" t="s">
        <v>32</v>
      </c>
      <c r="D119" s="3"/>
      <c r="E119" s="3">
        <v>0</v>
      </c>
      <c r="F119" s="4" t="s">
        <v>37</v>
      </c>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row>
    <row r="120" spans="1:57" x14ac:dyDescent="0.25">
      <c r="A120" s="1" t="str">
        <f>'Population Definitions'!$A$8</f>
        <v>18-64_males</v>
      </c>
      <c r="B120" t="s">
        <v>61</v>
      </c>
      <c r="C120" t="s">
        <v>32</v>
      </c>
      <c r="D120" s="3"/>
      <c r="E120" s="3">
        <v>0</v>
      </c>
      <c r="F120" s="4" t="s">
        <v>37</v>
      </c>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row>
    <row r="121" spans="1:57" x14ac:dyDescent="0.25">
      <c r="A121" s="1" t="str">
        <f>'Population Definitions'!$A$9</f>
        <v>18-64_females</v>
      </c>
      <c r="B121" t="s">
        <v>61</v>
      </c>
      <c r="C121" t="s">
        <v>32</v>
      </c>
      <c r="D121" s="3"/>
      <c r="E121" s="3">
        <v>0</v>
      </c>
      <c r="F121" s="4" t="s">
        <v>37</v>
      </c>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row>
    <row r="122" spans="1:57" x14ac:dyDescent="0.25">
      <c r="A122" s="1" t="str">
        <f>'Population Definitions'!$A$10</f>
        <v>65+_males</v>
      </c>
      <c r="B122" t="s">
        <v>61</v>
      </c>
      <c r="C122" t="s">
        <v>32</v>
      </c>
      <c r="D122" s="3"/>
      <c r="E122" s="3">
        <v>0</v>
      </c>
      <c r="F122" s="4" t="s">
        <v>37</v>
      </c>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row>
    <row r="123" spans="1:57" x14ac:dyDescent="0.25">
      <c r="A123" s="1" t="str">
        <f>'Population Definitions'!$A$11</f>
        <v>65+_females</v>
      </c>
      <c r="B123" t="s">
        <v>61</v>
      </c>
      <c r="C123" t="s">
        <v>32</v>
      </c>
      <c r="D123" s="3"/>
      <c r="E123" s="3">
        <v>0</v>
      </c>
      <c r="F123" s="4" t="s">
        <v>37</v>
      </c>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row>
    <row r="124" spans="1:57" x14ac:dyDescent="0.25">
      <c r="A124" s="1" t="str">
        <f>'Population Definitions'!$A$12</f>
        <v>Prisoners_males</v>
      </c>
      <c r="B124" t="s">
        <v>61</v>
      </c>
      <c r="C124" t="s">
        <v>32</v>
      </c>
      <c r="D124" s="3"/>
      <c r="E124" s="3">
        <v>0</v>
      </c>
      <c r="F124" s="4" t="s">
        <v>37</v>
      </c>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row>
    <row r="125" spans="1:57" x14ac:dyDescent="0.25">
      <c r="A125" s="1" t="str">
        <f>'Population Definitions'!$A$13</f>
        <v>Prisoners_females</v>
      </c>
      <c r="B125" t="s">
        <v>61</v>
      </c>
      <c r="C125" t="s">
        <v>32</v>
      </c>
      <c r="D125" s="3"/>
      <c r="E125" s="3">
        <v>0</v>
      </c>
      <c r="F125" s="4" t="s">
        <v>37</v>
      </c>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row>
    <row r="127" spans="1:57" x14ac:dyDescent="0.25">
      <c r="A127" s="1" t="s">
        <v>135</v>
      </c>
      <c r="B127" s="1" t="s">
        <v>29</v>
      </c>
      <c r="C127" s="1" t="s">
        <v>30</v>
      </c>
      <c r="D127" s="1" t="s">
        <v>31</v>
      </c>
      <c r="E127" s="1" t="s">
        <v>36</v>
      </c>
      <c r="F127" s="1"/>
      <c r="G127" s="1">
        <v>2000</v>
      </c>
      <c r="H127" s="1">
        <v>2001</v>
      </c>
      <c r="I127" s="1">
        <v>2002</v>
      </c>
      <c r="J127" s="1">
        <v>2003</v>
      </c>
      <c r="K127" s="1">
        <v>2004</v>
      </c>
      <c r="L127" s="1">
        <v>2005</v>
      </c>
      <c r="M127" s="1">
        <v>2006</v>
      </c>
      <c r="N127" s="1">
        <v>2007</v>
      </c>
      <c r="O127" s="1">
        <v>2008</v>
      </c>
      <c r="P127" s="1">
        <v>2009</v>
      </c>
      <c r="Q127" s="1">
        <v>2010</v>
      </c>
      <c r="R127" s="1">
        <v>2011</v>
      </c>
      <c r="S127" s="1">
        <v>2012</v>
      </c>
      <c r="T127" s="1">
        <v>2013</v>
      </c>
      <c r="U127" s="1">
        <v>2014</v>
      </c>
      <c r="V127" s="1">
        <v>2015</v>
      </c>
      <c r="W127" s="1">
        <v>2016</v>
      </c>
      <c r="X127" s="1">
        <v>2017</v>
      </c>
      <c r="Y127" s="1">
        <v>2018</v>
      </c>
      <c r="Z127" s="1">
        <v>2019</v>
      </c>
      <c r="AA127" s="1">
        <v>2020</v>
      </c>
      <c r="AB127" s="1">
        <v>2021</v>
      </c>
      <c r="AC127" s="1">
        <v>2022</v>
      </c>
      <c r="AD127" s="1">
        <v>2023</v>
      </c>
      <c r="AE127" s="1">
        <v>2024</v>
      </c>
      <c r="AF127" s="1">
        <v>2025</v>
      </c>
      <c r="AG127" s="1">
        <v>2026</v>
      </c>
      <c r="AH127" s="1">
        <v>2027</v>
      </c>
      <c r="AI127" s="1">
        <v>2028</v>
      </c>
      <c r="AJ127" s="1">
        <v>2029</v>
      </c>
      <c r="AK127" s="1">
        <v>2030</v>
      </c>
      <c r="AL127" s="1">
        <v>2031</v>
      </c>
      <c r="AM127" s="1">
        <v>2032</v>
      </c>
      <c r="AN127" s="1">
        <v>2033</v>
      </c>
      <c r="AO127" s="1">
        <v>2034</v>
      </c>
      <c r="AP127" s="1">
        <v>2035</v>
      </c>
      <c r="AQ127" s="1">
        <v>2036</v>
      </c>
      <c r="AR127" s="1">
        <v>2037</v>
      </c>
      <c r="AS127" s="1">
        <v>2038</v>
      </c>
      <c r="AT127" s="1">
        <v>2039</v>
      </c>
      <c r="AU127" s="1">
        <v>2040</v>
      </c>
      <c r="AV127" s="1">
        <v>2041</v>
      </c>
      <c r="AW127" s="1">
        <v>2042</v>
      </c>
      <c r="AX127" s="1">
        <v>2043</v>
      </c>
      <c r="AY127" s="1">
        <v>2044</v>
      </c>
      <c r="AZ127" s="1">
        <v>2045</v>
      </c>
      <c r="BA127" s="1">
        <v>2046</v>
      </c>
      <c r="BB127" s="1">
        <v>2047</v>
      </c>
      <c r="BC127" s="1">
        <v>2048</v>
      </c>
      <c r="BD127" s="1">
        <v>2049</v>
      </c>
      <c r="BE127" s="1">
        <v>2050</v>
      </c>
    </row>
    <row r="128" spans="1:57" x14ac:dyDescent="0.25">
      <c r="A128" s="1" t="str">
        <f>'Population Definitions'!$A$2</f>
        <v>PWID_males</v>
      </c>
      <c r="B128" t="s">
        <v>61</v>
      </c>
      <c r="C128" t="s">
        <v>32</v>
      </c>
      <c r="D128" s="3"/>
      <c r="E128" s="3">
        <v>0</v>
      </c>
      <c r="F128" s="4" t="s">
        <v>37</v>
      </c>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row>
    <row r="129" spans="1:57" x14ac:dyDescent="0.25">
      <c r="A129" s="1" t="str">
        <f>'Population Definitions'!$A$3</f>
        <v>PWID_females</v>
      </c>
      <c r="B129" t="s">
        <v>61</v>
      </c>
      <c r="C129" t="s">
        <v>32</v>
      </c>
      <c r="D129" s="3"/>
      <c r="E129" s="3">
        <v>0</v>
      </c>
      <c r="F129" s="4" t="s">
        <v>37</v>
      </c>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row>
    <row r="130" spans="1:57" x14ac:dyDescent="0.25">
      <c r="A130" s="1" t="str">
        <f>'Population Definitions'!$A$4</f>
        <v>0-9_males</v>
      </c>
      <c r="B130" t="s">
        <v>61</v>
      </c>
      <c r="C130" t="s">
        <v>32</v>
      </c>
      <c r="D130" s="3"/>
      <c r="E130" s="3">
        <v>0</v>
      </c>
      <c r="F130" s="4" t="s">
        <v>37</v>
      </c>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row>
    <row r="131" spans="1:57" x14ac:dyDescent="0.25">
      <c r="A131" s="1" t="str">
        <f>'Population Definitions'!$A$5</f>
        <v>0-9_females</v>
      </c>
      <c r="B131" t="s">
        <v>61</v>
      </c>
      <c r="C131" t="s">
        <v>32</v>
      </c>
      <c r="D131" s="3"/>
      <c r="E131" s="3">
        <v>0</v>
      </c>
      <c r="F131" s="4" t="s">
        <v>37</v>
      </c>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row>
    <row r="132" spans="1:57" x14ac:dyDescent="0.25">
      <c r="A132" s="1" t="str">
        <f>'Population Definitions'!$A$6</f>
        <v>10-17_males</v>
      </c>
      <c r="B132" t="s">
        <v>61</v>
      </c>
      <c r="C132" t="s">
        <v>32</v>
      </c>
      <c r="D132" s="3"/>
      <c r="E132" s="3">
        <v>0</v>
      </c>
      <c r="F132" s="4" t="s">
        <v>37</v>
      </c>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row>
    <row r="133" spans="1:57" x14ac:dyDescent="0.25">
      <c r="A133" s="1" t="str">
        <f>'Population Definitions'!$A$7</f>
        <v>10-17_females</v>
      </c>
      <c r="B133" t="s">
        <v>61</v>
      </c>
      <c r="C133" t="s">
        <v>32</v>
      </c>
      <c r="D133" s="3"/>
      <c r="E133" s="3">
        <v>0</v>
      </c>
      <c r="F133" s="4" t="s">
        <v>37</v>
      </c>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row>
    <row r="134" spans="1:57" x14ac:dyDescent="0.25">
      <c r="A134" s="1" t="str">
        <f>'Population Definitions'!$A$8</f>
        <v>18-64_males</v>
      </c>
      <c r="B134" t="s">
        <v>61</v>
      </c>
      <c r="C134" t="s">
        <v>32</v>
      </c>
      <c r="D134" s="3"/>
      <c r="E134" s="3">
        <v>0</v>
      </c>
      <c r="F134" s="4" t="s">
        <v>37</v>
      </c>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row>
    <row r="135" spans="1:57" x14ac:dyDescent="0.25">
      <c r="A135" s="1" t="str">
        <f>'Population Definitions'!$A$9</f>
        <v>18-64_females</v>
      </c>
      <c r="B135" t="s">
        <v>61</v>
      </c>
      <c r="C135" t="s">
        <v>32</v>
      </c>
      <c r="D135" s="3"/>
      <c r="E135" s="3">
        <v>0</v>
      </c>
      <c r="F135" s="4" t="s">
        <v>37</v>
      </c>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row>
    <row r="136" spans="1:57" x14ac:dyDescent="0.25">
      <c r="A136" s="1" t="str">
        <f>'Population Definitions'!$A$10</f>
        <v>65+_males</v>
      </c>
      <c r="B136" t="s">
        <v>61</v>
      </c>
      <c r="C136" t="s">
        <v>32</v>
      </c>
      <c r="D136" s="3"/>
      <c r="E136" s="3">
        <v>0</v>
      </c>
      <c r="F136" s="4" t="s">
        <v>37</v>
      </c>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row>
    <row r="137" spans="1:57" x14ac:dyDescent="0.25">
      <c r="A137" s="1" t="str">
        <f>'Population Definitions'!$A$11</f>
        <v>65+_females</v>
      </c>
      <c r="B137" t="s">
        <v>61</v>
      </c>
      <c r="C137" t="s">
        <v>32</v>
      </c>
      <c r="D137" s="3"/>
      <c r="E137" s="3">
        <v>0</v>
      </c>
      <c r="F137" s="4" t="s">
        <v>37</v>
      </c>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row>
    <row r="138" spans="1:57" x14ac:dyDescent="0.25">
      <c r="A138" s="1" t="str">
        <f>'Population Definitions'!$A$12</f>
        <v>Prisoners_males</v>
      </c>
      <c r="B138" t="s">
        <v>61</v>
      </c>
      <c r="C138" t="s">
        <v>32</v>
      </c>
      <c r="D138" s="3"/>
      <c r="E138" s="3">
        <v>0</v>
      </c>
      <c r="F138" s="4" t="s">
        <v>37</v>
      </c>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row>
    <row r="139" spans="1:57" x14ac:dyDescent="0.25">
      <c r="A139" s="1" t="str">
        <f>'Population Definitions'!$A$13</f>
        <v>Prisoners_females</v>
      </c>
      <c r="B139" t="s">
        <v>61</v>
      </c>
      <c r="C139" t="s">
        <v>32</v>
      </c>
      <c r="D139" s="3"/>
      <c r="E139" s="3">
        <v>0</v>
      </c>
      <c r="F139" s="4" t="s">
        <v>37</v>
      </c>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row>
    <row r="141" spans="1:57" x14ac:dyDescent="0.25">
      <c r="A141" s="1" t="s">
        <v>136</v>
      </c>
      <c r="B141" s="1" t="s">
        <v>29</v>
      </c>
      <c r="C141" s="1" t="s">
        <v>30</v>
      </c>
      <c r="D141" s="1" t="s">
        <v>31</v>
      </c>
      <c r="E141" s="1" t="s">
        <v>36</v>
      </c>
      <c r="F141" s="1"/>
      <c r="G141" s="1">
        <v>2000</v>
      </c>
      <c r="H141" s="1">
        <v>2001</v>
      </c>
      <c r="I141" s="1">
        <v>2002</v>
      </c>
      <c r="J141" s="1">
        <v>2003</v>
      </c>
      <c r="K141" s="1">
        <v>2004</v>
      </c>
      <c r="L141" s="1">
        <v>2005</v>
      </c>
      <c r="M141" s="1">
        <v>2006</v>
      </c>
      <c r="N141" s="1">
        <v>2007</v>
      </c>
      <c r="O141" s="1">
        <v>2008</v>
      </c>
      <c r="P141" s="1">
        <v>2009</v>
      </c>
      <c r="Q141" s="1">
        <v>2010</v>
      </c>
      <c r="R141" s="1">
        <v>2011</v>
      </c>
      <c r="S141" s="1">
        <v>2012</v>
      </c>
      <c r="T141" s="1">
        <v>2013</v>
      </c>
      <c r="U141" s="1">
        <v>2014</v>
      </c>
      <c r="V141" s="1">
        <v>2015</v>
      </c>
      <c r="W141" s="1">
        <v>2016</v>
      </c>
      <c r="X141" s="1">
        <v>2017</v>
      </c>
      <c r="Y141" s="1">
        <v>2018</v>
      </c>
      <c r="Z141" s="1">
        <v>2019</v>
      </c>
      <c r="AA141" s="1">
        <v>2020</v>
      </c>
      <c r="AB141" s="1">
        <v>2021</v>
      </c>
      <c r="AC141" s="1">
        <v>2022</v>
      </c>
      <c r="AD141" s="1">
        <v>2023</v>
      </c>
      <c r="AE141" s="1">
        <v>2024</v>
      </c>
      <c r="AF141" s="1">
        <v>2025</v>
      </c>
      <c r="AG141" s="1">
        <v>2026</v>
      </c>
      <c r="AH141" s="1">
        <v>2027</v>
      </c>
      <c r="AI141" s="1">
        <v>2028</v>
      </c>
      <c r="AJ141" s="1">
        <v>2029</v>
      </c>
      <c r="AK141" s="1">
        <v>2030</v>
      </c>
      <c r="AL141" s="1">
        <v>2031</v>
      </c>
      <c r="AM141" s="1">
        <v>2032</v>
      </c>
      <c r="AN141" s="1">
        <v>2033</v>
      </c>
      <c r="AO141" s="1">
        <v>2034</v>
      </c>
      <c r="AP141" s="1">
        <v>2035</v>
      </c>
      <c r="AQ141" s="1">
        <v>2036</v>
      </c>
      <c r="AR141" s="1">
        <v>2037</v>
      </c>
      <c r="AS141" s="1">
        <v>2038</v>
      </c>
      <c r="AT141" s="1">
        <v>2039</v>
      </c>
      <c r="AU141" s="1">
        <v>2040</v>
      </c>
      <c r="AV141" s="1">
        <v>2041</v>
      </c>
      <c r="AW141" s="1">
        <v>2042</v>
      </c>
      <c r="AX141" s="1">
        <v>2043</v>
      </c>
      <c r="AY141" s="1">
        <v>2044</v>
      </c>
      <c r="AZ141" s="1">
        <v>2045</v>
      </c>
      <c r="BA141" s="1">
        <v>2046</v>
      </c>
      <c r="BB141" s="1">
        <v>2047</v>
      </c>
      <c r="BC141" s="1">
        <v>2048</v>
      </c>
      <c r="BD141" s="1">
        <v>2049</v>
      </c>
      <c r="BE141" s="1">
        <v>2050</v>
      </c>
    </row>
    <row r="142" spans="1:57" x14ac:dyDescent="0.25">
      <c r="A142" s="1" t="str">
        <f>'Population Definitions'!$A$2</f>
        <v>PWID_males</v>
      </c>
      <c r="B142" t="s">
        <v>61</v>
      </c>
      <c r="C142" t="s">
        <v>32</v>
      </c>
      <c r="D142" s="3"/>
      <c r="E142" s="3">
        <v>0</v>
      </c>
      <c r="F142" s="4" t="s">
        <v>37</v>
      </c>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row>
    <row r="143" spans="1:57" x14ac:dyDescent="0.25">
      <c r="A143" s="1" t="str">
        <f>'Population Definitions'!$A$3</f>
        <v>PWID_females</v>
      </c>
      <c r="B143" t="s">
        <v>61</v>
      </c>
      <c r="C143" t="s">
        <v>32</v>
      </c>
      <c r="D143" s="3"/>
      <c r="E143" s="3">
        <v>0</v>
      </c>
      <c r="F143" s="4" t="s">
        <v>37</v>
      </c>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row>
    <row r="144" spans="1:57" x14ac:dyDescent="0.25">
      <c r="A144" s="1" t="str">
        <f>'Population Definitions'!$A$4</f>
        <v>0-9_males</v>
      </c>
      <c r="B144" t="s">
        <v>61</v>
      </c>
      <c r="C144" t="s">
        <v>32</v>
      </c>
      <c r="D144" s="3"/>
      <c r="E144" s="3">
        <v>0</v>
      </c>
      <c r="F144" s="4" t="s">
        <v>37</v>
      </c>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row>
    <row r="145" spans="1:57" x14ac:dyDescent="0.25">
      <c r="A145" s="1" t="str">
        <f>'Population Definitions'!$A$5</f>
        <v>0-9_females</v>
      </c>
      <c r="B145" t="s">
        <v>61</v>
      </c>
      <c r="C145" t="s">
        <v>32</v>
      </c>
      <c r="D145" s="3"/>
      <c r="E145" s="3">
        <v>0</v>
      </c>
      <c r="F145" s="4" t="s">
        <v>37</v>
      </c>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row>
    <row r="146" spans="1:57" x14ac:dyDescent="0.25">
      <c r="A146" s="1" t="str">
        <f>'Population Definitions'!$A$6</f>
        <v>10-17_males</v>
      </c>
      <c r="B146" t="s">
        <v>61</v>
      </c>
      <c r="C146" t="s">
        <v>32</v>
      </c>
      <c r="D146" s="3"/>
      <c r="E146" s="3">
        <v>0</v>
      </c>
      <c r="F146" s="4" t="s">
        <v>37</v>
      </c>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row>
    <row r="147" spans="1:57" x14ac:dyDescent="0.25">
      <c r="A147" s="1" t="str">
        <f>'Population Definitions'!$A$7</f>
        <v>10-17_females</v>
      </c>
      <c r="B147" t="s">
        <v>61</v>
      </c>
      <c r="C147" t="s">
        <v>32</v>
      </c>
      <c r="D147" s="3"/>
      <c r="E147" s="3">
        <v>0</v>
      </c>
      <c r="F147" s="4" t="s">
        <v>37</v>
      </c>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row>
    <row r="148" spans="1:57" x14ac:dyDescent="0.25">
      <c r="A148" s="1" t="str">
        <f>'Population Definitions'!$A$8</f>
        <v>18-64_males</v>
      </c>
      <c r="B148" t="s">
        <v>61</v>
      </c>
      <c r="C148" t="s">
        <v>32</v>
      </c>
      <c r="D148" s="3"/>
      <c r="E148" s="3">
        <v>0</v>
      </c>
      <c r="F148" s="4" t="s">
        <v>37</v>
      </c>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row>
    <row r="149" spans="1:57" x14ac:dyDescent="0.25">
      <c r="A149" s="1" t="str">
        <f>'Population Definitions'!$A$9</f>
        <v>18-64_females</v>
      </c>
      <c r="B149" t="s">
        <v>61</v>
      </c>
      <c r="C149" t="s">
        <v>32</v>
      </c>
      <c r="D149" s="3"/>
      <c r="E149" s="3">
        <v>0</v>
      </c>
      <c r="F149" s="4" t="s">
        <v>37</v>
      </c>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row>
    <row r="150" spans="1:57" x14ac:dyDescent="0.25">
      <c r="A150" s="1" t="str">
        <f>'Population Definitions'!$A$10</f>
        <v>65+_males</v>
      </c>
      <c r="B150" t="s">
        <v>61</v>
      </c>
      <c r="C150" t="s">
        <v>32</v>
      </c>
      <c r="D150" s="3"/>
      <c r="E150" s="3">
        <v>0</v>
      </c>
      <c r="F150" s="4" t="s">
        <v>37</v>
      </c>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row>
    <row r="151" spans="1:57" x14ac:dyDescent="0.25">
      <c r="A151" s="1" t="str">
        <f>'Population Definitions'!$A$11</f>
        <v>65+_females</v>
      </c>
      <c r="B151" t="s">
        <v>61</v>
      </c>
      <c r="C151" t="s">
        <v>32</v>
      </c>
      <c r="D151" s="3"/>
      <c r="E151" s="3">
        <v>0</v>
      </c>
      <c r="F151" s="4" t="s">
        <v>37</v>
      </c>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row>
    <row r="152" spans="1:57" x14ac:dyDescent="0.25">
      <c r="A152" s="1" t="str">
        <f>'Population Definitions'!$A$12</f>
        <v>Prisoners_males</v>
      </c>
      <c r="B152" t="s">
        <v>61</v>
      </c>
      <c r="C152" t="s">
        <v>32</v>
      </c>
      <c r="D152" s="3"/>
      <c r="E152" s="3">
        <v>0</v>
      </c>
      <c r="F152" s="4" t="s">
        <v>37</v>
      </c>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row>
    <row r="153" spans="1:57" x14ac:dyDescent="0.25">
      <c r="A153" s="1" t="str">
        <f>'Population Definitions'!$A$13</f>
        <v>Prisoners_females</v>
      </c>
      <c r="B153" t="s">
        <v>61</v>
      </c>
      <c r="C153" t="s">
        <v>32</v>
      </c>
      <c r="D153" s="3"/>
      <c r="E153" s="3">
        <v>0</v>
      </c>
      <c r="F153" s="4" t="s">
        <v>37</v>
      </c>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row>
    <row r="155" spans="1:57" x14ac:dyDescent="0.25">
      <c r="A155" s="1" t="s">
        <v>137</v>
      </c>
      <c r="B155" s="1" t="s">
        <v>29</v>
      </c>
      <c r="C155" s="1" t="s">
        <v>30</v>
      </c>
      <c r="D155" s="1" t="s">
        <v>31</v>
      </c>
      <c r="E155" s="1" t="s">
        <v>36</v>
      </c>
      <c r="F155" s="1"/>
      <c r="G155" s="1">
        <v>2000</v>
      </c>
      <c r="H155" s="1">
        <v>2001</v>
      </c>
      <c r="I155" s="1">
        <v>2002</v>
      </c>
      <c r="J155" s="1">
        <v>2003</v>
      </c>
      <c r="K155" s="1">
        <v>2004</v>
      </c>
      <c r="L155" s="1">
        <v>2005</v>
      </c>
      <c r="M155" s="1">
        <v>2006</v>
      </c>
      <c r="N155" s="1">
        <v>2007</v>
      </c>
      <c r="O155" s="1">
        <v>2008</v>
      </c>
      <c r="P155" s="1">
        <v>2009</v>
      </c>
      <c r="Q155" s="1">
        <v>2010</v>
      </c>
      <c r="R155" s="1">
        <v>2011</v>
      </c>
      <c r="S155" s="1">
        <v>2012</v>
      </c>
      <c r="T155" s="1">
        <v>2013</v>
      </c>
      <c r="U155" s="1">
        <v>2014</v>
      </c>
      <c r="V155" s="1">
        <v>2015</v>
      </c>
      <c r="W155" s="1">
        <v>2016</v>
      </c>
      <c r="X155" s="1">
        <v>2017</v>
      </c>
      <c r="Y155" s="1">
        <v>2018</v>
      </c>
      <c r="Z155" s="1">
        <v>2019</v>
      </c>
      <c r="AA155" s="1">
        <v>2020</v>
      </c>
      <c r="AB155" s="1">
        <v>2021</v>
      </c>
      <c r="AC155" s="1">
        <v>2022</v>
      </c>
      <c r="AD155" s="1">
        <v>2023</v>
      </c>
      <c r="AE155" s="1">
        <v>2024</v>
      </c>
      <c r="AF155" s="1">
        <v>2025</v>
      </c>
      <c r="AG155" s="1">
        <v>2026</v>
      </c>
      <c r="AH155" s="1">
        <v>2027</v>
      </c>
      <c r="AI155" s="1">
        <v>2028</v>
      </c>
      <c r="AJ155" s="1">
        <v>2029</v>
      </c>
      <c r="AK155" s="1">
        <v>2030</v>
      </c>
      <c r="AL155" s="1">
        <v>2031</v>
      </c>
      <c r="AM155" s="1">
        <v>2032</v>
      </c>
      <c r="AN155" s="1">
        <v>2033</v>
      </c>
      <c r="AO155" s="1">
        <v>2034</v>
      </c>
      <c r="AP155" s="1">
        <v>2035</v>
      </c>
      <c r="AQ155" s="1">
        <v>2036</v>
      </c>
      <c r="AR155" s="1">
        <v>2037</v>
      </c>
      <c r="AS155" s="1">
        <v>2038</v>
      </c>
      <c r="AT155" s="1">
        <v>2039</v>
      </c>
      <c r="AU155" s="1">
        <v>2040</v>
      </c>
      <c r="AV155" s="1">
        <v>2041</v>
      </c>
      <c r="AW155" s="1">
        <v>2042</v>
      </c>
      <c r="AX155" s="1">
        <v>2043</v>
      </c>
      <c r="AY155" s="1">
        <v>2044</v>
      </c>
      <c r="AZ155" s="1">
        <v>2045</v>
      </c>
      <c r="BA155" s="1">
        <v>2046</v>
      </c>
      <c r="BB155" s="1">
        <v>2047</v>
      </c>
      <c r="BC155" s="1">
        <v>2048</v>
      </c>
      <c r="BD155" s="1">
        <v>2049</v>
      </c>
      <c r="BE155" s="1">
        <v>2050</v>
      </c>
    </row>
    <row r="156" spans="1:57" x14ac:dyDescent="0.25">
      <c r="A156" s="1" t="str">
        <f>'Population Definitions'!$A$2</f>
        <v>PWID_males</v>
      </c>
      <c r="B156" t="s">
        <v>61</v>
      </c>
      <c r="C156" t="s">
        <v>32</v>
      </c>
      <c r="D156" s="3"/>
      <c r="E156" s="3">
        <v>0</v>
      </c>
      <c r="F156" s="4" t="s">
        <v>37</v>
      </c>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row>
    <row r="157" spans="1:57" x14ac:dyDescent="0.25">
      <c r="A157" s="1" t="str">
        <f>'Population Definitions'!$A$3</f>
        <v>PWID_females</v>
      </c>
      <c r="B157" t="s">
        <v>61</v>
      </c>
      <c r="C157" t="s">
        <v>32</v>
      </c>
      <c r="D157" s="3"/>
      <c r="E157" s="3">
        <v>0</v>
      </c>
      <c r="F157" s="4" t="s">
        <v>37</v>
      </c>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row>
    <row r="158" spans="1:57" x14ac:dyDescent="0.25">
      <c r="A158" s="1" t="str">
        <f>'Population Definitions'!$A$4</f>
        <v>0-9_males</v>
      </c>
      <c r="B158" t="s">
        <v>61</v>
      </c>
      <c r="C158" t="s">
        <v>32</v>
      </c>
      <c r="D158" s="3"/>
      <c r="E158" s="3">
        <v>0</v>
      </c>
      <c r="F158" s="4" t="s">
        <v>37</v>
      </c>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row>
    <row r="159" spans="1:57" x14ac:dyDescent="0.25">
      <c r="A159" s="1" t="str">
        <f>'Population Definitions'!$A$5</f>
        <v>0-9_females</v>
      </c>
      <c r="B159" t="s">
        <v>61</v>
      </c>
      <c r="C159" t="s">
        <v>32</v>
      </c>
      <c r="D159" s="3"/>
      <c r="E159" s="3">
        <v>0</v>
      </c>
      <c r="F159" s="4" t="s">
        <v>37</v>
      </c>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row>
    <row r="160" spans="1:57" x14ac:dyDescent="0.25">
      <c r="A160" s="1" t="str">
        <f>'Population Definitions'!$A$6</f>
        <v>10-17_males</v>
      </c>
      <c r="B160" t="s">
        <v>61</v>
      </c>
      <c r="C160" t="s">
        <v>32</v>
      </c>
      <c r="D160" s="3"/>
      <c r="E160" s="3">
        <v>0</v>
      </c>
      <c r="F160" s="4" t="s">
        <v>37</v>
      </c>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row>
    <row r="161" spans="1:57" x14ac:dyDescent="0.25">
      <c r="A161" s="1" t="str">
        <f>'Population Definitions'!$A$7</f>
        <v>10-17_females</v>
      </c>
      <c r="B161" t="s">
        <v>61</v>
      </c>
      <c r="C161" t="s">
        <v>32</v>
      </c>
      <c r="D161" s="3"/>
      <c r="E161" s="3">
        <v>0</v>
      </c>
      <c r="F161" s="4" t="s">
        <v>37</v>
      </c>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row>
    <row r="162" spans="1:57" x14ac:dyDescent="0.25">
      <c r="A162" s="1" t="str">
        <f>'Population Definitions'!$A$8</f>
        <v>18-64_males</v>
      </c>
      <c r="B162" t="s">
        <v>61</v>
      </c>
      <c r="C162" t="s">
        <v>32</v>
      </c>
      <c r="D162" s="3"/>
      <c r="E162" s="3">
        <v>0</v>
      </c>
      <c r="F162" s="4" t="s">
        <v>37</v>
      </c>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row>
    <row r="163" spans="1:57" x14ac:dyDescent="0.25">
      <c r="A163" s="1" t="str">
        <f>'Population Definitions'!$A$9</f>
        <v>18-64_females</v>
      </c>
      <c r="B163" t="s">
        <v>61</v>
      </c>
      <c r="C163" t="s">
        <v>32</v>
      </c>
      <c r="D163" s="3"/>
      <c r="E163" s="3">
        <v>0</v>
      </c>
      <c r="F163" s="4" t="s">
        <v>37</v>
      </c>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row>
    <row r="164" spans="1:57" x14ac:dyDescent="0.25">
      <c r="A164" s="1" t="str">
        <f>'Population Definitions'!$A$10</f>
        <v>65+_males</v>
      </c>
      <c r="B164" t="s">
        <v>61</v>
      </c>
      <c r="C164" t="s">
        <v>32</v>
      </c>
      <c r="D164" s="3"/>
      <c r="E164" s="3">
        <v>0</v>
      </c>
      <c r="F164" s="4" t="s">
        <v>37</v>
      </c>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row>
    <row r="165" spans="1:57" x14ac:dyDescent="0.25">
      <c r="A165" s="1" t="str">
        <f>'Population Definitions'!$A$11</f>
        <v>65+_females</v>
      </c>
      <c r="B165" t="s">
        <v>61</v>
      </c>
      <c r="C165" t="s">
        <v>32</v>
      </c>
      <c r="D165" s="3"/>
      <c r="E165" s="3">
        <v>0</v>
      </c>
      <c r="F165" s="4" t="s">
        <v>37</v>
      </c>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row>
    <row r="166" spans="1:57" x14ac:dyDescent="0.25">
      <c r="A166" s="1" t="str">
        <f>'Population Definitions'!$A$12</f>
        <v>Prisoners_males</v>
      </c>
      <c r="B166" t="s">
        <v>61</v>
      </c>
      <c r="C166" t="s">
        <v>32</v>
      </c>
      <c r="D166" s="3"/>
      <c r="E166" s="3">
        <v>0</v>
      </c>
      <c r="F166" s="4" t="s">
        <v>37</v>
      </c>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row>
    <row r="167" spans="1:57" x14ac:dyDescent="0.25">
      <c r="A167" s="1" t="str">
        <f>'Population Definitions'!$A$13</f>
        <v>Prisoners_females</v>
      </c>
      <c r="B167" t="s">
        <v>61</v>
      </c>
      <c r="C167" t="s">
        <v>32</v>
      </c>
      <c r="D167" s="3"/>
      <c r="E167" s="3">
        <v>0</v>
      </c>
      <c r="F167" s="4" t="s">
        <v>37</v>
      </c>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row>
    <row r="169" spans="1:57" x14ac:dyDescent="0.25">
      <c r="A169" s="1" t="s">
        <v>138</v>
      </c>
      <c r="B169" s="1" t="s">
        <v>29</v>
      </c>
      <c r="C169" s="1" t="s">
        <v>30</v>
      </c>
      <c r="D169" s="1" t="s">
        <v>31</v>
      </c>
      <c r="E169" s="1" t="s">
        <v>36</v>
      </c>
      <c r="F169" s="1"/>
      <c r="G169" s="1">
        <v>2000</v>
      </c>
      <c r="H169" s="1">
        <v>2001</v>
      </c>
      <c r="I169" s="1">
        <v>2002</v>
      </c>
      <c r="J169" s="1">
        <v>2003</v>
      </c>
      <c r="K169" s="1">
        <v>2004</v>
      </c>
      <c r="L169" s="1">
        <v>2005</v>
      </c>
      <c r="M169" s="1">
        <v>2006</v>
      </c>
      <c r="N169" s="1">
        <v>2007</v>
      </c>
      <c r="O169" s="1">
        <v>2008</v>
      </c>
      <c r="P169" s="1">
        <v>2009</v>
      </c>
      <c r="Q169" s="1">
        <v>2010</v>
      </c>
      <c r="R169" s="1">
        <v>2011</v>
      </c>
      <c r="S169" s="1">
        <v>2012</v>
      </c>
      <c r="T169" s="1">
        <v>2013</v>
      </c>
      <c r="U169" s="1">
        <v>2014</v>
      </c>
      <c r="V169" s="1">
        <v>2015</v>
      </c>
      <c r="W169" s="1">
        <v>2016</v>
      </c>
      <c r="X169" s="1">
        <v>2017</v>
      </c>
      <c r="Y169" s="1">
        <v>2018</v>
      </c>
      <c r="Z169" s="1">
        <v>2019</v>
      </c>
      <c r="AA169" s="1">
        <v>2020</v>
      </c>
      <c r="AB169" s="1">
        <v>2021</v>
      </c>
      <c r="AC169" s="1">
        <v>2022</v>
      </c>
      <c r="AD169" s="1">
        <v>2023</v>
      </c>
      <c r="AE169" s="1">
        <v>2024</v>
      </c>
      <c r="AF169" s="1">
        <v>2025</v>
      </c>
      <c r="AG169" s="1">
        <v>2026</v>
      </c>
      <c r="AH169" s="1">
        <v>2027</v>
      </c>
      <c r="AI169" s="1">
        <v>2028</v>
      </c>
      <c r="AJ169" s="1">
        <v>2029</v>
      </c>
      <c r="AK169" s="1">
        <v>2030</v>
      </c>
      <c r="AL169" s="1">
        <v>2031</v>
      </c>
      <c r="AM169" s="1">
        <v>2032</v>
      </c>
      <c r="AN169" s="1">
        <v>2033</v>
      </c>
      <c r="AO169" s="1">
        <v>2034</v>
      </c>
      <c r="AP169" s="1">
        <v>2035</v>
      </c>
      <c r="AQ169" s="1">
        <v>2036</v>
      </c>
      <c r="AR169" s="1">
        <v>2037</v>
      </c>
      <c r="AS169" s="1">
        <v>2038</v>
      </c>
      <c r="AT169" s="1">
        <v>2039</v>
      </c>
      <c r="AU169" s="1">
        <v>2040</v>
      </c>
      <c r="AV169" s="1">
        <v>2041</v>
      </c>
      <c r="AW169" s="1">
        <v>2042</v>
      </c>
      <c r="AX169" s="1">
        <v>2043</v>
      </c>
      <c r="AY169" s="1">
        <v>2044</v>
      </c>
      <c r="AZ169" s="1">
        <v>2045</v>
      </c>
      <c r="BA169" s="1">
        <v>2046</v>
      </c>
      <c r="BB169" s="1">
        <v>2047</v>
      </c>
      <c r="BC169" s="1">
        <v>2048</v>
      </c>
      <c r="BD169" s="1">
        <v>2049</v>
      </c>
      <c r="BE169" s="1">
        <v>2050</v>
      </c>
    </row>
    <row r="170" spans="1:57" x14ac:dyDescent="0.25">
      <c r="A170" s="1" t="str">
        <f>'Population Definitions'!$A$2</f>
        <v>PWID_males</v>
      </c>
      <c r="B170" t="s">
        <v>61</v>
      </c>
      <c r="C170" t="s">
        <v>32</v>
      </c>
      <c r="D170" s="3"/>
      <c r="E170" s="3">
        <v>0</v>
      </c>
      <c r="F170" s="4" t="s">
        <v>37</v>
      </c>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row>
    <row r="171" spans="1:57" x14ac:dyDescent="0.25">
      <c r="A171" s="1" t="str">
        <f>'Population Definitions'!$A$3</f>
        <v>PWID_females</v>
      </c>
      <c r="B171" t="s">
        <v>61</v>
      </c>
      <c r="C171" t="s">
        <v>32</v>
      </c>
      <c r="D171" s="3"/>
      <c r="E171" s="3">
        <v>0</v>
      </c>
      <c r="F171" s="4" t="s">
        <v>37</v>
      </c>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row>
    <row r="172" spans="1:57" x14ac:dyDescent="0.25">
      <c r="A172" s="1" t="str">
        <f>'Population Definitions'!$A$4</f>
        <v>0-9_males</v>
      </c>
      <c r="B172" t="s">
        <v>61</v>
      </c>
      <c r="C172" t="s">
        <v>32</v>
      </c>
      <c r="D172" s="3"/>
      <c r="E172" s="3">
        <v>0</v>
      </c>
      <c r="F172" s="4" t="s">
        <v>37</v>
      </c>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row>
    <row r="173" spans="1:57" x14ac:dyDescent="0.25">
      <c r="A173" s="1" t="str">
        <f>'Population Definitions'!$A$5</f>
        <v>0-9_females</v>
      </c>
      <c r="B173" t="s">
        <v>61</v>
      </c>
      <c r="C173" t="s">
        <v>32</v>
      </c>
      <c r="D173" s="3"/>
      <c r="E173" s="3">
        <v>0</v>
      </c>
      <c r="F173" s="4" t="s">
        <v>37</v>
      </c>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row>
    <row r="174" spans="1:57" x14ac:dyDescent="0.25">
      <c r="A174" s="1" t="str">
        <f>'Population Definitions'!$A$6</f>
        <v>10-17_males</v>
      </c>
      <c r="B174" t="s">
        <v>61</v>
      </c>
      <c r="C174" t="s">
        <v>32</v>
      </c>
      <c r="D174" s="3"/>
      <c r="E174" s="3">
        <v>0</v>
      </c>
      <c r="F174" s="4" t="s">
        <v>37</v>
      </c>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row>
    <row r="175" spans="1:57" x14ac:dyDescent="0.25">
      <c r="A175" s="1" t="str">
        <f>'Population Definitions'!$A$7</f>
        <v>10-17_females</v>
      </c>
      <c r="B175" t="s">
        <v>61</v>
      </c>
      <c r="C175" t="s">
        <v>32</v>
      </c>
      <c r="D175" s="3"/>
      <c r="E175" s="3">
        <v>0</v>
      </c>
      <c r="F175" s="4" t="s">
        <v>37</v>
      </c>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row>
    <row r="176" spans="1:57" x14ac:dyDescent="0.25">
      <c r="A176" s="1" t="str">
        <f>'Population Definitions'!$A$8</f>
        <v>18-64_males</v>
      </c>
      <c r="B176" t="s">
        <v>61</v>
      </c>
      <c r="C176" t="s">
        <v>32</v>
      </c>
      <c r="D176" s="3"/>
      <c r="E176" s="3">
        <v>0</v>
      </c>
      <c r="F176" s="4" t="s">
        <v>37</v>
      </c>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row>
    <row r="177" spans="1:57" x14ac:dyDescent="0.25">
      <c r="A177" s="1" t="str">
        <f>'Population Definitions'!$A$9</f>
        <v>18-64_females</v>
      </c>
      <c r="B177" t="s">
        <v>61</v>
      </c>
      <c r="C177" t="s">
        <v>32</v>
      </c>
      <c r="D177" s="3"/>
      <c r="E177" s="3">
        <v>0</v>
      </c>
      <c r="F177" s="4" t="s">
        <v>37</v>
      </c>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row>
    <row r="178" spans="1:57" x14ac:dyDescent="0.25">
      <c r="A178" s="1" t="str">
        <f>'Population Definitions'!$A$10</f>
        <v>65+_males</v>
      </c>
      <c r="B178" t="s">
        <v>61</v>
      </c>
      <c r="C178" t="s">
        <v>32</v>
      </c>
      <c r="D178" s="3"/>
      <c r="E178" s="3">
        <v>0</v>
      </c>
      <c r="F178" s="4" t="s">
        <v>37</v>
      </c>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row>
    <row r="179" spans="1:57" x14ac:dyDescent="0.25">
      <c r="A179" s="1" t="str">
        <f>'Population Definitions'!$A$11</f>
        <v>65+_females</v>
      </c>
      <c r="B179" t="s">
        <v>61</v>
      </c>
      <c r="C179" t="s">
        <v>32</v>
      </c>
      <c r="D179" s="3"/>
      <c r="E179" s="3">
        <v>0</v>
      </c>
      <c r="F179" s="4" t="s">
        <v>37</v>
      </c>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row>
    <row r="180" spans="1:57" x14ac:dyDescent="0.25">
      <c r="A180" s="1" t="str">
        <f>'Population Definitions'!$A$12</f>
        <v>Prisoners_males</v>
      </c>
      <c r="B180" t="s">
        <v>61</v>
      </c>
      <c r="C180" t="s">
        <v>32</v>
      </c>
      <c r="D180" s="3"/>
      <c r="E180" s="3">
        <v>0</v>
      </c>
      <c r="F180" s="4" t="s">
        <v>37</v>
      </c>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row>
    <row r="181" spans="1:57" x14ac:dyDescent="0.25">
      <c r="A181" s="1" t="str">
        <f>'Population Definitions'!$A$13</f>
        <v>Prisoners_females</v>
      </c>
      <c r="B181" t="s">
        <v>61</v>
      </c>
      <c r="C181" t="s">
        <v>32</v>
      </c>
      <c r="D181" s="3"/>
      <c r="E181" s="3">
        <v>0</v>
      </c>
      <c r="F181" s="4" t="s">
        <v>37</v>
      </c>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row>
    <row r="183" spans="1:57" x14ac:dyDescent="0.25">
      <c r="A183" s="1" t="s">
        <v>139</v>
      </c>
      <c r="B183" s="1" t="s">
        <v>29</v>
      </c>
      <c r="C183" s="1" t="s">
        <v>30</v>
      </c>
      <c r="D183" s="1" t="s">
        <v>31</v>
      </c>
      <c r="E183" s="1" t="s">
        <v>36</v>
      </c>
      <c r="F183" s="1"/>
      <c r="G183" s="1">
        <v>2000</v>
      </c>
      <c r="H183" s="1">
        <v>2001</v>
      </c>
      <c r="I183" s="1">
        <v>2002</v>
      </c>
      <c r="J183" s="1">
        <v>2003</v>
      </c>
      <c r="K183" s="1">
        <v>2004</v>
      </c>
      <c r="L183" s="1">
        <v>2005</v>
      </c>
      <c r="M183" s="1">
        <v>2006</v>
      </c>
      <c r="N183" s="1">
        <v>2007</v>
      </c>
      <c r="O183" s="1">
        <v>2008</v>
      </c>
      <c r="P183" s="1">
        <v>2009</v>
      </c>
      <c r="Q183" s="1">
        <v>2010</v>
      </c>
      <c r="R183" s="1">
        <v>2011</v>
      </c>
      <c r="S183" s="1">
        <v>2012</v>
      </c>
      <c r="T183" s="1">
        <v>2013</v>
      </c>
      <c r="U183" s="1">
        <v>2014</v>
      </c>
      <c r="V183" s="1">
        <v>2015</v>
      </c>
      <c r="W183" s="1">
        <v>2016</v>
      </c>
      <c r="X183" s="1">
        <v>2017</v>
      </c>
      <c r="Y183" s="1">
        <v>2018</v>
      </c>
      <c r="Z183" s="1">
        <v>2019</v>
      </c>
      <c r="AA183" s="1">
        <v>2020</v>
      </c>
      <c r="AB183" s="1">
        <v>2021</v>
      </c>
      <c r="AC183" s="1">
        <v>2022</v>
      </c>
      <c r="AD183" s="1">
        <v>2023</v>
      </c>
      <c r="AE183" s="1">
        <v>2024</v>
      </c>
      <c r="AF183" s="1">
        <v>2025</v>
      </c>
      <c r="AG183" s="1">
        <v>2026</v>
      </c>
      <c r="AH183" s="1">
        <v>2027</v>
      </c>
      <c r="AI183" s="1">
        <v>2028</v>
      </c>
      <c r="AJ183" s="1">
        <v>2029</v>
      </c>
      <c r="AK183" s="1">
        <v>2030</v>
      </c>
      <c r="AL183" s="1">
        <v>2031</v>
      </c>
      <c r="AM183" s="1">
        <v>2032</v>
      </c>
      <c r="AN183" s="1">
        <v>2033</v>
      </c>
      <c r="AO183" s="1">
        <v>2034</v>
      </c>
      <c r="AP183" s="1">
        <v>2035</v>
      </c>
      <c r="AQ183" s="1">
        <v>2036</v>
      </c>
      <c r="AR183" s="1">
        <v>2037</v>
      </c>
      <c r="AS183" s="1">
        <v>2038</v>
      </c>
      <c r="AT183" s="1">
        <v>2039</v>
      </c>
      <c r="AU183" s="1">
        <v>2040</v>
      </c>
      <c r="AV183" s="1">
        <v>2041</v>
      </c>
      <c r="AW183" s="1">
        <v>2042</v>
      </c>
      <c r="AX183" s="1">
        <v>2043</v>
      </c>
      <c r="AY183" s="1">
        <v>2044</v>
      </c>
      <c r="AZ183" s="1">
        <v>2045</v>
      </c>
      <c r="BA183" s="1">
        <v>2046</v>
      </c>
      <c r="BB183" s="1">
        <v>2047</v>
      </c>
      <c r="BC183" s="1">
        <v>2048</v>
      </c>
      <c r="BD183" s="1">
        <v>2049</v>
      </c>
      <c r="BE183" s="1">
        <v>2050</v>
      </c>
    </row>
    <row r="184" spans="1:57" x14ac:dyDescent="0.25">
      <c r="A184" s="1" t="str">
        <f>'Population Definitions'!$A$2</f>
        <v>PWID_males</v>
      </c>
      <c r="B184" t="s">
        <v>61</v>
      </c>
      <c r="C184" t="s">
        <v>32</v>
      </c>
      <c r="D184" s="3"/>
      <c r="E184" s="3">
        <v>0</v>
      </c>
      <c r="F184" s="4" t="s">
        <v>37</v>
      </c>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row>
    <row r="185" spans="1:57" x14ac:dyDescent="0.25">
      <c r="A185" s="1" t="str">
        <f>'Population Definitions'!$A$3</f>
        <v>PWID_females</v>
      </c>
      <c r="B185" t="s">
        <v>61</v>
      </c>
      <c r="C185" t="s">
        <v>32</v>
      </c>
      <c r="D185" s="3"/>
      <c r="E185" s="3">
        <v>0</v>
      </c>
      <c r="F185" s="4" t="s">
        <v>37</v>
      </c>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row>
    <row r="186" spans="1:57" x14ac:dyDescent="0.25">
      <c r="A186" s="1" t="str">
        <f>'Population Definitions'!$A$4</f>
        <v>0-9_males</v>
      </c>
      <c r="B186" t="s">
        <v>61</v>
      </c>
      <c r="C186" t="s">
        <v>32</v>
      </c>
      <c r="D186" s="3"/>
      <c r="E186" s="3">
        <v>0</v>
      </c>
      <c r="F186" s="4" t="s">
        <v>37</v>
      </c>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row>
    <row r="187" spans="1:57" x14ac:dyDescent="0.25">
      <c r="A187" s="1" t="str">
        <f>'Population Definitions'!$A$5</f>
        <v>0-9_females</v>
      </c>
      <c r="B187" t="s">
        <v>61</v>
      </c>
      <c r="C187" t="s">
        <v>32</v>
      </c>
      <c r="D187" s="3"/>
      <c r="E187" s="3">
        <v>0</v>
      </c>
      <c r="F187" s="4" t="s">
        <v>37</v>
      </c>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row>
    <row r="188" spans="1:57" x14ac:dyDescent="0.25">
      <c r="A188" s="1" t="str">
        <f>'Population Definitions'!$A$6</f>
        <v>10-17_males</v>
      </c>
      <c r="B188" t="s">
        <v>61</v>
      </c>
      <c r="C188" t="s">
        <v>32</v>
      </c>
      <c r="D188" s="3"/>
      <c r="E188" s="3">
        <v>0</v>
      </c>
      <c r="F188" s="4" t="s">
        <v>37</v>
      </c>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row>
    <row r="189" spans="1:57" x14ac:dyDescent="0.25">
      <c r="A189" s="1" t="str">
        <f>'Population Definitions'!$A$7</f>
        <v>10-17_females</v>
      </c>
      <c r="B189" t="s">
        <v>61</v>
      </c>
      <c r="C189" t="s">
        <v>32</v>
      </c>
      <c r="D189" s="3"/>
      <c r="E189" s="3">
        <v>0</v>
      </c>
      <c r="F189" s="4" t="s">
        <v>37</v>
      </c>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row>
    <row r="190" spans="1:57" x14ac:dyDescent="0.25">
      <c r="A190" s="1" t="str">
        <f>'Population Definitions'!$A$8</f>
        <v>18-64_males</v>
      </c>
      <c r="B190" t="s">
        <v>61</v>
      </c>
      <c r="C190" t="s">
        <v>32</v>
      </c>
      <c r="D190" s="3"/>
      <c r="E190" s="3">
        <v>0</v>
      </c>
      <c r="F190" s="4" t="s">
        <v>37</v>
      </c>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row>
    <row r="191" spans="1:57" x14ac:dyDescent="0.25">
      <c r="A191" s="1" t="str">
        <f>'Population Definitions'!$A$9</f>
        <v>18-64_females</v>
      </c>
      <c r="B191" t="s">
        <v>61</v>
      </c>
      <c r="C191" t="s">
        <v>32</v>
      </c>
      <c r="D191" s="3"/>
      <c r="E191" s="3">
        <v>0</v>
      </c>
      <c r="F191" s="4" t="s">
        <v>37</v>
      </c>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row>
    <row r="192" spans="1:57" x14ac:dyDescent="0.25">
      <c r="A192" s="1" t="str">
        <f>'Population Definitions'!$A$10</f>
        <v>65+_males</v>
      </c>
      <c r="B192" t="s">
        <v>61</v>
      </c>
      <c r="C192" t="s">
        <v>32</v>
      </c>
      <c r="D192" s="3"/>
      <c r="E192" s="3">
        <v>0</v>
      </c>
      <c r="F192" s="4" t="s">
        <v>37</v>
      </c>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row>
    <row r="193" spans="1:57" x14ac:dyDescent="0.25">
      <c r="A193" s="1" t="str">
        <f>'Population Definitions'!$A$11</f>
        <v>65+_females</v>
      </c>
      <c r="B193" t="s">
        <v>61</v>
      </c>
      <c r="C193" t="s">
        <v>32</v>
      </c>
      <c r="D193" s="3"/>
      <c r="E193" s="3">
        <v>0</v>
      </c>
      <c r="F193" s="4" t="s">
        <v>37</v>
      </c>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row>
    <row r="194" spans="1:57" x14ac:dyDescent="0.25">
      <c r="A194" s="1" t="str">
        <f>'Population Definitions'!$A$12</f>
        <v>Prisoners_males</v>
      </c>
      <c r="B194" t="s">
        <v>61</v>
      </c>
      <c r="C194" t="s">
        <v>32</v>
      </c>
      <c r="D194" s="3"/>
      <c r="E194" s="3">
        <v>0</v>
      </c>
      <c r="F194" s="4" t="s">
        <v>37</v>
      </c>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row>
    <row r="195" spans="1:57" x14ac:dyDescent="0.25">
      <c r="A195" s="1" t="str">
        <f>'Population Definitions'!$A$13</f>
        <v>Prisoners_females</v>
      </c>
      <c r="B195" t="s">
        <v>61</v>
      </c>
      <c r="C195" t="s">
        <v>32</v>
      </c>
      <c r="D195" s="3"/>
      <c r="E195" s="3">
        <v>0</v>
      </c>
      <c r="F195" s="4" t="s">
        <v>37</v>
      </c>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row>
    <row r="197" spans="1:57" x14ac:dyDescent="0.25">
      <c r="A197" s="1" t="s">
        <v>140</v>
      </c>
      <c r="B197" s="1" t="s">
        <v>29</v>
      </c>
      <c r="C197" s="1" t="s">
        <v>30</v>
      </c>
      <c r="D197" s="1" t="s">
        <v>31</v>
      </c>
      <c r="E197" s="1" t="s">
        <v>36</v>
      </c>
      <c r="F197" s="1"/>
      <c r="G197" s="1">
        <v>2000</v>
      </c>
      <c r="H197" s="1">
        <v>2001</v>
      </c>
      <c r="I197" s="1">
        <v>2002</v>
      </c>
      <c r="J197" s="1">
        <v>2003</v>
      </c>
      <c r="K197" s="1">
        <v>2004</v>
      </c>
      <c r="L197" s="1">
        <v>2005</v>
      </c>
      <c r="M197" s="1">
        <v>2006</v>
      </c>
      <c r="N197" s="1">
        <v>2007</v>
      </c>
      <c r="O197" s="1">
        <v>2008</v>
      </c>
      <c r="P197" s="1">
        <v>2009</v>
      </c>
      <c r="Q197" s="1">
        <v>2010</v>
      </c>
      <c r="R197" s="1">
        <v>2011</v>
      </c>
      <c r="S197" s="1">
        <v>2012</v>
      </c>
      <c r="T197" s="1">
        <v>2013</v>
      </c>
      <c r="U197" s="1">
        <v>2014</v>
      </c>
      <c r="V197" s="1">
        <v>2015</v>
      </c>
      <c r="W197" s="1">
        <v>2016</v>
      </c>
      <c r="X197" s="1">
        <v>2017</v>
      </c>
      <c r="Y197" s="1">
        <v>2018</v>
      </c>
      <c r="Z197" s="1">
        <v>2019</v>
      </c>
      <c r="AA197" s="1">
        <v>2020</v>
      </c>
      <c r="AB197" s="1">
        <v>2021</v>
      </c>
      <c r="AC197" s="1">
        <v>2022</v>
      </c>
      <c r="AD197" s="1">
        <v>2023</v>
      </c>
      <c r="AE197" s="1">
        <v>2024</v>
      </c>
      <c r="AF197" s="1">
        <v>2025</v>
      </c>
      <c r="AG197" s="1">
        <v>2026</v>
      </c>
      <c r="AH197" s="1">
        <v>2027</v>
      </c>
      <c r="AI197" s="1">
        <v>2028</v>
      </c>
      <c r="AJ197" s="1">
        <v>2029</v>
      </c>
      <c r="AK197" s="1">
        <v>2030</v>
      </c>
      <c r="AL197" s="1">
        <v>2031</v>
      </c>
      <c r="AM197" s="1">
        <v>2032</v>
      </c>
      <c r="AN197" s="1">
        <v>2033</v>
      </c>
      <c r="AO197" s="1">
        <v>2034</v>
      </c>
      <c r="AP197" s="1">
        <v>2035</v>
      </c>
      <c r="AQ197" s="1">
        <v>2036</v>
      </c>
      <c r="AR197" s="1">
        <v>2037</v>
      </c>
      <c r="AS197" s="1">
        <v>2038</v>
      </c>
      <c r="AT197" s="1">
        <v>2039</v>
      </c>
      <c r="AU197" s="1">
        <v>2040</v>
      </c>
      <c r="AV197" s="1">
        <v>2041</v>
      </c>
      <c r="AW197" s="1">
        <v>2042</v>
      </c>
      <c r="AX197" s="1">
        <v>2043</v>
      </c>
      <c r="AY197" s="1">
        <v>2044</v>
      </c>
      <c r="AZ197" s="1">
        <v>2045</v>
      </c>
      <c r="BA197" s="1">
        <v>2046</v>
      </c>
      <c r="BB197" s="1">
        <v>2047</v>
      </c>
      <c r="BC197" s="1">
        <v>2048</v>
      </c>
      <c r="BD197" s="1">
        <v>2049</v>
      </c>
      <c r="BE197" s="1">
        <v>2050</v>
      </c>
    </row>
    <row r="198" spans="1:57" x14ac:dyDescent="0.25">
      <c r="A198" s="1" t="str">
        <f>'Population Definitions'!$A$2</f>
        <v>PWID_males</v>
      </c>
      <c r="B198" t="s">
        <v>61</v>
      </c>
      <c r="C198" t="s">
        <v>32</v>
      </c>
      <c r="D198" s="3"/>
      <c r="E198" s="3">
        <v>0</v>
      </c>
      <c r="F198" s="4" t="s">
        <v>37</v>
      </c>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row>
    <row r="199" spans="1:57" x14ac:dyDescent="0.25">
      <c r="A199" s="1" t="str">
        <f>'Population Definitions'!$A$3</f>
        <v>PWID_females</v>
      </c>
      <c r="B199" t="s">
        <v>61</v>
      </c>
      <c r="C199" t="s">
        <v>32</v>
      </c>
      <c r="D199" s="3"/>
      <c r="E199" s="3">
        <v>0</v>
      </c>
      <c r="F199" s="4" t="s">
        <v>37</v>
      </c>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row>
    <row r="200" spans="1:57" x14ac:dyDescent="0.25">
      <c r="A200" s="1" t="str">
        <f>'Population Definitions'!$A$4</f>
        <v>0-9_males</v>
      </c>
      <c r="B200" t="s">
        <v>61</v>
      </c>
      <c r="C200" t="s">
        <v>32</v>
      </c>
      <c r="D200" s="3"/>
      <c r="E200" s="3">
        <v>0</v>
      </c>
      <c r="F200" s="4" t="s">
        <v>37</v>
      </c>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row>
    <row r="201" spans="1:57" x14ac:dyDescent="0.25">
      <c r="A201" s="1" t="str">
        <f>'Population Definitions'!$A$5</f>
        <v>0-9_females</v>
      </c>
      <c r="B201" t="s">
        <v>61</v>
      </c>
      <c r="C201" t="s">
        <v>32</v>
      </c>
      <c r="D201" s="3"/>
      <c r="E201" s="3">
        <v>0</v>
      </c>
      <c r="F201" s="4" t="s">
        <v>37</v>
      </c>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row>
    <row r="202" spans="1:57" x14ac:dyDescent="0.25">
      <c r="A202" s="1" t="str">
        <f>'Population Definitions'!$A$6</f>
        <v>10-17_males</v>
      </c>
      <c r="B202" t="s">
        <v>61</v>
      </c>
      <c r="C202" t="s">
        <v>32</v>
      </c>
      <c r="D202" s="3"/>
      <c r="E202" s="3">
        <v>0</v>
      </c>
      <c r="F202" s="4" t="s">
        <v>37</v>
      </c>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row>
    <row r="203" spans="1:57" x14ac:dyDescent="0.25">
      <c r="A203" s="1" t="str">
        <f>'Population Definitions'!$A$7</f>
        <v>10-17_females</v>
      </c>
      <c r="B203" t="s">
        <v>61</v>
      </c>
      <c r="C203" t="s">
        <v>32</v>
      </c>
      <c r="D203" s="3"/>
      <c r="E203" s="3">
        <v>0</v>
      </c>
      <c r="F203" s="4" t="s">
        <v>37</v>
      </c>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row>
    <row r="204" spans="1:57" x14ac:dyDescent="0.25">
      <c r="A204" s="1" t="str">
        <f>'Population Definitions'!$A$8</f>
        <v>18-64_males</v>
      </c>
      <c r="B204" t="s">
        <v>61</v>
      </c>
      <c r="C204" t="s">
        <v>32</v>
      </c>
      <c r="D204" s="3"/>
      <c r="E204" s="3">
        <v>0</v>
      </c>
      <c r="F204" s="4" t="s">
        <v>37</v>
      </c>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row>
    <row r="205" spans="1:57" x14ac:dyDescent="0.25">
      <c r="A205" s="1" t="str">
        <f>'Population Definitions'!$A$9</f>
        <v>18-64_females</v>
      </c>
      <c r="B205" t="s">
        <v>61</v>
      </c>
      <c r="C205" t="s">
        <v>32</v>
      </c>
      <c r="D205" s="3"/>
      <c r="E205" s="3">
        <v>0</v>
      </c>
      <c r="F205" s="4" t="s">
        <v>37</v>
      </c>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row>
    <row r="206" spans="1:57" x14ac:dyDescent="0.25">
      <c r="A206" s="1" t="str">
        <f>'Population Definitions'!$A$10</f>
        <v>65+_males</v>
      </c>
      <c r="B206" t="s">
        <v>61</v>
      </c>
      <c r="C206" t="s">
        <v>32</v>
      </c>
      <c r="D206" s="3"/>
      <c r="E206" s="3">
        <v>0</v>
      </c>
      <c r="F206" s="4" t="s">
        <v>37</v>
      </c>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row>
    <row r="207" spans="1:57" x14ac:dyDescent="0.25">
      <c r="A207" s="1" t="str">
        <f>'Population Definitions'!$A$11</f>
        <v>65+_females</v>
      </c>
      <c r="B207" t="s">
        <v>61</v>
      </c>
      <c r="C207" t="s">
        <v>32</v>
      </c>
      <c r="D207" s="3"/>
      <c r="E207" s="3">
        <v>0</v>
      </c>
      <c r="F207" s="4" t="s">
        <v>37</v>
      </c>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row>
    <row r="208" spans="1:57" x14ac:dyDescent="0.25">
      <c r="A208" s="1" t="str">
        <f>'Population Definitions'!$A$12</f>
        <v>Prisoners_males</v>
      </c>
      <c r="B208" t="s">
        <v>61</v>
      </c>
      <c r="C208" t="s">
        <v>32</v>
      </c>
      <c r="D208" s="3"/>
      <c r="E208" s="3">
        <v>0</v>
      </c>
      <c r="F208" s="4" t="s">
        <v>37</v>
      </c>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row>
    <row r="209" spans="1:57" x14ac:dyDescent="0.25">
      <c r="A209" s="1" t="str">
        <f>'Population Definitions'!$A$13</f>
        <v>Prisoners_females</v>
      </c>
      <c r="B209" t="s">
        <v>61</v>
      </c>
      <c r="C209" t="s">
        <v>32</v>
      </c>
      <c r="D209" s="3"/>
      <c r="E209" s="3">
        <v>0</v>
      </c>
      <c r="F209" s="4" t="s">
        <v>37</v>
      </c>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row>
    <row r="211" spans="1:57" x14ac:dyDescent="0.25">
      <c r="A211" s="1" t="s">
        <v>141</v>
      </c>
      <c r="B211" s="1" t="s">
        <v>29</v>
      </c>
      <c r="C211" s="1" t="s">
        <v>30</v>
      </c>
      <c r="D211" s="1" t="s">
        <v>31</v>
      </c>
      <c r="E211" s="1" t="s">
        <v>36</v>
      </c>
      <c r="F211" s="1"/>
      <c r="G211" s="1">
        <v>2000</v>
      </c>
      <c r="H211" s="1">
        <v>2001</v>
      </c>
      <c r="I211" s="1">
        <v>2002</v>
      </c>
      <c r="J211" s="1">
        <v>2003</v>
      </c>
      <c r="K211" s="1">
        <v>2004</v>
      </c>
      <c r="L211" s="1">
        <v>2005</v>
      </c>
      <c r="M211" s="1">
        <v>2006</v>
      </c>
      <c r="N211" s="1">
        <v>2007</v>
      </c>
      <c r="O211" s="1">
        <v>2008</v>
      </c>
      <c r="P211" s="1">
        <v>2009</v>
      </c>
      <c r="Q211" s="1">
        <v>2010</v>
      </c>
      <c r="R211" s="1">
        <v>2011</v>
      </c>
      <c r="S211" s="1">
        <v>2012</v>
      </c>
      <c r="T211" s="1">
        <v>2013</v>
      </c>
      <c r="U211" s="1">
        <v>2014</v>
      </c>
      <c r="V211" s="1">
        <v>2015</v>
      </c>
      <c r="W211" s="1">
        <v>2016</v>
      </c>
      <c r="X211" s="1">
        <v>2017</v>
      </c>
      <c r="Y211" s="1">
        <v>2018</v>
      </c>
      <c r="Z211" s="1">
        <v>2019</v>
      </c>
      <c r="AA211" s="1">
        <v>2020</v>
      </c>
      <c r="AB211" s="1">
        <v>2021</v>
      </c>
      <c r="AC211" s="1">
        <v>2022</v>
      </c>
      <c r="AD211" s="1">
        <v>2023</v>
      </c>
      <c r="AE211" s="1">
        <v>2024</v>
      </c>
      <c r="AF211" s="1">
        <v>2025</v>
      </c>
      <c r="AG211" s="1">
        <v>2026</v>
      </c>
      <c r="AH211" s="1">
        <v>2027</v>
      </c>
      <c r="AI211" s="1">
        <v>2028</v>
      </c>
      <c r="AJ211" s="1">
        <v>2029</v>
      </c>
      <c r="AK211" s="1">
        <v>2030</v>
      </c>
      <c r="AL211" s="1">
        <v>2031</v>
      </c>
      <c r="AM211" s="1">
        <v>2032</v>
      </c>
      <c r="AN211" s="1">
        <v>2033</v>
      </c>
      <c r="AO211" s="1">
        <v>2034</v>
      </c>
      <c r="AP211" s="1">
        <v>2035</v>
      </c>
      <c r="AQ211" s="1">
        <v>2036</v>
      </c>
      <c r="AR211" s="1">
        <v>2037</v>
      </c>
      <c r="AS211" s="1">
        <v>2038</v>
      </c>
      <c r="AT211" s="1">
        <v>2039</v>
      </c>
      <c r="AU211" s="1">
        <v>2040</v>
      </c>
      <c r="AV211" s="1">
        <v>2041</v>
      </c>
      <c r="AW211" s="1">
        <v>2042</v>
      </c>
      <c r="AX211" s="1">
        <v>2043</v>
      </c>
      <c r="AY211" s="1">
        <v>2044</v>
      </c>
      <c r="AZ211" s="1">
        <v>2045</v>
      </c>
      <c r="BA211" s="1">
        <v>2046</v>
      </c>
      <c r="BB211" s="1">
        <v>2047</v>
      </c>
      <c r="BC211" s="1">
        <v>2048</v>
      </c>
      <c r="BD211" s="1">
        <v>2049</v>
      </c>
      <c r="BE211" s="1">
        <v>2050</v>
      </c>
    </row>
    <row r="212" spans="1:57" x14ac:dyDescent="0.25">
      <c r="A212" s="1" t="str">
        <f>'Population Definitions'!$A$2</f>
        <v>PWID_males</v>
      </c>
      <c r="B212" t="s">
        <v>61</v>
      </c>
      <c r="C212" t="s">
        <v>32</v>
      </c>
      <c r="D212" s="3"/>
      <c r="E212" s="3">
        <v>0</v>
      </c>
      <c r="F212" s="4" t="s">
        <v>37</v>
      </c>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row>
    <row r="213" spans="1:57" x14ac:dyDescent="0.25">
      <c r="A213" s="1" t="str">
        <f>'Population Definitions'!$A$3</f>
        <v>PWID_females</v>
      </c>
      <c r="B213" t="s">
        <v>61</v>
      </c>
      <c r="C213" t="s">
        <v>32</v>
      </c>
      <c r="D213" s="3"/>
      <c r="E213" s="3">
        <v>0</v>
      </c>
      <c r="F213" s="4" t="s">
        <v>37</v>
      </c>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row>
    <row r="214" spans="1:57" x14ac:dyDescent="0.25">
      <c r="A214" s="1" t="str">
        <f>'Population Definitions'!$A$4</f>
        <v>0-9_males</v>
      </c>
      <c r="B214" t="s">
        <v>61</v>
      </c>
      <c r="C214" t="s">
        <v>32</v>
      </c>
      <c r="D214" s="3"/>
      <c r="E214" s="3">
        <v>0</v>
      </c>
      <c r="F214" s="4" t="s">
        <v>37</v>
      </c>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row>
    <row r="215" spans="1:57" x14ac:dyDescent="0.25">
      <c r="A215" s="1" t="str">
        <f>'Population Definitions'!$A$5</f>
        <v>0-9_females</v>
      </c>
      <c r="B215" t="s">
        <v>61</v>
      </c>
      <c r="C215" t="s">
        <v>32</v>
      </c>
      <c r="D215" s="3"/>
      <c r="E215" s="3">
        <v>0</v>
      </c>
      <c r="F215" s="4" t="s">
        <v>37</v>
      </c>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row>
    <row r="216" spans="1:57" x14ac:dyDescent="0.25">
      <c r="A216" s="1" t="str">
        <f>'Population Definitions'!$A$6</f>
        <v>10-17_males</v>
      </c>
      <c r="B216" t="s">
        <v>61</v>
      </c>
      <c r="C216" t="s">
        <v>32</v>
      </c>
      <c r="D216" s="3"/>
      <c r="E216" s="3">
        <v>0</v>
      </c>
      <c r="F216" s="4" t="s">
        <v>37</v>
      </c>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row>
    <row r="217" spans="1:57" x14ac:dyDescent="0.25">
      <c r="A217" s="1" t="str">
        <f>'Population Definitions'!$A$7</f>
        <v>10-17_females</v>
      </c>
      <c r="B217" t="s">
        <v>61</v>
      </c>
      <c r="C217" t="s">
        <v>32</v>
      </c>
      <c r="D217" s="3"/>
      <c r="E217" s="3">
        <v>0</v>
      </c>
      <c r="F217" s="4" t="s">
        <v>37</v>
      </c>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row>
    <row r="218" spans="1:57" x14ac:dyDescent="0.25">
      <c r="A218" s="1" t="str">
        <f>'Population Definitions'!$A$8</f>
        <v>18-64_males</v>
      </c>
      <c r="B218" t="s">
        <v>61</v>
      </c>
      <c r="C218" t="s">
        <v>32</v>
      </c>
      <c r="D218" s="3"/>
      <c r="E218" s="3">
        <v>0</v>
      </c>
      <c r="F218" s="4" t="s">
        <v>37</v>
      </c>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row>
    <row r="219" spans="1:57" x14ac:dyDescent="0.25">
      <c r="A219" s="1" t="str">
        <f>'Population Definitions'!$A$9</f>
        <v>18-64_females</v>
      </c>
      <c r="B219" t="s">
        <v>61</v>
      </c>
      <c r="C219" t="s">
        <v>32</v>
      </c>
      <c r="D219" s="3"/>
      <c r="E219" s="3">
        <v>0</v>
      </c>
      <c r="F219" s="4" t="s">
        <v>37</v>
      </c>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row>
    <row r="220" spans="1:57" x14ac:dyDescent="0.25">
      <c r="A220" s="1" t="str">
        <f>'Population Definitions'!$A$10</f>
        <v>65+_males</v>
      </c>
      <c r="B220" t="s">
        <v>61</v>
      </c>
      <c r="C220" t="s">
        <v>32</v>
      </c>
      <c r="D220" s="3"/>
      <c r="E220" s="3">
        <v>0</v>
      </c>
      <c r="F220" s="4" t="s">
        <v>37</v>
      </c>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row>
    <row r="221" spans="1:57" x14ac:dyDescent="0.25">
      <c r="A221" s="1" t="str">
        <f>'Population Definitions'!$A$11</f>
        <v>65+_females</v>
      </c>
      <c r="B221" t="s">
        <v>61</v>
      </c>
      <c r="C221" t="s">
        <v>32</v>
      </c>
      <c r="D221" s="3"/>
      <c r="E221" s="3">
        <v>0</v>
      </c>
      <c r="F221" s="4" t="s">
        <v>37</v>
      </c>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row>
    <row r="222" spans="1:57" x14ac:dyDescent="0.25">
      <c r="A222" s="1" t="str">
        <f>'Population Definitions'!$A$12</f>
        <v>Prisoners_males</v>
      </c>
      <c r="B222" t="s">
        <v>61</v>
      </c>
      <c r="C222" t="s">
        <v>32</v>
      </c>
      <c r="D222" s="3"/>
      <c r="E222" s="3">
        <v>0</v>
      </c>
      <c r="F222" s="4" t="s">
        <v>37</v>
      </c>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row>
    <row r="223" spans="1:57" x14ac:dyDescent="0.25">
      <c r="A223" s="1" t="str">
        <f>'Population Definitions'!$A$13</f>
        <v>Prisoners_females</v>
      </c>
      <c r="B223" t="s">
        <v>61</v>
      </c>
      <c r="C223" t="s">
        <v>32</v>
      </c>
      <c r="D223" s="3"/>
      <c r="E223" s="3">
        <v>0</v>
      </c>
      <c r="F223" s="4" t="s">
        <v>37</v>
      </c>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row>
    <row r="225" spans="1:57" x14ac:dyDescent="0.25">
      <c r="A225" s="1" t="s">
        <v>142</v>
      </c>
      <c r="B225" s="1" t="s">
        <v>29</v>
      </c>
      <c r="C225" s="1" t="s">
        <v>30</v>
      </c>
      <c r="D225" s="1" t="s">
        <v>31</v>
      </c>
      <c r="E225" s="1" t="s">
        <v>36</v>
      </c>
      <c r="F225" s="1"/>
      <c r="G225" s="1">
        <v>2000</v>
      </c>
      <c r="H225" s="1">
        <v>2001</v>
      </c>
      <c r="I225" s="1">
        <v>2002</v>
      </c>
      <c r="J225" s="1">
        <v>2003</v>
      </c>
      <c r="K225" s="1">
        <v>2004</v>
      </c>
      <c r="L225" s="1">
        <v>2005</v>
      </c>
      <c r="M225" s="1">
        <v>2006</v>
      </c>
      <c r="N225" s="1">
        <v>2007</v>
      </c>
      <c r="O225" s="1">
        <v>2008</v>
      </c>
      <c r="P225" s="1">
        <v>2009</v>
      </c>
      <c r="Q225" s="1">
        <v>2010</v>
      </c>
      <c r="R225" s="1">
        <v>2011</v>
      </c>
      <c r="S225" s="1">
        <v>2012</v>
      </c>
      <c r="T225" s="1">
        <v>2013</v>
      </c>
      <c r="U225" s="1">
        <v>2014</v>
      </c>
      <c r="V225" s="1">
        <v>2015</v>
      </c>
      <c r="W225" s="1">
        <v>2016</v>
      </c>
      <c r="X225" s="1">
        <v>2017</v>
      </c>
      <c r="Y225" s="1">
        <v>2018</v>
      </c>
      <c r="Z225" s="1">
        <v>2019</v>
      </c>
      <c r="AA225" s="1">
        <v>2020</v>
      </c>
      <c r="AB225" s="1">
        <v>2021</v>
      </c>
      <c r="AC225" s="1">
        <v>2022</v>
      </c>
      <c r="AD225" s="1">
        <v>2023</v>
      </c>
      <c r="AE225" s="1">
        <v>2024</v>
      </c>
      <c r="AF225" s="1">
        <v>2025</v>
      </c>
      <c r="AG225" s="1">
        <v>2026</v>
      </c>
      <c r="AH225" s="1">
        <v>2027</v>
      </c>
      <c r="AI225" s="1">
        <v>2028</v>
      </c>
      <c r="AJ225" s="1">
        <v>2029</v>
      </c>
      <c r="AK225" s="1">
        <v>2030</v>
      </c>
      <c r="AL225" s="1">
        <v>2031</v>
      </c>
      <c r="AM225" s="1">
        <v>2032</v>
      </c>
      <c r="AN225" s="1">
        <v>2033</v>
      </c>
      <c r="AO225" s="1">
        <v>2034</v>
      </c>
      <c r="AP225" s="1">
        <v>2035</v>
      </c>
      <c r="AQ225" s="1">
        <v>2036</v>
      </c>
      <c r="AR225" s="1">
        <v>2037</v>
      </c>
      <c r="AS225" s="1">
        <v>2038</v>
      </c>
      <c r="AT225" s="1">
        <v>2039</v>
      </c>
      <c r="AU225" s="1">
        <v>2040</v>
      </c>
      <c r="AV225" s="1">
        <v>2041</v>
      </c>
      <c r="AW225" s="1">
        <v>2042</v>
      </c>
      <c r="AX225" s="1">
        <v>2043</v>
      </c>
      <c r="AY225" s="1">
        <v>2044</v>
      </c>
      <c r="AZ225" s="1">
        <v>2045</v>
      </c>
      <c r="BA225" s="1">
        <v>2046</v>
      </c>
      <c r="BB225" s="1">
        <v>2047</v>
      </c>
      <c r="BC225" s="1">
        <v>2048</v>
      </c>
      <c r="BD225" s="1">
        <v>2049</v>
      </c>
      <c r="BE225" s="1">
        <v>2050</v>
      </c>
    </row>
    <row r="226" spans="1:57" x14ac:dyDescent="0.25">
      <c r="A226" s="1" t="str">
        <f>'Population Definitions'!$A$2</f>
        <v>PWID_males</v>
      </c>
      <c r="B226" t="s">
        <v>61</v>
      </c>
      <c r="C226" t="s">
        <v>32</v>
      </c>
      <c r="D226" s="3"/>
      <c r="E226" s="3">
        <v>0</v>
      </c>
      <c r="F226" s="4" t="s">
        <v>37</v>
      </c>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row>
    <row r="227" spans="1:57" x14ac:dyDescent="0.25">
      <c r="A227" s="1" t="str">
        <f>'Population Definitions'!$A$3</f>
        <v>PWID_females</v>
      </c>
      <c r="B227" t="s">
        <v>61</v>
      </c>
      <c r="C227" t="s">
        <v>32</v>
      </c>
      <c r="D227" s="3"/>
      <c r="E227" s="3">
        <v>0</v>
      </c>
      <c r="F227" s="4" t="s">
        <v>37</v>
      </c>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row>
    <row r="228" spans="1:57" x14ac:dyDescent="0.25">
      <c r="A228" s="1" t="str">
        <f>'Population Definitions'!$A$4</f>
        <v>0-9_males</v>
      </c>
      <c r="B228" t="s">
        <v>61</v>
      </c>
      <c r="C228" t="s">
        <v>32</v>
      </c>
      <c r="D228" s="3"/>
      <c r="E228" s="3">
        <v>0</v>
      </c>
      <c r="F228" s="4" t="s">
        <v>37</v>
      </c>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row>
    <row r="229" spans="1:57" x14ac:dyDescent="0.25">
      <c r="A229" s="1" t="str">
        <f>'Population Definitions'!$A$5</f>
        <v>0-9_females</v>
      </c>
      <c r="B229" t="s">
        <v>61</v>
      </c>
      <c r="C229" t="s">
        <v>32</v>
      </c>
      <c r="D229" s="3"/>
      <c r="E229" s="3">
        <v>0</v>
      </c>
      <c r="F229" s="4" t="s">
        <v>37</v>
      </c>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row>
    <row r="230" spans="1:57" x14ac:dyDescent="0.25">
      <c r="A230" s="1" t="str">
        <f>'Population Definitions'!$A$6</f>
        <v>10-17_males</v>
      </c>
      <c r="B230" t="s">
        <v>61</v>
      </c>
      <c r="C230" t="s">
        <v>32</v>
      </c>
      <c r="D230" s="3"/>
      <c r="E230" s="3">
        <v>0</v>
      </c>
      <c r="F230" s="4" t="s">
        <v>37</v>
      </c>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row>
    <row r="231" spans="1:57" x14ac:dyDescent="0.25">
      <c r="A231" s="1" t="str">
        <f>'Population Definitions'!$A$7</f>
        <v>10-17_females</v>
      </c>
      <c r="B231" t="s">
        <v>61</v>
      </c>
      <c r="C231" t="s">
        <v>32</v>
      </c>
      <c r="D231" s="3"/>
      <c r="E231" s="3">
        <v>0</v>
      </c>
      <c r="F231" s="4" t="s">
        <v>37</v>
      </c>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row>
    <row r="232" spans="1:57" x14ac:dyDescent="0.25">
      <c r="A232" s="1" t="str">
        <f>'Population Definitions'!$A$8</f>
        <v>18-64_males</v>
      </c>
      <c r="B232" t="s">
        <v>61</v>
      </c>
      <c r="C232" t="s">
        <v>32</v>
      </c>
      <c r="D232" s="3"/>
      <c r="E232" s="3">
        <v>0</v>
      </c>
      <c r="F232" s="4" t="s">
        <v>37</v>
      </c>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row>
    <row r="233" spans="1:57" x14ac:dyDescent="0.25">
      <c r="A233" s="1" t="str">
        <f>'Population Definitions'!$A$9</f>
        <v>18-64_females</v>
      </c>
      <c r="B233" t="s">
        <v>61</v>
      </c>
      <c r="C233" t="s">
        <v>32</v>
      </c>
      <c r="D233" s="3"/>
      <c r="E233" s="3">
        <v>0</v>
      </c>
      <c r="F233" s="4" t="s">
        <v>37</v>
      </c>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row>
    <row r="234" spans="1:57" x14ac:dyDescent="0.25">
      <c r="A234" s="1" t="str">
        <f>'Population Definitions'!$A$10</f>
        <v>65+_males</v>
      </c>
      <c r="B234" t="s">
        <v>61</v>
      </c>
      <c r="C234" t="s">
        <v>32</v>
      </c>
      <c r="D234" s="3"/>
      <c r="E234" s="3">
        <v>0</v>
      </c>
      <c r="F234" s="4" t="s">
        <v>37</v>
      </c>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row>
    <row r="235" spans="1:57" x14ac:dyDescent="0.25">
      <c r="A235" s="1" t="str">
        <f>'Population Definitions'!$A$11</f>
        <v>65+_females</v>
      </c>
      <c r="B235" t="s">
        <v>61</v>
      </c>
      <c r="C235" t="s">
        <v>32</v>
      </c>
      <c r="D235" s="3"/>
      <c r="E235" s="3">
        <v>0</v>
      </c>
      <c r="F235" s="4" t="s">
        <v>37</v>
      </c>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row>
    <row r="236" spans="1:57" x14ac:dyDescent="0.25">
      <c r="A236" s="1" t="str">
        <f>'Population Definitions'!$A$12</f>
        <v>Prisoners_males</v>
      </c>
      <c r="B236" t="s">
        <v>61</v>
      </c>
      <c r="C236" t="s">
        <v>32</v>
      </c>
      <c r="D236" s="3"/>
      <c r="E236" s="3">
        <v>0</v>
      </c>
      <c r="F236" s="4" t="s">
        <v>37</v>
      </c>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row>
    <row r="237" spans="1:57" x14ac:dyDescent="0.25">
      <c r="A237" s="1" t="str">
        <f>'Population Definitions'!$A$13</f>
        <v>Prisoners_females</v>
      </c>
      <c r="B237" t="s">
        <v>61</v>
      </c>
      <c r="C237" t="s">
        <v>32</v>
      </c>
      <c r="D237" s="3"/>
      <c r="E237" s="3">
        <v>0</v>
      </c>
      <c r="F237" s="4" t="s">
        <v>37</v>
      </c>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row>
    <row r="239" spans="1:57" x14ac:dyDescent="0.25">
      <c r="A239" s="1" t="s">
        <v>143</v>
      </c>
      <c r="B239" s="1" t="s">
        <v>29</v>
      </c>
      <c r="C239" s="1" t="s">
        <v>30</v>
      </c>
      <c r="D239" s="1" t="s">
        <v>31</v>
      </c>
      <c r="E239" s="1" t="s">
        <v>36</v>
      </c>
      <c r="F239" s="1"/>
      <c r="G239" s="1">
        <v>2000</v>
      </c>
      <c r="H239" s="1">
        <v>2001</v>
      </c>
      <c r="I239" s="1">
        <v>2002</v>
      </c>
      <c r="J239" s="1">
        <v>2003</v>
      </c>
      <c r="K239" s="1">
        <v>2004</v>
      </c>
      <c r="L239" s="1">
        <v>2005</v>
      </c>
      <c r="M239" s="1">
        <v>2006</v>
      </c>
      <c r="N239" s="1">
        <v>2007</v>
      </c>
      <c r="O239" s="1">
        <v>2008</v>
      </c>
      <c r="P239" s="1">
        <v>2009</v>
      </c>
      <c r="Q239" s="1">
        <v>2010</v>
      </c>
      <c r="R239" s="1">
        <v>2011</v>
      </c>
      <c r="S239" s="1">
        <v>2012</v>
      </c>
      <c r="T239" s="1">
        <v>2013</v>
      </c>
      <c r="U239" s="1">
        <v>2014</v>
      </c>
      <c r="V239" s="1">
        <v>2015</v>
      </c>
      <c r="W239" s="1">
        <v>2016</v>
      </c>
      <c r="X239" s="1">
        <v>2017</v>
      </c>
      <c r="Y239" s="1">
        <v>2018</v>
      </c>
      <c r="Z239" s="1">
        <v>2019</v>
      </c>
      <c r="AA239" s="1">
        <v>2020</v>
      </c>
      <c r="AB239" s="1">
        <v>2021</v>
      </c>
      <c r="AC239" s="1">
        <v>2022</v>
      </c>
      <c r="AD239" s="1">
        <v>2023</v>
      </c>
      <c r="AE239" s="1">
        <v>2024</v>
      </c>
      <c r="AF239" s="1">
        <v>2025</v>
      </c>
      <c r="AG239" s="1">
        <v>2026</v>
      </c>
      <c r="AH239" s="1">
        <v>2027</v>
      </c>
      <c r="AI239" s="1">
        <v>2028</v>
      </c>
      <c r="AJ239" s="1">
        <v>2029</v>
      </c>
      <c r="AK239" s="1">
        <v>2030</v>
      </c>
      <c r="AL239" s="1">
        <v>2031</v>
      </c>
      <c r="AM239" s="1">
        <v>2032</v>
      </c>
      <c r="AN239" s="1">
        <v>2033</v>
      </c>
      <c r="AO239" s="1">
        <v>2034</v>
      </c>
      <c r="AP239" s="1">
        <v>2035</v>
      </c>
      <c r="AQ239" s="1">
        <v>2036</v>
      </c>
      <c r="AR239" s="1">
        <v>2037</v>
      </c>
      <c r="AS239" s="1">
        <v>2038</v>
      </c>
      <c r="AT239" s="1">
        <v>2039</v>
      </c>
      <c r="AU239" s="1">
        <v>2040</v>
      </c>
      <c r="AV239" s="1">
        <v>2041</v>
      </c>
      <c r="AW239" s="1">
        <v>2042</v>
      </c>
      <c r="AX239" s="1">
        <v>2043</v>
      </c>
      <c r="AY239" s="1">
        <v>2044</v>
      </c>
      <c r="AZ239" s="1">
        <v>2045</v>
      </c>
      <c r="BA239" s="1">
        <v>2046</v>
      </c>
      <c r="BB239" s="1">
        <v>2047</v>
      </c>
      <c r="BC239" s="1">
        <v>2048</v>
      </c>
      <c r="BD239" s="1">
        <v>2049</v>
      </c>
      <c r="BE239" s="1">
        <v>2050</v>
      </c>
    </row>
    <row r="240" spans="1:57" x14ac:dyDescent="0.25">
      <c r="A240" s="1" t="str">
        <f>'Population Definitions'!$A$2</f>
        <v>PWID_males</v>
      </c>
      <c r="B240" t="s">
        <v>61</v>
      </c>
      <c r="C240" t="s">
        <v>32</v>
      </c>
      <c r="D240" s="3"/>
      <c r="E240" s="3">
        <v>0</v>
      </c>
      <c r="F240" s="4" t="s">
        <v>37</v>
      </c>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row>
    <row r="241" spans="1:57" x14ac:dyDescent="0.25">
      <c r="A241" s="1" t="str">
        <f>'Population Definitions'!$A$3</f>
        <v>PWID_females</v>
      </c>
      <c r="B241" t="s">
        <v>61</v>
      </c>
      <c r="C241" t="s">
        <v>32</v>
      </c>
      <c r="D241" s="3"/>
      <c r="E241" s="3">
        <v>0</v>
      </c>
      <c r="F241" s="4" t="s">
        <v>37</v>
      </c>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row>
    <row r="242" spans="1:57" x14ac:dyDescent="0.25">
      <c r="A242" s="1" t="str">
        <f>'Population Definitions'!$A$4</f>
        <v>0-9_males</v>
      </c>
      <c r="B242" t="s">
        <v>61</v>
      </c>
      <c r="C242" t="s">
        <v>32</v>
      </c>
      <c r="D242" s="3"/>
      <c r="E242" s="3">
        <v>0</v>
      </c>
      <c r="F242" s="4" t="s">
        <v>37</v>
      </c>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row>
    <row r="243" spans="1:57" x14ac:dyDescent="0.25">
      <c r="A243" s="1" t="str">
        <f>'Population Definitions'!$A$5</f>
        <v>0-9_females</v>
      </c>
      <c r="B243" t="s">
        <v>61</v>
      </c>
      <c r="C243" t="s">
        <v>32</v>
      </c>
      <c r="D243" s="3"/>
      <c r="E243" s="3">
        <v>0</v>
      </c>
      <c r="F243" s="4" t="s">
        <v>37</v>
      </c>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row>
    <row r="244" spans="1:57" x14ac:dyDescent="0.25">
      <c r="A244" s="1" t="str">
        <f>'Population Definitions'!$A$6</f>
        <v>10-17_males</v>
      </c>
      <c r="B244" t="s">
        <v>61</v>
      </c>
      <c r="C244" t="s">
        <v>32</v>
      </c>
      <c r="D244" s="3"/>
      <c r="E244" s="3">
        <v>0</v>
      </c>
      <c r="F244" s="4" t="s">
        <v>37</v>
      </c>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row>
    <row r="245" spans="1:57" x14ac:dyDescent="0.25">
      <c r="A245" s="1" t="str">
        <f>'Population Definitions'!$A$7</f>
        <v>10-17_females</v>
      </c>
      <c r="B245" t="s">
        <v>61</v>
      </c>
      <c r="C245" t="s">
        <v>32</v>
      </c>
      <c r="D245" s="3"/>
      <c r="E245" s="3">
        <v>0</v>
      </c>
      <c r="F245" s="4" t="s">
        <v>37</v>
      </c>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row>
    <row r="246" spans="1:57" x14ac:dyDescent="0.25">
      <c r="A246" s="1" t="str">
        <f>'Population Definitions'!$A$8</f>
        <v>18-64_males</v>
      </c>
      <c r="B246" t="s">
        <v>61</v>
      </c>
      <c r="C246" t="s">
        <v>32</v>
      </c>
      <c r="D246" s="3"/>
      <c r="E246" s="3">
        <v>0</v>
      </c>
      <c r="F246" s="4" t="s">
        <v>37</v>
      </c>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row>
    <row r="247" spans="1:57" x14ac:dyDescent="0.25">
      <c r="A247" s="1" t="str">
        <f>'Population Definitions'!$A$9</f>
        <v>18-64_females</v>
      </c>
      <c r="B247" t="s">
        <v>61</v>
      </c>
      <c r="C247" t="s">
        <v>32</v>
      </c>
      <c r="D247" s="3"/>
      <c r="E247" s="3">
        <v>0</v>
      </c>
      <c r="F247" s="4" t="s">
        <v>37</v>
      </c>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row>
    <row r="248" spans="1:57" x14ac:dyDescent="0.25">
      <c r="A248" s="1" t="str">
        <f>'Population Definitions'!$A$10</f>
        <v>65+_males</v>
      </c>
      <c r="B248" t="s">
        <v>61</v>
      </c>
      <c r="C248" t="s">
        <v>32</v>
      </c>
      <c r="D248" s="3"/>
      <c r="E248" s="3">
        <v>0</v>
      </c>
      <c r="F248" s="4" t="s">
        <v>37</v>
      </c>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row>
    <row r="249" spans="1:57" x14ac:dyDescent="0.25">
      <c r="A249" s="1" t="str">
        <f>'Population Definitions'!$A$11</f>
        <v>65+_females</v>
      </c>
      <c r="B249" t="s">
        <v>61</v>
      </c>
      <c r="C249" t="s">
        <v>32</v>
      </c>
      <c r="D249" s="3"/>
      <c r="E249" s="3">
        <v>0</v>
      </c>
      <c r="F249" s="4" t="s">
        <v>37</v>
      </c>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row>
    <row r="250" spans="1:57" x14ac:dyDescent="0.25">
      <c r="A250" s="1" t="str">
        <f>'Population Definitions'!$A$12</f>
        <v>Prisoners_males</v>
      </c>
      <c r="B250" t="s">
        <v>61</v>
      </c>
      <c r="C250" t="s">
        <v>32</v>
      </c>
      <c r="D250" s="3"/>
      <c r="E250" s="3">
        <v>0</v>
      </c>
      <c r="F250" s="4" t="s">
        <v>37</v>
      </c>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row>
    <row r="251" spans="1:57" x14ac:dyDescent="0.25">
      <c r="A251" s="1" t="str">
        <f>'Population Definitions'!$A$13</f>
        <v>Prisoners_females</v>
      </c>
      <c r="B251" t="s">
        <v>61</v>
      </c>
      <c r="C251" t="s">
        <v>32</v>
      </c>
      <c r="D251" s="3"/>
      <c r="E251" s="3">
        <v>0</v>
      </c>
      <c r="F251" s="4" t="s">
        <v>37</v>
      </c>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row>
    <row r="253" spans="1:57" x14ac:dyDescent="0.25">
      <c r="A253" s="1" t="s">
        <v>144</v>
      </c>
      <c r="B253" s="1" t="s">
        <v>29</v>
      </c>
      <c r="C253" s="1" t="s">
        <v>30</v>
      </c>
      <c r="D253" s="1" t="s">
        <v>31</v>
      </c>
      <c r="E253" s="1">
        <v>2000</v>
      </c>
      <c r="F253" s="1">
        <v>2001</v>
      </c>
      <c r="G253" s="1">
        <v>2002</v>
      </c>
      <c r="H253" s="1">
        <v>2003</v>
      </c>
      <c r="I253" s="1">
        <v>2004</v>
      </c>
      <c r="J253" s="1">
        <v>2005</v>
      </c>
      <c r="K253" s="1">
        <v>2006</v>
      </c>
      <c r="L253" s="1">
        <v>2007</v>
      </c>
      <c r="M253" s="1">
        <v>2008</v>
      </c>
      <c r="N253" s="1">
        <v>2009</v>
      </c>
      <c r="O253" s="1">
        <v>2010</v>
      </c>
      <c r="P253" s="1">
        <v>2011</v>
      </c>
      <c r="Q253" s="1">
        <v>2012</v>
      </c>
      <c r="R253" s="1">
        <v>2013</v>
      </c>
      <c r="S253" s="1">
        <v>2014</v>
      </c>
      <c r="T253" s="1">
        <v>2015</v>
      </c>
      <c r="U253" s="1">
        <v>2016</v>
      </c>
      <c r="V253" s="1">
        <v>2017</v>
      </c>
      <c r="W253" s="1">
        <v>2018</v>
      </c>
      <c r="X253" s="1">
        <v>2019</v>
      </c>
      <c r="Y253" s="1">
        <v>2020</v>
      </c>
      <c r="Z253" s="1">
        <v>2021</v>
      </c>
      <c r="AA253" s="1">
        <v>2022</v>
      </c>
      <c r="AB253" s="1">
        <v>2023</v>
      </c>
      <c r="AC253" s="1">
        <v>2024</v>
      </c>
      <c r="AD253" s="1">
        <v>2025</v>
      </c>
      <c r="AE253" s="1">
        <v>2026</v>
      </c>
      <c r="AF253" s="1">
        <v>2027</v>
      </c>
      <c r="AG253" s="1">
        <v>2028</v>
      </c>
      <c r="AH253" s="1">
        <v>2029</v>
      </c>
      <c r="AI253" s="1">
        <v>2030</v>
      </c>
      <c r="AJ253" s="1">
        <v>2031</v>
      </c>
      <c r="AK253" s="1">
        <v>2032</v>
      </c>
      <c r="AL253" s="1">
        <v>2033</v>
      </c>
      <c r="AM253" s="1">
        <v>2034</v>
      </c>
      <c r="AN253" s="1">
        <v>2035</v>
      </c>
      <c r="AO253" s="1">
        <v>2036</v>
      </c>
      <c r="AP253" s="1">
        <v>2037</v>
      </c>
      <c r="AQ253" s="1">
        <v>2038</v>
      </c>
      <c r="AR253" s="1">
        <v>2039</v>
      </c>
      <c r="AS253" s="1">
        <v>2040</v>
      </c>
      <c r="AT253" s="1">
        <v>2041</v>
      </c>
      <c r="AU253" s="1">
        <v>2042</v>
      </c>
      <c r="AV253" s="1">
        <v>2043</v>
      </c>
      <c r="AW253" s="1">
        <v>2044</v>
      </c>
      <c r="AX253" s="1">
        <v>2045</v>
      </c>
      <c r="AY253" s="1">
        <v>2046</v>
      </c>
      <c r="AZ253" s="1">
        <v>2047</v>
      </c>
      <c r="BA253" s="1">
        <v>2048</v>
      </c>
      <c r="BB253" s="1">
        <v>2049</v>
      </c>
      <c r="BC253" s="1">
        <v>2050</v>
      </c>
    </row>
    <row r="254" spans="1:57" x14ac:dyDescent="0.25">
      <c r="A254" s="1" t="str">
        <f>'Population Definitions'!$A$2</f>
        <v>PWID_males</v>
      </c>
      <c r="C254" t="s">
        <v>32</v>
      </c>
      <c r="D254" s="3"/>
      <c r="E254" s="3">
        <v>107914.73871681999</v>
      </c>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row>
    <row r="255" spans="1:57" x14ac:dyDescent="0.25">
      <c r="A255" s="1" t="str">
        <f>'Population Definitions'!$A$3</f>
        <v>PWID_females</v>
      </c>
      <c r="C255" t="s">
        <v>32</v>
      </c>
      <c r="D255" s="3"/>
      <c r="E255" s="3">
        <v>542.28511918000061</v>
      </c>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row>
    <row r="256" spans="1:57" x14ac:dyDescent="0.25">
      <c r="A256" s="1" t="str">
        <f>'Population Definitions'!$A$4</f>
        <v>0-9_males</v>
      </c>
      <c r="C256" t="s">
        <v>32</v>
      </c>
      <c r="D256" s="3"/>
      <c r="E256" s="3">
        <v>0</v>
      </c>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row>
    <row r="257" spans="1:55" x14ac:dyDescent="0.25">
      <c r="A257" s="1" t="str">
        <f>'Population Definitions'!$A$5</f>
        <v>0-9_females</v>
      </c>
      <c r="C257" t="s">
        <v>32</v>
      </c>
      <c r="D257" s="3"/>
      <c r="E257" s="3">
        <v>0</v>
      </c>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row>
    <row r="258" spans="1:55" x14ac:dyDescent="0.25">
      <c r="A258" s="1" t="str">
        <f>'Population Definitions'!$A$6</f>
        <v>10-17_males</v>
      </c>
      <c r="C258" t="s">
        <v>32</v>
      </c>
      <c r="D258" s="3"/>
      <c r="E258" s="3">
        <v>0</v>
      </c>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row>
    <row r="259" spans="1:55" x14ac:dyDescent="0.25">
      <c r="A259" s="1" t="str">
        <f>'Population Definitions'!$A$7</f>
        <v>10-17_females</v>
      </c>
      <c r="C259" t="s">
        <v>32</v>
      </c>
      <c r="D259" s="3"/>
      <c r="E259" s="3">
        <v>0</v>
      </c>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row>
    <row r="260" spans="1:55" x14ac:dyDescent="0.25">
      <c r="A260" s="1" t="str">
        <f>'Population Definitions'!$A$8</f>
        <v>18-64_males</v>
      </c>
      <c r="C260" t="s">
        <v>32</v>
      </c>
      <c r="D260" s="3"/>
      <c r="E260" s="3">
        <v>5586949.3344045207</v>
      </c>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row>
    <row r="261" spans="1:55" x14ac:dyDescent="0.25">
      <c r="A261" s="1" t="str">
        <f>'Population Definitions'!$A$9</f>
        <v>18-64_females</v>
      </c>
      <c r="C261" t="s">
        <v>32</v>
      </c>
      <c r="D261" s="3"/>
      <c r="E261" s="3">
        <v>5309928.5013075871</v>
      </c>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row>
    <row r="262" spans="1:55" x14ac:dyDescent="0.25">
      <c r="A262" s="1" t="str">
        <f>'Population Definitions'!$A$10</f>
        <v>65+_males</v>
      </c>
      <c r="C262" t="s">
        <v>32</v>
      </c>
      <c r="D262" s="3"/>
      <c r="E262" s="3">
        <v>437452.75357194268</v>
      </c>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row>
    <row r="263" spans="1:55" x14ac:dyDescent="0.25">
      <c r="A263" s="1" t="str">
        <f>'Population Definitions'!$A$11</f>
        <v>65+_females</v>
      </c>
      <c r="C263" t="s">
        <v>32</v>
      </c>
      <c r="D263" s="3"/>
      <c r="E263" s="3">
        <v>382578.73720288649</v>
      </c>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row>
    <row r="264" spans="1:55" x14ac:dyDescent="0.25">
      <c r="A264" s="1" t="str">
        <f>'Population Definitions'!$A$12</f>
        <v>Prisoners_males</v>
      </c>
      <c r="C264" t="s">
        <v>32</v>
      </c>
      <c r="D264" s="3"/>
      <c r="E264" s="3">
        <v>16866.07233016787</v>
      </c>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row>
    <row r="265" spans="1:55" x14ac:dyDescent="0.25">
      <c r="A265" s="1" t="str">
        <f>'Population Definitions'!$A$13</f>
        <v>Prisoners_females</v>
      </c>
      <c r="C265" t="s">
        <v>32</v>
      </c>
      <c r="D265" s="3"/>
      <c r="E265" s="3">
        <v>137.57734689396321</v>
      </c>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row>
    <row r="267" spans="1:55" x14ac:dyDescent="0.25">
      <c r="A267" s="1" t="s">
        <v>145</v>
      </c>
      <c r="B267" s="1" t="s">
        <v>29</v>
      </c>
      <c r="C267" s="1" t="s">
        <v>30</v>
      </c>
      <c r="D267" s="1" t="s">
        <v>31</v>
      </c>
      <c r="E267" s="1">
        <v>2000</v>
      </c>
      <c r="F267" s="1">
        <v>2001</v>
      </c>
      <c r="G267" s="1">
        <v>2002</v>
      </c>
      <c r="H267" s="1">
        <v>2003</v>
      </c>
      <c r="I267" s="1">
        <v>2004</v>
      </c>
      <c r="J267" s="1">
        <v>2005</v>
      </c>
      <c r="K267" s="1">
        <v>2006</v>
      </c>
      <c r="L267" s="1">
        <v>2007</v>
      </c>
      <c r="M267" s="1">
        <v>2008</v>
      </c>
      <c r="N267" s="1">
        <v>2009</v>
      </c>
      <c r="O267" s="1">
        <v>2010</v>
      </c>
      <c r="P267" s="1">
        <v>2011</v>
      </c>
      <c r="Q267" s="1">
        <v>2012</v>
      </c>
      <c r="R267" s="1">
        <v>2013</v>
      </c>
      <c r="S267" s="1">
        <v>2014</v>
      </c>
      <c r="T267" s="1">
        <v>2015</v>
      </c>
      <c r="U267" s="1">
        <v>2016</v>
      </c>
      <c r="V267" s="1">
        <v>2017</v>
      </c>
      <c r="W267" s="1">
        <v>2018</v>
      </c>
      <c r="X267" s="1">
        <v>2019</v>
      </c>
      <c r="Y267" s="1">
        <v>2020</v>
      </c>
      <c r="Z267" s="1">
        <v>2021</v>
      </c>
      <c r="AA267" s="1">
        <v>2022</v>
      </c>
      <c r="AB267" s="1">
        <v>2023</v>
      </c>
      <c r="AC267" s="1">
        <v>2024</v>
      </c>
      <c r="AD267" s="1">
        <v>2025</v>
      </c>
      <c r="AE267" s="1">
        <v>2026</v>
      </c>
      <c r="AF267" s="1">
        <v>2027</v>
      </c>
      <c r="AG267" s="1">
        <v>2028</v>
      </c>
      <c r="AH267" s="1">
        <v>2029</v>
      </c>
      <c r="AI267" s="1">
        <v>2030</v>
      </c>
      <c r="AJ267" s="1">
        <v>2031</v>
      </c>
      <c r="AK267" s="1">
        <v>2032</v>
      </c>
      <c r="AL267" s="1">
        <v>2033</v>
      </c>
      <c r="AM267" s="1">
        <v>2034</v>
      </c>
      <c r="AN267" s="1">
        <v>2035</v>
      </c>
      <c r="AO267" s="1">
        <v>2036</v>
      </c>
      <c r="AP267" s="1">
        <v>2037</v>
      </c>
      <c r="AQ267" s="1">
        <v>2038</v>
      </c>
      <c r="AR267" s="1">
        <v>2039</v>
      </c>
      <c r="AS267" s="1">
        <v>2040</v>
      </c>
      <c r="AT267" s="1">
        <v>2041</v>
      </c>
      <c r="AU267" s="1">
        <v>2042</v>
      </c>
      <c r="AV267" s="1">
        <v>2043</v>
      </c>
      <c r="AW267" s="1">
        <v>2044</v>
      </c>
      <c r="AX267" s="1">
        <v>2045</v>
      </c>
      <c r="AY267" s="1">
        <v>2046</v>
      </c>
      <c r="AZ267" s="1">
        <v>2047</v>
      </c>
      <c r="BA267" s="1">
        <v>2048</v>
      </c>
      <c r="BB267" s="1">
        <v>2049</v>
      </c>
      <c r="BC267" s="1">
        <v>2050</v>
      </c>
    </row>
    <row r="268" spans="1:55" x14ac:dyDescent="0.25">
      <c r="A268" s="1" t="str">
        <f>'Population Definitions'!$A$2</f>
        <v>PWID_males</v>
      </c>
      <c r="C268" t="s">
        <v>32</v>
      </c>
      <c r="D268" s="3"/>
      <c r="E268" s="3">
        <v>0</v>
      </c>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row>
    <row r="269" spans="1:55" x14ac:dyDescent="0.25">
      <c r="A269" s="1" t="str">
        <f>'Population Definitions'!$A$3</f>
        <v>PWID_females</v>
      </c>
      <c r="C269" t="s">
        <v>32</v>
      </c>
      <c r="D269" s="3"/>
      <c r="E269" s="3">
        <v>0</v>
      </c>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row>
    <row r="270" spans="1:55" x14ac:dyDescent="0.25">
      <c r="A270" s="1" t="str">
        <f>'Population Definitions'!$A$4</f>
        <v>0-9_males</v>
      </c>
      <c r="C270" t="s">
        <v>32</v>
      </c>
      <c r="D270" s="3"/>
      <c r="E270" s="3">
        <v>0</v>
      </c>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row>
    <row r="271" spans="1:55" x14ac:dyDescent="0.25">
      <c r="A271" s="1" t="str">
        <f>'Population Definitions'!$A$5</f>
        <v>0-9_females</v>
      </c>
      <c r="C271" t="s">
        <v>32</v>
      </c>
      <c r="D271" s="3"/>
      <c r="E271" s="3">
        <v>0</v>
      </c>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row>
    <row r="272" spans="1:55" x14ac:dyDescent="0.25">
      <c r="A272" s="1" t="str">
        <f>'Population Definitions'!$A$6</f>
        <v>10-17_males</v>
      </c>
      <c r="C272" t="s">
        <v>32</v>
      </c>
      <c r="D272" s="3"/>
      <c r="E272" s="3">
        <v>0</v>
      </c>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row>
    <row r="273" spans="1:55" x14ac:dyDescent="0.25">
      <c r="A273" s="1" t="str">
        <f>'Population Definitions'!$A$7</f>
        <v>10-17_females</v>
      </c>
      <c r="C273" t="s">
        <v>32</v>
      </c>
      <c r="D273" s="3"/>
      <c r="E273" s="3">
        <v>0</v>
      </c>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row>
    <row r="274" spans="1:55" x14ac:dyDescent="0.25">
      <c r="A274" s="1" t="str">
        <f>'Population Definitions'!$A$8</f>
        <v>18-64_males</v>
      </c>
      <c r="C274" t="s">
        <v>32</v>
      </c>
      <c r="D274" s="3"/>
      <c r="E274" s="3">
        <v>0</v>
      </c>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row>
    <row r="275" spans="1:55" x14ac:dyDescent="0.25">
      <c r="A275" s="1" t="str">
        <f>'Population Definitions'!$A$9</f>
        <v>18-64_females</v>
      </c>
      <c r="C275" t="s">
        <v>32</v>
      </c>
      <c r="D275" s="3"/>
      <c r="E275" s="3">
        <v>0</v>
      </c>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row>
    <row r="276" spans="1:55" x14ac:dyDescent="0.25">
      <c r="A276" s="1" t="str">
        <f>'Population Definitions'!$A$10</f>
        <v>65+_males</v>
      </c>
      <c r="C276" t="s">
        <v>32</v>
      </c>
      <c r="D276" s="3"/>
      <c r="E276" s="3">
        <v>0</v>
      </c>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row>
    <row r="277" spans="1:55" x14ac:dyDescent="0.25">
      <c r="A277" s="1" t="str">
        <f>'Population Definitions'!$A$11</f>
        <v>65+_females</v>
      </c>
      <c r="C277" t="s">
        <v>32</v>
      </c>
      <c r="D277" s="3"/>
      <c r="E277" s="3">
        <v>0</v>
      </c>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row>
    <row r="278" spans="1:55" x14ac:dyDescent="0.25">
      <c r="A278" s="1" t="str">
        <f>'Population Definitions'!$A$12</f>
        <v>Prisoners_males</v>
      </c>
      <c r="C278" t="s">
        <v>32</v>
      </c>
      <c r="D278" s="3"/>
      <c r="E278" s="3">
        <v>0</v>
      </c>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row>
    <row r="279" spans="1:55" x14ac:dyDescent="0.25">
      <c r="A279" s="1" t="str">
        <f>'Population Definitions'!$A$13</f>
        <v>Prisoners_females</v>
      </c>
      <c r="C279" t="s">
        <v>32</v>
      </c>
      <c r="D279" s="3"/>
      <c r="E279" s="3">
        <v>0</v>
      </c>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row>
    <row r="281" spans="1:55" x14ac:dyDescent="0.25">
      <c r="A281" s="1" t="s">
        <v>146</v>
      </c>
      <c r="B281" s="1" t="s">
        <v>29</v>
      </c>
      <c r="C281" s="1" t="s">
        <v>30</v>
      </c>
      <c r="D281" s="1" t="s">
        <v>31</v>
      </c>
      <c r="E281" s="1">
        <v>2000</v>
      </c>
      <c r="F281" s="1">
        <v>2001</v>
      </c>
      <c r="G281" s="1">
        <v>2002</v>
      </c>
      <c r="H281" s="1">
        <v>2003</v>
      </c>
      <c r="I281" s="1">
        <v>2004</v>
      </c>
      <c r="J281" s="1">
        <v>2005</v>
      </c>
      <c r="K281" s="1">
        <v>2006</v>
      </c>
      <c r="L281" s="1">
        <v>2007</v>
      </c>
      <c r="M281" s="1">
        <v>2008</v>
      </c>
      <c r="N281" s="1">
        <v>2009</v>
      </c>
      <c r="O281" s="1">
        <v>2010</v>
      </c>
      <c r="P281" s="1">
        <v>2011</v>
      </c>
      <c r="Q281" s="1">
        <v>2012</v>
      </c>
      <c r="R281" s="1">
        <v>2013</v>
      </c>
      <c r="S281" s="1">
        <v>2014</v>
      </c>
      <c r="T281" s="1">
        <v>2015</v>
      </c>
      <c r="U281" s="1">
        <v>2016</v>
      </c>
      <c r="V281" s="1">
        <v>2017</v>
      </c>
      <c r="W281" s="1">
        <v>2018</v>
      </c>
      <c r="X281" s="1">
        <v>2019</v>
      </c>
      <c r="Y281" s="1">
        <v>2020</v>
      </c>
      <c r="Z281" s="1">
        <v>2021</v>
      </c>
      <c r="AA281" s="1">
        <v>2022</v>
      </c>
      <c r="AB281" s="1">
        <v>2023</v>
      </c>
      <c r="AC281" s="1">
        <v>2024</v>
      </c>
      <c r="AD281" s="1">
        <v>2025</v>
      </c>
      <c r="AE281" s="1">
        <v>2026</v>
      </c>
      <c r="AF281" s="1">
        <v>2027</v>
      </c>
      <c r="AG281" s="1">
        <v>2028</v>
      </c>
      <c r="AH281" s="1">
        <v>2029</v>
      </c>
      <c r="AI281" s="1">
        <v>2030</v>
      </c>
      <c r="AJ281" s="1">
        <v>2031</v>
      </c>
      <c r="AK281" s="1">
        <v>2032</v>
      </c>
      <c r="AL281" s="1">
        <v>2033</v>
      </c>
      <c r="AM281" s="1">
        <v>2034</v>
      </c>
      <c r="AN281" s="1">
        <v>2035</v>
      </c>
      <c r="AO281" s="1">
        <v>2036</v>
      </c>
      <c r="AP281" s="1">
        <v>2037</v>
      </c>
      <c r="AQ281" s="1">
        <v>2038</v>
      </c>
      <c r="AR281" s="1">
        <v>2039</v>
      </c>
      <c r="AS281" s="1">
        <v>2040</v>
      </c>
      <c r="AT281" s="1">
        <v>2041</v>
      </c>
      <c r="AU281" s="1">
        <v>2042</v>
      </c>
      <c r="AV281" s="1">
        <v>2043</v>
      </c>
      <c r="AW281" s="1">
        <v>2044</v>
      </c>
      <c r="AX281" s="1">
        <v>2045</v>
      </c>
      <c r="AY281" s="1">
        <v>2046</v>
      </c>
      <c r="AZ281" s="1">
        <v>2047</v>
      </c>
      <c r="BA281" s="1">
        <v>2048</v>
      </c>
      <c r="BB281" s="1">
        <v>2049</v>
      </c>
      <c r="BC281" s="1">
        <v>2050</v>
      </c>
    </row>
    <row r="282" spans="1:55" x14ac:dyDescent="0.25">
      <c r="A282" s="1" t="str">
        <f>'Population Definitions'!$A$2</f>
        <v>PWID_males</v>
      </c>
      <c r="C282" t="s">
        <v>32</v>
      </c>
      <c r="D282" s="3"/>
      <c r="E282" s="3">
        <v>0</v>
      </c>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row>
    <row r="283" spans="1:55" x14ac:dyDescent="0.25">
      <c r="A283" s="1" t="str">
        <f>'Population Definitions'!$A$3</f>
        <v>PWID_females</v>
      </c>
      <c r="C283" t="s">
        <v>32</v>
      </c>
      <c r="D283" s="3"/>
      <c r="E283" s="3">
        <v>0</v>
      </c>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row>
    <row r="284" spans="1:55" x14ac:dyDescent="0.25">
      <c r="A284" s="1" t="str">
        <f>'Population Definitions'!$A$4</f>
        <v>0-9_males</v>
      </c>
      <c r="C284" t="s">
        <v>32</v>
      </c>
      <c r="D284" s="3"/>
      <c r="E284" s="3">
        <v>0</v>
      </c>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row>
    <row r="285" spans="1:55" x14ac:dyDescent="0.25">
      <c r="A285" s="1" t="str">
        <f>'Population Definitions'!$A$5</f>
        <v>0-9_females</v>
      </c>
      <c r="C285" t="s">
        <v>32</v>
      </c>
      <c r="D285" s="3"/>
      <c r="E285" s="3">
        <v>0</v>
      </c>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row>
    <row r="286" spans="1:55" x14ac:dyDescent="0.25">
      <c r="A286" s="1" t="str">
        <f>'Population Definitions'!$A$6</f>
        <v>10-17_males</v>
      </c>
      <c r="C286" t="s">
        <v>32</v>
      </c>
      <c r="D286" s="3"/>
      <c r="E286" s="3">
        <v>0</v>
      </c>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row>
    <row r="287" spans="1:55" x14ac:dyDescent="0.25">
      <c r="A287" s="1" t="str">
        <f>'Population Definitions'!$A$7</f>
        <v>10-17_females</v>
      </c>
      <c r="C287" t="s">
        <v>32</v>
      </c>
      <c r="D287" s="3"/>
      <c r="E287" s="3">
        <v>0</v>
      </c>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row>
    <row r="288" spans="1:55" x14ac:dyDescent="0.25">
      <c r="A288" s="1" t="str">
        <f>'Population Definitions'!$A$8</f>
        <v>18-64_males</v>
      </c>
      <c r="C288" t="s">
        <v>32</v>
      </c>
      <c r="D288" s="3"/>
      <c r="E288" s="3">
        <v>0</v>
      </c>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row>
    <row r="289" spans="1:55" x14ac:dyDescent="0.25">
      <c r="A289" s="1" t="str">
        <f>'Population Definitions'!$A$9</f>
        <v>18-64_females</v>
      </c>
      <c r="C289" t="s">
        <v>32</v>
      </c>
      <c r="D289" s="3"/>
      <c r="E289" s="3">
        <v>0</v>
      </c>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row>
    <row r="290" spans="1:55" x14ac:dyDescent="0.25">
      <c r="A290" s="1" t="str">
        <f>'Population Definitions'!$A$10</f>
        <v>65+_males</v>
      </c>
      <c r="C290" t="s">
        <v>32</v>
      </c>
      <c r="D290" s="3"/>
      <c r="E290" s="3">
        <v>0</v>
      </c>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row>
    <row r="291" spans="1:55" x14ac:dyDescent="0.25">
      <c r="A291" s="1" t="str">
        <f>'Population Definitions'!$A$11</f>
        <v>65+_females</v>
      </c>
      <c r="C291" t="s">
        <v>32</v>
      </c>
      <c r="D291" s="3"/>
      <c r="E291" s="3">
        <v>0</v>
      </c>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row>
    <row r="292" spans="1:55" x14ac:dyDescent="0.25">
      <c r="A292" s="1" t="str">
        <f>'Population Definitions'!$A$12</f>
        <v>Prisoners_males</v>
      </c>
      <c r="C292" t="s">
        <v>32</v>
      </c>
      <c r="D292" s="3"/>
      <c r="E292" s="3">
        <v>0</v>
      </c>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row>
    <row r="293" spans="1:55" x14ac:dyDescent="0.25">
      <c r="A293" s="1" t="str">
        <f>'Population Definitions'!$A$13</f>
        <v>Prisoners_females</v>
      </c>
      <c r="C293" t="s">
        <v>32</v>
      </c>
      <c r="D293" s="3"/>
      <c r="E293" s="3">
        <v>0</v>
      </c>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row>
    <row r="295" spans="1:55" x14ac:dyDescent="0.25">
      <c r="A295" s="1" t="s">
        <v>147</v>
      </c>
      <c r="B295" s="1" t="s">
        <v>29</v>
      </c>
      <c r="C295" s="1" t="s">
        <v>30</v>
      </c>
      <c r="D295" s="1" t="s">
        <v>31</v>
      </c>
      <c r="E295" s="1">
        <v>2000</v>
      </c>
      <c r="F295" s="1">
        <v>2001</v>
      </c>
      <c r="G295" s="1">
        <v>2002</v>
      </c>
      <c r="H295" s="1">
        <v>2003</v>
      </c>
      <c r="I295" s="1">
        <v>2004</v>
      </c>
      <c r="J295" s="1">
        <v>2005</v>
      </c>
      <c r="K295" s="1">
        <v>2006</v>
      </c>
      <c r="L295" s="1">
        <v>2007</v>
      </c>
      <c r="M295" s="1">
        <v>2008</v>
      </c>
      <c r="N295" s="1">
        <v>2009</v>
      </c>
      <c r="O295" s="1">
        <v>2010</v>
      </c>
      <c r="P295" s="1">
        <v>2011</v>
      </c>
      <c r="Q295" s="1">
        <v>2012</v>
      </c>
      <c r="R295" s="1">
        <v>2013</v>
      </c>
      <c r="S295" s="1">
        <v>2014</v>
      </c>
      <c r="T295" s="1">
        <v>2015</v>
      </c>
      <c r="U295" s="1">
        <v>2016</v>
      </c>
      <c r="V295" s="1">
        <v>2017</v>
      </c>
      <c r="W295" s="1">
        <v>2018</v>
      </c>
      <c r="X295" s="1">
        <v>2019</v>
      </c>
      <c r="Y295" s="1">
        <v>2020</v>
      </c>
      <c r="Z295" s="1">
        <v>2021</v>
      </c>
      <c r="AA295" s="1">
        <v>2022</v>
      </c>
      <c r="AB295" s="1">
        <v>2023</v>
      </c>
      <c r="AC295" s="1">
        <v>2024</v>
      </c>
      <c r="AD295" s="1">
        <v>2025</v>
      </c>
      <c r="AE295" s="1">
        <v>2026</v>
      </c>
      <c r="AF295" s="1">
        <v>2027</v>
      </c>
      <c r="AG295" s="1">
        <v>2028</v>
      </c>
      <c r="AH295" s="1">
        <v>2029</v>
      </c>
      <c r="AI295" s="1">
        <v>2030</v>
      </c>
      <c r="AJ295" s="1">
        <v>2031</v>
      </c>
      <c r="AK295" s="1">
        <v>2032</v>
      </c>
      <c r="AL295" s="1">
        <v>2033</v>
      </c>
      <c r="AM295" s="1">
        <v>2034</v>
      </c>
      <c r="AN295" s="1">
        <v>2035</v>
      </c>
      <c r="AO295" s="1">
        <v>2036</v>
      </c>
      <c r="AP295" s="1">
        <v>2037</v>
      </c>
      <c r="AQ295" s="1">
        <v>2038</v>
      </c>
      <c r="AR295" s="1">
        <v>2039</v>
      </c>
      <c r="AS295" s="1">
        <v>2040</v>
      </c>
      <c r="AT295" s="1">
        <v>2041</v>
      </c>
      <c r="AU295" s="1">
        <v>2042</v>
      </c>
      <c r="AV295" s="1">
        <v>2043</v>
      </c>
      <c r="AW295" s="1">
        <v>2044</v>
      </c>
      <c r="AX295" s="1">
        <v>2045</v>
      </c>
      <c r="AY295" s="1">
        <v>2046</v>
      </c>
      <c r="AZ295" s="1">
        <v>2047</v>
      </c>
      <c r="BA295" s="1">
        <v>2048</v>
      </c>
      <c r="BB295" s="1">
        <v>2049</v>
      </c>
      <c r="BC295" s="1">
        <v>2050</v>
      </c>
    </row>
    <row r="296" spans="1:55" x14ac:dyDescent="0.25">
      <c r="A296" s="1" t="str">
        <f>'Population Definitions'!$A$2</f>
        <v>PWID_males</v>
      </c>
      <c r="C296" t="s">
        <v>32</v>
      </c>
      <c r="D296" s="3"/>
      <c r="E296" s="3">
        <v>0</v>
      </c>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row>
    <row r="297" spans="1:55" x14ac:dyDescent="0.25">
      <c r="A297" s="1" t="str">
        <f>'Population Definitions'!$A$3</f>
        <v>PWID_females</v>
      </c>
      <c r="C297" t="s">
        <v>32</v>
      </c>
      <c r="D297" s="3"/>
      <c r="E297" s="3">
        <v>0</v>
      </c>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row>
    <row r="298" spans="1:55" x14ac:dyDescent="0.25">
      <c r="A298" s="1" t="str">
        <f>'Population Definitions'!$A$4</f>
        <v>0-9_males</v>
      </c>
      <c r="C298" t="s">
        <v>32</v>
      </c>
      <c r="D298" s="3"/>
      <c r="E298" s="3">
        <v>0</v>
      </c>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row>
    <row r="299" spans="1:55" x14ac:dyDescent="0.25">
      <c r="A299" s="1" t="str">
        <f>'Population Definitions'!$A$5</f>
        <v>0-9_females</v>
      </c>
      <c r="C299" t="s">
        <v>32</v>
      </c>
      <c r="D299" s="3"/>
      <c r="E299" s="3">
        <v>0</v>
      </c>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row>
    <row r="300" spans="1:55" x14ac:dyDescent="0.25">
      <c r="A300" s="1" t="str">
        <f>'Population Definitions'!$A$6</f>
        <v>10-17_males</v>
      </c>
      <c r="C300" t="s">
        <v>32</v>
      </c>
      <c r="D300" s="3"/>
      <c r="E300" s="3">
        <v>0</v>
      </c>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row>
    <row r="301" spans="1:55" x14ac:dyDescent="0.25">
      <c r="A301" s="1" t="str">
        <f>'Population Definitions'!$A$7</f>
        <v>10-17_females</v>
      </c>
      <c r="C301" t="s">
        <v>32</v>
      </c>
      <c r="D301" s="3"/>
      <c r="E301" s="3">
        <v>0</v>
      </c>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row>
    <row r="302" spans="1:55" x14ac:dyDescent="0.25">
      <c r="A302" s="1" t="str">
        <f>'Population Definitions'!$A$8</f>
        <v>18-64_males</v>
      </c>
      <c r="C302" t="s">
        <v>32</v>
      </c>
      <c r="D302" s="3"/>
      <c r="E302" s="3">
        <v>0</v>
      </c>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row>
    <row r="303" spans="1:55" x14ac:dyDescent="0.25">
      <c r="A303" s="1" t="str">
        <f>'Population Definitions'!$A$9</f>
        <v>18-64_females</v>
      </c>
      <c r="C303" t="s">
        <v>32</v>
      </c>
      <c r="D303" s="3"/>
      <c r="E303" s="3">
        <v>0</v>
      </c>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row>
    <row r="304" spans="1:55" x14ac:dyDescent="0.25">
      <c r="A304" s="1" t="str">
        <f>'Population Definitions'!$A$10</f>
        <v>65+_males</v>
      </c>
      <c r="C304" t="s">
        <v>32</v>
      </c>
      <c r="D304" s="3"/>
      <c r="E304" s="3">
        <v>0</v>
      </c>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row>
    <row r="305" spans="1:55" x14ac:dyDescent="0.25">
      <c r="A305" s="1" t="str">
        <f>'Population Definitions'!$A$11</f>
        <v>65+_females</v>
      </c>
      <c r="C305" t="s">
        <v>32</v>
      </c>
      <c r="D305" s="3"/>
      <c r="E305" s="3">
        <v>0</v>
      </c>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row>
    <row r="306" spans="1:55" x14ac:dyDescent="0.25">
      <c r="A306" s="1" t="str">
        <f>'Population Definitions'!$A$12</f>
        <v>Prisoners_males</v>
      </c>
      <c r="C306" t="s">
        <v>32</v>
      </c>
      <c r="D306" s="3"/>
      <c r="E306" s="3">
        <v>0</v>
      </c>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row>
    <row r="307" spans="1:55" x14ac:dyDescent="0.25">
      <c r="A307" s="1" t="str">
        <f>'Population Definitions'!$A$13</f>
        <v>Prisoners_females</v>
      </c>
      <c r="C307" t="s">
        <v>32</v>
      </c>
      <c r="D307" s="3"/>
      <c r="E307" s="3">
        <v>0</v>
      </c>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row>
    <row r="309" spans="1:55" x14ac:dyDescent="0.25">
      <c r="A309" s="1" t="s">
        <v>148</v>
      </c>
      <c r="B309" s="1" t="s">
        <v>29</v>
      </c>
      <c r="C309" s="1" t="s">
        <v>30</v>
      </c>
      <c r="D309" s="1" t="s">
        <v>31</v>
      </c>
      <c r="E309" s="1">
        <v>2000</v>
      </c>
      <c r="F309" s="1">
        <v>2001</v>
      </c>
      <c r="G309" s="1">
        <v>2002</v>
      </c>
      <c r="H309" s="1">
        <v>2003</v>
      </c>
      <c r="I309" s="1">
        <v>2004</v>
      </c>
      <c r="J309" s="1">
        <v>2005</v>
      </c>
      <c r="K309" s="1">
        <v>2006</v>
      </c>
      <c r="L309" s="1">
        <v>2007</v>
      </c>
      <c r="M309" s="1">
        <v>2008</v>
      </c>
      <c r="N309" s="1">
        <v>2009</v>
      </c>
      <c r="O309" s="1">
        <v>2010</v>
      </c>
      <c r="P309" s="1">
        <v>2011</v>
      </c>
      <c r="Q309" s="1">
        <v>2012</v>
      </c>
      <c r="R309" s="1">
        <v>2013</v>
      </c>
      <c r="S309" s="1">
        <v>2014</v>
      </c>
      <c r="T309" s="1">
        <v>2015</v>
      </c>
      <c r="U309" s="1">
        <v>2016</v>
      </c>
      <c r="V309" s="1">
        <v>2017</v>
      </c>
      <c r="W309" s="1">
        <v>2018</v>
      </c>
      <c r="X309" s="1">
        <v>2019</v>
      </c>
      <c r="Y309" s="1">
        <v>2020</v>
      </c>
      <c r="Z309" s="1">
        <v>2021</v>
      </c>
      <c r="AA309" s="1">
        <v>2022</v>
      </c>
      <c r="AB309" s="1">
        <v>2023</v>
      </c>
      <c r="AC309" s="1">
        <v>2024</v>
      </c>
      <c r="AD309" s="1">
        <v>2025</v>
      </c>
      <c r="AE309" s="1">
        <v>2026</v>
      </c>
      <c r="AF309" s="1">
        <v>2027</v>
      </c>
      <c r="AG309" s="1">
        <v>2028</v>
      </c>
      <c r="AH309" s="1">
        <v>2029</v>
      </c>
      <c r="AI309" s="1">
        <v>2030</v>
      </c>
      <c r="AJ309" s="1">
        <v>2031</v>
      </c>
      <c r="AK309" s="1">
        <v>2032</v>
      </c>
      <c r="AL309" s="1">
        <v>2033</v>
      </c>
      <c r="AM309" s="1">
        <v>2034</v>
      </c>
      <c r="AN309" s="1">
        <v>2035</v>
      </c>
      <c r="AO309" s="1">
        <v>2036</v>
      </c>
      <c r="AP309" s="1">
        <v>2037</v>
      </c>
      <c r="AQ309" s="1">
        <v>2038</v>
      </c>
      <c r="AR309" s="1">
        <v>2039</v>
      </c>
      <c r="AS309" s="1">
        <v>2040</v>
      </c>
      <c r="AT309" s="1">
        <v>2041</v>
      </c>
      <c r="AU309" s="1">
        <v>2042</v>
      </c>
      <c r="AV309" s="1">
        <v>2043</v>
      </c>
      <c r="AW309" s="1">
        <v>2044</v>
      </c>
      <c r="AX309" s="1">
        <v>2045</v>
      </c>
      <c r="AY309" s="1">
        <v>2046</v>
      </c>
      <c r="AZ309" s="1">
        <v>2047</v>
      </c>
      <c r="BA309" s="1">
        <v>2048</v>
      </c>
      <c r="BB309" s="1">
        <v>2049</v>
      </c>
      <c r="BC309" s="1">
        <v>2050</v>
      </c>
    </row>
    <row r="310" spans="1:55" x14ac:dyDescent="0.25">
      <c r="A310" s="1" t="str">
        <f>'Population Definitions'!$A$2</f>
        <v>PWID_males</v>
      </c>
      <c r="C310" t="s">
        <v>32</v>
      </c>
      <c r="D310" s="3"/>
      <c r="E310" s="3">
        <v>0</v>
      </c>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row>
    <row r="311" spans="1:55" x14ac:dyDescent="0.25">
      <c r="A311" s="1" t="str">
        <f>'Population Definitions'!$A$3</f>
        <v>PWID_females</v>
      </c>
      <c r="C311" t="s">
        <v>32</v>
      </c>
      <c r="D311" s="3"/>
      <c r="E311" s="3">
        <v>0</v>
      </c>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row>
    <row r="312" spans="1:55" x14ac:dyDescent="0.25">
      <c r="A312" s="1" t="str">
        <f>'Population Definitions'!$A$4</f>
        <v>0-9_males</v>
      </c>
      <c r="C312" t="s">
        <v>32</v>
      </c>
      <c r="D312" s="3"/>
      <c r="E312" s="3">
        <v>0</v>
      </c>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row>
    <row r="313" spans="1:55" x14ac:dyDescent="0.25">
      <c r="A313" s="1" t="str">
        <f>'Population Definitions'!$A$5</f>
        <v>0-9_females</v>
      </c>
      <c r="C313" t="s">
        <v>32</v>
      </c>
      <c r="D313" s="3"/>
      <c r="E313" s="3">
        <v>0</v>
      </c>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row>
    <row r="314" spans="1:55" x14ac:dyDescent="0.25">
      <c r="A314" s="1" t="str">
        <f>'Population Definitions'!$A$6</f>
        <v>10-17_males</v>
      </c>
      <c r="C314" t="s">
        <v>32</v>
      </c>
      <c r="D314" s="3"/>
      <c r="E314" s="3">
        <v>0</v>
      </c>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row>
    <row r="315" spans="1:55" x14ac:dyDescent="0.25">
      <c r="A315" s="1" t="str">
        <f>'Population Definitions'!$A$7</f>
        <v>10-17_females</v>
      </c>
      <c r="C315" t="s">
        <v>32</v>
      </c>
      <c r="D315" s="3"/>
      <c r="E315" s="3">
        <v>0</v>
      </c>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row>
    <row r="316" spans="1:55" x14ac:dyDescent="0.25">
      <c r="A316" s="1" t="str">
        <f>'Population Definitions'!$A$8</f>
        <v>18-64_males</v>
      </c>
      <c r="C316" t="s">
        <v>32</v>
      </c>
      <c r="D316" s="3"/>
      <c r="E316" s="3">
        <v>0</v>
      </c>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row>
    <row r="317" spans="1:55" x14ac:dyDescent="0.25">
      <c r="A317" s="1" t="str">
        <f>'Population Definitions'!$A$9</f>
        <v>18-64_females</v>
      </c>
      <c r="C317" t="s">
        <v>32</v>
      </c>
      <c r="D317" s="3"/>
      <c r="E317" s="3">
        <v>0</v>
      </c>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row>
    <row r="318" spans="1:55" x14ac:dyDescent="0.25">
      <c r="A318" s="1" t="str">
        <f>'Population Definitions'!$A$10</f>
        <v>65+_males</v>
      </c>
      <c r="C318" t="s">
        <v>32</v>
      </c>
      <c r="D318" s="3"/>
      <c r="E318" s="3">
        <v>0</v>
      </c>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row>
    <row r="319" spans="1:55" x14ac:dyDescent="0.25">
      <c r="A319" s="1" t="str">
        <f>'Population Definitions'!$A$11</f>
        <v>65+_females</v>
      </c>
      <c r="C319" t="s">
        <v>32</v>
      </c>
      <c r="D319" s="3"/>
      <c r="E319" s="3">
        <v>0</v>
      </c>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row>
    <row r="320" spans="1:55" x14ac:dyDescent="0.25">
      <c r="A320" s="1" t="str">
        <f>'Population Definitions'!$A$12</f>
        <v>Prisoners_males</v>
      </c>
      <c r="C320" t="s">
        <v>32</v>
      </c>
      <c r="D320" s="3"/>
      <c r="E320" s="3">
        <v>0</v>
      </c>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row>
    <row r="321" spans="1:55" x14ac:dyDescent="0.25">
      <c r="A321" s="1" t="str">
        <f>'Population Definitions'!$A$13</f>
        <v>Prisoners_females</v>
      </c>
      <c r="C321" t="s">
        <v>32</v>
      </c>
      <c r="D321" s="3"/>
      <c r="E321" s="3">
        <v>0</v>
      </c>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row>
    <row r="323" spans="1:55" x14ac:dyDescent="0.25">
      <c r="A323" s="1" t="s">
        <v>149</v>
      </c>
      <c r="B323" s="1" t="s">
        <v>29</v>
      </c>
      <c r="C323" s="1" t="s">
        <v>30</v>
      </c>
      <c r="D323" s="1" t="s">
        <v>31</v>
      </c>
      <c r="E323" s="1">
        <v>2000</v>
      </c>
      <c r="F323" s="1">
        <v>2001</v>
      </c>
      <c r="G323" s="1">
        <v>2002</v>
      </c>
      <c r="H323" s="1">
        <v>2003</v>
      </c>
      <c r="I323" s="1">
        <v>2004</v>
      </c>
      <c r="J323" s="1">
        <v>2005</v>
      </c>
      <c r="K323" s="1">
        <v>2006</v>
      </c>
      <c r="L323" s="1">
        <v>2007</v>
      </c>
      <c r="M323" s="1">
        <v>2008</v>
      </c>
      <c r="N323" s="1">
        <v>2009</v>
      </c>
      <c r="O323" s="1">
        <v>2010</v>
      </c>
      <c r="P323" s="1">
        <v>2011</v>
      </c>
      <c r="Q323" s="1">
        <v>2012</v>
      </c>
      <c r="R323" s="1">
        <v>2013</v>
      </c>
      <c r="S323" s="1">
        <v>2014</v>
      </c>
      <c r="T323" s="1">
        <v>2015</v>
      </c>
      <c r="U323" s="1">
        <v>2016</v>
      </c>
      <c r="V323" s="1">
        <v>2017</v>
      </c>
      <c r="W323" s="1">
        <v>2018</v>
      </c>
      <c r="X323" s="1">
        <v>2019</v>
      </c>
      <c r="Y323" s="1">
        <v>2020</v>
      </c>
      <c r="Z323" s="1">
        <v>2021</v>
      </c>
      <c r="AA323" s="1">
        <v>2022</v>
      </c>
      <c r="AB323" s="1">
        <v>2023</v>
      </c>
      <c r="AC323" s="1">
        <v>2024</v>
      </c>
      <c r="AD323" s="1">
        <v>2025</v>
      </c>
      <c r="AE323" s="1">
        <v>2026</v>
      </c>
      <c r="AF323" s="1">
        <v>2027</v>
      </c>
      <c r="AG323" s="1">
        <v>2028</v>
      </c>
      <c r="AH323" s="1">
        <v>2029</v>
      </c>
      <c r="AI323" s="1">
        <v>2030</v>
      </c>
      <c r="AJ323" s="1">
        <v>2031</v>
      </c>
      <c r="AK323" s="1">
        <v>2032</v>
      </c>
      <c r="AL323" s="1">
        <v>2033</v>
      </c>
      <c r="AM323" s="1">
        <v>2034</v>
      </c>
      <c r="AN323" s="1">
        <v>2035</v>
      </c>
      <c r="AO323" s="1">
        <v>2036</v>
      </c>
      <c r="AP323" s="1">
        <v>2037</v>
      </c>
      <c r="AQ323" s="1">
        <v>2038</v>
      </c>
      <c r="AR323" s="1">
        <v>2039</v>
      </c>
      <c r="AS323" s="1">
        <v>2040</v>
      </c>
      <c r="AT323" s="1">
        <v>2041</v>
      </c>
      <c r="AU323" s="1">
        <v>2042</v>
      </c>
      <c r="AV323" s="1">
        <v>2043</v>
      </c>
      <c r="AW323" s="1">
        <v>2044</v>
      </c>
      <c r="AX323" s="1">
        <v>2045</v>
      </c>
      <c r="AY323" s="1">
        <v>2046</v>
      </c>
      <c r="AZ323" s="1">
        <v>2047</v>
      </c>
      <c r="BA323" s="1">
        <v>2048</v>
      </c>
      <c r="BB323" s="1">
        <v>2049</v>
      </c>
      <c r="BC323" s="1">
        <v>2050</v>
      </c>
    </row>
    <row r="324" spans="1:55" x14ac:dyDescent="0.25">
      <c r="A324" s="1" t="str">
        <f>'Population Definitions'!$A$2</f>
        <v>PWID_males</v>
      </c>
      <c r="C324" t="s">
        <v>32</v>
      </c>
      <c r="D324" s="3"/>
      <c r="E324" s="3">
        <v>0</v>
      </c>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row>
    <row r="325" spans="1:55" x14ac:dyDescent="0.25">
      <c r="A325" s="1" t="str">
        <f>'Population Definitions'!$A$3</f>
        <v>PWID_females</v>
      </c>
      <c r="C325" t="s">
        <v>32</v>
      </c>
      <c r="D325" s="3"/>
      <c r="E325" s="3">
        <v>0</v>
      </c>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row>
    <row r="326" spans="1:55" x14ac:dyDescent="0.25">
      <c r="A326" s="1" t="str">
        <f>'Population Definitions'!$A$4</f>
        <v>0-9_males</v>
      </c>
      <c r="C326" t="s">
        <v>32</v>
      </c>
      <c r="D326" s="3"/>
      <c r="E326" s="3">
        <v>0</v>
      </c>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row>
    <row r="327" spans="1:55" x14ac:dyDescent="0.25">
      <c r="A327" s="1" t="str">
        <f>'Population Definitions'!$A$5</f>
        <v>0-9_females</v>
      </c>
      <c r="C327" t="s">
        <v>32</v>
      </c>
      <c r="D327" s="3"/>
      <c r="E327" s="3">
        <v>0</v>
      </c>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row>
    <row r="328" spans="1:55" x14ac:dyDescent="0.25">
      <c r="A328" s="1" t="str">
        <f>'Population Definitions'!$A$6</f>
        <v>10-17_males</v>
      </c>
      <c r="C328" t="s">
        <v>32</v>
      </c>
      <c r="D328" s="3"/>
      <c r="E328" s="3">
        <v>0</v>
      </c>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row>
    <row r="329" spans="1:55" x14ac:dyDescent="0.25">
      <c r="A329" s="1" t="str">
        <f>'Population Definitions'!$A$7</f>
        <v>10-17_females</v>
      </c>
      <c r="C329" t="s">
        <v>32</v>
      </c>
      <c r="D329" s="3"/>
      <c r="E329" s="3">
        <v>0</v>
      </c>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row>
    <row r="330" spans="1:55" x14ac:dyDescent="0.25">
      <c r="A330" s="1" t="str">
        <f>'Population Definitions'!$A$8</f>
        <v>18-64_males</v>
      </c>
      <c r="C330" t="s">
        <v>32</v>
      </c>
      <c r="D330" s="3"/>
      <c r="E330" s="3">
        <v>0</v>
      </c>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row>
    <row r="331" spans="1:55" x14ac:dyDescent="0.25">
      <c r="A331" s="1" t="str">
        <f>'Population Definitions'!$A$9</f>
        <v>18-64_females</v>
      </c>
      <c r="C331" t="s">
        <v>32</v>
      </c>
      <c r="D331" s="3"/>
      <c r="E331" s="3">
        <v>0</v>
      </c>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row>
    <row r="332" spans="1:55" x14ac:dyDescent="0.25">
      <c r="A332" s="1" t="str">
        <f>'Population Definitions'!$A$10</f>
        <v>65+_males</v>
      </c>
      <c r="C332" t="s">
        <v>32</v>
      </c>
      <c r="D332" s="3"/>
      <c r="E332" s="3">
        <v>0</v>
      </c>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row>
    <row r="333" spans="1:55" x14ac:dyDescent="0.25">
      <c r="A333" s="1" t="str">
        <f>'Population Definitions'!$A$11</f>
        <v>65+_females</v>
      </c>
      <c r="C333" t="s">
        <v>32</v>
      </c>
      <c r="D333" s="3"/>
      <c r="E333" s="3">
        <v>0</v>
      </c>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row>
    <row r="334" spans="1:55" x14ac:dyDescent="0.25">
      <c r="A334" s="1" t="str">
        <f>'Population Definitions'!$A$12</f>
        <v>Prisoners_males</v>
      </c>
      <c r="C334" t="s">
        <v>32</v>
      </c>
      <c r="D334" s="3"/>
      <c r="E334" s="3">
        <v>0</v>
      </c>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row>
    <row r="335" spans="1:55" x14ac:dyDescent="0.25">
      <c r="A335" s="1" t="str">
        <f>'Population Definitions'!$A$13</f>
        <v>Prisoners_females</v>
      </c>
      <c r="C335" t="s">
        <v>32</v>
      </c>
      <c r="D335" s="3"/>
      <c r="E335" s="3">
        <v>0</v>
      </c>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row>
    <row r="337" spans="1:55" x14ac:dyDescent="0.25">
      <c r="A337" s="1" t="s">
        <v>150</v>
      </c>
      <c r="B337" s="1" t="s">
        <v>29</v>
      </c>
      <c r="C337" s="1" t="s">
        <v>30</v>
      </c>
      <c r="D337" s="1" t="s">
        <v>31</v>
      </c>
      <c r="E337" s="1">
        <v>2000</v>
      </c>
      <c r="F337" s="1">
        <v>2001</v>
      </c>
      <c r="G337" s="1">
        <v>2002</v>
      </c>
      <c r="H337" s="1">
        <v>2003</v>
      </c>
      <c r="I337" s="1">
        <v>2004</v>
      </c>
      <c r="J337" s="1">
        <v>2005</v>
      </c>
      <c r="K337" s="1">
        <v>2006</v>
      </c>
      <c r="L337" s="1">
        <v>2007</v>
      </c>
      <c r="M337" s="1">
        <v>2008</v>
      </c>
      <c r="N337" s="1">
        <v>2009</v>
      </c>
      <c r="O337" s="1">
        <v>2010</v>
      </c>
      <c r="P337" s="1">
        <v>2011</v>
      </c>
      <c r="Q337" s="1">
        <v>2012</v>
      </c>
      <c r="R337" s="1">
        <v>2013</v>
      </c>
      <c r="S337" s="1">
        <v>2014</v>
      </c>
      <c r="T337" s="1">
        <v>2015</v>
      </c>
      <c r="U337" s="1">
        <v>2016</v>
      </c>
      <c r="V337" s="1">
        <v>2017</v>
      </c>
      <c r="W337" s="1">
        <v>2018</v>
      </c>
      <c r="X337" s="1">
        <v>2019</v>
      </c>
      <c r="Y337" s="1">
        <v>2020</v>
      </c>
      <c r="Z337" s="1">
        <v>2021</v>
      </c>
      <c r="AA337" s="1">
        <v>2022</v>
      </c>
      <c r="AB337" s="1">
        <v>2023</v>
      </c>
      <c r="AC337" s="1">
        <v>2024</v>
      </c>
      <c r="AD337" s="1">
        <v>2025</v>
      </c>
      <c r="AE337" s="1">
        <v>2026</v>
      </c>
      <c r="AF337" s="1">
        <v>2027</v>
      </c>
      <c r="AG337" s="1">
        <v>2028</v>
      </c>
      <c r="AH337" s="1">
        <v>2029</v>
      </c>
      <c r="AI337" s="1">
        <v>2030</v>
      </c>
      <c r="AJ337" s="1">
        <v>2031</v>
      </c>
      <c r="AK337" s="1">
        <v>2032</v>
      </c>
      <c r="AL337" s="1">
        <v>2033</v>
      </c>
      <c r="AM337" s="1">
        <v>2034</v>
      </c>
      <c r="AN337" s="1">
        <v>2035</v>
      </c>
      <c r="AO337" s="1">
        <v>2036</v>
      </c>
      <c r="AP337" s="1">
        <v>2037</v>
      </c>
      <c r="AQ337" s="1">
        <v>2038</v>
      </c>
      <c r="AR337" s="1">
        <v>2039</v>
      </c>
      <c r="AS337" s="1">
        <v>2040</v>
      </c>
      <c r="AT337" s="1">
        <v>2041</v>
      </c>
      <c r="AU337" s="1">
        <v>2042</v>
      </c>
      <c r="AV337" s="1">
        <v>2043</v>
      </c>
      <c r="AW337" s="1">
        <v>2044</v>
      </c>
      <c r="AX337" s="1">
        <v>2045</v>
      </c>
      <c r="AY337" s="1">
        <v>2046</v>
      </c>
      <c r="AZ337" s="1">
        <v>2047</v>
      </c>
      <c r="BA337" s="1">
        <v>2048</v>
      </c>
      <c r="BB337" s="1">
        <v>2049</v>
      </c>
      <c r="BC337" s="1">
        <v>2050</v>
      </c>
    </row>
    <row r="338" spans="1:55" x14ac:dyDescent="0.25">
      <c r="A338" s="1" t="str">
        <f>'Population Definitions'!$A$2</f>
        <v>PWID_males</v>
      </c>
      <c r="C338" t="s">
        <v>32</v>
      </c>
      <c r="D338" s="3"/>
      <c r="E338" s="3">
        <v>0</v>
      </c>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row>
    <row r="339" spans="1:55" x14ac:dyDescent="0.25">
      <c r="A339" s="1" t="str">
        <f>'Population Definitions'!$A$3</f>
        <v>PWID_females</v>
      </c>
      <c r="C339" t="s">
        <v>32</v>
      </c>
      <c r="D339" s="3"/>
      <c r="E339" s="3">
        <v>0</v>
      </c>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row>
    <row r="340" spans="1:55" x14ac:dyDescent="0.25">
      <c r="A340" s="1" t="str">
        <f>'Population Definitions'!$A$4</f>
        <v>0-9_males</v>
      </c>
      <c r="C340" t="s">
        <v>32</v>
      </c>
      <c r="D340" s="3"/>
      <c r="E340" s="3">
        <v>0</v>
      </c>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row>
    <row r="341" spans="1:55" x14ac:dyDescent="0.25">
      <c r="A341" s="1" t="str">
        <f>'Population Definitions'!$A$5</f>
        <v>0-9_females</v>
      </c>
      <c r="C341" t="s">
        <v>32</v>
      </c>
      <c r="D341" s="3"/>
      <c r="E341" s="3">
        <v>0</v>
      </c>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row>
    <row r="342" spans="1:55" x14ac:dyDescent="0.25">
      <c r="A342" s="1" t="str">
        <f>'Population Definitions'!$A$6</f>
        <v>10-17_males</v>
      </c>
      <c r="C342" t="s">
        <v>32</v>
      </c>
      <c r="D342" s="3"/>
      <c r="E342" s="3">
        <v>0</v>
      </c>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row>
    <row r="343" spans="1:55" x14ac:dyDescent="0.25">
      <c r="A343" s="1" t="str">
        <f>'Population Definitions'!$A$7</f>
        <v>10-17_females</v>
      </c>
      <c r="C343" t="s">
        <v>32</v>
      </c>
      <c r="D343" s="3"/>
      <c r="E343" s="3">
        <v>0</v>
      </c>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row>
    <row r="344" spans="1:55" x14ac:dyDescent="0.25">
      <c r="A344" s="1" t="str">
        <f>'Population Definitions'!$A$8</f>
        <v>18-64_males</v>
      </c>
      <c r="C344" t="s">
        <v>32</v>
      </c>
      <c r="D344" s="3"/>
      <c r="E344" s="3">
        <v>0</v>
      </c>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row>
    <row r="345" spans="1:55" x14ac:dyDescent="0.25">
      <c r="A345" s="1" t="str">
        <f>'Population Definitions'!$A$9</f>
        <v>18-64_females</v>
      </c>
      <c r="C345" t="s">
        <v>32</v>
      </c>
      <c r="D345" s="3"/>
      <c r="E345" s="3">
        <v>0</v>
      </c>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row>
    <row r="346" spans="1:55" x14ac:dyDescent="0.25">
      <c r="A346" s="1" t="str">
        <f>'Population Definitions'!$A$10</f>
        <v>65+_males</v>
      </c>
      <c r="C346" t="s">
        <v>32</v>
      </c>
      <c r="D346" s="3"/>
      <c r="E346" s="3">
        <v>0</v>
      </c>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row>
    <row r="347" spans="1:55" x14ac:dyDescent="0.25">
      <c r="A347" s="1" t="str">
        <f>'Population Definitions'!$A$11</f>
        <v>65+_females</v>
      </c>
      <c r="C347" t="s">
        <v>32</v>
      </c>
      <c r="D347" s="3"/>
      <c r="E347" s="3">
        <v>0</v>
      </c>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row>
    <row r="348" spans="1:55" x14ac:dyDescent="0.25">
      <c r="A348" s="1" t="str">
        <f>'Population Definitions'!$A$12</f>
        <v>Prisoners_males</v>
      </c>
      <c r="C348" t="s">
        <v>32</v>
      </c>
      <c r="D348" s="3"/>
      <c r="E348" s="3">
        <v>0</v>
      </c>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row>
    <row r="349" spans="1:55" x14ac:dyDescent="0.25">
      <c r="A349" s="1" t="str">
        <f>'Population Definitions'!$A$13</f>
        <v>Prisoners_females</v>
      </c>
      <c r="C349" t="s">
        <v>32</v>
      </c>
      <c r="D349" s="3"/>
      <c r="E349" s="3">
        <v>0</v>
      </c>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row>
    <row r="351" spans="1:55" x14ac:dyDescent="0.25">
      <c r="A351" s="1" t="s">
        <v>151</v>
      </c>
      <c r="B351" s="1" t="s">
        <v>29</v>
      </c>
      <c r="C351" s="1" t="s">
        <v>30</v>
      </c>
      <c r="D351" s="1" t="s">
        <v>31</v>
      </c>
      <c r="E351" s="1">
        <v>2000</v>
      </c>
      <c r="F351" s="1">
        <v>2001</v>
      </c>
      <c r="G351" s="1">
        <v>2002</v>
      </c>
      <c r="H351" s="1">
        <v>2003</v>
      </c>
      <c r="I351" s="1">
        <v>2004</v>
      </c>
      <c r="J351" s="1">
        <v>2005</v>
      </c>
      <c r="K351" s="1">
        <v>2006</v>
      </c>
      <c r="L351" s="1">
        <v>2007</v>
      </c>
      <c r="M351" s="1">
        <v>2008</v>
      </c>
      <c r="N351" s="1">
        <v>2009</v>
      </c>
      <c r="O351" s="1">
        <v>2010</v>
      </c>
      <c r="P351" s="1">
        <v>2011</v>
      </c>
      <c r="Q351" s="1">
        <v>2012</v>
      </c>
      <c r="R351" s="1">
        <v>2013</v>
      </c>
      <c r="S351" s="1">
        <v>2014</v>
      </c>
      <c r="T351" s="1">
        <v>2015</v>
      </c>
      <c r="U351" s="1">
        <v>2016</v>
      </c>
      <c r="V351" s="1">
        <v>2017</v>
      </c>
      <c r="W351" s="1">
        <v>2018</v>
      </c>
      <c r="X351" s="1">
        <v>2019</v>
      </c>
      <c r="Y351" s="1">
        <v>2020</v>
      </c>
      <c r="Z351" s="1">
        <v>2021</v>
      </c>
      <c r="AA351" s="1">
        <v>2022</v>
      </c>
      <c r="AB351" s="1">
        <v>2023</v>
      </c>
      <c r="AC351" s="1">
        <v>2024</v>
      </c>
      <c r="AD351" s="1">
        <v>2025</v>
      </c>
      <c r="AE351" s="1">
        <v>2026</v>
      </c>
      <c r="AF351" s="1">
        <v>2027</v>
      </c>
      <c r="AG351" s="1">
        <v>2028</v>
      </c>
      <c r="AH351" s="1">
        <v>2029</v>
      </c>
      <c r="AI351" s="1">
        <v>2030</v>
      </c>
      <c r="AJ351" s="1">
        <v>2031</v>
      </c>
      <c r="AK351" s="1">
        <v>2032</v>
      </c>
      <c r="AL351" s="1">
        <v>2033</v>
      </c>
      <c r="AM351" s="1">
        <v>2034</v>
      </c>
      <c r="AN351" s="1">
        <v>2035</v>
      </c>
      <c r="AO351" s="1">
        <v>2036</v>
      </c>
      <c r="AP351" s="1">
        <v>2037</v>
      </c>
      <c r="AQ351" s="1">
        <v>2038</v>
      </c>
      <c r="AR351" s="1">
        <v>2039</v>
      </c>
      <c r="AS351" s="1">
        <v>2040</v>
      </c>
      <c r="AT351" s="1">
        <v>2041</v>
      </c>
      <c r="AU351" s="1">
        <v>2042</v>
      </c>
      <c r="AV351" s="1">
        <v>2043</v>
      </c>
      <c r="AW351" s="1">
        <v>2044</v>
      </c>
      <c r="AX351" s="1">
        <v>2045</v>
      </c>
      <c r="AY351" s="1">
        <v>2046</v>
      </c>
      <c r="AZ351" s="1">
        <v>2047</v>
      </c>
      <c r="BA351" s="1">
        <v>2048</v>
      </c>
      <c r="BB351" s="1">
        <v>2049</v>
      </c>
      <c r="BC351" s="1">
        <v>2050</v>
      </c>
    </row>
    <row r="352" spans="1:55" x14ac:dyDescent="0.25">
      <c r="A352" s="1" t="str">
        <f>'Population Definitions'!$A$2</f>
        <v>PWID_males</v>
      </c>
      <c r="C352" t="s">
        <v>32</v>
      </c>
      <c r="D352" s="3"/>
      <c r="E352" s="3">
        <v>0</v>
      </c>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row>
    <row r="353" spans="1:55" x14ac:dyDescent="0.25">
      <c r="A353" s="1" t="str">
        <f>'Population Definitions'!$A$3</f>
        <v>PWID_females</v>
      </c>
      <c r="C353" t="s">
        <v>32</v>
      </c>
      <c r="D353" s="3"/>
      <c r="E353" s="3">
        <v>0</v>
      </c>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row>
    <row r="354" spans="1:55" x14ac:dyDescent="0.25">
      <c r="A354" s="1" t="str">
        <f>'Population Definitions'!$A$4</f>
        <v>0-9_males</v>
      </c>
      <c r="C354" t="s">
        <v>32</v>
      </c>
      <c r="D354" s="3"/>
      <c r="E354" s="3">
        <v>0</v>
      </c>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row>
    <row r="355" spans="1:55" x14ac:dyDescent="0.25">
      <c r="A355" s="1" t="str">
        <f>'Population Definitions'!$A$5</f>
        <v>0-9_females</v>
      </c>
      <c r="C355" t="s">
        <v>32</v>
      </c>
      <c r="D355" s="3"/>
      <c r="E355" s="3">
        <v>0</v>
      </c>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row>
    <row r="356" spans="1:55" x14ac:dyDescent="0.25">
      <c r="A356" s="1" t="str">
        <f>'Population Definitions'!$A$6</f>
        <v>10-17_males</v>
      </c>
      <c r="C356" t="s">
        <v>32</v>
      </c>
      <c r="D356" s="3"/>
      <c r="E356" s="3">
        <v>0</v>
      </c>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row>
    <row r="357" spans="1:55" x14ac:dyDescent="0.25">
      <c r="A357" s="1" t="str">
        <f>'Population Definitions'!$A$7</f>
        <v>10-17_females</v>
      </c>
      <c r="C357" t="s">
        <v>32</v>
      </c>
      <c r="D357" s="3"/>
      <c r="E357" s="3">
        <v>0</v>
      </c>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row>
    <row r="358" spans="1:55" x14ac:dyDescent="0.25">
      <c r="A358" s="1" t="str">
        <f>'Population Definitions'!$A$8</f>
        <v>18-64_males</v>
      </c>
      <c r="C358" t="s">
        <v>32</v>
      </c>
      <c r="D358" s="3"/>
      <c r="E358" s="3">
        <v>0</v>
      </c>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row>
    <row r="359" spans="1:55" x14ac:dyDescent="0.25">
      <c r="A359" s="1" t="str">
        <f>'Population Definitions'!$A$9</f>
        <v>18-64_females</v>
      </c>
      <c r="C359" t="s">
        <v>32</v>
      </c>
      <c r="D359" s="3"/>
      <c r="E359" s="3">
        <v>0</v>
      </c>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row>
    <row r="360" spans="1:55" x14ac:dyDescent="0.25">
      <c r="A360" s="1" t="str">
        <f>'Population Definitions'!$A$10</f>
        <v>65+_males</v>
      </c>
      <c r="C360" t="s">
        <v>32</v>
      </c>
      <c r="D360" s="3"/>
      <c r="E360" s="3">
        <v>0</v>
      </c>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row>
    <row r="361" spans="1:55" x14ac:dyDescent="0.25">
      <c r="A361" s="1" t="str">
        <f>'Population Definitions'!$A$11</f>
        <v>65+_females</v>
      </c>
      <c r="C361" t="s">
        <v>32</v>
      </c>
      <c r="D361" s="3"/>
      <c r="E361" s="3">
        <v>0</v>
      </c>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row>
    <row r="362" spans="1:55" x14ac:dyDescent="0.25">
      <c r="A362" s="1" t="str">
        <f>'Population Definitions'!$A$12</f>
        <v>Prisoners_males</v>
      </c>
      <c r="C362" t="s">
        <v>32</v>
      </c>
      <c r="D362" s="3"/>
      <c r="E362" s="3">
        <v>0</v>
      </c>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row>
    <row r="363" spans="1:55" x14ac:dyDescent="0.25">
      <c r="A363" s="1" t="str">
        <f>'Population Definitions'!$A$13</f>
        <v>Prisoners_females</v>
      </c>
      <c r="C363" t="s">
        <v>32</v>
      </c>
      <c r="D363" s="3"/>
      <c r="E363" s="3">
        <v>0</v>
      </c>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row>
    <row r="365" spans="1:55" x14ac:dyDescent="0.25">
      <c r="A365" s="1" t="s">
        <v>152</v>
      </c>
      <c r="B365" s="1" t="s">
        <v>29</v>
      </c>
      <c r="C365" s="1" t="s">
        <v>30</v>
      </c>
      <c r="D365" s="1" t="s">
        <v>31</v>
      </c>
      <c r="E365" s="1">
        <v>2000</v>
      </c>
      <c r="F365" s="1">
        <v>2001</v>
      </c>
      <c r="G365" s="1">
        <v>2002</v>
      </c>
      <c r="H365" s="1">
        <v>2003</v>
      </c>
      <c r="I365" s="1">
        <v>2004</v>
      </c>
      <c r="J365" s="1">
        <v>2005</v>
      </c>
      <c r="K365" s="1">
        <v>2006</v>
      </c>
      <c r="L365" s="1">
        <v>2007</v>
      </c>
      <c r="M365" s="1">
        <v>2008</v>
      </c>
      <c r="N365" s="1">
        <v>2009</v>
      </c>
      <c r="O365" s="1">
        <v>2010</v>
      </c>
      <c r="P365" s="1">
        <v>2011</v>
      </c>
      <c r="Q365" s="1">
        <v>2012</v>
      </c>
      <c r="R365" s="1">
        <v>2013</v>
      </c>
      <c r="S365" s="1">
        <v>2014</v>
      </c>
      <c r="T365" s="1">
        <v>2015</v>
      </c>
      <c r="U365" s="1">
        <v>2016</v>
      </c>
      <c r="V365" s="1">
        <v>2017</v>
      </c>
      <c r="W365" s="1">
        <v>2018</v>
      </c>
      <c r="X365" s="1">
        <v>2019</v>
      </c>
      <c r="Y365" s="1">
        <v>2020</v>
      </c>
      <c r="Z365" s="1">
        <v>2021</v>
      </c>
      <c r="AA365" s="1">
        <v>2022</v>
      </c>
      <c r="AB365" s="1">
        <v>2023</v>
      </c>
      <c r="AC365" s="1">
        <v>2024</v>
      </c>
      <c r="AD365" s="1">
        <v>2025</v>
      </c>
      <c r="AE365" s="1">
        <v>2026</v>
      </c>
      <c r="AF365" s="1">
        <v>2027</v>
      </c>
      <c r="AG365" s="1">
        <v>2028</v>
      </c>
      <c r="AH365" s="1">
        <v>2029</v>
      </c>
      <c r="AI365" s="1">
        <v>2030</v>
      </c>
      <c r="AJ365" s="1">
        <v>2031</v>
      </c>
      <c r="AK365" s="1">
        <v>2032</v>
      </c>
      <c r="AL365" s="1">
        <v>2033</v>
      </c>
      <c r="AM365" s="1">
        <v>2034</v>
      </c>
      <c r="AN365" s="1">
        <v>2035</v>
      </c>
      <c r="AO365" s="1">
        <v>2036</v>
      </c>
      <c r="AP365" s="1">
        <v>2037</v>
      </c>
      <c r="AQ365" s="1">
        <v>2038</v>
      </c>
      <c r="AR365" s="1">
        <v>2039</v>
      </c>
      <c r="AS365" s="1">
        <v>2040</v>
      </c>
      <c r="AT365" s="1">
        <v>2041</v>
      </c>
      <c r="AU365" s="1">
        <v>2042</v>
      </c>
      <c r="AV365" s="1">
        <v>2043</v>
      </c>
      <c r="AW365" s="1">
        <v>2044</v>
      </c>
      <c r="AX365" s="1">
        <v>2045</v>
      </c>
      <c r="AY365" s="1">
        <v>2046</v>
      </c>
      <c r="AZ365" s="1">
        <v>2047</v>
      </c>
      <c r="BA365" s="1">
        <v>2048</v>
      </c>
      <c r="BB365" s="1">
        <v>2049</v>
      </c>
      <c r="BC365" s="1">
        <v>2050</v>
      </c>
    </row>
    <row r="366" spans="1:55" x14ac:dyDescent="0.25">
      <c r="A366" s="1" t="str">
        <f>'Population Definitions'!$A$2</f>
        <v>PWID_males</v>
      </c>
      <c r="C366" t="s">
        <v>32</v>
      </c>
      <c r="D366" s="3"/>
      <c r="E366" s="3">
        <v>0</v>
      </c>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row>
    <row r="367" spans="1:55" x14ac:dyDescent="0.25">
      <c r="A367" s="1" t="str">
        <f>'Population Definitions'!$A$3</f>
        <v>PWID_females</v>
      </c>
      <c r="C367" t="s">
        <v>32</v>
      </c>
      <c r="D367" s="3"/>
      <c r="E367" s="3">
        <v>0</v>
      </c>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row>
    <row r="368" spans="1:55" x14ac:dyDescent="0.25">
      <c r="A368" s="1" t="str">
        <f>'Population Definitions'!$A$4</f>
        <v>0-9_males</v>
      </c>
      <c r="C368" t="s">
        <v>32</v>
      </c>
      <c r="D368" s="3"/>
      <c r="E368" s="3">
        <v>0</v>
      </c>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row>
    <row r="369" spans="1:55" x14ac:dyDescent="0.25">
      <c r="A369" s="1" t="str">
        <f>'Population Definitions'!$A$5</f>
        <v>0-9_females</v>
      </c>
      <c r="C369" t="s">
        <v>32</v>
      </c>
      <c r="D369" s="3"/>
      <c r="E369" s="3">
        <v>0</v>
      </c>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row>
    <row r="370" spans="1:55" x14ac:dyDescent="0.25">
      <c r="A370" s="1" t="str">
        <f>'Population Definitions'!$A$6</f>
        <v>10-17_males</v>
      </c>
      <c r="C370" t="s">
        <v>32</v>
      </c>
      <c r="D370" s="3"/>
      <c r="E370" s="3">
        <v>0</v>
      </c>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row>
    <row r="371" spans="1:55" x14ac:dyDescent="0.25">
      <c r="A371" s="1" t="str">
        <f>'Population Definitions'!$A$7</f>
        <v>10-17_females</v>
      </c>
      <c r="C371" t="s">
        <v>32</v>
      </c>
      <c r="D371" s="3"/>
      <c r="E371" s="3">
        <v>0</v>
      </c>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row>
    <row r="372" spans="1:55" x14ac:dyDescent="0.25">
      <c r="A372" s="1" t="str">
        <f>'Population Definitions'!$A$8</f>
        <v>18-64_males</v>
      </c>
      <c r="C372" t="s">
        <v>32</v>
      </c>
      <c r="D372" s="3"/>
      <c r="E372" s="3">
        <v>0</v>
      </c>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row>
    <row r="373" spans="1:55" x14ac:dyDescent="0.25">
      <c r="A373" s="1" t="str">
        <f>'Population Definitions'!$A$9</f>
        <v>18-64_females</v>
      </c>
      <c r="C373" t="s">
        <v>32</v>
      </c>
      <c r="D373" s="3"/>
      <c r="E373" s="3">
        <v>0</v>
      </c>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row>
    <row r="374" spans="1:55" x14ac:dyDescent="0.25">
      <c r="A374" s="1" t="str">
        <f>'Population Definitions'!$A$10</f>
        <v>65+_males</v>
      </c>
      <c r="C374" t="s">
        <v>32</v>
      </c>
      <c r="D374" s="3"/>
      <c r="E374" s="3">
        <v>0</v>
      </c>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row>
    <row r="375" spans="1:55" x14ac:dyDescent="0.25">
      <c r="A375" s="1" t="str">
        <f>'Population Definitions'!$A$11</f>
        <v>65+_females</v>
      </c>
      <c r="C375" t="s">
        <v>32</v>
      </c>
      <c r="D375" s="3"/>
      <c r="E375" s="3">
        <v>0</v>
      </c>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row>
    <row r="376" spans="1:55" x14ac:dyDescent="0.25">
      <c r="A376" s="1" t="str">
        <f>'Population Definitions'!$A$12</f>
        <v>Prisoners_males</v>
      </c>
      <c r="C376" t="s">
        <v>32</v>
      </c>
      <c r="D376" s="3"/>
      <c r="E376" s="3">
        <v>0</v>
      </c>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row>
    <row r="377" spans="1:55" x14ac:dyDescent="0.25">
      <c r="A377" s="1" t="str">
        <f>'Population Definitions'!$A$13</f>
        <v>Prisoners_females</v>
      </c>
      <c r="C377" t="s">
        <v>32</v>
      </c>
      <c r="D377" s="3"/>
      <c r="E377" s="3">
        <v>0</v>
      </c>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row>
    <row r="379" spans="1:55" x14ac:dyDescent="0.25">
      <c r="A379" s="1" t="s">
        <v>153</v>
      </c>
      <c r="B379" s="1" t="s">
        <v>29</v>
      </c>
      <c r="C379" s="1" t="s">
        <v>30</v>
      </c>
      <c r="D379" s="1" t="s">
        <v>31</v>
      </c>
      <c r="E379" s="1">
        <v>2000</v>
      </c>
      <c r="F379" s="1">
        <v>2001</v>
      </c>
      <c r="G379" s="1">
        <v>2002</v>
      </c>
      <c r="H379" s="1">
        <v>2003</v>
      </c>
      <c r="I379" s="1">
        <v>2004</v>
      </c>
      <c r="J379" s="1">
        <v>2005</v>
      </c>
      <c r="K379" s="1">
        <v>2006</v>
      </c>
      <c r="L379" s="1">
        <v>2007</v>
      </c>
      <c r="M379" s="1">
        <v>2008</v>
      </c>
      <c r="N379" s="1">
        <v>2009</v>
      </c>
      <c r="O379" s="1">
        <v>2010</v>
      </c>
      <c r="P379" s="1">
        <v>2011</v>
      </c>
      <c r="Q379" s="1">
        <v>2012</v>
      </c>
      <c r="R379" s="1">
        <v>2013</v>
      </c>
      <c r="S379" s="1">
        <v>2014</v>
      </c>
      <c r="T379" s="1">
        <v>2015</v>
      </c>
      <c r="U379" s="1">
        <v>2016</v>
      </c>
      <c r="V379" s="1">
        <v>2017</v>
      </c>
      <c r="W379" s="1">
        <v>2018</v>
      </c>
      <c r="X379" s="1">
        <v>2019</v>
      </c>
      <c r="Y379" s="1">
        <v>2020</v>
      </c>
      <c r="Z379" s="1">
        <v>2021</v>
      </c>
      <c r="AA379" s="1">
        <v>2022</v>
      </c>
      <c r="AB379" s="1">
        <v>2023</v>
      </c>
      <c r="AC379" s="1">
        <v>2024</v>
      </c>
      <c r="AD379" s="1">
        <v>2025</v>
      </c>
      <c r="AE379" s="1">
        <v>2026</v>
      </c>
      <c r="AF379" s="1">
        <v>2027</v>
      </c>
      <c r="AG379" s="1">
        <v>2028</v>
      </c>
      <c r="AH379" s="1">
        <v>2029</v>
      </c>
      <c r="AI379" s="1">
        <v>2030</v>
      </c>
      <c r="AJ379" s="1">
        <v>2031</v>
      </c>
      <c r="AK379" s="1">
        <v>2032</v>
      </c>
      <c r="AL379" s="1">
        <v>2033</v>
      </c>
      <c r="AM379" s="1">
        <v>2034</v>
      </c>
      <c r="AN379" s="1">
        <v>2035</v>
      </c>
      <c r="AO379" s="1">
        <v>2036</v>
      </c>
      <c r="AP379" s="1">
        <v>2037</v>
      </c>
      <c r="AQ379" s="1">
        <v>2038</v>
      </c>
      <c r="AR379" s="1">
        <v>2039</v>
      </c>
      <c r="AS379" s="1">
        <v>2040</v>
      </c>
      <c r="AT379" s="1">
        <v>2041</v>
      </c>
      <c r="AU379" s="1">
        <v>2042</v>
      </c>
      <c r="AV379" s="1">
        <v>2043</v>
      </c>
      <c r="AW379" s="1">
        <v>2044</v>
      </c>
      <c r="AX379" s="1">
        <v>2045</v>
      </c>
      <c r="AY379" s="1">
        <v>2046</v>
      </c>
      <c r="AZ379" s="1">
        <v>2047</v>
      </c>
      <c r="BA379" s="1">
        <v>2048</v>
      </c>
      <c r="BB379" s="1">
        <v>2049</v>
      </c>
      <c r="BC379" s="1">
        <v>2050</v>
      </c>
    </row>
    <row r="380" spans="1:55" x14ac:dyDescent="0.25">
      <c r="A380" s="1" t="str">
        <f>'Population Definitions'!$A$2</f>
        <v>PWID_males</v>
      </c>
      <c r="C380" t="s">
        <v>32</v>
      </c>
      <c r="D380" s="3"/>
      <c r="E380" s="3">
        <v>0</v>
      </c>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row>
    <row r="381" spans="1:55" x14ac:dyDescent="0.25">
      <c r="A381" s="1" t="str">
        <f>'Population Definitions'!$A$3</f>
        <v>PWID_females</v>
      </c>
      <c r="C381" t="s">
        <v>32</v>
      </c>
      <c r="D381" s="3"/>
      <c r="E381" s="3">
        <v>0</v>
      </c>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row>
    <row r="382" spans="1:55" x14ac:dyDescent="0.25">
      <c r="A382" s="1" t="str">
        <f>'Population Definitions'!$A$4</f>
        <v>0-9_males</v>
      </c>
      <c r="C382" t="s">
        <v>32</v>
      </c>
      <c r="D382" s="3"/>
      <c r="E382" s="3">
        <v>0</v>
      </c>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row>
    <row r="383" spans="1:55" x14ac:dyDescent="0.25">
      <c r="A383" s="1" t="str">
        <f>'Population Definitions'!$A$5</f>
        <v>0-9_females</v>
      </c>
      <c r="C383" t="s">
        <v>32</v>
      </c>
      <c r="D383" s="3"/>
      <c r="E383" s="3">
        <v>0</v>
      </c>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row>
    <row r="384" spans="1:55" x14ac:dyDescent="0.25">
      <c r="A384" s="1" t="str">
        <f>'Population Definitions'!$A$6</f>
        <v>10-17_males</v>
      </c>
      <c r="C384" t="s">
        <v>32</v>
      </c>
      <c r="D384" s="3"/>
      <c r="E384" s="3">
        <v>0</v>
      </c>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row>
    <row r="385" spans="1:55" x14ac:dyDescent="0.25">
      <c r="A385" s="1" t="str">
        <f>'Population Definitions'!$A$7</f>
        <v>10-17_females</v>
      </c>
      <c r="C385" t="s">
        <v>32</v>
      </c>
      <c r="D385" s="3"/>
      <c r="E385" s="3">
        <v>0</v>
      </c>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row>
    <row r="386" spans="1:55" x14ac:dyDescent="0.25">
      <c r="A386" s="1" t="str">
        <f>'Population Definitions'!$A$8</f>
        <v>18-64_males</v>
      </c>
      <c r="C386" t="s">
        <v>32</v>
      </c>
      <c r="D386" s="3"/>
      <c r="E386" s="3">
        <v>0</v>
      </c>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row>
    <row r="387" spans="1:55" x14ac:dyDescent="0.25">
      <c r="A387" s="1" t="str">
        <f>'Population Definitions'!$A$9</f>
        <v>18-64_females</v>
      </c>
      <c r="C387" t="s">
        <v>32</v>
      </c>
      <c r="D387" s="3"/>
      <c r="E387" s="3">
        <v>0</v>
      </c>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row>
    <row r="388" spans="1:55" x14ac:dyDescent="0.25">
      <c r="A388" s="1" t="str">
        <f>'Population Definitions'!$A$10</f>
        <v>65+_males</v>
      </c>
      <c r="C388" t="s">
        <v>32</v>
      </c>
      <c r="D388" s="3"/>
      <c r="E388" s="3">
        <v>0</v>
      </c>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row>
    <row r="389" spans="1:55" x14ac:dyDescent="0.25">
      <c r="A389" s="1" t="str">
        <f>'Population Definitions'!$A$11</f>
        <v>65+_females</v>
      </c>
      <c r="C389" t="s">
        <v>32</v>
      </c>
      <c r="D389" s="3"/>
      <c r="E389" s="3">
        <v>0</v>
      </c>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row>
    <row r="390" spans="1:55" x14ac:dyDescent="0.25">
      <c r="A390" s="1" t="str">
        <f>'Population Definitions'!$A$12</f>
        <v>Prisoners_males</v>
      </c>
      <c r="C390" t="s">
        <v>32</v>
      </c>
      <c r="D390" s="3"/>
      <c r="E390" s="3">
        <v>0</v>
      </c>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row>
    <row r="391" spans="1:55" x14ac:dyDescent="0.25">
      <c r="A391" s="1" t="str">
        <f>'Population Definitions'!$A$13</f>
        <v>Prisoners_females</v>
      </c>
      <c r="C391" t="s">
        <v>32</v>
      </c>
      <c r="D391" s="3"/>
      <c r="E391" s="3">
        <v>0</v>
      </c>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row>
    <row r="393" spans="1:55" x14ac:dyDescent="0.25">
      <c r="A393" s="1" t="s">
        <v>154</v>
      </c>
      <c r="B393" s="1" t="s">
        <v>29</v>
      </c>
      <c r="C393" s="1" t="s">
        <v>30</v>
      </c>
      <c r="D393" s="1" t="s">
        <v>31</v>
      </c>
      <c r="E393" s="1">
        <v>2000</v>
      </c>
      <c r="F393" s="1">
        <v>2001</v>
      </c>
      <c r="G393" s="1">
        <v>2002</v>
      </c>
      <c r="H393" s="1">
        <v>2003</v>
      </c>
      <c r="I393" s="1">
        <v>2004</v>
      </c>
      <c r="J393" s="1">
        <v>2005</v>
      </c>
      <c r="K393" s="1">
        <v>2006</v>
      </c>
      <c r="L393" s="1">
        <v>2007</v>
      </c>
      <c r="M393" s="1">
        <v>2008</v>
      </c>
      <c r="N393" s="1">
        <v>2009</v>
      </c>
      <c r="O393" s="1">
        <v>2010</v>
      </c>
      <c r="P393" s="1">
        <v>2011</v>
      </c>
      <c r="Q393" s="1">
        <v>2012</v>
      </c>
      <c r="R393" s="1">
        <v>2013</v>
      </c>
      <c r="S393" s="1">
        <v>2014</v>
      </c>
      <c r="T393" s="1">
        <v>2015</v>
      </c>
      <c r="U393" s="1">
        <v>2016</v>
      </c>
      <c r="V393" s="1">
        <v>2017</v>
      </c>
      <c r="W393" s="1">
        <v>2018</v>
      </c>
      <c r="X393" s="1">
        <v>2019</v>
      </c>
      <c r="Y393" s="1">
        <v>2020</v>
      </c>
      <c r="Z393" s="1">
        <v>2021</v>
      </c>
      <c r="AA393" s="1">
        <v>2022</v>
      </c>
      <c r="AB393" s="1">
        <v>2023</v>
      </c>
      <c r="AC393" s="1">
        <v>2024</v>
      </c>
      <c r="AD393" s="1">
        <v>2025</v>
      </c>
      <c r="AE393" s="1">
        <v>2026</v>
      </c>
      <c r="AF393" s="1">
        <v>2027</v>
      </c>
      <c r="AG393" s="1">
        <v>2028</v>
      </c>
      <c r="AH393" s="1">
        <v>2029</v>
      </c>
      <c r="AI393" s="1">
        <v>2030</v>
      </c>
      <c r="AJ393" s="1">
        <v>2031</v>
      </c>
      <c r="AK393" s="1">
        <v>2032</v>
      </c>
      <c r="AL393" s="1">
        <v>2033</v>
      </c>
      <c r="AM393" s="1">
        <v>2034</v>
      </c>
      <c r="AN393" s="1">
        <v>2035</v>
      </c>
      <c r="AO393" s="1">
        <v>2036</v>
      </c>
      <c r="AP393" s="1">
        <v>2037</v>
      </c>
      <c r="AQ393" s="1">
        <v>2038</v>
      </c>
      <c r="AR393" s="1">
        <v>2039</v>
      </c>
      <c r="AS393" s="1">
        <v>2040</v>
      </c>
      <c r="AT393" s="1">
        <v>2041</v>
      </c>
      <c r="AU393" s="1">
        <v>2042</v>
      </c>
      <c r="AV393" s="1">
        <v>2043</v>
      </c>
      <c r="AW393" s="1">
        <v>2044</v>
      </c>
      <c r="AX393" s="1">
        <v>2045</v>
      </c>
      <c r="AY393" s="1">
        <v>2046</v>
      </c>
      <c r="AZ393" s="1">
        <v>2047</v>
      </c>
      <c r="BA393" s="1">
        <v>2048</v>
      </c>
      <c r="BB393" s="1">
        <v>2049</v>
      </c>
      <c r="BC393" s="1">
        <v>2050</v>
      </c>
    </row>
    <row r="394" spans="1:55" x14ac:dyDescent="0.25">
      <c r="A394" s="1" t="str">
        <f>'Population Definitions'!$A$2</f>
        <v>PWID_males</v>
      </c>
      <c r="C394" t="s">
        <v>32</v>
      </c>
      <c r="D394" s="3"/>
      <c r="E394" s="3">
        <v>0</v>
      </c>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row>
    <row r="395" spans="1:55" x14ac:dyDescent="0.25">
      <c r="A395" s="1" t="str">
        <f>'Population Definitions'!$A$3</f>
        <v>PWID_females</v>
      </c>
      <c r="C395" t="s">
        <v>32</v>
      </c>
      <c r="D395" s="3"/>
      <c r="E395" s="3">
        <v>0</v>
      </c>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row>
    <row r="396" spans="1:55" x14ac:dyDescent="0.25">
      <c r="A396" s="1" t="str">
        <f>'Population Definitions'!$A$4</f>
        <v>0-9_males</v>
      </c>
      <c r="C396" t="s">
        <v>32</v>
      </c>
      <c r="D396" s="3"/>
      <c r="E396" s="3">
        <v>0</v>
      </c>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row>
    <row r="397" spans="1:55" x14ac:dyDescent="0.25">
      <c r="A397" s="1" t="str">
        <f>'Population Definitions'!$A$5</f>
        <v>0-9_females</v>
      </c>
      <c r="C397" t="s">
        <v>32</v>
      </c>
      <c r="D397" s="3"/>
      <c r="E397" s="3">
        <v>0</v>
      </c>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row>
    <row r="398" spans="1:55" x14ac:dyDescent="0.25">
      <c r="A398" s="1" t="str">
        <f>'Population Definitions'!$A$6</f>
        <v>10-17_males</v>
      </c>
      <c r="C398" t="s">
        <v>32</v>
      </c>
      <c r="D398" s="3"/>
      <c r="E398" s="3">
        <v>0</v>
      </c>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row>
    <row r="399" spans="1:55" x14ac:dyDescent="0.25">
      <c r="A399" s="1" t="str">
        <f>'Population Definitions'!$A$7</f>
        <v>10-17_females</v>
      </c>
      <c r="C399" t="s">
        <v>32</v>
      </c>
      <c r="D399" s="3"/>
      <c r="E399" s="3">
        <v>0</v>
      </c>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row>
    <row r="400" spans="1:55" x14ac:dyDescent="0.25">
      <c r="A400" s="1" t="str">
        <f>'Population Definitions'!$A$8</f>
        <v>18-64_males</v>
      </c>
      <c r="C400" t="s">
        <v>32</v>
      </c>
      <c r="D400" s="3"/>
      <c r="E400" s="3">
        <v>0</v>
      </c>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row>
    <row r="401" spans="1:55" x14ac:dyDescent="0.25">
      <c r="A401" s="1" t="str">
        <f>'Population Definitions'!$A$9</f>
        <v>18-64_females</v>
      </c>
      <c r="C401" t="s">
        <v>32</v>
      </c>
      <c r="D401" s="3"/>
      <c r="E401" s="3">
        <v>0</v>
      </c>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row>
    <row r="402" spans="1:55" x14ac:dyDescent="0.25">
      <c r="A402" s="1" t="str">
        <f>'Population Definitions'!$A$10</f>
        <v>65+_males</v>
      </c>
      <c r="C402" t="s">
        <v>32</v>
      </c>
      <c r="D402" s="3"/>
      <c r="E402" s="3">
        <v>0</v>
      </c>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row>
    <row r="403" spans="1:55" x14ac:dyDescent="0.25">
      <c r="A403" s="1" t="str">
        <f>'Population Definitions'!$A$11</f>
        <v>65+_females</v>
      </c>
      <c r="C403" t="s">
        <v>32</v>
      </c>
      <c r="D403" s="3"/>
      <c r="E403" s="3">
        <v>0</v>
      </c>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row>
    <row r="404" spans="1:55" x14ac:dyDescent="0.25">
      <c r="A404" s="1" t="str">
        <f>'Population Definitions'!$A$12</f>
        <v>Prisoners_males</v>
      </c>
      <c r="C404" t="s">
        <v>32</v>
      </c>
      <c r="D404" s="3"/>
      <c r="E404" s="3">
        <v>0</v>
      </c>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row>
    <row r="405" spans="1:55" x14ac:dyDescent="0.25">
      <c r="A405" s="1" t="str">
        <f>'Population Definitions'!$A$13</f>
        <v>Prisoners_females</v>
      </c>
      <c r="C405" t="s">
        <v>32</v>
      </c>
      <c r="D405" s="3"/>
      <c r="E405" s="3">
        <v>0</v>
      </c>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row>
    <row r="407" spans="1:55" x14ac:dyDescent="0.25">
      <c r="A407" s="1" t="s">
        <v>155</v>
      </c>
      <c r="B407" s="1" t="s">
        <v>29</v>
      </c>
      <c r="C407" s="1" t="s">
        <v>30</v>
      </c>
      <c r="D407" s="1" t="s">
        <v>31</v>
      </c>
      <c r="E407" s="1">
        <v>2000</v>
      </c>
      <c r="F407" s="1">
        <v>2001</v>
      </c>
      <c r="G407" s="1">
        <v>2002</v>
      </c>
      <c r="H407" s="1">
        <v>2003</v>
      </c>
      <c r="I407" s="1">
        <v>2004</v>
      </c>
      <c r="J407" s="1">
        <v>2005</v>
      </c>
      <c r="K407" s="1">
        <v>2006</v>
      </c>
      <c r="L407" s="1">
        <v>2007</v>
      </c>
      <c r="M407" s="1">
        <v>2008</v>
      </c>
      <c r="N407" s="1">
        <v>2009</v>
      </c>
      <c r="O407" s="1">
        <v>2010</v>
      </c>
      <c r="P407" s="1">
        <v>2011</v>
      </c>
      <c r="Q407" s="1">
        <v>2012</v>
      </c>
      <c r="R407" s="1">
        <v>2013</v>
      </c>
      <c r="S407" s="1">
        <v>2014</v>
      </c>
      <c r="T407" s="1">
        <v>2015</v>
      </c>
      <c r="U407" s="1">
        <v>2016</v>
      </c>
      <c r="V407" s="1">
        <v>2017</v>
      </c>
      <c r="W407" s="1">
        <v>2018</v>
      </c>
      <c r="X407" s="1">
        <v>2019</v>
      </c>
      <c r="Y407" s="1">
        <v>2020</v>
      </c>
      <c r="Z407" s="1">
        <v>2021</v>
      </c>
      <c r="AA407" s="1">
        <v>2022</v>
      </c>
      <c r="AB407" s="1">
        <v>2023</v>
      </c>
      <c r="AC407" s="1">
        <v>2024</v>
      </c>
      <c r="AD407" s="1">
        <v>2025</v>
      </c>
      <c r="AE407" s="1">
        <v>2026</v>
      </c>
      <c r="AF407" s="1">
        <v>2027</v>
      </c>
      <c r="AG407" s="1">
        <v>2028</v>
      </c>
      <c r="AH407" s="1">
        <v>2029</v>
      </c>
      <c r="AI407" s="1">
        <v>2030</v>
      </c>
      <c r="AJ407" s="1">
        <v>2031</v>
      </c>
      <c r="AK407" s="1">
        <v>2032</v>
      </c>
      <c r="AL407" s="1">
        <v>2033</v>
      </c>
      <c r="AM407" s="1">
        <v>2034</v>
      </c>
      <c r="AN407" s="1">
        <v>2035</v>
      </c>
      <c r="AO407" s="1">
        <v>2036</v>
      </c>
      <c r="AP407" s="1">
        <v>2037</v>
      </c>
      <c r="AQ407" s="1">
        <v>2038</v>
      </c>
      <c r="AR407" s="1">
        <v>2039</v>
      </c>
      <c r="AS407" s="1">
        <v>2040</v>
      </c>
      <c r="AT407" s="1">
        <v>2041</v>
      </c>
      <c r="AU407" s="1">
        <v>2042</v>
      </c>
      <c r="AV407" s="1">
        <v>2043</v>
      </c>
      <c r="AW407" s="1">
        <v>2044</v>
      </c>
      <c r="AX407" s="1">
        <v>2045</v>
      </c>
      <c r="AY407" s="1">
        <v>2046</v>
      </c>
      <c r="AZ407" s="1">
        <v>2047</v>
      </c>
      <c r="BA407" s="1">
        <v>2048</v>
      </c>
      <c r="BB407" s="1">
        <v>2049</v>
      </c>
      <c r="BC407" s="1">
        <v>2050</v>
      </c>
    </row>
    <row r="408" spans="1:55" x14ac:dyDescent="0.25">
      <c r="A408" s="1" t="str">
        <f>'Population Definitions'!$A$2</f>
        <v>PWID_males</v>
      </c>
      <c r="C408" t="s">
        <v>32</v>
      </c>
      <c r="D408" s="3"/>
      <c r="E408" s="3">
        <v>0</v>
      </c>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row>
    <row r="409" spans="1:55" x14ac:dyDescent="0.25">
      <c r="A409" s="1" t="str">
        <f>'Population Definitions'!$A$3</f>
        <v>PWID_females</v>
      </c>
      <c r="C409" t="s">
        <v>32</v>
      </c>
      <c r="D409" s="3"/>
      <c r="E409" s="3">
        <v>0</v>
      </c>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row>
    <row r="410" spans="1:55" x14ac:dyDescent="0.25">
      <c r="A410" s="1" t="str">
        <f>'Population Definitions'!$A$4</f>
        <v>0-9_males</v>
      </c>
      <c r="C410" t="s">
        <v>32</v>
      </c>
      <c r="D410" s="3"/>
      <c r="E410" s="3">
        <v>0</v>
      </c>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row>
    <row r="411" spans="1:55" x14ac:dyDescent="0.25">
      <c r="A411" s="1" t="str">
        <f>'Population Definitions'!$A$5</f>
        <v>0-9_females</v>
      </c>
      <c r="C411" t="s">
        <v>32</v>
      </c>
      <c r="D411" s="3"/>
      <c r="E411" s="3">
        <v>0</v>
      </c>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row>
    <row r="412" spans="1:55" x14ac:dyDescent="0.25">
      <c r="A412" s="1" t="str">
        <f>'Population Definitions'!$A$6</f>
        <v>10-17_males</v>
      </c>
      <c r="C412" t="s">
        <v>32</v>
      </c>
      <c r="D412" s="3"/>
      <c r="E412" s="3">
        <v>0</v>
      </c>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row>
    <row r="413" spans="1:55" x14ac:dyDescent="0.25">
      <c r="A413" s="1" t="str">
        <f>'Population Definitions'!$A$7</f>
        <v>10-17_females</v>
      </c>
      <c r="C413" t="s">
        <v>32</v>
      </c>
      <c r="D413" s="3"/>
      <c r="E413" s="3">
        <v>0</v>
      </c>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row>
    <row r="414" spans="1:55" x14ac:dyDescent="0.25">
      <c r="A414" s="1" t="str">
        <f>'Population Definitions'!$A$8</f>
        <v>18-64_males</v>
      </c>
      <c r="C414" t="s">
        <v>32</v>
      </c>
      <c r="D414" s="3"/>
      <c r="E414" s="3">
        <v>0</v>
      </c>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row>
    <row r="415" spans="1:55" x14ac:dyDescent="0.25">
      <c r="A415" s="1" t="str">
        <f>'Population Definitions'!$A$9</f>
        <v>18-64_females</v>
      </c>
      <c r="C415" t="s">
        <v>32</v>
      </c>
      <c r="D415" s="3"/>
      <c r="E415" s="3">
        <v>0</v>
      </c>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row>
    <row r="416" spans="1:55" x14ac:dyDescent="0.25">
      <c r="A416" s="1" t="str">
        <f>'Population Definitions'!$A$10</f>
        <v>65+_males</v>
      </c>
      <c r="C416" t="s">
        <v>32</v>
      </c>
      <c r="D416" s="3"/>
      <c r="E416" s="3">
        <v>0</v>
      </c>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row>
    <row r="417" spans="1:55" x14ac:dyDescent="0.25">
      <c r="A417" s="1" t="str">
        <f>'Population Definitions'!$A$11</f>
        <v>65+_females</v>
      </c>
      <c r="C417" t="s">
        <v>32</v>
      </c>
      <c r="D417" s="3"/>
      <c r="E417" s="3">
        <v>0</v>
      </c>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row>
    <row r="418" spans="1:55" x14ac:dyDescent="0.25">
      <c r="A418" s="1" t="str">
        <f>'Population Definitions'!$A$12</f>
        <v>Prisoners_males</v>
      </c>
      <c r="C418" t="s">
        <v>32</v>
      </c>
      <c r="D418" s="3"/>
      <c r="E418" s="3">
        <v>0</v>
      </c>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row>
    <row r="419" spans="1:55" x14ac:dyDescent="0.25">
      <c r="A419" s="1" t="str">
        <f>'Population Definitions'!$A$13</f>
        <v>Prisoners_females</v>
      </c>
      <c r="C419" t="s">
        <v>32</v>
      </c>
      <c r="D419" s="3"/>
      <c r="E419" s="3">
        <v>0</v>
      </c>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row>
    <row r="421" spans="1:55" x14ac:dyDescent="0.25">
      <c r="A421" s="1" t="s">
        <v>156</v>
      </c>
      <c r="B421" s="1" t="s">
        <v>29</v>
      </c>
      <c r="C421" s="1" t="s">
        <v>30</v>
      </c>
      <c r="D421" s="1" t="s">
        <v>31</v>
      </c>
      <c r="E421" s="1">
        <v>2000</v>
      </c>
      <c r="F421" s="1">
        <v>2001</v>
      </c>
      <c r="G421" s="1">
        <v>2002</v>
      </c>
      <c r="H421" s="1">
        <v>2003</v>
      </c>
      <c r="I421" s="1">
        <v>2004</v>
      </c>
      <c r="J421" s="1">
        <v>2005</v>
      </c>
      <c r="K421" s="1">
        <v>2006</v>
      </c>
      <c r="L421" s="1">
        <v>2007</v>
      </c>
      <c r="M421" s="1">
        <v>2008</v>
      </c>
      <c r="N421" s="1">
        <v>2009</v>
      </c>
      <c r="O421" s="1">
        <v>2010</v>
      </c>
      <c r="P421" s="1">
        <v>2011</v>
      </c>
      <c r="Q421" s="1">
        <v>2012</v>
      </c>
      <c r="R421" s="1">
        <v>2013</v>
      </c>
      <c r="S421" s="1">
        <v>2014</v>
      </c>
      <c r="T421" s="1">
        <v>2015</v>
      </c>
      <c r="U421" s="1">
        <v>2016</v>
      </c>
      <c r="V421" s="1">
        <v>2017</v>
      </c>
      <c r="W421" s="1">
        <v>2018</v>
      </c>
      <c r="X421" s="1">
        <v>2019</v>
      </c>
      <c r="Y421" s="1">
        <v>2020</v>
      </c>
      <c r="Z421" s="1">
        <v>2021</v>
      </c>
      <c r="AA421" s="1">
        <v>2022</v>
      </c>
      <c r="AB421" s="1">
        <v>2023</v>
      </c>
      <c r="AC421" s="1">
        <v>2024</v>
      </c>
      <c r="AD421" s="1">
        <v>2025</v>
      </c>
      <c r="AE421" s="1">
        <v>2026</v>
      </c>
      <c r="AF421" s="1">
        <v>2027</v>
      </c>
      <c r="AG421" s="1">
        <v>2028</v>
      </c>
      <c r="AH421" s="1">
        <v>2029</v>
      </c>
      <c r="AI421" s="1">
        <v>2030</v>
      </c>
      <c r="AJ421" s="1">
        <v>2031</v>
      </c>
      <c r="AK421" s="1">
        <v>2032</v>
      </c>
      <c r="AL421" s="1">
        <v>2033</v>
      </c>
      <c r="AM421" s="1">
        <v>2034</v>
      </c>
      <c r="AN421" s="1">
        <v>2035</v>
      </c>
      <c r="AO421" s="1">
        <v>2036</v>
      </c>
      <c r="AP421" s="1">
        <v>2037</v>
      </c>
      <c r="AQ421" s="1">
        <v>2038</v>
      </c>
      <c r="AR421" s="1">
        <v>2039</v>
      </c>
      <c r="AS421" s="1">
        <v>2040</v>
      </c>
      <c r="AT421" s="1">
        <v>2041</v>
      </c>
      <c r="AU421" s="1">
        <v>2042</v>
      </c>
      <c r="AV421" s="1">
        <v>2043</v>
      </c>
      <c r="AW421" s="1">
        <v>2044</v>
      </c>
      <c r="AX421" s="1">
        <v>2045</v>
      </c>
      <c r="AY421" s="1">
        <v>2046</v>
      </c>
      <c r="AZ421" s="1">
        <v>2047</v>
      </c>
      <c r="BA421" s="1">
        <v>2048</v>
      </c>
      <c r="BB421" s="1">
        <v>2049</v>
      </c>
      <c r="BC421" s="1">
        <v>2050</v>
      </c>
    </row>
    <row r="422" spans="1:55" x14ac:dyDescent="0.25">
      <c r="A422" s="1" t="str">
        <f>'Population Definitions'!$A$2</f>
        <v>PWID_males</v>
      </c>
      <c r="C422" t="s">
        <v>32</v>
      </c>
      <c r="D422" s="3"/>
      <c r="E422" s="3">
        <v>0</v>
      </c>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row>
    <row r="423" spans="1:55" x14ac:dyDescent="0.25">
      <c r="A423" s="1" t="str">
        <f>'Population Definitions'!$A$3</f>
        <v>PWID_females</v>
      </c>
      <c r="C423" t="s">
        <v>32</v>
      </c>
      <c r="D423" s="3"/>
      <c r="E423" s="3">
        <v>0</v>
      </c>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row>
    <row r="424" spans="1:55" x14ac:dyDescent="0.25">
      <c r="A424" s="1" t="str">
        <f>'Population Definitions'!$A$4</f>
        <v>0-9_males</v>
      </c>
      <c r="C424" t="s">
        <v>32</v>
      </c>
      <c r="D424" s="3"/>
      <c r="E424" s="3">
        <v>0</v>
      </c>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row>
    <row r="425" spans="1:55" x14ac:dyDescent="0.25">
      <c r="A425" s="1" t="str">
        <f>'Population Definitions'!$A$5</f>
        <v>0-9_females</v>
      </c>
      <c r="C425" t="s">
        <v>32</v>
      </c>
      <c r="D425" s="3"/>
      <c r="E425" s="3">
        <v>0</v>
      </c>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row>
    <row r="426" spans="1:55" x14ac:dyDescent="0.25">
      <c r="A426" s="1" t="str">
        <f>'Population Definitions'!$A$6</f>
        <v>10-17_males</v>
      </c>
      <c r="C426" t="s">
        <v>32</v>
      </c>
      <c r="D426" s="3"/>
      <c r="E426" s="3">
        <v>0</v>
      </c>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row>
    <row r="427" spans="1:55" x14ac:dyDescent="0.25">
      <c r="A427" s="1" t="str">
        <f>'Population Definitions'!$A$7</f>
        <v>10-17_females</v>
      </c>
      <c r="C427" t="s">
        <v>32</v>
      </c>
      <c r="D427" s="3"/>
      <c r="E427" s="3">
        <v>0</v>
      </c>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row>
    <row r="428" spans="1:55" x14ac:dyDescent="0.25">
      <c r="A428" s="1" t="str">
        <f>'Population Definitions'!$A$8</f>
        <v>18-64_males</v>
      </c>
      <c r="C428" t="s">
        <v>32</v>
      </c>
      <c r="D428" s="3"/>
      <c r="E428" s="3">
        <v>0</v>
      </c>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row>
    <row r="429" spans="1:55" x14ac:dyDescent="0.25">
      <c r="A429" s="1" t="str">
        <f>'Population Definitions'!$A$9</f>
        <v>18-64_females</v>
      </c>
      <c r="C429" t="s">
        <v>32</v>
      </c>
      <c r="D429" s="3"/>
      <c r="E429" s="3">
        <v>0</v>
      </c>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row>
    <row r="430" spans="1:55" x14ac:dyDescent="0.25">
      <c r="A430" s="1" t="str">
        <f>'Population Definitions'!$A$10</f>
        <v>65+_males</v>
      </c>
      <c r="C430" t="s">
        <v>32</v>
      </c>
      <c r="D430" s="3"/>
      <c r="E430" s="3">
        <v>0</v>
      </c>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row>
    <row r="431" spans="1:55" x14ac:dyDescent="0.25">
      <c r="A431" s="1" t="str">
        <f>'Population Definitions'!$A$11</f>
        <v>65+_females</v>
      </c>
      <c r="C431" t="s">
        <v>32</v>
      </c>
      <c r="D431" s="3"/>
      <c r="E431" s="3">
        <v>0</v>
      </c>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row>
    <row r="432" spans="1:55" x14ac:dyDescent="0.25">
      <c r="A432" s="1" t="str">
        <f>'Population Definitions'!$A$12</f>
        <v>Prisoners_males</v>
      </c>
      <c r="C432" t="s">
        <v>32</v>
      </c>
      <c r="D432" s="3"/>
      <c r="E432" s="3">
        <v>0</v>
      </c>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row>
    <row r="433" spans="1:55" x14ac:dyDescent="0.25">
      <c r="A433" s="1" t="str">
        <f>'Population Definitions'!$A$13</f>
        <v>Prisoners_females</v>
      </c>
      <c r="C433" t="s">
        <v>32</v>
      </c>
      <c r="D433" s="3"/>
      <c r="E433" s="3">
        <v>0</v>
      </c>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row>
    <row r="435" spans="1:55" x14ac:dyDescent="0.25">
      <c r="A435" s="1" t="s">
        <v>157</v>
      </c>
      <c r="B435" s="1" t="s">
        <v>29</v>
      </c>
      <c r="C435" s="1" t="s">
        <v>30</v>
      </c>
      <c r="D435" s="1" t="s">
        <v>31</v>
      </c>
      <c r="E435" s="1">
        <v>2000</v>
      </c>
      <c r="F435" s="1">
        <v>2001</v>
      </c>
      <c r="G435" s="1">
        <v>2002</v>
      </c>
      <c r="H435" s="1">
        <v>2003</v>
      </c>
      <c r="I435" s="1">
        <v>2004</v>
      </c>
      <c r="J435" s="1">
        <v>2005</v>
      </c>
      <c r="K435" s="1">
        <v>2006</v>
      </c>
      <c r="L435" s="1">
        <v>2007</v>
      </c>
      <c r="M435" s="1">
        <v>2008</v>
      </c>
      <c r="N435" s="1">
        <v>2009</v>
      </c>
      <c r="O435" s="1">
        <v>2010</v>
      </c>
      <c r="P435" s="1">
        <v>2011</v>
      </c>
      <c r="Q435" s="1">
        <v>2012</v>
      </c>
      <c r="R435" s="1">
        <v>2013</v>
      </c>
      <c r="S435" s="1">
        <v>2014</v>
      </c>
      <c r="T435" s="1">
        <v>2015</v>
      </c>
      <c r="U435" s="1">
        <v>2016</v>
      </c>
      <c r="V435" s="1">
        <v>2017</v>
      </c>
      <c r="W435" s="1">
        <v>2018</v>
      </c>
      <c r="X435" s="1">
        <v>2019</v>
      </c>
      <c r="Y435" s="1">
        <v>2020</v>
      </c>
      <c r="Z435" s="1">
        <v>2021</v>
      </c>
      <c r="AA435" s="1">
        <v>2022</v>
      </c>
      <c r="AB435" s="1">
        <v>2023</v>
      </c>
      <c r="AC435" s="1">
        <v>2024</v>
      </c>
      <c r="AD435" s="1">
        <v>2025</v>
      </c>
      <c r="AE435" s="1">
        <v>2026</v>
      </c>
      <c r="AF435" s="1">
        <v>2027</v>
      </c>
      <c r="AG435" s="1">
        <v>2028</v>
      </c>
      <c r="AH435" s="1">
        <v>2029</v>
      </c>
      <c r="AI435" s="1">
        <v>2030</v>
      </c>
      <c r="AJ435" s="1">
        <v>2031</v>
      </c>
      <c r="AK435" s="1">
        <v>2032</v>
      </c>
      <c r="AL435" s="1">
        <v>2033</v>
      </c>
      <c r="AM435" s="1">
        <v>2034</v>
      </c>
      <c r="AN435" s="1">
        <v>2035</v>
      </c>
      <c r="AO435" s="1">
        <v>2036</v>
      </c>
      <c r="AP435" s="1">
        <v>2037</v>
      </c>
      <c r="AQ435" s="1">
        <v>2038</v>
      </c>
      <c r="AR435" s="1">
        <v>2039</v>
      </c>
      <c r="AS435" s="1">
        <v>2040</v>
      </c>
      <c r="AT435" s="1">
        <v>2041</v>
      </c>
      <c r="AU435" s="1">
        <v>2042</v>
      </c>
      <c r="AV435" s="1">
        <v>2043</v>
      </c>
      <c r="AW435" s="1">
        <v>2044</v>
      </c>
      <c r="AX435" s="1">
        <v>2045</v>
      </c>
      <c r="AY435" s="1">
        <v>2046</v>
      </c>
      <c r="AZ435" s="1">
        <v>2047</v>
      </c>
      <c r="BA435" s="1">
        <v>2048</v>
      </c>
      <c r="BB435" s="1">
        <v>2049</v>
      </c>
      <c r="BC435" s="1">
        <v>2050</v>
      </c>
    </row>
    <row r="436" spans="1:55" x14ac:dyDescent="0.25">
      <c r="A436" s="1" t="str">
        <f>'Population Definitions'!$A$2</f>
        <v>PWID_males</v>
      </c>
      <c r="C436" t="s">
        <v>32</v>
      </c>
      <c r="D436" s="3"/>
      <c r="E436" s="3">
        <v>0</v>
      </c>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row>
    <row r="437" spans="1:55" x14ac:dyDescent="0.25">
      <c r="A437" s="1" t="str">
        <f>'Population Definitions'!$A$3</f>
        <v>PWID_females</v>
      </c>
      <c r="C437" t="s">
        <v>32</v>
      </c>
      <c r="D437" s="3"/>
      <c r="E437" s="3">
        <v>0</v>
      </c>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row>
    <row r="438" spans="1:55" x14ac:dyDescent="0.25">
      <c r="A438" s="1" t="str">
        <f>'Population Definitions'!$A$4</f>
        <v>0-9_males</v>
      </c>
      <c r="C438" t="s">
        <v>32</v>
      </c>
      <c r="D438" s="3"/>
      <c r="E438" s="3">
        <v>0</v>
      </c>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row>
    <row r="439" spans="1:55" x14ac:dyDescent="0.25">
      <c r="A439" s="1" t="str">
        <f>'Population Definitions'!$A$5</f>
        <v>0-9_females</v>
      </c>
      <c r="C439" t="s">
        <v>32</v>
      </c>
      <c r="D439" s="3"/>
      <c r="E439" s="3">
        <v>0</v>
      </c>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row>
    <row r="440" spans="1:55" x14ac:dyDescent="0.25">
      <c r="A440" s="1" t="str">
        <f>'Population Definitions'!$A$6</f>
        <v>10-17_males</v>
      </c>
      <c r="C440" t="s">
        <v>32</v>
      </c>
      <c r="D440" s="3"/>
      <c r="E440" s="3">
        <v>0</v>
      </c>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row>
    <row r="441" spans="1:55" x14ac:dyDescent="0.25">
      <c r="A441" s="1" t="str">
        <f>'Population Definitions'!$A$7</f>
        <v>10-17_females</v>
      </c>
      <c r="C441" t="s">
        <v>32</v>
      </c>
      <c r="D441" s="3"/>
      <c r="E441" s="3">
        <v>0</v>
      </c>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row>
    <row r="442" spans="1:55" x14ac:dyDescent="0.25">
      <c r="A442" s="1" t="str">
        <f>'Population Definitions'!$A$8</f>
        <v>18-64_males</v>
      </c>
      <c r="C442" t="s">
        <v>32</v>
      </c>
      <c r="D442" s="3"/>
      <c r="E442" s="3">
        <v>0</v>
      </c>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row>
    <row r="443" spans="1:55" x14ac:dyDescent="0.25">
      <c r="A443" s="1" t="str">
        <f>'Population Definitions'!$A$9</f>
        <v>18-64_females</v>
      </c>
      <c r="C443" t="s">
        <v>32</v>
      </c>
      <c r="D443" s="3"/>
      <c r="E443" s="3">
        <v>0</v>
      </c>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row>
    <row r="444" spans="1:55" x14ac:dyDescent="0.25">
      <c r="A444" s="1" t="str">
        <f>'Population Definitions'!$A$10</f>
        <v>65+_males</v>
      </c>
      <c r="C444" t="s">
        <v>32</v>
      </c>
      <c r="D444" s="3"/>
      <c r="E444" s="3">
        <v>0</v>
      </c>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row>
    <row r="445" spans="1:55" x14ac:dyDescent="0.25">
      <c r="A445" s="1" t="str">
        <f>'Population Definitions'!$A$11</f>
        <v>65+_females</v>
      </c>
      <c r="C445" t="s">
        <v>32</v>
      </c>
      <c r="D445" s="3"/>
      <c r="E445" s="3">
        <v>0</v>
      </c>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row>
    <row r="446" spans="1:55" x14ac:dyDescent="0.25">
      <c r="A446" s="1" t="str">
        <f>'Population Definitions'!$A$12</f>
        <v>Prisoners_males</v>
      </c>
      <c r="C446" t="s">
        <v>32</v>
      </c>
      <c r="D446" s="3"/>
      <c r="E446" s="3">
        <v>0</v>
      </c>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row>
    <row r="447" spans="1:55" x14ac:dyDescent="0.25">
      <c r="A447" s="1" t="str">
        <f>'Population Definitions'!$A$13</f>
        <v>Prisoners_females</v>
      </c>
      <c r="C447" t="s">
        <v>32</v>
      </c>
      <c r="D447" s="3"/>
      <c r="E447" s="3">
        <v>0</v>
      </c>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row>
    <row r="449" spans="1:55" x14ac:dyDescent="0.25">
      <c r="A449" s="1" t="s">
        <v>158</v>
      </c>
      <c r="B449" s="1" t="s">
        <v>29</v>
      </c>
      <c r="C449" s="1" t="s">
        <v>30</v>
      </c>
      <c r="D449" s="1" t="s">
        <v>31</v>
      </c>
      <c r="E449" s="1">
        <v>2000</v>
      </c>
      <c r="F449" s="1">
        <v>2001</v>
      </c>
      <c r="G449" s="1">
        <v>2002</v>
      </c>
      <c r="H449" s="1">
        <v>2003</v>
      </c>
      <c r="I449" s="1">
        <v>2004</v>
      </c>
      <c r="J449" s="1">
        <v>2005</v>
      </c>
      <c r="K449" s="1">
        <v>2006</v>
      </c>
      <c r="L449" s="1">
        <v>2007</v>
      </c>
      <c r="M449" s="1">
        <v>2008</v>
      </c>
      <c r="N449" s="1">
        <v>2009</v>
      </c>
      <c r="O449" s="1">
        <v>2010</v>
      </c>
      <c r="P449" s="1">
        <v>2011</v>
      </c>
      <c r="Q449" s="1">
        <v>2012</v>
      </c>
      <c r="R449" s="1">
        <v>2013</v>
      </c>
      <c r="S449" s="1">
        <v>2014</v>
      </c>
      <c r="T449" s="1">
        <v>2015</v>
      </c>
      <c r="U449" s="1">
        <v>2016</v>
      </c>
      <c r="V449" s="1">
        <v>2017</v>
      </c>
      <c r="W449" s="1">
        <v>2018</v>
      </c>
      <c r="X449" s="1">
        <v>2019</v>
      </c>
      <c r="Y449" s="1">
        <v>2020</v>
      </c>
      <c r="Z449" s="1">
        <v>2021</v>
      </c>
      <c r="AA449" s="1">
        <v>2022</v>
      </c>
      <c r="AB449" s="1">
        <v>2023</v>
      </c>
      <c r="AC449" s="1">
        <v>2024</v>
      </c>
      <c r="AD449" s="1">
        <v>2025</v>
      </c>
      <c r="AE449" s="1">
        <v>2026</v>
      </c>
      <c r="AF449" s="1">
        <v>2027</v>
      </c>
      <c r="AG449" s="1">
        <v>2028</v>
      </c>
      <c r="AH449" s="1">
        <v>2029</v>
      </c>
      <c r="AI449" s="1">
        <v>2030</v>
      </c>
      <c r="AJ449" s="1">
        <v>2031</v>
      </c>
      <c r="AK449" s="1">
        <v>2032</v>
      </c>
      <c r="AL449" s="1">
        <v>2033</v>
      </c>
      <c r="AM449" s="1">
        <v>2034</v>
      </c>
      <c r="AN449" s="1">
        <v>2035</v>
      </c>
      <c r="AO449" s="1">
        <v>2036</v>
      </c>
      <c r="AP449" s="1">
        <v>2037</v>
      </c>
      <c r="AQ449" s="1">
        <v>2038</v>
      </c>
      <c r="AR449" s="1">
        <v>2039</v>
      </c>
      <c r="AS449" s="1">
        <v>2040</v>
      </c>
      <c r="AT449" s="1">
        <v>2041</v>
      </c>
      <c r="AU449" s="1">
        <v>2042</v>
      </c>
      <c r="AV449" s="1">
        <v>2043</v>
      </c>
      <c r="AW449" s="1">
        <v>2044</v>
      </c>
      <c r="AX449" s="1">
        <v>2045</v>
      </c>
      <c r="AY449" s="1">
        <v>2046</v>
      </c>
      <c r="AZ449" s="1">
        <v>2047</v>
      </c>
      <c r="BA449" s="1">
        <v>2048</v>
      </c>
      <c r="BB449" s="1">
        <v>2049</v>
      </c>
      <c r="BC449" s="1">
        <v>2050</v>
      </c>
    </row>
    <row r="450" spans="1:55" x14ac:dyDescent="0.25">
      <c r="A450" s="1" t="str">
        <f>'Population Definitions'!$A$2</f>
        <v>PWID_males</v>
      </c>
      <c r="C450" t="s">
        <v>32</v>
      </c>
      <c r="D450" s="3"/>
      <c r="E450" s="3">
        <v>0</v>
      </c>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row>
    <row r="451" spans="1:55" x14ac:dyDescent="0.25">
      <c r="A451" s="1" t="str">
        <f>'Population Definitions'!$A$3</f>
        <v>PWID_females</v>
      </c>
      <c r="C451" t="s">
        <v>32</v>
      </c>
      <c r="D451" s="3"/>
      <c r="E451" s="3">
        <v>0</v>
      </c>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row>
    <row r="452" spans="1:55" x14ac:dyDescent="0.25">
      <c r="A452" s="1" t="str">
        <f>'Population Definitions'!$A$4</f>
        <v>0-9_males</v>
      </c>
      <c r="C452" t="s">
        <v>32</v>
      </c>
      <c r="D452" s="3"/>
      <c r="E452" s="3">
        <v>0</v>
      </c>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row>
    <row r="453" spans="1:55" x14ac:dyDescent="0.25">
      <c r="A453" s="1" t="str">
        <f>'Population Definitions'!$A$5</f>
        <v>0-9_females</v>
      </c>
      <c r="C453" t="s">
        <v>32</v>
      </c>
      <c r="D453" s="3"/>
      <c r="E453" s="3">
        <v>0</v>
      </c>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row>
    <row r="454" spans="1:55" x14ac:dyDescent="0.25">
      <c r="A454" s="1" t="str">
        <f>'Population Definitions'!$A$6</f>
        <v>10-17_males</v>
      </c>
      <c r="C454" t="s">
        <v>32</v>
      </c>
      <c r="D454" s="3"/>
      <c r="E454" s="3">
        <v>0</v>
      </c>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row>
    <row r="455" spans="1:55" x14ac:dyDescent="0.25">
      <c r="A455" s="1" t="str">
        <f>'Population Definitions'!$A$7</f>
        <v>10-17_females</v>
      </c>
      <c r="C455" t="s">
        <v>32</v>
      </c>
      <c r="D455" s="3"/>
      <c r="E455" s="3">
        <v>0</v>
      </c>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row>
    <row r="456" spans="1:55" x14ac:dyDescent="0.25">
      <c r="A456" s="1" t="str">
        <f>'Population Definitions'!$A$8</f>
        <v>18-64_males</v>
      </c>
      <c r="C456" t="s">
        <v>32</v>
      </c>
      <c r="D456" s="3"/>
      <c r="E456" s="3">
        <v>0</v>
      </c>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row>
    <row r="457" spans="1:55" x14ac:dyDescent="0.25">
      <c r="A457" s="1" t="str">
        <f>'Population Definitions'!$A$9</f>
        <v>18-64_females</v>
      </c>
      <c r="C457" t="s">
        <v>32</v>
      </c>
      <c r="D457" s="3"/>
      <c r="E457" s="3">
        <v>0</v>
      </c>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row>
    <row r="458" spans="1:55" x14ac:dyDescent="0.25">
      <c r="A458" s="1" t="str">
        <f>'Population Definitions'!$A$10</f>
        <v>65+_males</v>
      </c>
      <c r="C458" t="s">
        <v>32</v>
      </c>
      <c r="D458" s="3"/>
      <c r="E458" s="3">
        <v>0</v>
      </c>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row>
    <row r="459" spans="1:55" x14ac:dyDescent="0.25">
      <c r="A459" s="1" t="str">
        <f>'Population Definitions'!$A$11</f>
        <v>65+_females</v>
      </c>
      <c r="C459" t="s">
        <v>32</v>
      </c>
      <c r="D459" s="3"/>
      <c r="E459" s="3">
        <v>0</v>
      </c>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row>
    <row r="460" spans="1:55" x14ac:dyDescent="0.25">
      <c r="A460" s="1" t="str">
        <f>'Population Definitions'!$A$12</f>
        <v>Prisoners_males</v>
      </c>
      <c r="C460" t="s">
        <v>32</v>
      </c>
      <c r="D460" s="3"/>
      <c r="E460" s="3">
        <v>0</v>
      </c>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row>
    <row r="461" spans="1:55" x14ac:dyDescent="0.25">
      <c r="A461" s="1" t="str">
        <f>'Population Definitions'!$A$13</f>
        <v>Prisoners_females</v>
      </c>
      <c r="C461" t="s">
        <v>32</v>
      </c>
      <c r="D461" s="3"/>
      <c r="E461" s="3">
        <v>0</v>
      </c>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row>
    <row r="463" spans="1:55" x14ac:dyDescent="0.25">
      <c r="A463" s="1" t="s">
        <v>159</v>
      </c>
      <c r="B463" s="1" t="s">
        <v>29</v>
      </c>
      <c r="C463" s="1" t="s">
        <v>30</v>
      </c>
      <c r="D463" s="1" t="s">
        <v>31</v>
      </c>
      <c r="E463" s="1">
        <v>2000</v>
      </c>
      <c r="F463" s="1">
        <v>2001</v>
      </c>
      <c r="G463" s="1">
        <v>2002</v>
      </c>
      <c r="H463" s="1">
        <v>2003</v>
      </c>
      <c r="I463" s="1">
        <v>2004</v>
      </c>
      <c r="J463" s="1">
        <v>2005</v>
      </c>
      <c r="K463" s="1">
        <v>2006</v>
      </c>
      <c r="L463" s="1">
        <v>2007</v>
      </c>
      <c r="M463" s="1">
        <v>2008</v>
      </c>
      <c r="N463" s="1">
        <v>2009</v>
      </c>
      <c r="O463" s="1">
        <v>2010</v>
      </c>
      <c r="P463" s="1">
        <v>2011</v>
      </c>
      <c r="Q463" s="1">
        <v>2012</v>
      </c>
      <c r="R463" s="1">
        <v>2013</v>
      </c>
      <c r="S463" s="1">
        <v>2014</v>
      </c>
      <c r="T463" s="1">
        <v>2015</v>
      </c>
      <c r="U463" s="1">
        <v>2016</v>
      </c>
      <c r="V463" s="1">
        <v>2017</v>
      </c>
      <c r="W463" s="1">
        <v>2018</v>
      </c>
      <c r="X463" s="1">
        <v>2019</v>
      </c>
      <c r="Y463" s="1">
        <v>2020</v>
      </c>
      <c r="Z463" s="1">
        <v>2021</v>
      </c>
      <c r="AA463" s="1">
        <v>2022</v>
      </c>
      <c r="AB463" s="1">
        <v>2023</v>
      </c>
      <c r="AC463" s="1">
        <v>2024</v>
      </c>
      <c r="AD463" s="1">
        <v>2025</v>
      </c>
      <c r="AE463" s="1">
        <v>2026</v>
      </c>
      <c r="AF463" s="1">
        <v>2027</v>
      </c>
      <c r="AG463" s="1">
        <v>2028</v>
      </c>
      <c r="AH463" s="1">
        <v>2029</v>
      </c>
      <c r="AI463" s="1">
        <v>2030</v>
      </c>
      <c r="AJ463" s="1">
        <v>2031</v>
      </c>
      <c r="AK463" s="1">
        <v>2032</v>
      </c>
      <c r="AL463" s="1">
        <v>2033</v>
      </c>
      <c r="AM463" s="1">
        <v>2034</v>
      </c>
      <c r="AN463" s="1">
        <v>2035</v>
      </c>
      <c r="AO463" s="1">
        <v>2036</v>
      </c>
      <c r="AP463" s="1">
        <v>2037</v>
      </c>
      <c r="AQ463" s="1">
        <v>2038</v>
      </c>
      <c r="AR463" s="1">
        <v>2039</v>
      </c>
      <c r="AS463" s="1">
        <v>2040</v>
      </c>
      <c r="AT463" s="1">
        <v>2041</v>
      </c>
      <c r="AU463" s="1">
        <v>2042</v>
      </c>
      <c r="AV463" s="1">
        <v>2043</v>
      </c>
      <c r="AW463" s="1">
        <v>2044</v>
      </c>
      <c r="AX463" s="1">
        <v>2045</v>
      </c>
      <c r="AY463" s="1">
        <v>2046</v>
      </c>
      <c r="AZ463" s="1">
        <v>2047</v>
      </c>
      <c r="BA463" s="1">
        <v>2048</v>
      </c>
      <c r="BB463" s="1">
        <v>2049</v>
      </c>
      <c r="BC463" s="1">
        <v>2050</v>
      </c>
    </row>
    <row r="464" spans="1:55" x14ac:dyDescent="0.25">
      <c r="A464" s="1" t="str">
        <f>'Population Definitions'!$A$2</f>
        <v>PWID_males</v>
      </c>
      <c r="C464" t="s">
        <v>32</v>
      </c>
      <c r="D464" s="3"/>
      <c r="E464" s="3">
        <v>37389.517384287217</v>
      </c>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row>
    <row r="465" spans="1:55" x14ac:dyDescent="0.25">
      <c r="A465" s="1" t="str">
        <f>'Population Definitions'!$A$3</f>
        <v>PWID_females</v>
      </c>
      <c r="C465" t="s">
        <v>32</v>
      </c>
      <c r="D465" s="3"/>
      <c r="E465" s="3">
        <v>187.88702203159431</v>
      </c>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row>
    <row r="466" spans="1:55" x14ac:dyDescent="0.25">
      <c r="A466" s="1" t="str">
        <f>'Population Definitions'!$A$4</f>
        <v>0-9_males</v>
      </c>
      <c r="C466" t="s">
        <v>32</v>
      </c>
      <c r="D466" s="3"/>
      <c r="E466" s="3">
        <v>0</v>
      </c>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row>
    <row r="467" spans="1:55" x14ac:dyDescent="0.25">
      <c r="A467" s="1" t="str">
        <f>'Population Definitions'!$A$5</f>
        <v>0-9_females</v>
      </c>
      <c r="C467" t="s">
        <v>32</v>
      </c>
      <c r="D467" s="3"/>
      <c r="E467" s="3">
        <v>0</v>
      </c>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row>
    <row r="468" spans="1:55" x14ac:dyDescent="0.25">
      <c r="A468" s="1" t="str">
        <f>'Population Definitions'!$A$6</f>
        <v>10-17_males</v>
      </c>
      <c r="C468" t="s">
        <v>32</v>
      </c>
      <c r="D468" s="3"/>
      <c r="E468" s="3">
        <v>0</v>
      </c>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row>
    <row r="469" spans="1:55" x14ac:dyDescent="0.25">
      <c r="A469" s="1" t="str">
        <f>'Population Definitions'!$A$7</f>
        <v>10-17_females</v>
      </c>
      <c r="C469" t="s">
        <v>32</v>
      </c>
      <c r="D469" s="3"/>
      <c r="E469" s="3">
        <v>0</v>
      </c>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row>
    <row r="470" spans="1:55" x14ac:dyDescent="0.25">
      <c r="A470" s="1" t="str">
        <f>'Population Definitions'!$A$8</f>
        <v>18-64_males</v>
      </c>
      <c r="C470" t="s">
        <v>32</v>
      </c>
      <c r="D470" s="3"/>
      <c r="E470" s="3">
        <v>1935725.756719928</v>
      </c>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row>
    <row r="471" spans="1:55" x14ac:dyDescent="0.25">
      <c r="A471" s="1" t="str">
        <f>'Population Definitions'!$A$9</f>
        <v>18-64_females</v>
      </c>
      <c r="C471" t="s">
        <v>32</v>
      </c>
      <c r="D471" s="3"/>
      <c r="E471" s="3">
        <v>1839745.5840572561</v>
      </c>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row>
    <row r="472" spans="1:55" x14ac:dyDescent="0.25">
      <c r="A472" s="1" t="str">
        <f>'Population Definitions'!$A$10</f>
        <v>65+_males</v>
      </c>
      <c r="C472" t="s">
        <v>32</v>
      </c>
      <c r="D472" s="3"/>
      <c r="E472" s="3">
        <v>151565.4629661178</v>
      </c>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row>
    <row r="473" spans="1:55" x14ac:dyDescent="0.25">
      <c r="A473" s="1" t="str">
        <f>'Population Definitions'!$A$11</f>
        <v>65+_females</v>
      </c>
      <c r="C473" t="s">
        <v>32</v>
      </c>
      <c r="D473" s="3"/>
      <c r="E473" s="3">
        <v>132553.1110541106</v>
      </c>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row>
    <row r="474" spans="1:55" x14ac:dyDescent="0.25">
      <c r="A474" s="1" t="str">
        <f>'Population Definitions'!$A$12</f>
        <v>Prisoners_males</v>
      </c>
      <c r="C474" t="s">
        <v>32</v>
      </c>
      <c r="D474" s="3"/>
      <c r="E474" s="3">
        <v>5843.6346331547684</v>
      </c>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row>
    <row r="475" spans="1:55" x14ac:dyDescent="0.25">
      <c r="A475" s="1" t="str">
        <f>'Population Definitions'!$A$13</f>
        <v>Prisoners_females</v>
      </c>
      <c r="C475" t="s">
        <v>32</v>
      </c>
      <c r="D475" s="3"/>
      <c r="E475" s="3">
        <v>47.6668031127262</v>
      </c>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row>
    <row r="477" spans="1:55" x14ac:dyDescent="0.25">
      <c r="A477" s="1" t="s">
        <v>160</v>
      </c>
      <c r="B477" s="1" t="s">
        <v>29</v>
      </c>
      <c r="C477" s="1" t="s">
        <v>30</v>
      </c>
      <c r="D477" s="1" t="s">
        <v>31</v>
      </c>
      <c r="E477" s="1">
        <v>2000</v>
      </c>
      <c r="F477" s="1">
        <v>2001</v>
      </c>
      <c r="G477" s="1">
        <v>2002</v>
      </c>
      <c r="H477" s="1">
        <v>2003</v>
      </c>
      <c r="I477" s="1">
        <v>2004</v>
      </c>
      <c r="J477" s="1">
        <v>2005</v>
      </c>
      <c r="K477" s="1">
        <v>2006</v>
      </c>
      <c r="L477" s="1">
        <v>2007</v>
      </c>
      <c r="M477" s="1">
        <v>2008</v>
      </c>
      <c r="N477" s="1">
        <v>2009</v>
      </c>
      <c r="O477" s="1">
        <v>2010</v>
      </c>
      <c r="P477" s="1">
        <v>2011</v>
      </c>
      <c r="Q477" s="1">
        <v>2012</v>
      </c>
      <c r="R477" s="1">
        <v>2013</v>
      </c>
      <c r="S477" s="1">
        <v>2014</v>
      </c>
      <c r="T477" s="1">
        <v>2015</v>
      </c>
      <c r="U477" s="1">
        <v>2016</v>
      </c>
      <c r="V477" s="1">
        <v>2017</v>
      </c>
      <c r="W477" s="1">
        <v>2018</v>
      </c>
      <c r="X477" s="1">
        <v>2019</v>
      </c>
      <c r="Y477" s="1">
        <v>2020</v>
      </c>
      <c r="Z477" s="1">
        <v>2021</v>
      </c>
      <c r="AA477" s="1">
        <v>2022</v>
      </c>
      <c r="AB477" s="1">
        <v>2023</v>
      </c>
      <c r="AC477" s="1">
        <v>2024</v>
      </c>
      <c r="AD477" s="1">
        <v>2025</v>
      </c>
      <c r="AE477" s="1">
        <v>2026</v>
      </c>
      <c r="AF477" s="1">
        <v>2027</v>
      </c>
      <c r="AG477" s="1">
        <v>2028</v>
      </c>
      <c r="AH477" s="1">
        <v>2029</v>
      </c>
      <c r="AI477" s="1">
        <v>2030</v>
      </c>
      <c r="AJ477" s="1">
        <v>2031</v>
      </c>
      <c r="AK477" s="1">
        <v>2032</v>
      </c>
      <c r="AL477" s="1">
        <v>2033</v>
      </c>
      <c r="AM477" s="1">
        <v>2034</v>
      </c>
      <c r="AN477" s="1">
        <v>2035</v>
      </c>
      <c r="AO477" s="1">
        <v>2036</v>
      </c>
      <c r="AP477" s="1">
        <v>2037</v>
      </c>
      <c r="AQ477" s="1">
        <v>2038</v>
      </c>
      <c r="AR477" s="1">
        <v>2039</v>
      </c>
      <c r="AS477" s="1">
        <v>2040</v>
      </c>
      <c r="AT477" s="1">
        <v>2041</v>
      </c>
      <c r="AU477" s="1">
        <v>2042</v>
      </c>
      <c r="AV477" s="1">
        <v>2043</v>
      </c>
      <c r="AW477" s="1">
        <v>2044</v>
      </c>
      <c r="AX477" s="1">
        <v>2045</v>
      </c>
      <c r="AY477" s="1">
        <v>2046</v>
      </c>
      <c r="AZ477" s="1">
        <v>2047</v>
      </c>
      <c r="BA477" s="1">
        <v>2048</v>
      </c>
      <c r="BB477" s="1">
        <v>2049</v>
      </c>
      <c r="BC477" s="1">
        <v>2050</v>
      </c>
    </row>
    <row r="478" spans="1:55" x14ac:dyDescent="0.25">
      <c r="A478" s="1" t="str">
        <f>'Population Definitions'!$A$2</f>
        <v>PWID_males</v>
      </c>
      <c r="C478" t="s">
        <v>32</v>
      </c>
      <c r="D478" s="3"/>
      <c r="E478" s="3">
        <v>37389.517384287217</v>
      </c>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row>
    <row r="479" spans="1:55" x14ac:dyDescent="0.25">
      <c r="A479" s="1" t="str">
        <f>'Population Definitions'!$A$3</f>
        <v>PWID_females</v>
      </c>
      <c r="C479" t="s">
        <v>32</v>
      </c>
      <c r="D479" s="3"/>
      <c r="E479" s="3">
        <v>187.88702203159431</v>
      </c>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row>
    <row r="480" spans="1:55" x14ac:dyDescent="0.25">
      <c r="A480" s="1" t="str">
        <f>'Population Definitions'!$A$4</f>
        <v>0-9_males</v>
      </c>
      <c r="C480" t="s">
        <v>32</v>
      </c>
      <c r="D480" s="3"/>
      <c r="E480" s="3">
        <v>0</v>
      </c>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row>
    <row r="481" spans="1:55" x14ac:dyDescent="0.25">
      <c r="A481" s="1" t="str">
        <f>'Population Definitions'!$A$5</f>
        <v>0-9_females</v>
      </c>
      <c r="C481" t="s">
        <v>32</v>
      </c>
      <c r="D481" s="3"/>
      <c r="E481" s="3">
        <v>0</v>
      </c>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row>
    <row r="482" spans="1:55" x14ac:dyDescent="0.25">
      <c r="A482" s="1" t="str">
        <f>'Population Definitions'!$A$6</f>
        <v>10-17_males</v>
      </c>
      <c r="C482" t="s">
        <v>32</v>
      </c>
      <c r="D482" s="3"/>
      <c r="E482" s="3">
        <v>0</v>
      </c>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row>
    <row r="483" spans="1:55" x14ac:dyDescent="0.25">
      <c r="A483" s="1" t="str">
        <f>'Population Definitions'!$A$7</f>
        <v>10-17_females</v>
      </c>
      <c r="C483" t="s">
        <v>32</v>
      </c>
      <c r="D483" s="3"/>
      <c r="E483" s="3">
        <v>0</v>
      </c>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row>
    <row r="484" spans="1:55" x14ac:dyDescent="0.25">
      <c r="A484" s="1" t="str">
        <f>'Population Definitions'!$A$8</f>
        <v>18-64_males</v>
      </c>
      <c r="C484" t="s">
        <v>32</v>
      </c>
      <c r="D484" s="3"/>
      <c r="E484" s="3">
        <v>1935725.756719928</v>
      </c>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row>
    <row r="485" spans="1:55" x14ac:dyDescent="0.25">
      <c r="A485" s="1" t="str">
        <f>'Population Definitions'!$A$9</f>
        <v>18-64_females</v>
      </c>
      <c r="C485" t="s">
        <v>32</v>
      </c>
      <c r="D485" s="3"/>
      <c r="E485" s="3">
        <v>1839745.5840572561</v>
      </c>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row>
    <row r="486" spans="1:55" x14ac:dyDescent="0.25">
      <c r="A486" s="1" t="str">
        <f>'Population Definitions'!$A$10</f>
        <v>65+_males</v>
      </c>
      <c r="C486" t="s">
        <v>32</v>
      </c>
      <c r="D486" s="3"/>
      <c r="E486" s="3">
        <v>151565.4629661178</v>
      </c>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row>
    <row r="487" spans="1:55" x14ac:dyDescent="0.25">
      <c r="A487" s="1" t="str">
        <f>'Population Definitions'!$A$11</f>
        <v>65+_females</v>
      </c>
      <c r="C487" t="s">
        <v>32</v>
      </c>
      <c r="D487" s="3"/>
      <c r="E487" s="3">
        <v>132553.1110541106</v>
      </c>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row>
    <row r="488" spans="1:55" x14ac:dyDescent="0.25">
      <c r="A488" s="1" t="str">
        <f>'Population Definitions'!$A$12</f>
        <v>Prisoners_males</v>
      </c>
      <c r="C488" t="s">
        <v>32</v>
      </c>
      <c r="D488" s="3"/>
      <c r="E488" s="3">
        <v>5843.6346331547684</v>
      </c>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row>
    <row r="489" spans="1:55" x14ac:dyDescent="0.25">
      <c r="A489" s="1" t="str">
        <f>'Population Definitions'!$A$13</f>
        <v>Prisoners_females</v>
      </c>
      <c r="C489" t="s">
        <v>32</v>
      </c>
      <c r="D489" s="3"/>
      <c r="E489" s="3">
        <v>47.6668031127262</v>
      </c>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row>
    <row r="491" spans="1:55" x14ac:dyDescent="0.25">
      <c r="A491" s="1" t="s">
        <v>161</v>
      </c>
      <c r="B491" s="1" t="s">
        <v>29</v>
      </c>
      <c r="C491" s="1" t="s">
        <v>30</v>
      </c>
      <c r="D491" s="1" t="s">
        <v>31</v>
      </c>
      <c r="E491" s="1">
        <v>2000</v>
      </c>
      <c r="F491" s="1">
        <v>2001</v>
      </c>
      <c r="G491" s="1">
        <v>2002</v>
      </c>
      <c r="H491" s="1">
        <v>2003</v>
      </c>
      <c r="I491" s="1">
        <v>2004</v>
      </c>
      <c r="J491" s="1">
        <v>2005</v>
      </c>
      <c r="K491" s="1">
        <v>2006</v>
      </c>
      <c r="L491" s="1">
        <v>2007</v>
      </c>
      <c r="M491" s="1">
        <v>2008</v>
      </c>
      <c r="N491" s="1">
        <v>2009</v>
      </c>
      <c r="O491" s="1">
        <v>2010</v>
      </c>
      <c r="P491" s="1">
        <v>2011</v>
      </c>
      <c r="Q491" s="1">
        <v>2012</v>
      </c>
      <c r="R491" s="1">
        <v>2013</v>
      </c>
      <c r="S491" s="1">
        <v>2014</v>
      </c>
      <c r="T491" s="1">
        <v>2015</v>
      </c>
      <c r="U491" s="1">
        <v>2016</v>
      </c>
      <c r="V491" s="1">
        <v>2017</v>
      </c>
      <c r="W491" s="1">
        <v>2018</v>
      </c>
      <c r="X491" s="1">
        <v>2019</v>
      </c>
      <c r="Y491" s="1">
        <v>2020</v>
      </c>
      <c r="Z491" s="1">
        <v>2021</v>
      </c>
      <c r="AA491" s="1">
        <v>2022</v>
      </c>
      <c r="AB491" s="1">
        <v>2023</v>
      </c>
      <c r="AC491" s="1">
        <v>2024</v>
      </c>
      <c r="AD491" s="1">
        <v>2025</v>
      </c>
      <c r="AE491" s="1">
        <v>2026</v>
      </c>
      <c r="AF491" s="1">
        <v>2027</v>
      </c>
      <c r="AG491" s="1">
        <v>2028</v>
      </c>
      <c r="AH491" s="1">
        <v>2029</v>
      </c>
      <c r="AI491" s="1">
        <v>2030</v>
      </c>
      <c r="AJ491" s="1">
        <v>2031</v>
      </c>
      <c r="AK491" s="1">
        <v>2032</v>
      </c>
      <c r="AL491" s="1">
        <v>2033</v>
      </c>
      <c r="AM491" s="1">
        <v>2034</v>
      </c>
      <c r="AN491" s="1">
        <v>2035</v>
      </c>
      <c r="AO491" s="1">
        <v>2036</v>
      </c>
      <c r="AP491" s="1">
        <v>2037</v>
      </c>
      <c r="AQ491" s="1">
        <v>2038</v>
      </c>
      <c r="AR491" s="1">
        <v>2039</v>
      </c>
      <c r="AS491" s="1">
        <v>2040</v>
      </c>
      <c r="AT491" s="1">
        <v>2041</v>
      </c>
      <c r="AU491" s="1">
        <v>2042</v>
      </c>
      <c r="AV491" s="1">
        <v>2043</v>
      </c>
      <c r="AW491" s="1">
        <v>2044</v>
      </c>
      <c r="AX491" s="1">
        <v>2045</v>
      </c>
      <c r="AY491" s="1">
        <v>2046</v>
      </c>
      <c r="AZ491" s="1">
        <v>2047</v>
      </c>
      <c r="BA491" s="1">
        <v>2048</v>
      </c>
      <c r="BB491" s="1">
        <v>2049</v>
      </c>
      <c r="BC491" s="1">
        <v>2050</v>
      </c>
    </row>
    <row r="492" spans="1:55" x14ac:dyDescent="0.25">
      <c r="A492" s="1" t="str">
        <f>'Population Definitions'!$A$2</f>
        <v>PWID_males</v>
      </c>
      <c r="C492" t="s">
        <v>32</v>
      </c>
      <c r="D492" s="3"/>
      <c r="E492" s="3">
        <v>9347.3793460718043</v>
      </c>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row>
    <row r="493" spans="1:55" x14ac:dyDescent="0.25">
      <c r="A493" s="1" t="str">
        <f>'Population Definitions'!$A$3</f>
        <v>PWID_females</v>
      </c>
      <c r="C493" t="s">
        <v>32</v>
      </c>
      <c r="D493" s="3"/>
      <c r="E493" s="3">
        <v>46.971755507898571</v>
      </c>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row>
    <row r="494" spans="1:55" x14ac:dyDescent="0.25">
      <c r="A494" s="1" t="str">
        <f>'Population Definitions'!$A$4</f>
        <v>0-9_males</v>
      </c>
      <c r="C494" t="s">
        <v>32</v>
      </c>
      <c r="D494" s="3"/>
      <c r="E494" s="3">
        <v>0</v>
      </c>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row>
    <row r="495" spans="1:55" x14ac:dyDescent="0.25">
      <c r="A495" s="1" t="str">
        <f>'Population Definitions'!$A$5</f>
        <v>0-9_females</v>
      </c>
      <c r="C495" t="s">
        <v>32</v>
      </c>
      <c r="D495" s="3"/>
      <c r="E495" s="3">
        <v>0</v>
      </c>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row>
    <row r="496" spans="1:55" x14ac:dyDescent="0.25">
      <c r="A496" s="1" t="str">
        <f>'Population Definitions'!$A$6</f>
        <v>10-17_males</v>
      </c>
      <c r="C496" t="s">
        <v>32</v>
      </c>
      <c r="D496" s="3"/>
      <c r="E496" s="3">
        <v>0</v>
      </c>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row>
    <row r="497" spans="1:55" x14ac:dyDescent="0.25">
      <c r="A497" s="1" t="str">
        <f>'Population Definitions'!$A$7</f>
        <v>10-17_females</v>
      </c>
      <c r="C497" t="s">
        <v>32</v>
      </c>
      <c r="D497" s="3"/>
      <c r="E497" s="3">
        <v>0</v>
      </c>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row>
    <row r="498" spans="1:55" x14ac:dyDescent="0.25">
      <c r="A498" s="1" t="str">
        <f>'Population Definitions'!$A$8</f>
        <v>18-64_males</v>
      </c>
      <c r="C498" t="s">
        <v>32</v>
      </c>
      <c r="D498" s="3"/>
      <c r="E498" s="3">
        <v>483931.43917998212</v>
      </c>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row>
    <row r="499" spans="1:55" x14ac:dyDescent="0.25">
      <c r="A499" s="1" t="str">
        <f>'Population Definitions'!$A$9</f>
        <v>18-64_females</v>
      </c>
      <c r="C499" t="s">
        <v>32</v>
      </c>
      <c r="D499" s="3"/>
      <c r="E499" s="3">
        <v>459936.39601431409</v>
      </c>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row>
    <row r="500" spans="1:55" x14ac:dyDescent="0.25">
      <c r="A500" s="1" t="str">
        <f>'Population Definitions'!$A$10</f>
        <v>65+_males</v>
      </c>
      <c r="C500" t="s">
        <v>32</v>
      </c>
      <c r="D500" s="3"/>
      <c r="E500" s="3">
        <v>37891.365741529458</v>
      </c>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row>
    <row r="501" spans="1:55" x14ac:dyDescent="0.25">
      <c r="A501" s="1" t="str">
        <f>'Population Definitions'!$A$11</f>
        <v>65+_females</v>
      </c>
      <c r="C501" t="s">
        <v>32</v>
      </c>
      <c r="D501" s="3"/>
      <c r="E501" s="3">
        <v>33138.277763527658</v>
      </c>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row>
    <row r="502" spans="1:55" x14ac:dyDescent="0.25">
      <c r="A502" s="1" t="str">
        <f>'Population Definitions'!$A$12</f>
        <v>Prisoners_males</v>
      </c>
      <c r="C502" t="s">
        <v>32</v>
      </c>
      <c r="D502" s="3"/>
      <c r="E502" s="3">
        <v>1460.9086582886921</v>
      </c>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row>
    <row r="503" spans="1:55" x14ac:dyDescent="0.25">
      <c r="A503" s="1" t="str">
        <f>'Population Definitions'!$A$13</f>
        <v>Prisoners_females</v>
      </c>
      <c r="C503" t="s">
        <v>32</v>
      </c>
      <c r="D503" s="3"/>
      <c r="E503" s="3">
        <v>11.91670077818155</v>
      </c>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row>
    <row r="505" spans="1:55" x14ac:dyDescent="0.25">
      <c r="A505" s="1" t="s">
        <v>162</v>
      </c>
      <c r="B505" s="1" t="s">
        <v>29</v>
      </c>
      <c r="C505" s="1" t="s">
        <v>30</v>
      </c>
      <c r="D505" s="1" t="s">
        <v>31</v>
      </c>
      <c r="E505" s="1">
        <v>2000</v>
      </c>
      <c r="F505" s="1">
        <v>2001</v>
      </c>
      <c r="G505" s="1">
        <v>2002</v>
      </c>
      <c r="H505" s="1">
        <v>2003</v>
      </c>
      <c r="I505" s="1">
        <v>2004</v>
      </c>
      <c r="J505" s="1">
        <v>2005</v>
      </c>
      <c r="K505" s="1">
        <v>2006</v>
      </c>
      <c r="L505" s="1">
        <v>2007</v>
      </c>
      <c r="M505" s="1">
        <v>2008</v>
      </c>
      <c r="N505" s="1">
        <v>2009</v>
      </c>
      <c r="O505" s="1">
        <v>2010</v>
      </c>
      <c r="P505" s="1">
        <v>2011</v>
      </c>
      <c r="Q505" s="1">
        <v>2012</v>
      </c>
      <c r="R505" s="1">
        <v>2013</v>
      </c>
      <c r="S505" s="1">
        <v>2014</v>
      </c>
      <c r="T505" s="1">
        <v>2015</v>
      </c>
      <c r="U505" s="1">
        <v>2016</v>
      </c>
      <c r="V505" s="1">
        <v>2017</v>
      </c>
      <c r="W505" s="1">
        <v>2018</v>
      </c>
      <c r="X505" s="1">
        <v>2019</v>
      </c>
      <c r="Y505" s="1">
        <v>2020</v>
      </c>
      <c r="Z505" s="1">
        <v>2021</v>
      </c>
      <c r="AA505" s="1">
        <v>2022</v>
      </c>
      <c r="AB505" s="1">
        <v>2023</v>
      </c>
      <c r="AC505" s="1">
        <v>2024</v>
      </c>
      <c r="AD505" s="1">
        <v>2025</v>
      </c>
      <c r="AE505" s="1">
        <v>2026</v>
      </c>
      <c r="AF505" s="1">
        <v>2027</v>
      </c>
      <c r="AG505" s="1">
        <v>2028</v>
      </c>
      <c r="AH505" s="1">
        <v>2029</v>
      </c>
      <c r="AI505" s="1">
        <v>2030</v>
      </c>
      <c r="AJ505" s="1">
        <v>2031</v>
      </c>
      <c r="AK505" s="1">
        <v>2032</v>
      </c>
      <c r="AL505" s="1">
        <v>2033</v>
      </c>
      <c r="AM505" s="1">
        <v>2034</v>
      </c>
      <c r="AN505" s="1">
        <v>2035</v>
      </c>
      <c r="AO505" s="1">
        <v>2036</v>
      </c>
      <c r="AP505" s="1">
        <v>2037</v>
      </c>
      <c r="AQ505" s="1">
        <v>2038</v>
      </c>
      <c r="AR505" s="1">
        <v>2039</v>
      </c>
      <c r="AS505" s="1">
        <v>2040</v>
      </c>
      <c r="AT505" s="1">
        <v>2041</v>
      </c>
      <c r="AU505" s="1">
        <v>2042</v>
      </c>
      <c r="AV505" s="1">
        <v>2043</v>
      </c>
      <c r="AW505" s="1">
        <v>2044</v>
      </c>
      <c r="AX505" s="1">
        <v>2045</v>
      </c>
      <c r="AY505" s="1">
        <v>2046</v>
      </c>
      <c r="AZ505" s="1">
        <v>2047</v>
      </c>
      <c r="BA505" s="1">
        <v>2048</v>
      </c>
      <c r="BB505" s="1">
        <v>2049</v>
      </c>
      <c r="BC505" s="1">
        <v>2050</v>
      </c>
    </row>
    <row r="506" spans="1:55" x14ac:dyDescent="0.25">
      <c r="A506" s="1" t="str">
        <f>'Population Definitions'!$A$2</f>
        <v>PWID_males</v>
      </c>
      <c r="C506" t="s">
        <v>32</v>
      </c>
      <c r="D506" s="3"/>
      <c r="E506" s="3">
        <v>2670.6798131633732</v>
      </c>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row>
    <row r="507" spans="1:55" x14ac:dyDescent="0.25">
      <c r="A507" s="1" t="str">
        <f>'Population Definitions'!$A$3</f>
        <v>PWID_females</v>
      </c>
      <c r="C507" t="s">
        <v>32</v>
      </c>
      <c r="D507" s="3"/>
      <c r="E507" s="3">
        <v>13.420501573685311</v>
      </c>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row>
    <row r="508" spans="1:55" x14ac:dyDescent="0.25">
      <c r="A508" s="1" t="str">
        <f>'Population Definitions'!$A$4</f>
        <v>0-9_males</v>
      </c>
      <c r="C508" t="s">
        <v>32</v>
      </c>
      <c r="D508" s="3"/>
      <c r="E508" s="3">
        <v>0</v>
      </c>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row>
    <row r="509" spans="1:55" x14ac:dyDescent="0.25">
      <c r="A509" s="1" t="str">
        <f>'Population Definitions'!$A$5</f>
        <v>0-9_females</v>
      </c>
      <c r="C509" t="s">
        <v>32</v>
      </c>
      <c r="D509" s="3"/>
      <c r="E509" s="3">
        <v>0</v>
      </c>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row>
    <row r="510" spans="1:55" x14ac:dyDescent="0.25">
      <c r="A510" s="1" t="str">
        <f>'Population Definitions'!$A$6</f>
        <v>10-17_males</v>
      </c>
      <c r="C510" t="s">
        <v>32</v>
      </c>
      <c r="D510" s="3"/>
      <c r="E510" s="3">
        <v>0</v>
      </c>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row>
    <row r="511" spans="1:55" x14ac:dyDescent="0.25">
      <c r="A511" s="1" t="str">
        <f>'Population Definitions'!$A$7</f>
        <v>10-17_females</v>
      </c>
      <c r="C511" t="s">
        <v>32</v>
      </c>
      <c r="D511" s="3"/>
      <c r="E511" s="3">
        <v>0</v>
      </c>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row>
    <row r="512" spans="1:55" x14ac:dyDescent="0.25">
      <c r="A512" s="1" t="str">
        <f>'Population Definitions'!$A$8</f>
        <v>18-64_males</v>
      </c>
      <c r="C512" t="s">
        <v>32</v>
      </c>
      <c r="D512" s="3"/>
      <c r="E512" s="3">
        <v>138266.12547999489</v>
      </c>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row>
    <row r="513" spans="1:55" x14ac:dyDescent="0.25">
      <c r="A513" s="1" t="str">
        <f>'Population Definitions'!$A$9</f>
        <v>18-64_females</v>
      </c>
      <c r="C513" t="s">
        <v>32</v>
      </c>
      <c r="D513" s="3"/>
      <c r="E513" s="3">
        <v>131410.39886123259</v>
      </c>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row>
    <row r="514" spans="1:55" x14ac:dyDescent="0.25">
      <c r="A514" s="1" t="str">
        <f>'Population Definitions'!$A$10</f>
        <v>65+_males</v>
      </c>
      <c r="C514" t="s">
        <v>32</v>
      </c>
      <c r="D514" s="3"/>
      <c r="E514" s="3">
        <v>10826.10449757984</v>
      </c>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row>
    <row r="515" spans="1:55" x14ac:dyDescent="0.25">
      <c r="A515" s="1" t="str">
        <f>'Population Definitions'!$A$11</f>
        <v>65+_females</v>
      </c>
      <c r="C515" t="s">
        <v>32</v>
      </c>
      <c r="D515" s="3"/>
      <c r="E515" s="3">
        <v>9468.0793610079036</v>
      </c>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row>
    <row r="516" spans="1:55" x14ac:dyDescent="0.25">
      <c r="A516" s="1" t="str">
        <f>'Population Definitions'!$A$12</f>
        <v>Prisoners_males</v>
      </c>
      <c r="C516" t="s">
        <v>32</v>
      </c>
      <c r="D516" s="3"/>
      <c r="E516" s="3">
        <v>417.40247379676907</v>
      </c>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row>
    <row r="517" spans="1:55" x14ac:dyDescent="0.25">
      <c r="A517" s="1" t="str">
        <f>'Population Definitions'!$A$13</f>
        <v>Prisoners_females</v>
      </c>
      <c r="C517" t="s">
        <v>32</v>
      </c>
      <c r="D517" s="3"/>
      <c r="E517" s="3">
        <v>3.404771650909014</v>
      </c>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row>
    <row r="519" spans="1:55" x14ac:dyDescent="0.25">
      <c r="A519" s="1" t="s">
        <v>163</v>
      </c>
      <c r="B519" s="1" t="s">
        <v>29</v>
      </c>
      <c r="C519" s="1" t="s">
        <v>30</v>
      </c>
      <c r="D519" s="1" t="s">
        <v>31</v>
      </c>
      <c r="E519" s="1">
        <v>2000</v>
      </c>
      <c r="F519" s="1">
        <v>2001</v>
      </c>
      <c r="G519" s="1">
        <v>2002</v>
      </c>
      <c r="H519" s="1">
        <v>2003</v>
      </c>
      <c r="I519" s="1">
        <v>2004</v>
      </c>
      <c r="J519" s="1">
        <v>2005</v>
      </c>
      <c r="K519" s="1">
        <v>2006</v>
      </c>
      <c r="L519" s="1">
        <v>2007</v>
      </c>
      <c r="M519" s="1">
        <v>2008</v>
      </c>
      <c r="N519" s="1">
        <v>2009</v>
      </c>
      <c r="O519" s="1">
        <v>2010</v>
      </c>
      <c r="P519" s="1">
        <v>2011</v>
      </c>
      <c r="Q519" s="1">
        <v>2012</v>
      </c>
      <c r="R519" s="1">
        <v>2013</v>
      </c>
      <c r="S519" s="1">
        <v>2014</v>
      </c>
      <c r="T519" s="1">
        <v>2015</v>
      </c>
      <c r="U519" s="1">
        <v>2016</v>
      </c>
      <c r="V519" s="1">
        <v>2017</v>
      </c>
      <c r="W519" s="1">
        <v>2018</v>
      </c>
      <c r="X519" s="1">
        <v>2019</v>
      </c>
      <c r="Y519" s="1">
        <v>2020</v>
      </c>
      <c r="Z519" s="1">
        <v>2021</v>
      </c>
      <c r="AA519" s="1">
        <v>2022</v>
      </c>
      <c r="AB519" s="1">
        <v>2023</v>
      </c>
      <c r="AC519" s="1">
        <v>2024</v>
      </c>
      <c r="AD519" s="1">
        <v>2025</v>
      </c>
      <c r="AE519" s="1">
        <v>2026</v>
      </c>
      <c r="AF519" s="1">
        <v>2027</v>
      </c>
      <c r="AG519" s="1">
        <v>2028</v>
      </c>
      <c r="AH519" s="1">
        <v>2029</v>
      </c>
      <c r="AI519" s="1">
        <v>2030</v>
      </c>
      <c r="AJ519" s="1">
        <v>2031</v>
      </c>
      <c r="AK519" s="1">
        <v>2032</v>
      </c>
      <c r="AL519" s="1">
        <v>2033</v>
      </c>
      <c r="AM519" s="1">
        <v>2034</v>
      </c>
      <c r="AN519" s="1">
        <v>2035</v>
      </c>
      <c r="AO519" s="1">
        <v>2036</v>
      </c>
      <c r="AP519" s="1">
        <v>2037</v>
      </c>
      <c r="AQ519" s="1">
        <v>2038</v>
      </c>
      <c r="AR519" s="1">
        <v>2039</v>
      </c>
      <c r="AS519" s="1">
        <v>2040</v>
      </c>
      <c r="AT519" s="1">
        <v>2041</v>
      </c>
      <c r="AU519" s="1">
        <v>2042</v>
      </c>
      <c r="AV519" s="1">
        <v>2043</v>
      </c>
      <c r="AW519" s="1">
        <v>2044</v>
      </c>
      <c r="AX519" s="1">
        <v>2045</v>
      </c>
      <c r="AY519" s="1">
        <v>2046</v>
      </c>
      <c r="AZ519" s="1">
        <v>2047</v>
      </c>
      <c r="BA519" s="1">
        <v>2048</v>
      </c>
      <c r="BB519" s="1">
        <v>2049</v>
      </c>
      <c r="BC519" s="1">
        <v>2050</v>
      </c>
    </row>
    <row r="520" spans="1:55" x14ac:dyDescent="0.25">
      <c r="A520" s="1" t="str">
        <f>'Population Definitions'!$A$2</f>
        <v>PWID_males</v>
      </c>
      <c r="C520" t="s">
        <v>32</v>
      </c>
      <c r="D520" s="3"/>
      <c r="E520" s="3">
        <v>1780.453208775582</v>
      </c>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row>
    <row r="521" spans="1:55" x14ac:dyDescent="0.25">
      <c r="A521" s="1" t="str">
        <f>'Population Definitions'!$A$3</f>
        <v>PWID_females</v>
      </c>
      <c r="C521" t="s">
        <v>32</v>
      </c>
      <c r="D521" s="3"/>
      <c r="E521" s="3">
        <v>8.9470010491235374</v>
      </c>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row>
    <row r="522" spans="1:55" x14ac:dyDescent="0.25">
      <c r="A522" s="1" t="str">
        <f>'Population Definitions'!$A$4</f>
        <v>0-9_males</v>
      </c>
      <c r="C522" t="s">
        <v>32</v>
      </c>
      <c r="D522" s="3"/>
      <c r="E522" s="3">
        <v>0</v>
      </c>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row>
    <row r="523" spans="1:55" x14ac:dyDescent="0.25">
      <c r="A523" s="1" t="str">
        <f>'Population Definitions'!$A$5</f>
        <v>0-9_females</v>
      </c>
      <c r="C523" t="s">
        <v>32</v>
      </c>
      <c r="D523" s="3"/>
      <c r="E523" s="3">
        <v>0</v>
      </c>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row>
    <row r="524" spans="1:55" x14ac:dyDescent="0.25">
      <c r="A524" s="1" t="str">
        <f>'Population Definitions'!$A$6</f>
        <v>10-17_males</v>
      </c>
      <c r="C524" t="s">
        <v>32</v>
      </c>
      <c r="D524" s="3"/>
      <c r="E524" s="3">
        <v>0</v>
      </c>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row>
    <row r="525" spans="1:55" x14ac:dyDescent="0.25">
      <c r="A525" s="1" t="str">
        <f>'Population Definitions'!$A$7</f>
        <v>10-17_females</v>
      </c>
      <c r="C525" t="s">
        <v>32</v>
      </c>
      <c r="D525" s="3"/>
      <c r="E525" s="3">
        <v>0</v>
      </c>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row>
    <row r="526" spans="1:55" x14ac:dyDescent="0.25">
      <c r="A526" s="1" t="str">
        <f>'Population Definitions'!$A$8</f>
        <v>18-64_males</v>
      </c>
      <c r="C526" t="s">
        <v>32</v>
      </c>
      <c r="D526" s="3"/>
      <c r="E526" s="3">
        <v>92177.416986663244</v>
      </c>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row>
    <row r="527" spans="1:55" x14ac:dyDescent="0.25">
      <c r="A527" s="1" t="str">
        <f>'Population Definitions'!$A$9</f>
        <v>18-64_females</v>
      </c>
      <c r="C527" t="s">
        <v>32</v>
      </c>
      <c r="D527" s="3"/>
      <c r="E527" s="3">
        <v>87606.932574155071</v>
      </c>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row>
    <row r="528" spans="1:55" x14ac:dyDescent="0.25">
      <c r="A528" s="1" t="str">
        <f>'Population Definitions'!$A$10</f>
        <v>65+_males</v>
      </c>
      <c r="C528" t="s">
        <v>32</v>
      </c>
      <c r="D528" s="3"/>
      <c r="E528" s="3">
        <v>7217.402998386563</v>
      </c>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row>
    <row r="529" spans="1:55" x14ac:dyDescent="0.25">
      <c r="A529" s="1" t="str">
        <f>'Population Definitions'!$A$11</f>
        <v>65+_females</v>
      </c>
      <c r="C529" t="s">
        <v>32</v>
      </c>
      <c r="D529" s="3"/>
      <c r="E529" s="3">
        <v>6312.0529073386024</v>
      </c>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row>
    <row r="530" spans="1:55" x14ac:dyDescent="0.25">
      <c r="A530" s="1" t="str">
        <f>'Population Definitions'!$A$12</f>
        <v>Prisoners_males</v>
      </c>
      <c r="C530" t="s">
        <v>32</v>
      </c>
      <c r="D530" s="3"/>
      <c r="E530" s="3">
        <v>278.26831586451277</v>
      </c>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row>
    <row r="531" spans="1:55" x14ac:dyDescent="0.25">
      <c r="A531" s="1" t="str">
        <f>'Population Definitions'!$A$13</f>
        <v>Prisoners_females</v>
      </c>
      <c r="C531" t="s">
        <v>32</v>
      </c>
      <c r="D531" s="3"/>
      <c r="E531" s="3">
        <v>2.269847767272676</v>
      </c>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row>
    <row r="533" spans="1:55" x14ac:dyDescent="0.25">
      <c r="A533" s="1" t="s">
        <v>164</v>
      </c>
      <c r="B533" s="1" t="s">
        <v>29</v>
      </c>
      <c r="C533" s="1" t="s">
        <v>30</v>
      </c>
      <c r="D533" s="1" t="s">
        <v>31</v>
      </c>
      <c r="E533" s="1">
        <v>2000</v>
      </c>
      <c r="F533" s="1">
        <v>2001</v>
      </c>
      <c r="G533" s="1">
        <v>2002</v>
      </c>
      <c r="H533" s="1">
        <v>2003</v>
      </c>
      <c r="I533" s="1">
        <v>2004</v>
      </c>
      <c r="J533" s="1">
        <v>2005</v>
      </c>
      <c r="K533" s="1">
        <v>2006</v>
      </c>
      <c r="L533" s="1">
        <v>2007</v>
      </c>
      <c r="M533" s="1">
        <v>2008</v>
      </c>
      <c r="N533" s="1">
        <v>2009</v>
      </c>
      <c r="O533" s="1">
        <v>2010</v>
      </c>
      <c r="P533" s="1">
        <v>2011</v>
      </c>
      <c r="Q533" s="1">
        <v>2012</v>
      </c>
      <c r="R533" s="1">
        <v>2013</v>
      </c>
      <c r="S533" s="1">
        <v>2014</v>
      </c>
      <c r="T533" s="1">
        <v>2015</v>
      </c>
      <c r="U533" s="1">
        <v>2016</v>
      </c>
      <c r="V533" s="1">
        <v>2017</v>
      </c>
      <c r="W533" s="1">
        <v>2018</v>
      </c>
      <c r="X533" s="1">
        <v>2019</v>
      </c>
      <c r="Y533" s="1">
        <v>2020</v>
      </c>
      <c r="Z533" s="1">
        <v>2021</v>
      </c>
      <c r="AA533" s="1">
        <v>2022</v>
      </c>
      <c r="AB533" s="1">
        <v>2023</v>
      </c>
      <c r="AC533" s="1">
        <v>2024</v>
      </c>
      <c r="AD533" s="1">
        <v>2025</v>
      </c>
      <c r="AE533" s="1">
        <v>2026</v>
      </c>
      <c r="AF533" s="1">
        <v>2027</v>
      </c>
      <c r="AG533" s="1">
        <v>2028</v>
      </c>
      <c r="AH533" s="1">
        <v>2029</v>
      </c>
      <c r="AI533" s="1">
        <v>2030</v>
      </c>
      <c r="AJ533" s="1">
        <v>2031</v>
      </c>
      <c r="AK533" s="1">
        <v>2032</v>
      </c>
      <c r="AL533" s="1">
        <v>2033</v>
      </c>
      <c r="AM533" s="1">
        <v>2034</v>
      </c>
      <c r="AN533" s="1">
        <v>2035</v>
      </c>
      <c r="AO533" s="1">
        <v>2036</v>
      </c>
      <c r="AP533" s="1">
        <v>2037</v>
      </c>
      <c r="AQ533" s="1">
        <v>2038</v>
      </c>
      <c r="AR533" s="1">
        <v>2039</v>
      </c>
      <c r="AS533" s="1">
        <v>2040</v>
      </c>
      <c r="AT533" s="1">
        <v>2041</v>
      </c>
      <c r="AU533" s="1">
        <v>2042</v>
      </c>
      <c r="AV533" s="1">
        <v>2043</v>
      </c>
      <c r="AW533" s="1">
        <v>2044</v>
      </c>
      <c r="AX533" s="1">
        <v>2045</v>
      </c>
      <c r="AY533" s="1">
        <v>2046</v>
      </c>
      <c r="AZ533" s="1">
        <v>2047</v>
      </c>
      <c r="BA533" s="1">
        <v>2048</v>
      </c>
      <c r="BB533" s="1">
        <v>2049</v>
      </c>
      <c r="BC533" s="1">
        <v>2050</v>
      </c>
    </row>
    <row r="534" spans="1:55" x14ac:dyDescent="0.25">
      <c r="A534" s="1" t="str">
        <f>'Population Definitions'!$A$2</f>
        <v>PWID_males</v>
      </c>
      <c r="C534" t="s">
        <v>32</v>
      </c>
      <c r="D534" s="3"/>
      <c r="E534" s="3">
        <v>400.60197197450589</v>
      </c>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row>
    <row r="535" spans="1:55" x14ac:dyDescent="0.25">
      <c r="A535" s="1" t="str">
        <f>'Population Definitions'!$A$3</f>
        <v>PWID_females</v>
      </c>
      <c r="C535" t="s">
        <v>32</v>
      </c>
      <c r="D535" s="3"/>
      <c r="E535" s="3">
        <v>2.0130752360527961</v>
      </c>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row>
    <row r="536" spans="1:55" x14ac:dyDescent="0.25">
      <c r="A536" s="1" t="str">
        <f>'Population Definitions'!$A$4</f>
        <v>0-9_males</v>
      </c>
      <c r="C536" t="s">
        <v>32</v>
      </c>
      <c r="D536" s="3"/>
      <c r="E536" s="3">
        <v>0</v>
      </c>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row>
    <row r="537" spans="1:55" x14ac:dyDescent="0.25">
      <c r="A537" s="1" t="str">
        <f>'Population Definitions'!$A$5</f>
        <v>0-9_females</v>
      </c>
      <c r="C537" t="s">
        <v>32</v>
      </c>
      <c r="D537" s="3"/>
      <c r="E537" s="3">
        <v>0</v>
      </c>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row>
    <row r="538" spans="1:55" x14ac:dyDescent="0.25">
      <c r="A538" s="1" t="str">
        <f>'Population Definitions'!$A$6</f>
        <v>10-17_males</v>
      </c>
      <c r="C538" t="s">
        <v>32</v>
      </c>
      <c r="D538" s="3"/>
      <c r="E538" s="3">
        <v>0</v>
      </c>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row>
    <row r="539" spans="1:55" x14ac:dyDescent="0.25">
      <c r="A539" s="1" t="str">
        <f>'Population Definitions'!$A$7</f>
        <v>10-17_females</v>
      </c>
      <c r="C539" t="s">
        <v>32</v>
      </c>
      <c r="D539" s="3"/>
      <c r="E539" s="3">
        <v>0</v>
      </c>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row>
    <row r="540" spans="1:55" x14ac:dyDescent="0.25">
      <c r="A540" s="1" t="str">
        <f>'Population Definitions'!$A$8</f>
        <v>18-64_males</v>
      </c>
      <c r="C540" t="s">
        <v>32</v>
      </c>
      <c r="D540" s="3"/>
      <c r="E540" s="3">
        <v>20739.918821999228</v>
      </c>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row>
    <row r="541" spans="1:55" x14ac:dyDescent="0.25">
      <c r="A541" s="1" t="str">
        <f>'Population Definitions'!$A$9</f>
        <v>18-64_females</v>
      </c>
      <c r="C541" t="s">
        <v>32</v>
      </c>
      <c r="D541" s="3"/>
      <c r="E541" s="3">
        <v>19711.559829184891</v>
      </c>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row>
    <row r="542" spans="1:55" x14ac:dyDescent="0.25">
      <c r="A542" s="1" t="str">
        <f>'Population Definitions'!$A$10</f>
        <v>65+_males</v>
      </c>
      <c r="C542" t="s">
        <v>32</v>
      </c>
      <c r="D542" s="3"/>
      <c r="E542" s="3">
        <v>1623.915674636977</v>
      </c>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row>
    <row r="543" spans="1:55" x14ac:dyDescent="0.25">
      <c r="A543" s="1" t="str">
        <f>'Population Definitions'!$A$11</f>
        <v>65+_females</v>
      </c>
      <c r="C543" t="s">
        <v>32</v>
      </c>
      <c r="D543" s="3"/>
      <c r="E543" s="3">
        <v>1420.2119041511851</v>
      </c>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row>
    <row r="544" spans="1:55" x14ac:dyDescent="0.25">
      <c r="A544" s="1" t="str">
        <f>'Population Definitions'!$A$12</f>
        <v>Prisoners_males</v>
      </c>
      <c r="C544" t="s">
        <v>32</v>
      </c>
      <c r="D544" s="3"/>
      <c r="E544" s="3">
        <v>62.610371069515367</v>
      </c>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row>
    <row r="545" spans="1:55" x14ac:dyDescent="0.25">
      <c r="A545" s="1" t="str">
        <f>'Population Definitions'!$A$13</f>
        <v>Prisoners_females</v>
      </c>
      <c r="C545" t="s">
        <v>32</v>
      </c>
      <c r="D545" s="3"/>
      <c r="E545" s="3">
        <v>0.51071574763635208</v>
      </c>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row>
    <row r="547" spans="1:55" x14ac:dyDescent="0.25">
      <c r="A547" s="1" t="s">
        <v>165</v>
      </c>
      <c r="B547" s="1" t="s">
        <v>29</v>
      </c>
      <c r="C547" s="1" t="s">
        <v>30</v>
      </c>
      <c r="D547" s="1" t="s">
        <v>31</v>
      </c>
      <c r="E547" s="1">
        <v>2000</v>
      </c>
      <c r="F547" s="1">
        <v>2001</v>
      </c>
      <c r="G547" s="1">
        <v>2002</v>
      </c>
      <c r="H547" s="1">
        <v>2003</v>
      </c>
      <c r="I547" s="1">
        <v>2004</v>
      </c>
      <c r="J547" s="1">
        <v>2005</v>
      </c>
      <c r="K547" s="1">
        <v>2006</v>
      </c>
      <c r="L547" s="1">
        <v>2007</v>
      </c>
      <c r="M547" s="1">
        <v>2008</v>
      </c>
      <c r="N547" s="1">
        <v>2009</v>
      </c>
      <c r="O547" s="1">
        <v>2010</v>
      </c>
      <c r="P547" s="1">
        <v>2011</v>
      </c>
      <c r="Q547" s="1">
        <v>2012</v>
      </c>
      <c r="R547" s="1">
        <v>2013</v>
      </c>
      <c r="S547" s="1">
        <v>2014</v>
      </c>
      <c r="T547" s="1">
        <v>2015</v>
      </c>
      <c r="U547" s="1">
        <v>2016</v>
      </c>
      <c r="V547" s="1">
        <v>2017</v>
      </c>
      <c r="W547" s="1">
        <v>2018</v>
      </c>
      <c r="X547" s="1">
        <v>2019</v>
      </c>
      <c r="Y547" s="1">
        <v>2020</v>
      </c>
      <c r="Z547" s="1">
        <v>2021</v>
      </c>
      <c r="AA547" s="1">
        <v>2022</v>
      </c>
      <c r="AB547" s="1">
        <v>2023</v>
      </c>
      <c r="AC547" s="1">
        <v>2024</v>
      </c>
      <c r="AD547" s="1">
        <v>2025</v>
      </c>
      <c r="AE547" s="1">
        <v>2026</v>
      </c>
      <c r="AF547" s="1">
        <v>2027</v>
      </c>
      <c r="AG547" s="1">
        <v>2028</v>
      </c>
      <c r="AH547" s="1">
        <v>2029</v>
      </c>
      <c r="AI547" s="1">
        <v>2030</v>
      </c>
      <c r="AJ547" s="1">
        <v>2031</v>
      </c>
      <c r="AK547" s="1">
        <v>2032</v>
      </c>
      <c r="AL547" s="1">
        <v>2033</v>
      </c>
      <c r="AM547" s="1">
        <v>2034</v>
      </c>
      <c r="AN547" s="1">
        <v>2035</v>
      </c>
      <c r="AO547" s="1">
        <v>2036</v>
      </c>
      <c r="AP547" s="1">
        <v>2037</v>
      </c>
      <c r="AQ547" s="1">
        <v>2038</v>
      </c>
      <c r="AR547" s="1">
        <v>2039</v>
      </c>
      <c r="AS547" s="1">
        <v>2040</v>
      </c>
      <c r="AT547" s="1">
        <v>2041</v>
      </c>
      <c r="AU547" s="1">
        <v>2042</v>
      </c>
      <c r="AV547" s="1">
        <v>2043</v>
      </c>
      <c r="AW547" s="1">
        <v>2044</v>
      </c>
      <c r="AX547" s="1">
        <v>2045</v>
      </c>
      <c r="AY547" s="1">
        <v>2046</v>
      </c>
      <c r="AZ547" s="1">
        <v>2047</v>
      </c>
      <c r="BA547" s="1">
        <v>2048</v>
      </c>
      <c r="BB547" s="1">
        <v>2049</v>
      </c>
      <c r="BC547" s="1">
        <v>2050</v>
      </c>
    </row>
    <row r="548" spans="1:55" x14ac:dyDescent="0.25">
      <c r="A548" s="1" t="str">
        <f>'Population Definitions'!$A$2</f>
        <v>PWID_males</v>
      </c>
      <c r="C548" t="s">
        <v>32</v>
      </c>
      <c r="D548" s="3"/>
      <c r="E548" s="3">
        <v>44.511330219394523</v>
      </c>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row>
    <row r="549" spans="1:55" x14ac:dyDescent="0.25">
      <c r="A549" s="1" t="str">
        <f>'Population Definitions'!$A$3</f>
        <v>PWID_females</v>
      </c>
      <c r="C549" t="s">
        <v>32</v>
      </c>
      <c r="D549" s="3"/>
      <c r="E549" s="3">
        <v>0.2236750262281135</v>
      </c>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row>
    <row r="550" spans="1:55" x14ac:dyDescent="0.25">
      <c r="A550" s="1" t="str">
        <f>'Population Definitions'!$A$4</f>
        <v>0-9_males</v>
      </c>
      <c r="C550" t="s">
        <v>32</v>
      </c>
      <c r="D550" s="3"/>
      <c r="E550" s="3">
        <v>0</v>
      </c>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c r="AV550" s="3"/>
      <c r="AW550" s="3"/>
      <c r="AX550" s="3"/>
      <c r="AY550" s="3"/>
      <c r="AZ550" s="3"/>
      <c r="BA550" s="3"/>
      <c r="BB550" s="3"/>
      <c r="BC550" s="3"/>
    </row>
    <row r="551" spans="1:55" x14ac:dyDescent="0.25">
      <c r="A551" s="1" t="str">
        <f>'Population Definitions'!$A$5</f>
        <v>0-9_females</v>
      </c>
      <c r="C551" t="s">
        <v>32</v>
      </c>
      <c r="D551" s="3"/>
      <c r="E551" s="3">
        <v>0</v>
      </c>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c r="AV551" s="3"/>
      <c r="AW551" s="3"/>
      <c r="AX551" s="3"/>
      <c r="AY551" s="3"/>
      <c r="AZ551" s="3"/>
      <c r="BA551" s="3"/>
      <c r="BB551" s="3"/>
      <c r="BC551" s="3"/>
    </row>
    <row r="552" spans="1:55" x14ac:dyDescent="0.25">
      <c r="A552" s="1" t="str">
        <f>'Population Definitions'!$A$6</f>
        <v>10-17_males</v>
      </c>
      <c r="C552" t="s">
        <v>32</v>
      </c>
      <c r="D552" s="3"/>
      <c r="E552" s="3">
        <v>0</v>
      </c>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c r="AV552" s="3"/>
      <c r="AW552" s="3"/>
      <c r="AX552" s="3"/>
      <c r="AY552" s="3"/>
      <c r="AZ552" s="3"/>
      <c r="BA552" s="3"/>
      <c r="BB552" s="3"/>
      <c r="BC552" s="3"/>
    </row>
    <row r="553" spans="1:55" x14ac:dyDescent="0.25">
      <c r="A553" s="1" t="str">
        <f>'Population Definitions'!$A$7</f>
        <v>10-17_females</v>
      </c>
      <c r="C553" t="s">
        <v>32</v>
      </c>
      <c r="D553" s="3"/>
      <c r="E553" s="3">
        <v>0</v>
      </c>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c r="AV553" s="3"/>
      <c r="AW553" s="3"/>
      <c r="AX553" s="3"/>
      <c r="AY553" s="3"/>
      <c r="AZ553" s="3"/>
      <c r="BA553" s="3"/>
      <c r="BB553" s="3"/>
      <c r="BC553" s="3"/>
    </row>
    <row r="554" spans="1:55" x14ac:dyDescent="0.25">
      <c r="A554" s="1" t="str">
        <f>'Population Definitions'!$A$8</f>
        <v>18-64_males</v>
      </c>
      <c r="C554" t="s">
        <v>32</v>
      </c>
      <c r="D554" s="3"/>
      <c r="E554" s="3">
        <v>2304.435424666839</v>
      </c>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c r="AV554" s="3"/>
      <c r="AW554" s="3"/>
      <c r="AX554" s="3"/>
      <c r="AY554" s="3"/>
      <c r="AZ554" s="3"/>
      <c r="BA554" s="3"/>
      <c r="BB554" s="3"/>
      <c r="BC554" s="3"/>
    </row>
    <row r="555" spans="1:55" x14ac:dyDescent="0.25">
      <c r="A555" s="1" t="str">
        <f>'Population Definitions'!$A$9</f>
        <v>18-64_females</v>
      </c>
      <c r="C555" t="s">
        <v>32</v>
      </c>
      <c r="D555" s="3"/>
      <c r="E555" s="3">
        <v>2190.1733143541219</v>
      </c>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c r="AV555" s="3"/>
      <c r="AW555" s="3"/>
      <c r="AX555" s="3"/>
      <c r="AY555" s="3"/>
      <c r="AZ555" s="3"/>
      <c r="BA555" s="3"/>
      <c r="BB555" s="3"/>
      <c r="BC555" s="3"/>
    </row>
    <row r="556" spans="1:55" x14ac:dyDescent="0.25">
      <c r="A556" s="1" t="str">
        <f>'Population Definitions'!$A$10</f>
        <v>65+_males</v>
      </c>
      <c r="C556" t="s">
        <v>32</v>
      </c>
      <c r="D556" s="3"/>
      <c r="E556" s="3">
        <v>180.4350749596843</v>
      </c>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c r="AV556" s="3"/>
      <c r="AW556" s="3"/>
      <c r="AX556" s="3"/>
      <c r="AY556" s="3"/>
      <c r="AZ556" s="3"/>
      <c r="BA556" s="3"/>
      <c r="BB556" s="3"/>
      <c r="BC556" s="3"/>
    </row>
    <row r="557" spans="1:55" x14ac:dyDescent="0.25">
      <c r="A557" s="1" t="str">
        <f>'Population Definitions'!$A$11</f>
        <v>65+_females</v>
      </c>
      <c r="C557" t="s">
        <v>32</v>
      </c>
      <c r="D557" s="3"/>
      <c r="E557" s="3">
        <v>157.80132268348271</v>
      </c>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c r="AW557" s="3"/>
      <c r="AX557" s="3"/>
      <c r="AY557" s="3"/>
      <c r="AZ557" s="3"/>
      <c r="BA557" s="3"/>
      <c r="BB557" s="3"/>
      <c r="BC557" s="3"/>
    </row>
    <row r="558" spans="1:55" x14ac:dyDescent="0.25">
      <c r="A558" s="1" t="str">
        <f>'Population Definitions'!$A$12</f>
        <v>Prisoners_males</v>
      </c>
      <c r="C558" t="s">
        <v>32</v>
      </c>
      <c r="D558" s="3"/>
      <c r="E558" s="3">
        <v>6.9567078966135973</v>
      </c>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c r="AV558" s="3"/>
      <c r="AW558" s="3"/>
      <c r="AX558" s="3"/>
      <c r="AY558" s="3"/>
      <c r="AZ558" s="3"/>
      <c r="BA558" s="3"/>
      <c r="BB558" s="3"/>
      <c r="BC558" s="3"/>
    </row>
    <row r="559" spans="1:55" x14ac:dyDescent="0.25">
      <c r="A559" s="1" t="str">
        <f>'Population Definitions'!$A$13</f>
        <v>Prisoners_females</v>
      </c>
      <c r="C559" t="s">
        <v>32</v>
      </c>
      <c r="D559" s="3"/>
      <c r="E559" s="3">
        <v>5.6746194181823258E-2</v>
      </c>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c r="AV559" s="3"/>
      <c r="AW559" s="3"/>
      <c r="AX559" s="3"/>
      <c r="AY559" s="3"/>
      <c r="AZ559" s="3"/>
      <c r="BA559" s="3"/>
      <c r="BB559" s="3"/>
      <c r="BC559" s="3"/>
    </row>
    <row r="561" spans="1:57" x14ac:dyDescent="0.25">
      <c r="A561" s="1" t="s">
        <v>166</v>
      </c>
      <c r="B561" s="1" t="s">
        <v>29</v>
      </c>
      <c r="C561" s="1" t="s">
        <v>30</v>
      </c>
      <c r="D561" s="1" t="s">
        <v>31</v>
      </c>
      <c r="E561" s="1" t="s">
        <v>36</v>
      </c>
      <c r="F561" s="1"/>
      <c r="G561" s="1">
        <v>2000</v>
      </c>
      <c r="H561" s="1">
        <v>2001</v>
      </c>
      <c r="I561" s="1">
        <v>2002</v>
      </c>
      <c r="J561" s="1">
        <v>2003</v>
      </c>
      <c r="K561" s="1">
        <v>2004</v>
      </c>
      <c r="L561" s="1">
        <v>2005</v>
      </c>
      <c r="M561" s="1">
        <v>2006</v>
      </c>
      <c r="N561" s="1">
        <v>2007</v>
      </c>
      <c r="O561" s="1">
        <v>2008</v>
      </c>
      <c r="P561" s="1">
        <v>2009</v>
      </c>
      <c r="Q561" s="1">
        <v>2010</v>
      </c>
      <c r="R561" s="1">
        <v>2011</v>
      </c>
      <c r="S561" s="1">
        <v>2012</v>
      </c>
      <c r="T561" s="1">
        <v>2013</v>
      </c>
      <c r="U561" s="1">
        <v>2014</v>
      </c>
      <c r="V561" s="1">
        <v>2015</v>
      </c>
      <c r="W561" s="1">
        <v>2016</v>
      </c>
      <c r="X561" s="1">
        <v>2017</v>
      </c>
      <c r="Y561" s="1">
        <v>2018</v>
      </c>
      <c r="Z561" s="1">
        <v>2019</v>
      </c>
      <c r="AA561" s="1">
        <v>2020</v>
      </c>
      <c r="AB561" s="1">
        <v>2021</v>
      </c>
      <c r="AC561" s="1">
        <v>2022</v>
      </c>
      <c r="AD561" s="1">
        <v>2023</v>
      </c>
      <c r="AE561" s="1">
        <v>2024</v>
      </c>
      <c r="AF561" s="1">
        <v>2025</v>
      </c>
      <c r="AG561" s="1">
        <v>2026</v>
      </c>
      <c r="AH561" s="1">
        <v>2027</v>
      </c>
      <c r="AI561" s="1">
        <v>2028</v>
      </c>
      <c r="AJ561" s="1">
        <v>2029</v>
      </c>
      <c r="AK561" s="1">
        <v>2030</v>
      </c>
      <c r="AL561" s="1">
        <v>2031</v>
      </c>
      <c r="AM561" s="1">
        <v>2032</v>
      </c>
      <c r="AN561" s="1">
        <v>2033</v>
      </c>
      <c r="AO561" s="1">
        <v>2034</v>
      </c>
      <c r="AP561" s="1">
        <v>2035</v>
      </c>
      <c r="AQ561" s="1">
        <v>2036</v>
      </c>
      <c r="AR561" s="1">
        <v>2037</v>
      </c>
      <c r="AS561" s="1">
        <v>2038</v>
      </c>
      <c r="AT561" s="1">
        <v>2039</v>
      </c>
      <c r="AU561" s="1">
        <v>2040</v>
      </c>
      <c r="AV561" s="1">
        <v>2041</v>
      </c>
      <c r="AW561" s="1">
        <v>2042</v>
      </c>
      <c r="AX561" s="1">
        <v>2043</v>
      </c>
      <c r="AY561" s="1">
        <v>2044</v>
      </c>
      <c r="AZ561" s="1">
        <v>2045</v>
      </c>
      <c r="BA561" s="1">
        <v>2046</v>
      </c>
      <c r="BB561" s="1">
        <v>2047</v>
      </c>
      <c r="BC561" s="1">
        <v>2048</v>
      </c>
      <c r="BD561" s="1">
        <v>2049</v>
      </c>
      <c r="BE561" s="1">
        <v>2050</v>
      </c>
    </row>
    <row r="562" spans="1:57" x14ac:dyDescent="0.25">
      <c r="A562" s="1" t="str">
        <f>'Population Definitions'!$A$2</f>
        <v>PWID_males</v>
      </c>
      <c r="C562" t="s">
        <v>32</v>
      </c>
      <c r="D562" s="3"/>
      <c r="E562" s="3">
        <v>0</v>
      </c>
      <c r="F562" s="4" t="s">
        <v>37</v>
      </c>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c r="AV562" s="3"/>
      <c r="AW562" s="3"/>
      <c r="AX562" s="3"/>
      <c r="AY562" s="3"/>
      <c r="AZ562" s="3"/>
      <c r="BA562" s="3"/>
      <c r="BB562" s="3"/>
      <c r="BC562" s="3"/>
      <c r="BD562" s="3"/>
      <c r="BE562" s="3"/>
    </row>
    <row r="563" spans="1:57" x14ac:dyDescent="0.25">
      <c r="A563" s="1" t="str">
        <f>'Population Definitions'!$A$3</f>
        <v>PWID_females</v>
      </c>
      <c r="C563" t="s">
        <v>32</v>
      </c>
      <c r="D563" s="3"/>
      <c r="E563" s="3">
        <v>0</v>
      </c>
      <c r="F563" s="4" t="s">
        <v>37</v>
      </c>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c r="AV563" s="3"/>
      <c r="AW563" s="3"/>
      <c r="AX563" s="3"/>
      <c r="AY563" s="3"/>
      <c r="AZ563" s="3"/>
      <c r="BA563" s="3"/>
      <c r="BB563" s="3"/>
      <c r="BC563" s="3"/>
      <c r="BD563" s="3"/>
      <c r="BE563" s="3"/>
    </row>
    <row r="564" spans="1:57" x14ac:dyDescent="0.25">
      <c r="A564" s="1" t="str">
        <f>'Population Definitions'!$A$4</f>
        <v>0-9_males</v>
      </c>
      <c r="C564" t="s">
        <v>32</v>
      </c>
      <c r="D564" s="3"/>
      <c r="E564" s="3">
        <v>0</v>
      </c>
      <c r="F564" s="4" t="s">
        <v>37</v>
      </c>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c r="AV564" s="3"/>
      <c r="AW564" s="3"/>
      <c r="AX564" s="3"/>
      <c r="AY564" s="3"/>
      <c r="AZ564" s="3"/>
      <c r="BA564" s="3"/>
      <c r="BB564" s="3"/>
      <c r="BC564" s="3"/>
      <c r="BD564" s="3"/>
      <c r="BE564" s="3"/>
    </row>
    <row r="565" spans="1:57" x14ac:dyDescent="0.25">
      <c r="A565" s="1" t="str">
        <f>'Population Definitions'!$A$5</f>
        <v>0-9_females</v>
      </c>
      <c r="C565" t="s">
        <v>32</v>
      </c>
      <c r="D565" s="3"/>
      <c r="E565" s="3">
        <v>0</v>
      </c>
      <c r="F565" s="4" t="s">
        <v>37</v>
      </c>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c r="AV565" s="3"/>
      <c r="AW565" s="3"/>
      <c r="AX565" s="3"/>
      <c r="AY565" s="3"/>
      <c r="AZ565" s="3"/>
      <c r="BA565" s="3"/>
      <c r="BB565" s="3"/>
      <c r="BC565" s="3"/>
      <c r="BD565" s="3"/>
      <c r="BE565" s="3"/>
    </row>
    <row r="566" spans="1:57" x14ac:dyDescent="0.25">
      <c r="A566" s="1" t="str">
        <f>'Population Definitions'!$A$6</f>
        <v>10-17_males</v>
      </c>
      <c r="C566" t="s">
        <v>32</v>
      </c>
      <c r="D566" s="3"/>
      <c r="E566" s="3">
        <v>0</v>
      </c>
      <c r="F566" s="4" t="s">
        <v>37</v>
      </c>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c r="AV566" s="3"/>
      <c r="AW566" s="3"/>
      <c r="AX566" s="3"/>
      <c r="AY566" s="3"/>
      <c r="AZ566" s="3"/>
      <c r="BA566" s="3"/>
      <c r="BB566" s="3"/>
      <c r="BC566" s="3"/>
      <c r="BD566" s="3"/>
      <c r="BE566" s="3"/>
    </row>
    <row r="567" spans="1:57" x14ac:dyDescent="0.25">
      <c r="A567" s="1" t="str">
        <f>'Population Definitions'!$A$7</f>
        <v>10-17_females</v>
      </c>
      <c r="C567" t="s">
        <v>32</v>
      </c>
      <c r="D567" s="3"/>
      <c r="E567" s="3">
        <v>0</v>
      </c>
      <c r="F567" s="4" t="s">
        <v>37</v>
      </c>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c r="AV567" s="3"/>
      <c r="AW567" s="3"/>
      <c r="AX567" s="3"/>
      <c r="AY567" s="3"/>
      <c r="AZ567" s="3"/>
      <c r="BA567" s="3"/>
      <c r="BB567" s="3"/>
      <c r="BC567" s="3"/>
      <c r="BD567" s="3"/>
      <c r="BE567" s="3"/>
    </row>
    <row r="568" spans="1:57" x14ac:dyDescent="0.25">
      <c r="A568" s="1" t="str">
        <f>'Population Definitions'!$A$8</f>
        <v>18-64_males</v>
      </c>
      <c r="C568" t="s">
        <v>32</v>
      </c>
      <c r="D568" s="3"/>
      <c r="E568" s="3">
        <v>0</v>
      </c>
      <c r="F568" s="4" t="s">
        <v>37</v>
      </c>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c r="AV568" s="3"/>
      <c r="AW568" s="3"/>
      <c r="AX568" s="3"/>
      <c r="AY568" s="3"/>
      <c r="AZ568" s="3"/>
      <c r="BA568" s="3"/>
      <c r="BB568" s="3"/>
      <c r="BC568" s="3"/>
      <c r="BD568" s="3"/>
      <c r="BE568" s="3"/>
    </row>
    <row r="569" spans="1:57" x14ac:dyDescent="0.25">
      <c r="A569" s="1" t="str">
        <f>'Population Definitions'!$A$9</f>
        <v>18-64_females</v>
      </c>
      <c r="C569" t="s">
        <v>32</v>
      </c>
      <c r="D569" s="3"/>
      <c r="E569" s="3">
        <v>0</v>
      </c>
      <c r="F569" s="4" t="s">
        <v>37</v>
      </c>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c r="AV569" s="3"/>
      <c r="AW569" s="3"/>
      <c r="AX569" s="3"/>
      <c r="AY569" s="3"/>
      <c r="AZ569" s="3"/>
      <c r="BA569" s="3"/>
      <c r="BB569" s="3"/>
      <c r="BC569" s="3"/>
      <c r="BD569" s="3"/>
      <c r="BE569" s="3"/>
    </row>
    <row r="570" spans="1:57" x14ac:dyDescent="0.25">
      <c r="A570" s="1" t="str">
        <f>'Population Definitions'!$A$10</f>
        <v>65+_males</v>
      </c>
      <c r="C570" t="s">
        <v>32</v>
      </c>
      <c r="D570" s="3"/>
      <c r="E570" s="3">
        <v>0</v>
      </c>
      <c r="F570" s="4" t="s">
        <v>37</v>
      </c>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c r="AV570" s="3"/>
      <c r="AW570" s="3"/>
      <c r="AX570" s="3"/>
      <c r="AY570" s="3"/>
      <c r="AZ570" s="3"/>
      <c r="BA570" s="3"/>
      <c r="BB570" s="3"/>
      <c r="BC570" s="3"/>
      <c r="BD570" s="3"/>
      <c r="BE570" s="3"/>
    </row>
    <row r="571" spans="1:57" x14ac:dyDescent="0.25">
      <c r="A571" s="1" t="str">
        <f>'Population Definitions'!$A$11</f>
        <v>65+_females</v>
      </c>
      <c r="C571" t="s">
        <v>32</v>
      </c>
      <c r="D571" s="3"/>
      <c r="E571" s="3">
        <v>0</v>
      </c>
      <c r="F571" s="4" t="s">
        <v>37</v>
      </c>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c r="AV571" s="3"/>
      <c r="AW571" s="3"/>
      <c r="AX571" s="3"/>
      <c r="AY571" s="3"/>
      <c r="AZ571" s="3"/>
      <c r="BA571" s="3"/>
      <c r="BB571" s="3"/>
      <c r="BC571" s="3"/>
      <c r="BD571" s="3"/>
      <c r="BE571" s="3"/>
    </row>
    <row r="572" spans="1:57" x14ac:dyDescent="0.25">
      <c r="A572" s="1" t="str">
        <f>'Population Definitions'!$A$12</f>
        <v>Prisoners_males</v>
      </c>
      <c r="C572" t="s">
        <v>32</v>
      </c>
      <c r="D572" s="3"/>
      <c r="E572" s="3">
        <v>0</v>
      </c>
      <c r="F572" s="4" t="s">
        <v>37</v>
      </c>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c r="AV572" s="3"/>
      <c r="AW572" s="3"/>
      <c r="AX572" s="3"/>
      <c r="AY572" s="3"/>
      <c r="AZ572" s="3"/>
      <c r="BA572" s="3"/>
      <c r="BB572" s="3"/>
      <c r="BC572" s="3"/>
      <c r="BD572" s="3"/>
      <c r="BE572" s="3"/>
    </row>
    <row r="573" spans="1:57" x14ac:dyDescent="0.25">
      <c r="A573" s="1" t="str">
        <f>'Population Definitions'!$A$13</f>
        <v>Prisoners_females</v>
      </c>
      <c r="C573" t="s">
        <v>32</v>
      </c>
      <c r="D573" s="3"/>
      <c r="E573" s="3">
        <v>0</v>
      </c>
      <c r="F573" s="4" t="s">
        <v>37</v>
      </c>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c r="AV573" s="3"/>
      <c r="AW573" s="3"/>
      <c r="AX573" s="3"/>
      <c r="AY573" s="3"/>
      <c r="AZ573" s="3"/>
      <c r="BA573" s="3"/>
      <c r="BB573" s="3"/>
      <c r="BC573" s="3"/>
      <c r="BD573" s="3"/>
      <c r="BE573" s="3"/>
    </row>
    <row r="575" spans="1:57" x14ac:dyDescent="0.25">
      <c r="A575" s="1" t="s">
        <v>167</v>
      </c>
      <c r="B575" s="1" t="s">
        <v>29</v>
      </c>
      <c r="C575" s="1" t="s">
        <v>30</v>
      </c>
      <c r="D575" s="1" t="s">
        <v>31</v>
      </c>
      <c r="E575" s="1">
        <v>2000</v>
      </c>
      <c r="F575" s="1">
        <v>2001</v>
      </c>
      <c r="G575" s="1">
        <v>2002</v>
      </c>
      <c r="H575" s="1">
        <v>2003</v>
      </c>
      <c r="I575" s="1">
        <v>2004</v>
      </c>
      <c r="J575" s="1">
        <v>2005</v>
      </c>
      <c r="K575" s="1">
        <v>2006</v>
      </c>
      <c r="L575" s="1">
        <v>2007</v>
      </c>
      <c r="M575" s="1">
        <v>2008</v>
      </c>
      <c r="N575" s="1">
        <v>2009</v>
      </c>
      <c r="O575" s="1">
        <v>2010</v>
      </c>
      <c r="P575" s="1">
        <v>2011</v>
      </c>
      <c r="Q575" s="1">
        <v>2012</v>
      </c>
      <c r="R575" s="1">
        <v>2013</v>
      </c>
      <c r="S575" s="1">
        <v>2014</v>
      </c>
      <c r="T575" s="1">
        <v>2015</v>
      </c>
      <c r="U575" s="1">
        <v>2016</v>
      </c>
      <c r="V575" s="1">
        <v>2017</v>
      </c>
      <c r="W575" s="1">
        <v>2018</v>
      </c>
      <c r="X575" s="1">
        <v>2019</v>
      </c>
      <c r="Y575" s="1">
        <v>2020</v>
      </c>
      <c r="Z575" s="1">
        <v>2021</v>
      </c>
      <c r="AA575" s="1">
        <v>2022</v>
      </c>
      <c r="AB575" s="1">
        <v>2023</v>
      </c>
      <c r="AC575" s="1">
        <v>2024</v>
      </c>
      <c r="AD575" s="1">
        <v>2025</v>
      </c>
      <c r="AE575" s="1">
        <v>2026</v>
      </c>
      <c r="AF575" s="1">
        <v>2027</v>
      </c>
      <c r="AG575" s="1">
        <v>2028</v>
      </c>
      <c r="AH575" s="1">
        <v>2029</v>
      </c>
      <c r="AI575" s="1">
        <v>2030</v>
      </c>
      <c r="AJ575" s="1">
        <v>2031</v>
      </c>
      <c r="AK575" s="1">
        <v>2032</v>
      </c>
      <c r="AL575" s="1">
        <v>2033</v>
      </c>
      <c r="AM575" s="1">
        <v>2034</v>
      </c>
      <c r="AN575" s="1">
        <v>2035</v>
      </c>
      <c r="AO575" s="1">
        <v>2036</v>
      </c>
      <c r="AP575" s="1">
        <v>2037</v>
      </c>
      <c r="AQ575" s="1">
        <v>2038</v>
      </c>
      <c r="AR575" s="1">
        <v>2039</v>
      </c>
      <c r="AS575" s="1">
        <v>2040</v>
      </c>
      <c r="AT575" s="1">
        <v>2041</v>
      </c>
      <c r="AU575" s="1">
        <v>2042</v>
      </c>
      <c r="AV575" s="1">
        <v>2043</v>
      </c>
      <c r="AW575" s="1">
        <v>2044</v>
      </c>
      <c r="AX575" s="1">
        <v>2045</v>
      </c>
      <c r="AY575" s="1">
        <v>2046</v>
      </c>
      <c r="AZ575" s="1">
        <v>2047</v>
      </c>
      <c r="BA575" s="1">
        <v>2048</v>
      </c>
      <c r="BB575" s="1">
        <v>2049</v>
      </c>
      <c r="BC575" s="1">
        <v>2050</v>
      </c>
    </row>
    <row r="576" spans="1:57" x14ac:dyDescent="0.25">
      <c r="A576" s="1" t="str">
        <f>'Population Definitions'!$A$2</f>
        <v>PWID_males</v>
      </c>
      <c r="C576" t="s">
        <v>32</v>
      </c>
      <c r="D576" s="3"/>
      <c r="E576" s="3">
        <v>0</v>
      </c>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c r="AV576" s="3"/>
      <c r="AW576" s="3"/>
      <c r="AX576" s="3"/>
      <c r="AY576" s="3"/>
      <c r="AZ576" s="3"/>
      <c r="BA576" s="3"/>
      <c r="BB576" s="3"/>
      <c r="BC576" s="3"/>
    </row>
    <row r="577" spans="1:55" x14ac:dyDescent="0.25">
      <c r="A577" s="1" t="str">
        <f>'Population Definitions'!$A$3</f>
        <v>PWID_females</v>
      </c>
      <c r="C577" t="s">
        <v>32</v>
      </c>
      <c r="D577" s="3"/>
      <c r="E577" s="3">
        <v>0</v>
      </c>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c r="AV577" s="3"/>
      <c r="AW577" s="3"/>
      <c r="AX577" s="3"/>
      <c r="AY577" s="3"/>
      <c r="AZ577" s="3"/>
      <c r="BA577" s="3"/>
      <c r="BB577" s="3"/>
      <c r="BC577" s="3"/>
    </row>
    <row r="578" spans="1:55" x14ac:dyDescent="0.25">
      <c r="A578" s="1" t="str">
        <f>'Population Definitions'!$A$4</f>
        <v>0-9_males</v>
      </c>
      <c r="C578" t="s">
        <v>32</v>
      </c>
      <c r="D578" s="3"/>
      <c r="E578" s="3">
        <v>0</v>
      </c>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c r="AT578" s="3"/>
      <c r="AU578" s="3"/>
      <c r="AV578" s="3"/>
      <c r="AW578" s="3"/>
      <c r="AX578" s="3"/>
      <c r="AY578" s="3"/>
      <c r="AZ578" s="3"/>
      <c r="BA578" s="3"/>
      <c r="BB578" s="3"/>
      <c r="BC578" s="3"/>
    </row>
    <row r="579" spans="1:55" x14ac:dyDescent="0.25">
      <c r="A579" s="1" t="str">
        <f>'Population Definitions'!$A$5</f>
        <v>0-9_females</v>
      </c>
      <c r="C579" t="s">
        <v>32</v>
      </c>
      <c r="D579" s="3"/>
      <c r="E579" s="3">
        <v>0</v>
      </c>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c r="AV579" s="3"/>
      <c r="AW579" s="3"/>
      <c r="AX579" s="3"/>
      <c r="AY579" s="3"/>
      <c r="AZ579" s="3"/>
      <c r="BA579" s="3"/>
      <c r="BB579" s="3"/>
      <c r="BC579" s="3"/>
    </row>
    <row r="580" spans="1:55" x14ac:dyDescent="0.25">
      <c r="A580" s="1" t="str">
        <f>'Population Definitions'!$A$6</f>
        <v>10-17_males</v>
      </c>
      <c r="C580" t="s">
        <v>32</v>
      </c>
      <c r="D580" s="3"/>
      <c r="E580" s="3">
        <v>0</v>
      </c>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c r="AV580" s="3"/>
      <c r="AW580" s="3"/>
      <c r="AX580" s="3"/>
      <c r="AY580" s="3"/>
      <c r="AZ580" s="3"/>
      <c r="BA580" s="3"/>
      <c r="BB580" s="3"/>
      <c r="BC580" s="3"/>
    </row>
    <row r="581" spans="1:55" x14ac:dyDescent="0.25">
      <c r="A581" s="1" t="str">
        <f>'Population Definitions'!$A$7</f>
        <v>10-17_females</v>
      </c>
      <c r="C581" t="s">
        <v>32</v>
      </c>
      <c r="D581" s="3"/>
      <c r="E581" s="3">
        <v>0</v>
      </c>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c r="AV581" s="3"/>
      <c r="AW581" s="3"/>
      <c r="AX581" s="3"/>
      <c r="AY581" s="3"/>
      <c r="AZ581" s="3"/>
      <c r="BA581" s="3"/>
      <c r="BB581" s="3"/>
      <c r="BC581" s="3"/>
    </row>
    <row r="582" spans="1:55" x14ac:dyDescent="0.25">
      <c r="A582" s="1" t="str">
        <f>'Population Definitions'!$A$8</f>
        <v>18-64_males</v>
      </c>
      <c r="C582" t="s">
        <v>32</v>
      </c>
      <c r="D582" s="3"/>
      <c r="E582" s="3">
        <v>0</v>
      </c>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c r="AV582" s="3"/>
      <c r="AW582" s="3"/>
      <c r="AX582" s="3"/>
      <c r="AY582" s="3"/>
      <c r="AZ582" s="3"/>
      <c r="BA582" s="3"/>
      <c r="BB582" s="3"/>
      <c r="BC582" s="3"/>
    </row>
    <row r="583" spans="1:55" x14ac:dyDescent="0.25">
      <c r="A583" s="1" t="str">
        <f>'Population Definitions'!$A$9</f>
        <v>18-64_females</v>
      </c>
      <c r="C583" t="s">
        <v>32</v>
      </c>
      <c r="D583" s="3"/>
      <c r="E583" s="3">
        <v>0</v>
      </c>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c r="AV583" s="3"/>
      <c r="AW583" s="3"/>
      <c r="AX583" s="3"/>
      <c r="AY583" s="3"/>
      <c r="AZ583" s="3"/>
      <c r="BA583" s="3"/>
      <c r="BB583" s="3"/>
      <c r="BC583" s="3"/>
    </row>
    <row r="584" spans="1:55" x14ac:dyDescent="0.25">
      <c r="A584" s="1" t="str">
        <f>'Population Definitions'!$A$10</f>
        <v>65+_males</v>
      </c>
      <c r="C584" t="s">
        <v>32</v>
      </c>
      <c r="D584" s="3"/>
      <c r="E584" s="3">
        <v>0</v>
      </c>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c r="AV584" s="3"/>
      <c r="AW584" s="3"/>
      <c r="AX584" s="3"/>
      <c r="AY584" s="3"/>
      <c r="AZ584" s="3"/>
      <c r="BA584" s="3"/>
      <c r="BB584" s="3"/>
      <c r="BC584" s="3"/>
    </row>
    <row r="585" spans="1:55" x14ac:dyDescent="0.25">
      <c r="A585" s="1" t="str">
        <f>'Population Definitions'!$A$11</f>
        <v>65+_females</v>
      </c>
      <c r="C585" t="s">
        <v>32</v>
      </c>
      <c r="D585" s="3"/>
      <c r="E585" s="3">
        <v>0</v>
      </c>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c r="AV585" s="3"/>
      <c r="AW585" s="3"/>
      <c r="AX585" s="3"/>
      <c r="AY585" s="3"/>
      <c r="AZ585" s="3"/>
      <c r="BA585" s="3"/>
      <c r="BB585" s="3"/>
      <c r="BC585" s="3"/>
    </row>
    <row r="586" spans="1:55" x14ac:dyDescent="0.25">
      <c r="A586" s="1" t="str">
        <f>'Population Definitions'!$A$12</f>
        <v>Prisoners_males</v>
      </c>
      <c r="C586" t="s">
        <v>32</v>
      </c>
      <c r="D586" s="3"/>
      <c r="E586" s="3">
        <v>0</v>
      </c>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c r="AT586" s="3"/>
      <c r="AU586" s="3"/>
      <c r="AV586" s="3"/>
      <c r="AW586" s="3"/>
      <c r="AX586" s="3"/>
      <c r="AY586" s="3"/>
      <c r="AZ586" s="3"/>
      <c r="BA586" s="3"/>
      <c r="BB586" s="3"/>
      <c r="BC586" s="3"/>
    </row>
    <row r="587" spans="1:55" x14ac:dyDescent="0.25">
      <c r="A587" s="1" t="str">
        <f>'Population Definitions'!$A$13</f>
        <v>Prisoners_females</v>
      </c>
      <c r="C587" t="s">
        <v>32</v>
      </c>
      <c r="D587" s="3"/>
      <c r="E587" s="3">
        <v>0</v>
      </c>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c r="AT587" s="3"/>
      <c r="AU587" s="3"/>
      <c r="AV587" s="3"/>
      <c r="AW587" s="3"/>
      <c r="AX587" s="3"/>
      <c r="AY587" s="3"/>
      <c r="AZ587" s="3"/>
      <c r="BA587" s="3"/>
      <c r="BB587" s="3"/>
      <c r="BC587" s="3"/>
    </row>
    <row r="589" spans="1:55" x14ac:dyDescent="0.25">
      <c r="A589" s="1" t="s">
        <v>168</v>
      </c>
      <c r="B589" s="1" t="s">
        <v>29</v>
      </c>
      <c r="C589" s="1" t="s">
        <v>30</v>
      </c>
      <c r="D589" s="1" t="s">
        <v>31</v>
      </c>
      <c r="E589" s="1">
        <v>2000</v>
      </c>
      <c r="F589" s="1">
        <v>2001</v>
      </c>
      <c r="G589" s="1">
        <v>2002</v>
      </c>
      <c r="H589" s="1">
        <v>2003</v>
      </c>
      <c r="I589" s="1">
        <v>2004</v>
      </c>
      <c r="J589" s="1">
        <v>2005</v>
      </c>
      <c r="K589" s="1">
        <v>2006</v>
      </c>
      <c r="L589" s="1">
        <v>2007</v>
      </c>
      <c r="M589" s="1">
        <v>2008</v>
      </c>
      <c r="N589" s="1">
        <v>2009</v>
      </c>
      <c r="O589" s="1">
        <v>2010</v>
      </c>
      <c r="P589" s="1">
        <v>2011</v>
      </c>
      <c r="Q589" s="1">
        <v>2012</v>
      </c>
      <c r="R589" s="1">
        <v>2013</v>
      </c>
      <c r="S589" s="1">
        <v>2014</v>
      </c>
      <c r="T589" s="1">
        <v>2015</v>
      </c>
      <c r="U589" s="1">
        <v>2016</v>
      </c>
      <c r="V589" s="1">
        <v>2017</v>
      </c>
      <c r="W589" s="1">
        <v>2018</v>
      </c>
      <c r="X589" s="1">
        <v>2019</v>
      </c>
      <c r="Y589" s="1">
        <v>2020</v>
      </c>
      <c r="Z589" s="1">
        <v>2021</v>
      </c>
      <c r="AA589" s="1">
        <v>2022</v>
      </c>
      <c r="AB589" s="1">
        <v>2023</v>
      </c>
      <c r="AC589" s="1">
        <v>2024</v>
      </c>
      <c r="AD589" s="1">
        <v>2025</v>
      </c>
      <c r="AE589" s="1">
        <v>2026</v>
      </c>
      <c r="AF589" s="1">
        <v>2027</v>
      </c>
      <c r="AG589" s="1">
        <v>2028</v>
      </c>
      <c r="AH589" s="1">
        <v>2029</v>
      </c>
      <c r="AI589" s="1">
        <v>2030</v>
      </c>
      <c r="AJ589" s="1">
        <v>2031</v>
      </c>
      <c r="AK589" s="1">
        <v>2032</v>
      </c>
      <c r="AL589" s="1">
        <v>2033</v>
      </c>
      <c r="AM589" s="1">
        <v>2034</v>
      </c>
      <c r="AN589" s="1">
        <v>2035</v>
      </c>
      <c r="AO589" s="1">
        <v>2036</v>
      </c>
      <c r="AP589" s="1">
        <v>2037</v>
      </c>
      <c r="AQ589" s="1">
        <v>2038</v>
      </c>
      <c r="AR589" s="1">
        <v>2039</v>
      </c>
      <c r="AS589" s="1">
        <v>2040</v>
      </c>
      <c r="AT589" s="1">
        <v>2041</v>
      </c>
      <c r="AU589" s="1">
        <v>2042</v>
      </c>
      <c r="AV589" s="1">
        <v>2043</v>
      </c>
      <c r="AW589" s="1">
        <v>2044</v>
      </c>
      <c r="AX589" s="1">
        <v>2045</v>
      </c>
      <c r="AY589" s="1">
        <v>2046</v>
      </c>
      <c r="AZ589" s="1">
        <v>2047</v>
      </c>
      <c r="BA589" s="1">
        <v>2048</v>
      </c>
      <c r="BB589" s="1">
        <v>2049</v>
      </c>
      <c r="BC589" s="1">
        <v>2050</v>
      </c>
    </row>
    <row r="590" spans="1:55" x14ac:dyDescent="0.25">
      <c r="A590" s="1" t="str">
        <f>'Population Definitions'!$A$2</f>
        <v>PWID_males</v>
      </c>
      <c r="C590" t="s">
        <v>32</v>
      </c>
      <c r="D590" s="3"/>
      <c r="E590" s="3">
        <v>0</v>
      </c>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c r="AV590" s="3"/>
      <c r="AW590" s="3"/>
      <c r="AX590" s="3"/>
      <c r="AY590" s="3"/>
      <c r="AZ590" s="3"/>
      <c r="BA590" s="3"/>
      <c r="BB590" s="3"/>
      <c r="BC590" s="3"/>
    </row>
    <row r="591" spans="1:55" x14ac:dyDescent="0.25">
      <c r="A591" s="1" t="str">
        <f>'Population Definitions'!$A$3</f>
        <v>PWID_females</v>
      </c>
      <c r="C591" t="s">
        <v>32</v>
      </c>
      <c r="D591" s="3"/>
      <c r="E591" s="3">
        <v>0</v>
      </c>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c r="AV591" s="3"/>
      <c r="AW591" s="3"/>
      <c r="AX591" s="3"/>
      <c r="AY591" s="3"/>
      <c r="AZ591" s="3"/>
      <c r="BA591" s="3"/>
      <c r="BB591" s="3"/>
      <c r="BC591" s="3"/>
    </row>
    <row r="592" spans="1:55" x14ac:dyDescent="0.25">
      <c r="A592" s="1" t="str">
        <f>'Population Definitions'!$A$4</f>
        <v>0-9_males</v>
      </c>
      <c r="C592" t="s">
        <v>32</v>
      </c>
      <c r="D592" s="3"/>
      <c r="E592" s="3">
        <v>0</v>
      </c>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c r="AV592" s="3"/>
      <c r="AW592" s="3"/>
      <c r="AX592" s="3"/>
      <c r="AY592" s="3"/>
      <c r="AZ592" s="3"/>
      <c r="BA592" s="3"/>
      <c r="BB592" s="3"/>
      <c r="BC592" s="3"/>
    </row>
    <row r="593" spans="1:55" x14ac:dyDescent="0.25">
      <c r="A593" s="1" t="str">
        <f>'Population Definitions'!$A$5</f>
        <v>0-9_females</v>
      </c>
      <c r="C593" t="s">
        <v>32</v>
      </c>
      <c r="D593" s="3"/>
      <c r="E593" s="3">
        <v>0</v>
      </c>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c r="AV593" s="3"/>
      <c r="AW593" s="3"/>
      <c r="AX593" s="3"/>
      <c r="AY593" s="3"/>
      <c r="AZ593" s="3"/>
      <c r="BA593" s="3"/>
      <c r="BB593" s="3"/>
      <c r="BC593" s="3"/>
    </row>
    <row r="594" spans="1:55" x14ac:dyDescent="0.25">
      <c r="A594" s="1" t="str">
        <f>'Population Definitions'!$A$6</f>
        <v>10-17_males</v>
      </c>
      <c r="C594" t="s">
        <v>32</v>
      </c>
      <c r="D594" s="3"/>
      <c r="E594" s="3">
        <v>0</v>
      </c>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c r="AV594" s="3"/>
      <c r="AW594" s="3"/>
      <c r="AX594" s="3"/>
      <c r="AY594" s="3"/>
      <c r="AZ594" s="3"/>
      <c r="BA594" s="3"/>
      <c r="BB594" s="3"/>
      <c r="BC594" s="3"/>
    </row>
    <row r="595" spans="1:55" x14ac:dyDescent="0.25">
      <c r="A595" s="1" t="str">
        <f>'Population Definitions'!$A$7</f>
        <v>10-17_females</v>
      </c>
      <c r="C595" t="s">
        <v>32</v>
      </c>
      <c r="D595" s="3"/>
      <c r="E595" s="3">
        <v>0</v>
      </c>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c r="AT595" s="3"/>
      <c r="AU595" s="3"/>
      <c r="AV595" s="3"/>
      <c r="AW595" s="3"/>
      <c r="AX595" s="3"/>
      <c r="AY595" s="3"/>
      <c r="AZ595" s="3"/>
      <c r="BA595" s="3"/>
      <c r="BB595" s="3"/>
      <c r="BC595" s="3"/>
    </row>
    <row r="596" spans="1:55" x14ac:dyDescent="0.25">
      <c r="A596" s="1" t="str">
        <f>'Population Definitions'!$A$8</f>
        <v>18-64_males</v>
      </c>
      <c r="C596" t="s">
        <v>32</v>
      </c>
      <c r="D596" s="3"/>
      <c r="E596" s="3">
        <v>0</v>
      </c>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c r="AV596" s="3"/>
      <c r="AW596" s="3"/>
      <c r="AX596" s="3"/>
      <c r="AY596" s="3"/>
      <c r="AZ596" s="3"/>
      <c r="BA596" s="3"/>
      <c r="BB596" s="3"/>
      <c r="BC596" s="3"/>
    </row>
    <row r="597" spans="1:55" x14ac:dyDescent="0.25">
      <c r="A597" s="1" t="str">
        <f>'Population Definitions'!$A$9</f>
        <v>18-64_females</v>
      </c>
      <c r="C597" t="s">
        <v>32</v>
      </c>
      <c r="D597" s="3"/>
      <c r="E597" s="3">
        <v>0</v>
      </c>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c r="AV597" s="3"/>
      <c r="AW597" s="3"/>
      <c r="AX597" s="3"/>
      <c r="AY597" s="3"/>
      <c r="AZ597" s="3"/>
      <c r="BA597" s="3"/>
      <c r="BB597" s="3"/>
      <c r="BC597" s="3"/>
    </row>
    <row r="598" spans="1:55" x14ac:dyDescent="0.25">
      <c r="A598" s="1" t="str">
        <f>'Population Definitions'!$A$10</f>
        <v>65+_males</v>
      </c>
      <c r="C598" t="s">
        <v>32</v>
      </c>
      <c r="D598" s="3"/>
      <c r="E598" s="3">
        <v>0</v>
      </c>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c r="AV598" s="3"/>
      <c r="AW598" s="3"/>
      <c r="AX598" s="3"/>
      <c r="AY598" s="3"/>
      <c r="AZ598" s="3"/>
      <c r="BA598" s="3"/>
      <c r="BB598" s="3"/>
      <c r="BC598" s="3"/>
    </row>
    <row r="599" spans="1:55" x14ac:dyDescent="0.25">
      <c r="A599" s="1" t="str">
        <f>'Population Definitions'!$A$11</f>
        <v>65+_females</v>
      </c>
      <c r="C599" t="s">
        <v>32</v>
      </c>
      <c r="D599" s="3"/>
      <c r="E599" s="3">
        <v>0</v>
      </c>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c r="AV599" s="3"/>
      <c r="AW599" s="3"/>
      <c r="AX599" s="3"/>
      <c r="AY599" s="3"/>
      <c r="AZ599" s="3"/>
      <c r="BA599" s="3"/>
      <c r="BB599" s="3"/>
      <c r="BC599" s="3"/>
    </row>
    <row r="600" spans="1:55" x14ac:dyDescent="0.25">
      <c r="A600" s="1" t="str">
        <f>'Population Definitions'!$A$12</f>
        <v>Prisoners_males</v>
      </c>
      <c r="C600" t="s">
        <v>32</v>
      </c>
      <c r="D600" s="3"/>
      <c r="E600" s="3">
        <v>0</v>
      </c>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c r="AV600" s="3"/>
      <c r="AW600" s="3"/>
      <c r="AX600" s="3"/>
      <c r="AY600" s="3"/>
      <c r="AZ600" s="3"/>
      <c r="BA600" s="3"/>
      <c r="BB600" s="3"/>
      <c r="BC600" s="3"/>
    </row>
    <row r="601" spans="1:55" x14ac:dyDescent="0.25">
      <c r="A601" s="1" t="str">
        <f>'Population Definitions'!$A$13</f>
        <v>Prisoners_females</v>
      </c>
      <c r="C601" t="s">
        <v>32</v>
      </c>
      <c r="D601" s="3"/>
      <c r="E601" s="3">
        <v>0</v>
      </c>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c r="AV601" s="3"/>
      <c r="AW601" s="3"/>
      <c r="AX601" s="3"/>
      <c r="AY601" s="3"/>
      <c r="AZ601" s="3"/>
      <c r="BA601" s="3"/>
      <c r="BB601" s="3"/>
      <c r="BC601" s="3"/>
    </row>
    <row r="603" spans="1:55" x14ac:dyDescent="0.25">
      <c r="A603" s="1" t="s">
        <v>169</v>
      </c>
      <c r="B603" s="1" t="s">
        <v>29</v>
      </c>
      <c r="C603" s="1" t="s">
        <v>30</v>
      </c>
      <c r="D603" s="1" t="s">
        <v>31</v>
      </c>
      <c r="E603" s="1">
        <v>2000</v>
      </c>
      <c r="F603" s="1">
        <v>2001</v>
      </c>
      <c r="G603" s="1">
        <v>2002</v>
      </c>
      <c r="H603" s="1">
        <v>2003</v>
      </c>
      <c r="I603" s="1">
        <v>2004</v>
      </c>
      <c r="J603" s="1">
        <v>2005</v>
      </c>
      <c r="K603" s="1">
        <v>2006</v>
      </c>
      <c r="L603" s="1">
        <v>2007</v>
      </c>
      <c r="M603" s="1">
        <v>2008</v>
      </c>
      <c r="N603" s="1">
        <v>2009</v>
      </c>
      <c r="O603" s="1">
        <v>2010</v>
      </c>
      <c r="P603" s="1">
        <v>2011</v>
      </c>
      <c r="Q603" s="1">
        <v>2012</v>
      </c>
      <c r="R603" s="1">
        <v>2013</v>
      </c>
      <c r="S603" s="1">
        <v>2014</v>
      </c>
      <c r="T603" s="1">
        <v>2015</v>
      </c>
      <c r="U603" s="1">
        <v>2016</v>
      </c>
      <c r="V603" s="1">
        <v>2017</v>
      </c>
      <c r="W603" s="1">
        <v>2018</v>
      </c>
      <c r="X603" s="1">
        <v>2019</v>
      </c>
      <c r="Y603" s="1">
        <v>2020</v>
      </c>
      <c r="Z603" s="1">
        <v>2021</v>
      </c>
      <c r="AA603" s="1">
        <v>2022</v>
      </c>
      <c r="AB603" s="1">
        <v>2023</v>
      </c>
      <c r="AC603" s="1">
        <v>2024</v>
      </c>
      <c r="AD603" s="1">
        <v>2025</v>
      </c>
      <c r="AE603" s="1">
        <v>2026</v>
      </c>
      <c r="AF603" s="1">
        <v>2027</v>
      </c>
      <c r="AG603" s="1">
        <v>2028</v>
      </c>
      <c r="AH603" s="1">
        <v>2029</v>
      </c>
      <c r="AI603" s="1">
        <v>2030</v>
      </c>
      <c r="AJ603" s="1">
        <v>2031</v>
      </c>
      <c r="AK603" s="1">
        <v>2032</v>
      </c>
      <c r="AL603" s="1">
        <v>2033</v>
      </c>
      <c r="AM603" s="1">
        <v>2034</v>
      </c>
      <c r="AN603" s="1">
        <v>2035</v>
      </c>
      <c r="AO603" s="1">
        <v>2036</v>
      </c>
      <c r="AP603" s="1">
        <v>2037</v>
      </c>
      <c r="AQ603" s="1">
        <v>2038</v>
      </c>
      <c r="AR603" s="1">
        <v>2039</v>
      </c>
      <c r="AS603" s="1">
        <v>2040</v>
      </c>
      <c r="AT603" s="1">
        <v>2041</v>
      </c>
      <c r="AU603" s="1">
        <v>2042</v>
      </c>
      <c r="AV603" s="1">
        <v>2043</v>
      </c>
      <c r="AW603" s="1">
        <v>2044</v>
      </c>
      <c r="AX603" s="1">
        <v>2045</v>
      </c>
      <c r="AY603" s="1">
        <v>2046</v>
      </c>
      <c r="AZ603" s="1">
        <v>2047</v>
      </c>
      <c r="BA603" s="1">
        <v>2048</v>
      </c>
      <c r="BB603" s="1">
        <v>2049</v>
      </c>
      <c r="BC603" s="1">
        <v>2050</v>
      </c>
    </row>
    <row r="604" spans="1:55" x14ac:dyDescent="0.25">
      <c r="A604" s="1" t="str">
        <f>'Population Definitions'!$A$2</f>
        <v>PWID_males</v>
      </c>
      <c r="C604" t="s">
        <v>32</v>
      </c>
      <c r="D604" s="3"/>
      <c r="E604" s="3">
        <v>0</v>
      </c>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c r="AV604" s="3"/>
      <c r="AW604" s="3"/>
      <c r="AX604" s="3"/>
      <c r="AY604" s="3"/>
      <c r="AZ604" s="3"/>
      <c r="BA604" s="3"/>
      <c r="BB604" s="3"/>
      <c r="BC604" s="3"/>
    </row>
    <row r="605" spans="1:55" x14ac:dyDescent="0.25">
      <c r="A605" s="1" t="str">
        <f>'Population Definitions'!$A$3</f>
        <v>PWID_females</v>
      </c>
      <c r="C605" t="s">
        <v>32</v>
      </c>
      <c r="D605" s="3"/>
      <c r="E605" s="3">
        <v>0</v>
      </c>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c r="AV605" s="3"/>
      <c r="AW605" s="3"/>
      <c r="AX605" s="3"/>
      <c r="AY605" s="3"/>
      <c r="AZ605" s="3"/>
      <c r="BA605" s="3"/>
      <c r="BB605" s="3"/>
      <c r="BC605" s="3"/>
    </row>
    <row r="606" spans="1:55" x14ac:dyDescent="0.25">
      <c r="A606" s="1" t="str">
        <f>'Population Definitions'!$A$4</f>
        <v>0-9_males</v>
      </c>
      <c r="C606" t="s">
        <v>32</v>
      </c>
      <c r="D606" s="3"/>
      <c r="E606" s="3">
        <v>0</v>
      </c>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c r="AV606" s="3"/>
      <c r="AW606" s="3"/>
      <c r="AX606" s="3"/>
      <c r="AY606" s="3"/>
      <c r="AZ606" s="3"/>
      <c r="BA606" s="3"/>
      <c r="BB606" s="3"/>
      <c r="BC606" s="3"/>
    </row>
    <row r="607" spans="1:55" x14ac:dyDescent="0.25">
      <c r="A607" s="1" t="str">
        <f>'Population Definitions'!$A$5</f>
        <v>0-9_females</v>
      </c>
      <c r="C607" t="s">
        <v>32</v>
      </c>
      <c r="D607" s="3"/>
      <c r="E607" s="3">
        <v>0</v>
      </c>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c r="AV607" s="3"/>
      <c r="AW607" s="3"/>
      <c r="AX607" s="3"/>
      <c r="AY607" s="3"/>
      <c r="AZ607" s="3"/>
      <c r="BA607" s="3"/>
      <c r="BB607" s="3"/>
      <c r="BC607" s="3"/>
    </row>
    <row r="608" spans="1:55" x14ac:dyDescent="0.25">
      <c r="A608" s="1" t="str">
        <f>'Population Definitions'!$A$6</f>
        <v>10-17_males</v>
      </c>
      <c r="C608" t="s">
        <v>32</v>
      </c>
      <c r="D608" s="3"/>
      <c r="E608" s="3">
        <v>0</v>
      </c>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c r="AV608" s="3"/>
      <c r="AW608" s="3"/>
      <c r="AX608" s="3"/>
      <c r="AY608" s="3"/>
      <c r="AZ608" s="3"/>
      <c r="BA608" s="3"/>
      <c r="BB608" s="3"/>
      <c r="BC608" s="3"/>
    </row>
    <row r="609" spans="1:55" x14ac:dyDescent="0.25">
      <c r="A609" s="1" t="str">
        <f>'Population Definitions'!$A$7</f>
        <v>10-17_females</v>
      </c>
      <c r="C609" t="s">
        <v>32</v>
      </c>
      <c r="D609" s="3"/>
      <c r="E609" s="3">
        <v>0</v>
      </c>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c r="AV609" s="3"/>
      <c r="AW609" s="3"/>
      <c r="AX609" s="3"/>
      <c r="AY609" s="3"/>
      <c r="AZ609" s="3"/>
      <c r="BA609" s="3"/>
      <c r="BB609" s="3"/>
      <c r="BC609" s="3"/>
    </row>
    <row r="610" spans="1:55" x14ac:dyDescent="0.25">
      <c r="A610" s="1" t="str">
        <f>'Population Definitions'!$A$8</f>
        <v>18-64_males</v>
      </c>
      <c r="C610" t="s">
        <v>32</v>
      </c>
      <c r="D610" s="3"/>
      <c r="E610" s="3">
        <v>0</v>
      </c>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c r="AV610" s="3"/>
      <c r="AW610" s="3"/>
      <c r="AX610" s="3"/>
      <c r="AY610" s="3"/>
      <c r="AZ610" s="3"/>
      <c r="BA610" s="3"/>
      <c r="BB610" s="3"/>
      <c r="BC610" s="3"/>
    </row>
    <row r="611" spans="1:55" x14ac:dyDescent="0.25">
      <c r="A611" s="1" t="str">
        <f>'Population Definitions'!$A$9</f>
        <v>18-64_females</v>
      </c>
      <c r="C611" t="s">
        <v>32</v>
      </c>
      <c r="D611" s="3"/>
      <c r="E611" s="3">
        <v>0</v>
      </c>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c r="AV611" s="3"/>
      <c r="AW611" s="3"/>
      <c r="AX611" s="3"/>
      <c r="AY611" s="3"/>
      <c r="AZ611" s="3"/>
      <c r="BA611" s="3"/>
      <c r="BB611" s="3"/>
      <c r="BC611" s="3"/>
    </row>
    <row r="612" spans="1:55" x14ac:dyDescent="0.25">
      <c r="A612" s="1" t="str">
        <f>'Population Definitions'!$A$10</f>
        <v>65+_males</v>
      </c>
      <c r="C612" t="s">
        <v>32</v>
      </c>
      <c r="D612" s="3"/>
      <c r="E612" s="3">
        <v>0</v>
      </c>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c r="AV612" s="3"/>
      <c r="AW612" s="3"/>
      <c r="AX612" s="3"/>
      <c r="AY612" s="3"/>
      <c r="AZ612" s="3"/>
      <c r="BA612" s="3"/>
      <c r="BB612" s="3"/>
      <c r="BC612" s="3"/>
    </row>
    <row r="613" spans="1:55" x14ac:dyDescent="0.25">
      <c r="A613" s="1" t="str">
        <f>'Population Definitions'!$A$11</f>
        <v>65+_females</v>
      </c>
      <c r="C613" t="s">
        <v>32</v>
      </c>
      <c r="D613" s="3"/>
      <c r="E613" s="3">
        <v>0</v>
      </c>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c r="AV613" s="3"/>
      <c r="AW613" s="3"/>
      <c r="AX613" s="3"/>
      <c r="AY613" s="3"/>
      <c r="AZ613" s="3"/>
      <c r="BA613" s="3"/>
      <c r="BB613" s="3"/>
      <c r="BC613" s="3"/>
    </row>
    <row r="614" spans="1:55" x14ac:dyDescent="0.25">
      <c r="A614" s="1" t="str">
        <f>'Population Definitions'!$A$12</f>
        <v>Prisoners_males</v>
      </c>
      <c r="C614" t="s">
        <v>32</v>
      </c>
      <c r="D614" s="3"/>
      <c r="E614" s="3">
        <v>0</v>
      </c>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c r="AV614" s="3"/>
      <c r="AW614" s="3"/>
      <c r="AX614" s="3"/>
      <c r="AY614" s="3"/>
      <c r="AZ614" s="3"/>
      <c r="BA614" s="3"/>
      <c r="BB614" s="3"/>
      <c r="BC614" s="3"/>
    </row>
    <row r="615" spans="1:55" x14ac:dyDescent="0.25">
      <c r="A615" s="1" t="str">
        <f>'Population Definitions'!$A$13</f>
        <v>Prisoners_females</v>
      </c>
      <c r="C615" t="s">
        <v>32</v>
      </c>
      <c r="D615" s="3"/>
      <c r="E615" s="3">
        <v>0</v>
      </c>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c r="AV615" s="3"/>
      <c r="AW615" s="3"/>
      <c r="AX615" s="3"/>
      <c r="AY615" s="3"/>
      <c r="AZ615" s="3"/>
      <c r="BA615" s="3"/>
      <c r="BB615" s="3"/>
      <c r="BC615" s="3"/>
    </row>
    <row r="617" spans="1:55" x14ac:dyDescent="0.25">
      <c r="A617" s="1" t="s">
        <v>170</v>
      </c>
      <c r="B617" s="1" t="s">
        <v>29</v>
      </c>
      <c r="C617" s="1" t="s">
        <v>30</v>
      </c>
      <c r="D617" s="1" t="s">
        <v>31</v>
      </c>
      <c r="E617" s="1">
        <v>2000</v>
      </c>
      <c r="F617" s="1">
        <v>2001</v>
      </c>
      <c r="G617" s="1">
        <v>2002</v>
      </c>
      <c r="H617" s="1">
        <v>2003</v>
      </c>
      <c r="I617" s="1">
        <v>2004</v>
      </c>
      <c r="J617" s="1">
        <v>2005</v>
      </c>
      <c r="K617" s="1">
        <v>2006</v>
      </c>
      <c r="L617" s="1">
        <v>2007</v>
      </c>
      <c r="M617" s="1">
        <v>2008</v>
      </c>
      <c r="N617" s="1">
        <v>2009</v>
      </c>
      <c r="O617" s="1">
        <v>2010</v>
      </c>
      <c r="P617" s="1">
        <v>2011</v>
      </c>
      <c r="Q617" s="1">
        <v>2012</v>
      </c>
      <c r="R617" s="1">
        <v>2013</v>
      </c>
      <c r="S617" s="1">
        <v>2014</v>
      </c>
      <c r="T617" s="1">
        <v>2015</v>
      </c>
      <c r="U617" s="1">
        <v>2016</v>
      </c>
      <c r="V617" s="1">
        <v>2017</v>
      </c>
      <c r="W617" s="1">
        <v>2018</v>
      </c>
      <c r="X617" s="1">
        <v>2019</v>
      </c>
      <c r="Y617" s="1">
        <v>2020</v>
      </c>
      <c r="Z617" s="1">
        <v>2021</v>
      </c>
      <c r="AA617" s="1">
        <v>2022</v>
      </c>
      <c r="AB617" s="1">
        <v>2023</v>
      </c>
      <c r="AC617" s="1">
        <v>2024</v>
      </c>
      <c r="AD617" s="1">
        <v>2025</v>
      </c>
      <c r="AE617" s="1">
        <v>2026</v>
      </c>
      <c r="AF617" s="1">
        <v>2027</v>
      </c>
      <c r="AG617" s="1">
        <v>2028</v>
      </c>
      <c r="AH617" s="1">
        <v>2029</v>
      </c>
      <c r="AI617" s="1">
        <v>2030</v>
      </c>
      <c r="AJ617" s="1">
        <v>2031</v>
      </c>
      <c r="AK617" s="1">
        <v>2032</v>
      </c>
      <c r="AL617" s="1">
        <v>2033</v>
      </c>
      <c r="AM617" s="1">
        <v>2034</v>
      </c>
      <c r="AN617" s="1">
        <v>2035</v>
      </c>
      <c r="AO617" s="1">
        <v>2036</v>
      </c>
      <c r="AP617" s="1">
        <v>2037</v>
      </c>
      <c r="AQ617" s="1">
        <v>2038</v>
      </c>
      <c r="AR617" s="1">
        <v>2039</v>
      </c>
      <c r="AS617" s="1">
        <v>2040</v>
      </c>
      <c r="AT617" s="1">
        <v>2041</v>
      </c>
      <c r="AU617" s="1">
        <v>2042</v>
      </c>
      <c r="AV617" s="1">
        <v>2043</v>
      </c>
      <c r="AW617" s="1">
        <v>2044</v>
      </c>
      <c r="AX617" s="1">
        <v>2045</v>
      </c>
      <c r="AY617" s="1">
        <v>2046</v>
      </c>
      <c r="AZ617" s="1">
        <v>2047</v>
      </c>
      <c r="BA617" s="1">
        <v>2048</v>
      </c>
      <c r="BB617" s="1">
        <v>2049</v>
      </c>
      <c r="BC617" s="1">
        <v>2050</v>
      </c>
    </row>
    <row r="618" spans="1:55" x14ac:dyDescent="0.25">
      <c r="A618" s="1" t="str">
        <f>'Population Definitions'!$A$2</f>
        <v>PWID_males</v>
      </c>
      <c r="C618" t="s">
        <v>32</v>
      </c>
      <c r="D618" s="3"/>
      <c r="E618" s="3">
        <v>0</v>
      </c>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c r="AV618" s="3"/>
      <c r="AW618" s="3"/>
      <c r="AX618" s="3"/>
      <c r="AY618" s="3"/>
      <c r="AZ618" s="3"/>
      <c r="BA618" s="3"/>
      <c r="BB618" s="3"/>
      <c r="BC618" s="3"/>
    </row>
    <row r="619" spans="1:55" x14ac:dyDescent="0.25">
      <c r="A619" s="1" t="str">
        <f>'Population Definitions'!$A$3</f>
        <v>PWID_females</v>
      </c>
      <c r="C619" t="s">
        <v>32</v>
      </c>
      <c r="D619" s="3"/>
      <c r="E619" s="3">
        <v>0</v>
      </c>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c r="AV619" s="3"/>
      <c r="AW619" s="3"/>
      <c r="AX619" s="3"/>
      <c r="AY619" s="3"/>
      <c r="AZ619" s="3"/>
      <c r="BA619" s="3"/>
      <c r="BB619" s="3"/>
      <c r="BC619" s="3"/>
    </row>
    <row r="620" spans="1:55" x14ac:dyDescent="0.25">
      <c r="A620" s="1" t="str">
        <f>'Population Definitions'!$A$4</f>
        <v>0-9_males</v>
      </c>
      <c r="C620" t="s">
        <v>32</v>
      </c>
      <c r="D620" s="3"/>
      <c r="E620" s="3">
        <v>0</v>
      </c>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c r="AV620" s="3"/>
      <c r="AW620" s="3"/>
      <c r="AX620" s="3"/>
      <c r="AY620" s="3"/>
      <c r="AZ620" s="3"/>
      <c r="BA620" s="3"/>
      <c r="BB620" s="3"/>
      <c r="BC620" s="3"/>
    </row>
    <row r="621" spans="1:55" x14ac:dyDescent="0.25">
      <c r="A621" s="1" t="str">
        <f>'Population Definitions'!$A$5</f>
        <v>0-9_females</v>
      </c>
      <c r="C621" t="s">
        <v>32</v>
      </c>
      <c r="D621" s="3"/>
      <c r="E621" s="3">
        <v>0</v>
      </c>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c r="AV621" s="3"/>
      <c r="AW621" s="3"/>
      <c r="AX621" s="3"/>
      <c r="AY621" s="3"/>
      <c r="AZ621" s="3"/>
      <c r="BA621" s="3"/>
      <c r="BB621" s="3"/>
      <c r="BC621" s="3"/>
    </row>
    <row r="622" spans="1:55" x14ac:dyDescent="0.25">
      <c r="A622" s="1" t="str">
        <f>'Population Definitions'!$A$6</f>
        <v>10-17_males</v>
      </c>
      <c r="C622" t="s">
        <v>32</v>
      </c>
      <c r="D622" s="3"/>
      <c r="E622" s="3">
        <v>0</v>
      </c>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c r="AV622" s="3"/>
      <c r="AW622" s="3"/>
      <c r="AX622" s="3"/>
      <c r="AY622" s="3"/>
      <c r="AZ622" s="3"/>
      <c r="BA622" s="3"/>
      <c r="BB622" s="3"/>
      <c r="BC622" s="3"/>
    </row>
    <row r="623" spans="1:55" x14ac:dyDescent="0.25">
      <c r="A623" s="1" t="str">
        <f>'Population Definitions'!$A$7</f>
        <v>10-17_females</v>
      </c>
      <c r="C623" t="s">
        <v>32</v>
      </c>
      <c r="D623" s="3"/>
      <c r="E623" s="3">
        <v>0</v>
      </c>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c r="AV623" s="3"/>
      <c r="AW623" s="3"/>
      <c r="AX623" s="3"/>
      <c r="AY623" s="3"/>
      <c r="AZ623" s="3"/>
      <c r="BA623" s="3"/>
      <c r="BB623" s="3"/>
      <c r="BC623" s="3"/>
    </row>
    <row r="624" spans="1:55" x14ac:dyDescent="0.25">
      <c r="A624" s="1" t="str">
        <f>'Population Definitions'!$A$8</f>
        <v>18-64_males</v>
      </c>
      <c r="C624" t="s">
        <v>32</v>
      </c>
      <c r="D624" s="3"/>
      <c r="E624" s="3">
        <v>0</v>
      </c>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c r="AV624" s="3"/>
      <c r="AW624" s="3"/>
      <c r="AX624" s="3"/>
      <c r="AY624" s="3"/>
      <c r="AZ624" s="3"/>
      <c r="BA624" s="3"/>
      <c r="BB624" s="3"/>
      <c r="BC624" s="3"/>
    </row>
    <row r="625" spans="1:55" x14ac:dyDescent="0.25">
      <c r="A625" s="1" t="str">
        <f>'Population Definitions'!$A$9</f>
        <v>18-64_females</v>
      </c>
      <c r="C625" t="s">
        <v>32</v>
      </c>
      <c r="D625" s="3"/>
      <c r="E625" s="3">
        <v>0</v>
      </c>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c r="AV625" s="3"/>
      <c r="AW625" s="3"/>
      <c r="AX625" s="3"/>
      <c r="AY625" s="3"/>
      <c r="AZ625" s="3"/>
      <c r="BA625" s="3"/>
      <c r="BB625" s="3"/>
      <c r="BC625" s="3"/>
    </row>
    <row r="626" spans="1:55" x14ac:dyDescent="0.25">
      <c r="A626" s="1" t="str">
        <f>'Population Definitions'!$A$10</f>
        <v>65+_males</v>
      </c>
      <c r="C626" t="s">
        <v>32</v>
      </c>
      <c r="D626" s="3"/>
      <c r="E626" s="3">
        <v>0</v>
      </c>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c r="AV626" s="3"/>
      <c r="AW626" s="3"/>
      <c r="AX626" s="3"/>
      <c r="AY626" s="3"/>
      <c r="AZ626" s="3"/>
      <c r="BA626" s="3"/>
      <c r="BB626" s="3"/>
      <c r="BC626" s="3"/>
    </row>
    <row r="627" spans="1:55" x14ac:dyDescent="0.25">
      <c r="A627" s="1" t="str">
        <f>'Population Definitions'!$A$11</f>
        <v>65+_females</v>
      </c>
      <c r="C627" t="s">
        <v>32</v>
      </c>
      <c r="D627" s="3"/>
      <c r="E627" s="3">
        <v>0</v>
      </c>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c r="AV627" s="3"/>
      <c r="AW627" s="3"/>
      <c r="AX627" s="3"/>
      <c r="AY627" s="3"/>
      <c r="AZ627" s="3"/>
      <c r="BA627" s="3"/>
      <c r="BB627" s="3"/>
      <c r="BC627" s="3"/>
    </row>
    <row r="628" spans="1:55" x14ac:dyDescent="0.25">
      <c r="A628" s="1" t="str">
        <f>'Population Definitions'!$A$12</f>
        <v>Prisoners_males</v>
      </c>
      <c r="C628" t="s">
        <v>32</v>
      </c>
      <c r="D628" s="3"/>
      <c r="E628" s="3">
        <v>0</v>
      </c>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c r="AV628" s="3"/>
      <c r="AW628" s="3"/>
      <c r="AX628" s="3"/>
      <c r="AY628" s="3"/>
      <c r="AZ628" s="3"/>
      <c r="BA628" s="3"/>
      <c r="BB628" s="3"/>
      <c r="BC628" s="3"/>
    </row>
    <row r="629" spans="1:55" x14ac:dyDescent="0.25">
      <c r="A629" s="1" t="str">
        <f>'Population Definitions'!$A$13</f>
        <v>Prisoners_females</v>
      </c>
      <c r="C629" t="s">
        <v>32</v>
      </c>
      <c r="D629" s="3"/>
      <c r="E629" s="3">
        <v>0</v>
      </c>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c r="AV629" s="3"/>
      <c r="AW629" s="3"/>
      <c r="AX629" s="3"/>
      <c r="AY629" s="3"/>
      <c r="AZ629" s="3"/>
      <c r="BA629" s="3"/>
      <c r="BB629" s="3"/>
      <c r="BC629" s="3"/>
    </row>
    <row r="631" spans="1:55" x14ac:dyDescent="0.25">
      <c r="A631" s="1" t="s">
        <v>171</v>
      </c>
      <c r="B631" s="1" t="s">
        <v>29</v>
      </c>
      <c r="C631" s="1" t="s">
        <v>30</v>
      </c>
      <c r="D631" s="1" t="s">
        <v>31</v>
      </c>
      <c r="E631" s="1">
        <v>2000</v>
      </c>
      <c r="F631" s="1">
        <v>2001</v>
      </c>
      <c r="G631" s="1">
        <v>2002</v>
      </c>
      <c r="H631" s="1">
        <v>2003</v>
      </c>
      <c r="I631" s="1">
        <v>2004</v>
      </c>
      <c r="J631" s="1">
        <v>2005</v>
      </c>
      <c r="K631" s="1">
        <v>2006</v>
      </c>
      <c r="L631" s="1">
        <v>2007</v>
      </c>
      <c r="M631" s="1">
        <v>2008</v>
      </c>
      <c r="N631" s="1">
        <v>2009</v>
      </c>
      <c r="O631" s="1">
        <v>2010</v>
      </c>
      <c r="P631" s="1">
        <v>2011</v>
      </c>
      <c r="Q631" s="1">
        <v>2012</v>
      </c>
      <c r="R631" s="1">
        <v>2013</v>
      </c>
      <c r="S631" s="1">
        <v>2014</v>
      </c>
      <c r="T631" s="1">
        <v>2015</v>
      </c>
      <c r="U631" s="1">
        <v>2016</v>
      </c>
      <c r="V631" s="1">
        <v>2017</v>
      </c>
      <c r="W631" s="1">
        <v>2018</v>
      </c>
      <c r="X631" s="1">
        <v>2019</v>
      </c>
      <c r="Y631" s="1">
        <v>2020</v>
      </c>
      <c r="Z631" s="1">
        <v>2021</v>
      </c>
      <c r="AA631" s="1">
        <v>2022</v>
      </c>
      <c r="AB631" s="1">
        <v>2023</v>
      </c>
      <c r="AC631" s="1">
        <v>2024</v>
      </c>
      <c r="AD631" s="1">
        <v>2025</v>
      </c>
      <c r="AE631" s="1">
        <v>2026</v>
      </c>
      <c r="AF631" s="1">
        <v>2027</v>
      </c>
      <c r="AG631" s="1">
        <v>2028</v>
      </c>
      <c r="AH631" s="1">
        <v>2029</v>
      </c>
      <c r="AI631" s="1">
        <v>2030</v>
      </c>
      <c r="AJ631" s="1">
        <v>2031</v>
      </c>
      <c r="AK631" s="1">
        <v>2032</v>
      </c>
      <c r="AL631" s="1">
        <v>2033</v>
      </c>
      <c r="AM631" s="1">
        <v>2034</v>
      </c>
      <c r="AN631" s="1">
        <v>2035</v>
      </c>
      <c r="AO631" s="1">
        <v>2036</v>
      </c>
      <c r="AP631" s="1">
        <v>2037</v>
      </c>
      <c r="AQ631" s="1">
        <v>2038</v>
      </c>
      <c r="AR631" s="1">
        <v>2039</v>
      </c>
      <c r="AS631" s="1">
        <v>2040</v>
      </c>
      <c r="AT631" s="1">
        <v>2041</v>
      </c>
      <c r="AU631" s="1">
        <v>2042</v>
      </c>
      <c r="AV631" s="1">
        <v>2043</v>
      </c>
      <c r="AW631" s="1">
        <v>2044</v>
      </c>
      <c r="AX631" s="1">
        <v>2045</v>
      </c>
      <c r="AY631" s="1">
        <v>2046</v>
      </c>
      <c r="AZ631" s="1">
        <v>2047</v>
      </c>
      <c r="BA631" s="1">
        <v>2048</v>
      </c>
      <c r="BB631" s="1">
        <v>2049</v>
      </c>
      <c r="BC631" s="1">
        <v>2050</v>
      </c>
    </row>
    <row r="632" spans="1:55" x14ac:dyDescent="0.25">
      <c r="A632" s="1" t="str">
        <f>'Population Definitions'!$A$2</f>
        <v>PWID_males</v>
      </c>
      <c r="C632" t="s">
        <v>32</v>
      </c>
      <c r="D632" s="3"/>
      <c r="E632" s="3">
        <v>0</v>
      </c>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c r="AV632" s="3"/>
      <c r="AW632" s="3"/>
      <c r="AX632" s="3"/>
      <c r="AY632" s="3"/>
      <c r="AZ632" s="3"/>
      <c r="BA632" s="3"/>
      <c r="BB632" s="3"/>
      <c r="BC632" s="3"/>
    </row>
    <row r="633" spans="1:55" x14ac:dyDescent="0.25">
      <c r="A633" s="1" t="str">
        <f>'Population Definitions'!$A$3</f>
        <v>PWID_females</v>
      </c>
      <c r="C633" t="s">
        <v>32</v>
      </c>
      <c r="D633" s="3"/>
      <c r="E633" s="3">
        <v>0</v>
      </c>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c r="AV633" s="3"/>
      <c r="AW633" s="3"/>
      <c r="AX633" s="3"/>
      <c r="AY633" s="3"/>
      <c r="AZ633" s="3"/>
      <c r="BA633" s="3"/>
      <c r="BB633" s="3"/>
      <c r="BC633" s="3"/>
    </row>
    <row r="634" spans="1:55" x14ac:dyDescent="0.25">
      <c r="A634" s="1" t="str">
        <f>'Population Definitions'!$A$4</f>
        <v>0-9_males</v>
      </c>
      <c r="C634" t="s">
        <v>32</v>
      </c>
      <c r="D634" s="3"/>
      <c r="E634" s="3">
        <v>0</v>
      </c>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c r="AV634" s="3"/>
      <c r="AW634" s="3"/>
      <c r="AX634" s="3"/>
      <c r="AY634" s="3"/>
      <c r="AZ634" s="3"/>
      <c r="BA634" s="3"/>
      <c r="BB634" s="3"/>
      <c r="BC634" s="3"/>
    </row>
    <row r="635" spans="1:55" x14ac:dyDescent="0.25">
      <c r="A635" s="1" t="str">
        <f>'Population Definitions'!$A$5</f>
        <v>0-9_females</v>
      </c>
      <c r="C635" t="s">
        <v>32</v>
      </c>
      <c r="D635" s="3"/>
      <c r="E635" s="3">
        <v>0</v>
      </c>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c r="AV635" s="3"/>
      <c r="AW635" s="3"/>
      <c r="AX635" s="3"/>
      <c r="AY635" s="3"/>
      <c r="AZ635" s="3"/>
      <c r="BA635" s="3"/>
      <c r="BB635" s="3"/>
      <c r="BC635" s="3"/>
    </row>
    <row r="636" spans="1:55" x14ac:dyDescent="0.25">
      <c r="A636" s="1" t="str">
        <f>'Population Definitions'!$A$6</f>
        <v>10-17_males</v>
      </c>
      <c r="C636" t="s">
        <v>32</v>
      </c>
      <c r="D636" s="3"/>
      <c r="E636" s="3">
        <v>0</v>
      </c>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c r="AV636" s="3"/>
      <c r="AW636" s="3"/>
      <c r="AX636" s="3"/>
      <c r="AY636" s="3"/>
      <c r="AZ636" s="3"/>
      <c r="BA636" s="3"/>
      <c r="BB636" s="3"/>
      <c r="BC636" s="3"/>
    </row>
    <row r="637" spans="1:55" x14ac:dyDescent="0.25">
      <c r="A637" s="1" t="str">
        <f>'Population Definitions'!$A$7</f>
        <v>10-17_females</v>
      </c>
      <c r="C637" t="s">
        <v>32</v>
      </c>
      <c r="D637" s="3"/>
      <c r="E637" s="3">
        <v>0</v>
      </c>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c r="AV637" s="3"/>
      <c r="AW637" s="3"/>
      <c r="AX637" s="3"/>
      <c r="AY637" s="3"/>
      <c r="AZ637" s="3"/>
      <c r="BA637" s="3"/>
      <c r="BB637" s="3"/>
      <c r="BC637" s="3"/>
    </row>
    <row r="638" spans="1:55" x14ac:dyDescent="0.25">
      <c r="A638" s="1" t="str">
        <f>'Population Definitions'!$A$8</f>
        <v>18-64_males</v>
      </c>
      <c r="C638" t="s">
        <v>32</v>
      </c>
      <c r="D638" s="3"/>
      <c r="E638" s="3">
        <v>0</v>
      </c>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c r="AV638" s="3"/>
      <c r="AW638" s="3"/>
      <c r="AX638" s="3"/>
      <c r="AY638" s="3"/>
      <c r="AZ638" s="3"/>
      <c r="BA638" s="3"/>
      <c r="BB638" s="3"/>
      <c r="BC638" s="3"/>
    </row>
    <row r="639" spans="1:55" x14ac:dyDescent="0.25">
      <c r="A639" s="1" t="str">
        <f>'Population Definitions'!$A$9</f>
        <v>18-64_females</v>
      </c>
      <c r="C639" t="s">
        <v>32</v>
      </c>
      <c r="D639" s="3"/>
      <c r="E639" s="3">
        <v>0</v>
      </c>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c r="AV639" s="3"/>
      <c r="AW639" s="3"/>
      <c r="AX639" s="3"/>
      <c r="AY639" s="3"/>
      <c r="AZ639" s="3"/>
      <c r="BA639" s="3"/>
      <c r="BB639" s="3"/>
      <c r="BC639" s="3"/>
    </row>
    <row r="640" spans="1:55" x14ac:dyDescent="0.25">
      <c r="A640" s="1" t="str">
        <f>'Population Definitions'!$A$10</f>
        <v>65+_males</v>
      </c>
      <c r="C640" t="s">
        <v>32</v>
      </c>
      <c r="D640" s="3"/>
      <c r="E640" s="3">
        <v>0</v>
      </c>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c r="AV640" s="3"/>
      <c r="AW640" s="3"/>
      <c r="AX640" s="3"/>
      <c r="AY640" s="3"/>
      <c r="AZ640" s="3"/>
      <c r="BA640" s="3"/>
      <c r="BB640" s="3"/>
      <c r="BC640" s="3"/>
    </row>
    <row r="641" spans="1:55" x14ac:dyDescent="0.25">
      <c r="A641" s="1" t="str">
        <f>'Population Definitions'!$A$11</f>
        <v>65+_females</v>
      </c>
      <c r="C641" t="s">
        <v>32</v>
      </c>
      <c r="D641" s="3"/>
      <c r="E641" s="3">
        <v>0</v>
      </c>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c r="AV641" s="3"/>
      <c r="AW641" s="3"/>
      <c r="AX641" s="3"/>
      <c r="AY641" s="3"/>
      <c r="AZ641" s="3"/>
      <c r="BA641" s="3"/>
      <c r="BB641" s="3"/>
      <c r="BC641" s="3"/>
    </row>
    <row r="642" spans="1:55" x14ac:dyDescent="0.25">
      <c r="A642" s="1" t="str">
        <f>'Population Definitions'!$A$12</f>
        <v>Prisoners_males</v>
      </c>
      <c r="C642" t="s">
        <v>32</v>
      </c>
      <c r="D642" s="3"/>
      <c r="E642" s="3">
        <v>0</v>
      </c>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c r="AV642" s="3"/>
      <c r="AW642" s="3"/>
      <c r="AX642" s="3"/>
      <c r="AY642" s="3"/>
      <c r="AZ642" s="3"/>
      <c r="BA642" s="3"/>
      <c r="BB642" s="3"/>
      <c r="BC642" s="3"/>
    </row>
    <row r="643" spans="1:55" x14ac:dyDescent="0.25">
      <c r="A643" s="1" t="str">
        <f>'Population Definitions'!$A$13</f>
        <v>Prisoners_females</v>
      </c>
      <c r="C643" t="s">
        <v>32</v>
      </c>
      <c r="D643" s="3"/>
      <c r="E643" s="3">
        <v>0</v>
      </c>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c r="AV643" s="3"/>
      <c r="AW643" s="3"/>
      <c r="AX643" s="3"/>
      <c r="AY643" s="3"/>
      <c r="AZ643" s="3"/>
      <c r="BA643" s="3"/>
      <c r="BB643" s="3"/>
      <c r="BC643" s="3"/>
    </row>
    <row r="645" spans="1:55" x14ac:dyDescent="0.25">
      <c r="A645" s="1" t="s">
        <v>172</v>
      </c>
      <c r="B645" s="1" t="s">
        <v>29</v>
      </c>
      <c r="C645" s="1" t="s">
        <v>30</v>
      </c>
      <c r="D645" s="1" t="s">
        <v>31</v>
      </c>
      <c r="E645" s="1">
        <v>2000</v>
      </c>
      <c r="F645" s="1">
        <v>2001</v>
      </c>
      <c r="G645" s="1">
        <v>2002</v>
      </c>
      <c r="H645" s="1">
        <v>2003</v>
      </c>
      <c r="I645" s="1">
        <v>2004</v>
      </c>
      <c r="J645" s="1">
        <v>2005</v>
      </c>
      <c r="K645" s="1">
        <v>2006</v>
      </c>
      <c r="L645" s="1">
        <v>2007</v>
      </c>
      <c r="M645" s="1">
        <v>2008</v>
      </c>
      <c r="N645" s="1">
        <v>2009</v>
      </c>
      <c r="O645" s="1">
        <v>2010</v>
      </c>
      <c r="P645" s="1">
        <v>2011</v>
      </c>
      <c r="Q645" s="1">
        <v>2012</v>
      </c>
      <c r="R645" s="1">
        <v>2013</v>
      </c>
      <c r="S645" s="1">
        <v>2014</v>
      </c>
      <c r="T645" s="1">
        <v>2015</v>
      </c>
      <c r="U645" s="1">
        <v>2016</v>
      </c>
      <c r="V645" s="1">
        <v>2017</v>
      </c>
      <c r="W645" s="1">
        <v>2018</v>
      </c>
      <c r="X645" s="1">
        <v>2019</v>
      </c>
      <c r="Y645" s="1">
        <v>2020</v>
      </c>
      <c r="Z645" s="1">
        <v>2021</v>
      </c>
      <c r="AA645" s="1">
        <v>2022</v>
      </c>
      <c r="AB645" s="1">
        <v>2023</v>
      </c>
      <c r="AC645" s="1">
        <v>2024</v>
      </c>
      <c r="AD645" s="1">
        <v>2025</v>
      </c>
      <c r="AE645" s="1">
        <v>2026</v>
      </c>
      <c r="AF645" s="1">
        <v>2027</v>
      </c>
      <c r="AG645" s="1">
        <v>2028</v>
      </c>
      <c r="AH645" s="1">
        <v>2029</v>
      </c>
      <c r="AI645" s="1">
        <v>2030</v>
      </c>
      <c r="AJ645" s="1">
        <v>2031</v>
      </c>
      <c r="AK645" s="1">
        <v>2032</v>
      </c>
      <c r="AL645" s="1">
        <v>2033</v>
      </c>
      <c r="AM645" s="1">
        <v>2034</v>
      </c>
      <c r="AN645" s="1">
        <v>2035</v>
      </c>
      <c r="AO645" s="1">
        <v>2036</v>
      </c>
      <c r="AP645" s="1">
        <v>2037</v>
      </c>
      <c r="AQ645" s="1">
        <v>2038</v>
      </c>
      <c r="AR645" s="1">
        <v>2039</v>
      </c>
      <c r="AS645" s="1">
        <v>2040</v>
      </c>
      <c r="AT645" s="1">
        <v>2041</v>
      </c>
      <c r="AU645" s="1">
        <v>2042</v>
      </c>
      <c r="AV645" s="1">
        <v>2043</v>
      </c>
      <c r="AW645" s="1">
        <v>2044</v>
      </c>
      <c r="AX645" s="1">
        <v>2045</v>
      </c>
      <c r="AY645" s="1">
        <v>2046</v>
      </c>
      <c r="AZ645" s="1">
        <v>2047</v>
      </c>
      <c r="BA645" s="1">
        <v>2048</v>
      </c>
      <c r="BB645" s="1">
        <v>2049</v>
      </c>
      <c r="BC645" s="1">
        <v>2050</v>
      </c>
    </row>
    <row r="646" spans="1:55" x14ac:dyDescent="0.25">
      <c r="A646" s="1" t="str">
        <f>'Population Definitions'!$A$2</f>
        <v>PWID_males</v>
      </c>
      <c r="C646" t="s">
        <v>32</v>
      </c>
      <c r="D646" s="3"/>
      <c r="E646" s="3">
        <v>0</v>
      </c>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c r="AV646" s="3"/>
      <c r="AW646" s="3"/>
      <c r="AX646" s="3"/>
      <c r="AY646" s="3"/>
      <c r="AZ646" s="3"/>
      <c r="BA646" s="3"/>
      <c r="BB646" s="3"/>
      <c r="BC646" s="3"/>
    </row>
    <row r="647" spans="1:55" x14ac:dyDescent="0.25">
      <c r="A647" s="1" t="str">
        <f>'Population Definitions'!$A$3</f>
        <v>PWID_females</v>
      </c>
      <c r="C647" t="s">
        <v>32</v>
      </c>
      <c r="D647" s="3"/>
      <c r="E647" s="3">
        <v>0</v>
      </c>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c r="AV647" s="3"/>
      <c r="AW647" s="3"/>
      <c r="AX647" s="3"/>
      <c r="AY647" s="3"/>
      <c r="AZ647" s="3"/>
      <c r="BA647" s="3"/>
      <c r="BB647" s="3"/>
      <c r="BC647" s="3"/>
    </row>
    <row r="648" spans="1:55" x14ac:dyDescent="0.25">
      <c r="A648" s="1" t="str">
        <f>'Population Definitions'!$A$4</f>
        <v>0-9_males</v>
      </c>
      <c r="C648" t="s">
        <v>32</v>
      </c>
      <c r="D648" s="3"/>
      <c r="E648" s="3">
        <v>0</v>
      </c>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c r="AV648" s="3"/>
      <c r="AW648" s="3"/>
      <c r="AX648" s="3"/>
      <c r="AY648" s="3"/>
      <c r="AZ648" s="3"/>
      <c r="BA648" s="3"/>
      <c r="BB648" s="3"/>
      <c r="BC648" s="3"/>
    </row>
    <row r="649" spans="1:55" x14ac:dyDescent="0.25">
      <c r="A649" s="1" t="str">
        <f>'Population Definitions'!$A$5</f>
        <v>0-9_females</v>
      </c>
      <c r="C649" t="s">
        <v>32</v>
      </c>
      <c r="D649" s="3"/>
      <c r="E649" s="3">
        <v>0</v>
      </c>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c r="AV649" s="3"/>
      <c r="AW649" s="3"/>
      <c r="AX649" s="3"/>
      <c r="AY649" s="3"/>
      <c r="AZ649" s="3"/>
      <c r="BA649" s="3"/>
      <c r="BB649" s="3"/>
      <c r="BC649" s="3"/>
    </row>
    <row r="650" spans="1:55" x14ac:dyDescent="0.25">
      <c r="A650" s="1" t="str">
        <f>'Population Definitions'!$A$6</f>
        <v>10-17_males</v>
      </c>
      <c r="C650" t="s">
        <v>32</v>
      </c>
      <c r="D650" s="3"/>
      <c r="E650" s="3">
        <v>0</v>
      </c>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c r="AV650" s="3"/>
      <c r="AW650" s="3"/>
      <c r="AX650" s="3"/>
      <c r="AY650" s="3"/>
      <c r="AZ650" s="3"/>
      <c r="BA650" s="3"/>
      <c r="BB650" s="3"/>
      <c r="BC650" s="3"/>
    </row>
    <row r="651" spans="1:55" x14ac:dyDescent="0.25">
      <c r="A651" s="1" t="str">
        <f>'Population Definitions'!$A$7</f>
        <v>10-17_females</v>
      </c>
      <c r="C651" t="s">
        <v>32</v>
      </c>
      <c r="D651" s="3"/>
      <c r="E651" s="3">
        <v>0</v>
      </c>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c r="AV651" s="3"/>
      <c r="AW651" s="3"/>
      <c r="AX651" s="3"/>
      <c r="AY651" s="3"/>
      <c r="AZ651" s="3"/>
      <c r="BA651" s="3"/>
      <c r="BB651" s="3"/>
      <c r="BC651" s="3"/>
    </row>
    <row r="652" spans="1:55" x14ac:dyDescent="0.25">
      <c r="A652" s="1" t="str">
        <f>'Population Definitions'!$A$8</f>
        <v>18-64_males</v>
      </c>
      <c r="C652" t="s">
        <v>32</v>
      </c>
      <c r="D652" s="3"/>
      <c r="E652" s="3">
        <v>0</v>
      </c>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c r="AV652" s="3"/>
      <c r="AW652" s="3"/>
      <c r="AX652" s="3"/>
      <c r="AY652" s="3"/>
      <c r="AZ652" s="3"/>
      <c r="BA652" s="3"/>
      <c r="BB652" s="3"/>
      <c r="BC652" s="3"/>
    </row>
    <row r="653" spans="1:55" x14ac:dyDescent="0.25">
      <c r="A653" s="1" t="str">
        <f>'Population Definitions'!$A$9</f>
        <v>18-64_females</v>
      </c>
      <c r="C653" t="s">
        <v>32</v>
      </c>
      <c r="D653" s="3"/>
      <c r="E653" s="3">
        <v>0</v>
      </c>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c r="AV653" s="3"/>
      <c r="AW653" s="3"/>
      <c r="AX653" s="3"/>
      <c r="AY653" s="3"/>
      <c r="AZ653" s="3"/>
      <c r="BA653" s="3"/>
      <c r="BB653" s="3"/>
      <c r="BC653" s="3"/>
    </row>
    <row r="654" spans="1:55" x14ac:dyDescent="0.25">
      <c r="A654" s="1" t="str">
        <f>'Population Definitions'!$A$10</f>
        <v>65+_males</v>
      </c>
      <c r="C654" t="s">
        <v>32</v>
      </c>
      <c r="D654" s="3"/>
      <c r="E654" s="3">
        <v>0</v>
      </c>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c r="AV654" s="3"/>
      <c r="AW654" s="3"/>
      <c r="AX654" s="3"/>
      <c r="AY654" s="3"/>
      <c r="AZ654" s="3"/>
      <c r="BA654" s="3"/>
      <c r="BB654" s="3"/>
      <c r="BC654" s="3"/>
    </row>
    <row r="655" spans="1:55" x14ac:dyDescent="0.25">
      <c r="A655" s="1" t="str">
        <f>'Population Definitions'!$A$11</f>
        <v>65+_females</v>
      </c>
      <c r="C655" t="s">
        <v>32</v>
      </c>
      <c r="D655" s="3"/>
      <c r="E655" s="3">
        <v>0</v>
      </c>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c r="AV655" s="3"/>
      <c r="AW655" s="3"/>
      <c r="AX655" s="3"/>
      <c r="AY655" s="3"/>
      <c r="AZ655" s="3"/>
      <c r="BA655" s="3"/>
      <c r="BB655" s="3"/>
      <c r="BC655" s="3"/>
    </row>
    <row r="656" spans="1:55" x14ac:dyDescent="0.25">
      <c r="A656" s="1" t="str">
        <f>'Population Definitions'!$A$12</f>
        <v>Prisoners_males</v>
      </c>
      <c r="C656" t="s">
        <v>32</v>
      </c>
      <c r="D656" s="3"/>
      <c r="E656" s="3">
        <v>0</v>
      </c>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c r="AV656" s="3"/>
      <c r="AW656" s="3"/>
      <c r="AX656" s="3"/>
      <c r="AY656" s="3"/>
      <c r="AZ656" s="3"/>
      <c r="BA656" s="3"/>
      <c r="BB656" s="3"/>
      <c r="BC656" s="3"/>
    </row>
    <row r="657" spans="1:55" x14ac:dyDescent="0.25">
      <c r="A657" s="1" t="str">
        <f>'Population Definitions'!$A$13</f>
        <v>Prisoners_females</v>
      </c>
      <c r="C657" t="s">
        <v>32</v>
      </c>
      <c r="D657" s="3"/>
      <c r="E657" s="3">
        <v>0</v>
      </c>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c r="AV657" s="3"/>
      <c r="AW657" s="3"/>
      <c r="AX657" s="3"/>
      <c r="AY657" s="3"/>
      <c r="AZ657" s="3"/>
      <c r="BA657" s="3"/>
      <c r="BB657" s="3"/>
      <c r="BC657" s="3"/>
    </row>
    <row r="659" spans="1:55" x14ac:dyDescent="0.25">
      <c r="A659" s="1" t="s">
        <v>173</v>
      </c>
      <c r="B659" s="1" t="s">
        <v>29</v>
      </c>
      <c r="C659" s="1" t="s">
        <v>30</v>
      </c>
      <c r="D659" s="1" t="s">
        <v>31</v>
      </c>
      <c r="E659" s="1">
        <v>2000</v>
      </c>
      <c r="F659" s="1">
        <v>2001</v>
      </c>
      <c r="G659" s="1">
        <v>2002</v>
      </c>
      <c r="H659" s="1">
        <v>2003</v>
      </c>
      <c r="I659" s="1">
        <v>2004</v>
      </c>
      <c r="J659" s="1">
        <v>2005</v>
      </c>
      <c r="K659" s="1">
        <v>2006</v>
      </c>
      <c r="L659" s="1">
        <v>2007</v>
      </c>
      <c r="M659" s="1">
        <v>2008</v>
      </c>
      <c r="N659" s="1">
        <v>2009</v>
      </c>
      <c r="O659" s="1">
        <v>2010</v>
      </c>
      <c r="P659" s="1">
        <v>2011</v>
      </c>
      <c r="Q659" s="1">
        <v>2012</v>
      </c>
      <c r="R659" s="1">
        <v>2013</v>
      </c>
      <c r="S659" s="1">
        <v>2014</v>
      </c>
      <c r="T659" s="1">
        <v>2015</v>
      </c>
      <c r="U659" s="1">
        <v>2016</v>
      </c>
      <c r="V659" s="1">
        <v>2017</v>
      </c>
      <c r="W659" s="1">
        <v>2018</v>
      </c>
      <c r="X659" s="1">
        <v>2019</v>
      </c>
      <c r="Y659" s="1">
        <v>2020</v>
      </c>
      <c r="Z659" s="1">
        <v>2021</v>
      </c>
      <c r="AA659" s="1">
        <v>2022</v>
      </c>
      <c r="AB659" s="1">
        <v>2023</v>
      </c>
      <c r="AC659" s="1">
        <v>2024</v>
      </c>
      <c r="AD659" s="1">
        <v>2025</v>
      </c>
      <c r="AE659" s="1">
        <v>2026</v>
      </c>
      <c r="AF659" s="1">
        <v>2027</v>
      </c>
      <c r="AG659" s="1">
        <v>2028</v>
      </c>
      <c r="AH659" s="1">
        <v>2029</v>
      </c>
      <c r="AI659" s="1">
        <v>2030</v>
      </c>
      <c r="AJ659" s="1">
        <v>2031</v>
      </c>
      <c r="AK659" s="1">
        <v>2032</v>
      </c>
      <c r="AL659" s="1">
        <v>2033</v>
      </c>
      <c r="AM659" s="1">
        <v>2034</v>
      </c>
      <c r="AN659" s="1">
        <v>2035</v>
      </c>
      <c r="AO659" s="1">
        <v>2036</v>
      </c>
      <c r="AP659" s="1">
        <v>2037</v>
      </c>
      <c r="AQ659" s="1">
        <v>2038</v>
      </c>
      <c r="AR659" s="1">
        <v>2039</v>
      </c>
      <c r="AS659" s="1">
        <v>2040</v>
      </c>
      <c r="AT659" s="1">
        <v>2041</v>
      </c>
      <c r="AU659" s="1">
        <v>2042</v>
      </c>
      <c r="AV659" s="1">
        <v>2043</v>
      </c>
      <c r="AW659" s="1">
        <v>2044</v>
      </c>
      <c r="AX659" s="1">
        <v>2045</v>
      </c>
      <c r="AY659" s="1">
        <v>2046</v>
      </c>
      <c r="AZ659" s="1">
        <v>2047</v>
      </c>
      <c r="BA659" s="1">
        <v>2048</v>
      </c>
      <c r="BB659" s="1">
        <v>2049</v>
      </c>
      <c r="BC659" s="1">
        <v>2050</v>
      </c>
    </row>
    <row r="660" spans="1:55" x14ac:dyDescent="0.25">
      <c r="A660" s="1" t="str">
        <f>'Population Definitions'!$A$2</f>
        <v>PWID_males</v>
      </c>
      <c r="C660" t="s">
        <v>32</v>
      </c>
      <c r="D660" s="3"/>
      <c r="E660" s="3">
        <v>0</v>
      </c>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c r="AP660" s="3"/>
      <c r="AQ660" s="3"/>
      <c r="AR660" s="3"/>
      <c r="AS660" s="3"/>
      <c r="AT660" s="3"/>
      <c r="AU660" s="3"/>
      <c r="AV660" s="3"/>
      <c r="AW660" s="3"/>
      <c r="AX660" s="3"/>
      <c r="AY660" s="3"/>
      <c r="AZ660" s="3"/>
      <c r="BA660" s="3"/>
      <c r="BB660" s="3"/>
      <c r="BC660" s="3"/>
    </row>
    <row r="661" spans="1:55" x14ac:dyDescent="0.25">
      <c r="A661" s="1" t="str">
        <f>'Population Definitions'!$A$3</f>
        <v>PWID_females</v>
      </c>
      <c r="C661" t="s">
        <v>32</v>
      </c>
      <c r="D661" s="3"/>
      <c r="E661" s="3">
        <v>0</v>
      </c>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c r="AV661" s="3"/>
      <c r="AW661" s="3"/>
      <c r="AX661" s="3"/>
      <c r="AY661" s="3"/>
      <c r="AZ661" s="3"/>
      <c r="BA661" s="3"/>
      <c r="BB661" s="3"/>
      <c r="BC661" s="3"/>
    </row>
    <row r="662" spans="1:55" x14ac:dyDescent="0.25">
      <c r="A662" s="1" t="str">
        <f>'Population Definitions'!$A$4</f>
        <v>0-9_males</v>
      </c>
      <c r="C662" t="s">
        <v>32</v>
      </c>
      <c r="D662" s="3"/>
      <c r="E662" s="3">
        <v>0</v>
      </c>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c r="AV662" s="3"/>
      <c r="AW662" s="3"/>
      <c r="AX662" s="3"/>
      <c r="AY662" s="3"/>
      <c r="AZ662" s="3"/>
      <c r="BA662" s="3"/>
      <c r="BB662" s="3"/>
      <c r="BC662" s="3"/>
    </row>
    <row r="663" spans="1:55" x14ac:dyDescent="0.25">
      <c r="A663" s="1" t="str">
        <f>'Population Definitions'!$A$5</f>
        <v>0-9_females</v>
      </c>
      <c r="C663" t="s">
        <v>32</v>
      </c>
      <c r="D663" s="3"/>
      <c r="E663" s="3">
        <v>0</v>
      </c>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c r="AV663" s="3"/>
      <c r="AW663" s="3"/>
      <c r="AX663" s="3"/>
      <c r="AY663" s="3"/>
      <c r="AZ663" s="3"/>
      <c r="BA663" s="3"/>
      <c r="BB663" s="3"/>
      <c r="BC663" s="3"/>
    </row>
    <row r="664" spans="1:55" x14ac:dyDescent="0.25">
      <c r="A664" s="1" t="str">
        <f>'Population Definitions'!$A$6</f>
        <v>10-17_males</v>
      </c>
      <c r="C664" t="s">
        <v>32</v>
      </c>
      <c r="D664" s="3"/>
      <c r="E664" s="3">
        <v>0</v>
      </c>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c r="AV664" s="3"/>
      <c r="AW664" s="3"/>
      <c r="AX664" s="3"/>
      <c r="AY664" s="3"/>
      <c r="AZ664" s="3"/>
      <c r="BA664" s="3"/>
      <c r="BB664" s="3"/>
      <c r="BC664" s="3"/>
    </row>
    <row r="665" spans="1:55" x14ac:dyDescent="0.25">
      <c r="A665" s="1" t="str">
        <f>'Population Definitions'!$A$7</f>
        <v>10-17_females</v>
      </c>
      <c r="C665" t="s">
        <v>32</v>
      </c>
      <c r="D665" s="3"/>
      <c r="E665" s="3">
        <v>0</v>
      </c>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c r="AV665" s="3"/>
      <c r="AW665" s="3"/>
      <c r="AX665" s="3"/>
      <c r="AY665" s="3"/>
      <c r="AZ665" s="3"/>
      <c r="BA665" s="3"/>
      <c r="BB665" s="3"/>
      <c r="BC665" s="3"/>
    </row>
    <row r="666" spans="1:55" x14ac:dyDescent="0.25">
      <c r="A666" s="1" t="str">
        <f>'Population Definitions'!$A$8</f>
        <v>18-64_males</v>
      </c>
      <c r="C666" t="s">
        <v>32</v>
      </c>
      <c r="D666" s="3"/>
      <c r="E666" s="3">
        <v>0</v>
      </c>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c r="AV666" s="3"/>
      <c r="AW666" s="3"/>
      <c r="AX666" s="3"/>
      <c r="AY666" s="3"/>
      <c r="AZ666" s="3"/>
      <c r="BA666" s="3"/>
      <c r="BB666" s="3"/>
      <c r="BC666" s="3"/>
    </row>
    <row r="667" spans="1:55" x14ac:dyDescent="0.25">
      <c r="A667" s="1" t="str">
        <f>'Population Definitions'!$A$9</f>
        <v>18-64_females</v>
      </c>
      <c r="C667" t="s">
        <v>32</v>
      </c>
      <c r="D667" s="3"/>
      <c r="E667" s="3">
        <v>0</v>
      </c>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c r="AV667" s="3"/>
      <c r="AW667" s="3"/>
      <c r="AX667" s="3"/>
      <c r="AY667" s="3"/>
      <c r="AZ667" s="3"/>
      <c r="BA667" s="3"/>
      <c r="BB667" s="3"/>
      <c r="BC667" s="3"/>
    </row>
    <row r="668" spans="1:55" x14ac:dyDescent="0.25">
      <c r="A668" s="1" t="str">
        <f>'Population Definitions'!$A$10</f>
        <v>65+_males</v>
      </c>
      <c r="C668" t="s">
        <v>32</v>
      </c>
      <c r="D668" s="3"/>
      <c r="E668" s="3">
        <v>0</v>
      </c>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c r="AV668" s="3"/>
      <c r="AW668" s="3"/>
      <c r="AX668" s="3"/>
      <c r="AY668" s="3"/>
      <c r="AZ668" s="3"/>
      <c r="BA668" s="3"/>
      <c r="BB668" s="3"/>
      <c r="BC668" s="3"/>
    </row>
    <row r="669" spans="1:55" x14ac:dyDescent="0.25">
      <c r="A669" s="1" t="str">
        <f>'Population Definitions'!$A$11</f>
        <v>65+_females</v>
      </c>
      <c r="C669" t="s">
        <v>32</v>
      </c>
      <c r="D669" s="3"/>
      <c r="E669" s="3">
        <v>0</v>
      </c>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c r="AV669" s="3"/>
      <c r="AW669" s="3"/>
      <c r="AX669" s="3"/>
      <c r="AY669" s="3"/>
      <c r="AZ669" s="3"/>
      <c r="BA669" s="3"/>
      <c r="BB669" s="3"/>
      <c r="BC669" s="3"/>
    </row>
    <row r="670" spans="1:55" x14ac:dyDescent="0.25">
      <c r="A670" s="1" t="str">
        <f>'Population Definitions'!$A$12</f>
        <v>Prisoners_males</v>
      </c>
      <c r="C670" t="s">
        <v>32</v>
      </c>
      <c r="D670" s="3"/>
      <c r="E670" s="3">
        <v>0</v>
      </c>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c r="AV670" s="3"/>
      <c r="AW670" s="3"/>
      <c r="AX670" s="3"/>
      <c r="AY670" s="3"/>
      <c r="AZ670" s="3"/>
      <c r="BA670" s="3"/>
      <c r="BB670" s="3"/>
      <c r="BC670" s="3"/>
    </row>
    <row r="671" spans="1:55" x14ac:dyDescent="0.25">
      <c r="A671" s="1" t="str">
        <f>'Population Definitions'!$A$13</f>
        <v>Prisoners_females</v>
      </c>
      <c r="C671" t="s">
        <v>32</v>
      </c>
      <c r="D671" s="3"/>
      <c r="E671" s="3">
        <v>0</v>
      </c>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c r="AV671" s="3"/>
      <c r="AW671" s="3"/>
      <c r="AX671" s="3"/>
      <c r="AY671" s="3"/>
      <c r="AZ671" s="3"/>
      <c r="BA671" s="3"/>
      <c r="BB671" s="3"/>
      <c r="BC671" s="3"/>
    </row>
    <row r="673" spans="1:55" x14ac:dyDescent="0.25">
      <c r="A673" s="1" t="s">
        <v>174</v>
      </c>
      <c r="B673" s="1" t="s">
        <v>29</v>
      </c>
      <c r="C673" s="1" t="s">
        <v>30</v>
      </c>
      <c r="D673" s="1" t="s">
        <v>31</v>
      </c>
      <c r="E673" s="1">
        <v>2000</v>
      </c>
      <c r="F673" s="1">
        <v>2001</v>
      </c>
      <c r="G673" s="1">
        <v>2002</v>
      </c>
      <c r="H673" s="1">
        <v>2003</v>
      </c>
      <c r="I673" s="1">
        <v>2004</v>
      </c>
      <c r="J673" s="1">
        <v>2005</v>
      </c>
      <c r="K673" s="1">
        <v>2006</v>
      </c>
      <c r="L673" s="1">
        <v>2007</v>
      </c>
      <c r="M673" s="1">
        <v>2008</v>
      </c>
      <c r="N673" s="1">
        <v>2009</v>
      </c>
      <c r="O673" s="1">
        <v>2010</v>
      </c>
      <c r="P673" s="1">
        <v>2011</v>
      </c>
      <c r="Q673" s="1">
        <v>2012</v>
      </c>
      <c r="R673" s="1">
        <v>2013</v>
      </c>
      <c r="S673" s="1">
        <v>2014</v>
      </c>
      <c r="T673" s="1">
        <v>2015</v>
      </c>
      <c r="U673" s="1">
        <v>2016</v>
      </c>
      <c r="V673" s="1">
        <v>2017</v>
      </c>
      <c r="W673" s="1">
        <v>2018</v>
      </c>
      <c r="X673" s="1">
        <v>2019</v>
      </c>
      <c r="Y673" s="1">
        <v>2020</v>
      </c>
      <c r="Z673" s="1">
        <v>2021</v>
      </c>
      <c r="AA673" s="1">
        <v>2022</v>
      </c>
      <c r="AB673" s="1">
        <v>2023</v>
      </c>
      <c r="AC673" s="1">
        <v>2024</v>
      </c>
      <c r="AD673" s="1">
        <v>2025</v>
      </c>
      <c r="AE673" s="1">
        <v>2026</v>
      </c>
      <c r="AF673" s="1">
        <v>2027</v>
      </c>
      <c r="AG673" s="1">
        <v>2028</v>
      </c>
      <c r="AH673" s="1">
        <v>2029</v>
      </c>
      <c r="AI673" s="1">
        <v>2030</v>
      </c>
      <c r="AJ673" s="1">
        <v>2031</v>
      </c>
      <c r="AK673" s="1">
        <v>2032</v>
      </c>
      <c r="AL673" s="1">
        <v>2033</v>
      </c>
      <c r="AM673" s="1">
        <v>2034</v>
      </c>
      <c r="AN673" s="1">
        <v>2035</v>
      </c>
      <c r="AO673" s="1">
        <v>2036</v>
      </c>
      <c r="AP673" s="1">
        <v>2037</v>
      </c>
      <c r="AQ673" s="1">
        <v>2038</v>
      </c>
      <c r="AR673" s="1">
        <v>2039</v>
      </c>
      <c r="AS673" s="1">
        <v>2040</v>
      </c>
      <c r="AT673" s="1">
        <v>2041</v>
      </c>
      <c r="AU673" s="1">
        <v>2042</v>
      </c>
      <c r="AV673" s="1">
        <v>2043</v>
      </c>
      <c r="AW673" s="1">
        <v>2044</v>
      </c>
      <c r="AX673" s="1">
        <v>2045</v>
      </c>
      <c r="AY673" s="1">
        <v>2046</v>
      </c>
      <c r="AZ673" s="1">
        <v>2047</v>
      </c>
      <c r="BA673" s="1">
        <v>2048</v>
      </c>
      <c r="BB673" s="1">
        <v>2049</v>
      </c>
      <c r="BC673" s="1">
        <v>2050</v>
      </c>
    </row>
    <row r="674" spans="1:55" x14ac:dyDescent="0.25">
      <c r="A674" s="1" t="str">
        <f>'Population Definitions'!$A$2</f>
        <v>PWID_males</v>
      </c>
      <c r="C674" t="s">
        <v>32</v>
      </c>
      <c r="D674" s="3"/>
      <c r="E674" s="3">
        <v>0</v>
      </c>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c r="AV674" s="3"/>
      <c r="AW674" s="3"/>
      <c r="AX674" s="3"/>
      <c r="AY674" s="3"/>
      <c r="AZ674" s="3"/>
      <c r="BA674" s="3"/>
      <c r="BB674" s="3"/>
      <c r="BC674" s="3"/>
    </row>
    <row r="675" spans="1:55" x14ac:dyDescent="0.25">
      <c r="A675" s="1" t="str">
        <f>'Population Definitions'!$A$3</f>
        <v>PWID_females</v>
      </c>
      <c r="C675" t="s">
        <v>32</v>
      </c>
      <c r="D675" s="3"/>
      <c r="E675" s="3">
        <v>0</v>
      </c>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c r="AV675" s="3"/>
      <c r="AW675" s="3"/>
      <c r="AX675" s="3"/>
      <c r="AY675" s="3"/>
      <c r="AZ675" s="3"/>
      <c r="BA675" s="3"/>
      <c r="BB675" s="3"/>
      <c r="BC675" s="3"/>
    </row>
    <row r="676" spans="1:55" x14ac:dyDescent="0.25">
      <c r="A676" s="1" t="str">
        <f>'Population Definitions'!$A$4</f>
        <v>0-9_males</v>
      </c>
      <c r="C676" t="s">
        <v>32</v>
      </c>
      <c r="D676" s="3"/>
      <c r="E676" s="3">
        <v>0</v>
      </c>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c r="AV676" s="3"/>
      <c r="AW676" s="3"/>
      <c r="AX676" s="3"/>
      <c r="AY676" s="3"/>
      <c r="AZ676" s="3"/>
      <c r="BA676" s="3"/>
      <c r="BB676" s="3"/>
      <c r="BC676" s="3"/>
    </row>
    <row r="677" spans="1:55" x14ac:dyDescent="0.25">
      <c r="A677" s="1" t="str">
        <f>'Population Definitions'!$A$5</f>
        <v>0-9_females</v>
      </c>
      <c r="C677" t="s">
        <v>32</v>
      </c>
      <c r="D677" s="3"/>
      <c r="E677" s="3">
        <v>0</v>
      </c>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c r="AV677" s="3"/>
      <c r="AW677" s="3"/>
      <c r="AX677" s="3"/>
      <c r="AY677" s="3"/>
      <c r="AZ677" s="3"/>
      <c r="BA677" s="3"/>
      <c r="BB677" s="3"/>
      <c r="BC677" s="3"/>
    </row>
    <row r="678" spans="1:55" x14ac:dyDescent="0.25">
      <c r="A678" s="1" t="str">
        <f>'Population Definitions'!$A$6</f>
        <v>10-17_males</v>
      </c>
      <c r="C678" t="s">
        <v>32</v>
      </c>
      <c r="D678" s="3"/>
      <c r="E678" s="3">
        <v>0</v>
      </c>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c r="AV678" s="3"/>
      <c r="AW678" s="3"/>
      <c r="AX678" s="3"/>
      <c r="AY678" s="3"/>
      <c r="AZ678" s="3"/>
      <c r="BA678" s="3"/>
      <c r="BB678" s="3"/>
      <c r="BC678" s="3"/>
    </row>
    <row r="679" spans="1:55" x14ac:dyDescent="0.25">
      <c r="A679" s="1" t="str">
        <f>'Population Definitions'!$A$7</f>
        <v>10-17_females</v>
      </c>
      <c r="C679" t="s">
        <v>32</v>
      </c>
      <c r="D679" s="3"/>
      <c r="E679" s="3">
        <v>0</v>
      </c>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c r="AV679" s="3"/>
      <c r="AW679" s="3"/>
      <c r="AX679" s="3"/>
      <c r="AY679" s="3"/>
      <c r="AZ679" s="3"/>
      <c r="BA679" s="3"/>
      <c r="BB679" s="3"/>
      <c r="BC679" s="3"/>
    </row>
    <row r="680" spans="1:55" x14ac:dyDescent="0.25">
      <c r="A680" s="1" t="str">
        <f>'Population Definitions'!$A$8</f>
        <v>18-64_males</v>
      </c>
      <c r="C680" t="s">
        <v>32</v>
      </c>
      <c r="D680" s="3"/>
      <c r="E680" s="3">
        <v>0</v>
      </c>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c r="AV680" s="3"/>
      <c r="AW680" s="3"/>
      <c r="AX680" s="3"/>
      <c r="AY680" s="3"/>
      <c r="AZ680" s="3"/>
      <c r="BA680" s="3"/>
      <c r="BB680" s="3"/>
      <c r="BC680" s="3"/>
    </row>
    <row r="681" spans="1:55" x14ac:dyDescent="0.25">
      <c r="A681" s="1" t="str">
        <f>'Population Definitions'!$A$9</f>
        <v>18-64_females</v>
      </c>
      <c r="C681" t="s">
        <v>32</v>
      </c>
      <c r="D681" s="3"/>
      <c r="E681" s="3">
        <v>0</v>
      </c>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c r="AV681" s="3"/>
      <c r="AW681" s="3"/>
      <c r="AX681" s="3"/>
      <c r="AY681" s="3"/>
      <c r="AZ681" s="3"/>
      <c r="BA681" s="3"/>
      <c r="BB681" s="3"/>
      <c r="BC681" s="3"/>
    </row>
    <row r="682" spans="1:55" x14ac:dyDescent="0.25">
      <c r="A682" s="1" t="str">
        <f>'Population Definitions'!$A$10</f>
        <v>65+_males</v>
      </c>
      <c r="C682" t="s">
        <v>32</v>
      </c>
      <c r="D682" s="3"/>
      <c r="E682" s="3">
        <v>0</v>
      </c>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c r="AV682" s="3"/>
      <c r="AW682" s="3"/>
      <c r="AX682" s="3"/>
      <c r="AY682" s="3"/>
      <c r="AZ682" s="3"/>
      <c r="BA682" s="3"/>
      <c r="BB682" s="3"/>
      <c r="BC682" s="3"/>
    </row>
    <row r="683" spans="1:55" x14ac:dyDescent="0.25">
      <c r="A683" s="1" t="str">
        <f>'Population Definitions'!$A$11</f>
        <v>65+_females</v>
      </c>
      <c r="C683" t="s">
        <v>32</v>
      </c>
      <c r="D683" s="3"/>
      <c r="E683" s="3">
        <v>0</v>
      </c>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c r="AV683" s="3"/>
      <c r="AW683" s="3"/>
      <c r="AX683" s="3"/>
      <c r="AY683" s="3"/>
      <c r="AZ683" s="3"/>
      <c r="BA683" s="3"/>
      <c r="BB683" s="3"/>
      <c r="BC683" s="3"/>
    </row>
    <row r="684" spans="1:55" x14ac:dyDescent="0.25">
      <c r="A684" s="1" t="str">
        <f>'Population Definitions'!$A$12</f>
        <v>Prisoners_males</v>
      </c>
      <c r="C684" t="s">
        <v>32</v>
      </c>
      <c r="D684" s="3"/>
      <c r="E684" s="3">
        <v>0</v>
      </c>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c r="AV684" s="3"/>
      <c r="AW684" s="3"/>
      <c r="AX684" s="3"/>
      <c r="AY684" s="3"/>
      <c r="AZ684" s="3"/>
      <c r="BA684" s="3"/>
      <c r="BB684" s="3"/>
      <c r="BC684" s="3"/>
    </row>
    <row r="685" spans="1:55" x14ac:dyDescent="0.25">
      <c r="A685" s="1" t="str">
        <f>'Population Definitions'!$A$13</f>
        <v>Prisoners_females</v>
      </c>
      <c r="C685" t="s">
        <v>32</v>
      </c>
      <c r="D685" s="3"/>
      <c r="E685" s="3">
        <v>0</v>
      </c>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c r="AV685" s="3"/>
      <c r="AW685" s="3"/>
      <c r="AX685" s="3"/>
      <c r="AY685" s="3"/>
      <c r="AZ685" s="3"/>
      <c r="BA685" s="3"/>
      <c r="BB685" s="3"/>
      <c r="BC685" s="3"/>
    </row>
    <row r="687" spans="1:55" x14ac:dyDescent="0.25">
      <c r="A687" s="1" t="s">
        <v>175</v>
      </c>
      <c r="B687" s="1" t="s">
        <v>29</v>
      </c>
      <c r="C687" s="1" t="s">
        <v>30</v>
      </c>
      <c r="D687" s="1" t="s">
        <v>31</v>
      </c>
      <c r="E687" s="1">
        <v>2000</v>
      </c>
      <c r="F687" s="1">
        <v>2001</v>
      </c>
      <c r="G687" s="1">
        <v>2002</v>
      </c>
      <c r="H687" s="1">
        <v>2003</v>
      </c>
      <c r="I687" s="1">
        <v>2004</v>
      </c>
      <c r="J687" s="1">
        <v>2005</v>
      </c>
      <c r="K687" s="1">
        <v>2006</v>
      </c>
      <c r="L687" s="1">
        <v>2007</v>
      </c>
      <c r="M687" s="1">
        <v>2008</v>
      </c>
      <c r="N687" s="1">
        <v>2009</v>
      </c>
      <c r="O687" s="1">
        <v>2010</v>
      </c>
      <c r="P687" s="1">
        <v>2011</v>
      </c>
      <c r="Q687" s="1">
        <v>2012</v>
      </c>
      <c r="R687" s="1">
        <v>2013</v>
      </c>
      <c r="S687" s="1">
        <v>2014</v>
      </c>
      <c r="T687" s="1">
        <v>2015</v>
      </c>
      <c r="U687" s="1">
        <v>2016</v>
      </c>
      <c r="V687" s="1">
        <v>2017</v>
      </c>
      <c r="W687" s="1">
        <v>2018</v>
      </c>
      <c r="X687" s="1">
        <v>2019</v>
      </c>
      <c r="Y687" s="1">
        <v>2020</v>
      </c>
      <c r="Z687" s="1">
        <v>2021</v>
      </c>
      <c r="AA687" s="1">
        <v>2022</v>
      </c>
      <c r="AB687" s="1">
        <v>2023</v>
      </c>
      <c r="AC687" s="1">
        <v>2024</v>
      </c>
      <c r="AD687" s="1">
        <v>2025</v>
      </c>
      <c r="AE687" s="1">
        <v>2026</v>
      </c>
      <c r="AF687" s="1">
        <v>2027</v>
      </c>
      <c r="AG687" s="1">
        <v>2028</v>
      </c>
      <c r="AH687" s="1">
        <v>2029</v>
      </c>
      <c r="AI687" s="1">
        <v>2030</v>
      </c>
      <c r="AJ687" s="1">
        <v>2031</v>
      </c>
      <c r="AK687" s="1">
        <v>2032</v>
      </c>
      <c r="AL687" s="1">
        <v>2033</v>
      </c>
      <c r="AM687" s="1">
        <v>2034</v>
      </c>
      <c r="AN687" s="1">
        <v>2035</v>
      </c>
      <c r="AO687" s="1">
        <v>2036</v>
      </c>
      <c r="AP687" s="1">
        <v>2037</v>
      </c>
      <c r="AQ687" s="1">
        <v>2038</v>
      </c>
      <c r="AR687" s="1">
        <v>2039</v>
      </c>
      <c r="AS687" s="1">
        <v>2040</v>
      </c>
      <c r="AT687" s="1">
        <v>2041</v>
      </c>
      <c r="AU687" s="1">
        <v>2042</v>
      </c>
      <c r="AV687" s="1">
        <v>2043</v>
      </c>
      <c r="AW687" s="1">
        <v>2044</v>
      </c>
      <c r="AX687" s="1">
        <v>2045</v>
      </c>
      <c r="AY687" s="1">
        <v>2046</v>
      </c>
      <c r="AZ687" s="1">
        <v>2047</v>
      </c>
      <c r="BA687" s="1">
        <v>2048</v>
      </c>
      <c r="BB687" s="1">
        <v>2049</v>
      </c>
      <c r="BC687" s="1">
        <v>2050</v>
      </c>
    </row>
    <row r="688" spans="1:55" x14ac:dyDescent="0.25">
      <c r="A688" s="1" t="str">
        <f>'Population Definitions'!$A$2</f>
        <v>PWID_males</v>
      </c>
      <c r="C688" t="s">
        <v>32</v>
      </c>
      <c r="D688" s="3"/>
      <c r="E688" s="3">
        <v>0</v>
      </c>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c r="AV688" s="3"/>
      <c r="AW688" s="3"/>
      <c r="AX688" s="3"/>
      <c r="AY688" s="3"/>
      <c r="AZ688" s="3"/>
      <c r="BA688" s="3"/>
      <c r="BB688" s="3"/>
      <c r="BC688" s="3"/>
    </row>
    <row r="689" spans="1:55" x14ac:dyDescent="0.25">
      <c r="A689" s="1" t="str">
        <f>'Population Definitions'!$A$3</f>
        <v>PWID_females</v>
      </c>
      <c r="C689" t="s">
        <v>32</v>
      </c>
      <c r="D689" s="3"/>
      <c r="E689" s="3">
        <v>0</v>
      </c>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c r="AV689" s="3"/>
      <c r="AW689" s="3"/>
      <c r="AX689" s="3"/>
      <c r="AY689" s="3"/>
      <c r="AZ689" s="3"/>
      <c r="BA689" s="3"/>
      <c r="BB689" s="3"/>
      <c r="BC689" s="3"/>
    </row>
    <row r="690" spans="1:55" x14ac:dyDescent="0.25">
      <c r="A690" s="1" t="str">
        <f>'Population Definitions'!$A$4</f>
        <v>0-9_males</v>
      </c>
      <c r="C690" t="s">
        <v>32</v>
      </c>
      <c r="D690" s="3"/>
      <c r="E690" s="3">
        <v>0</v>
      </c>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c r="AV690" s="3"/>
      <c r="AW690" s="3"/>
      <c r="AX690" s="3"/>
      <c r="AY690" s="3"/>
      <c r="AZ690" s="3"/>
      <c r="BA690" s="3"/>
      <c r="BB690" s="3"/>
      <c r="BC690" s="3"/>
    </row>
    <row r="691" spans="1:55" x14ac:dyDescent="0.25">
      <c r="A691" s="1" t="str">
        <f>'Population Definitions'!$A$5</f>
        <v>0-9_females</v>
      </c>
      <c r="C691" t="s">
        <v>32</v>
      </c>
      <c r="D691" s="3"/>
      <c r="E691" s="3">
        <v>0</v>
      </c>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c r="AV691" s="3"/>
      <c r="AW691" s="3"/>
      <c r="AX691" s="3"/>
      <c r="AY691" s="3"/>
      <c r="AZ691" s="3"/>
      <c r="BA691" s="3"/>
      <c r="BB691" s="3"/>
      <c r="BC691" s="3"/>
    </row>
    <row r="692" spans="1:55" x14ac:dyDescent="0.25">
      <c r="A692" s="1" t="str">
        <f>'Population Definitions'!$A$6</f>
        <v>10-17_males</v>
      </c>
      <c r="C692" t="s">
        <v>32</v>
      </c>
      <c r="D692" s="3"/>
      <c r="E692" s="3">
        <v>0</v>
      </c>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c r="AT692" s="3"/>
      <c r="AU692" s="3"/>
      <c r="AV692" s="3"/>
      <c r="AW692" s="3"/>
      <c r="AX692" s="3"/>
      <c r="AY692" s="3"/>
      <c r="AZ692" s="3"/>
      <c r="BA692" s="3"/>
      <c r="BB692" s="3"/>
      <c r="BC692" s="3"/>
    </row>
    <row r="693" spans="1:55" x14ac:dyDescent="0.25">
      <c r="A693" s="1" t="str">
        <f>'Population Definitions'!$A$7</f>
        <v>10-17_females</v>
      </c>
      <c r="C693" t="s">
        <v>32</v>
      </c>
      <c r="D693" s="3"/>
      <c r="E693" s="3">
        <v>0</v>
      </c>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c r="AV693" s="3"/>
      <c r="AW693" s="3"/>
      <c r="AX693" s="3"/>
      <c r="AY693" s="3"/>
      <c r="AZ693" s="3"/>
      <c r="BA693" s="3"/>
      <c r="BB693" s="3"/>
      <c r="BC693" s="3"/>
    </row>
    <row r="694" spans="1:55" x14ac:dyDescent="0.25">
      <c r="A694" s="1" t="str">
        <f>'Population Definitions'!$A$8</f>
        <v>18-64_males</v>
      </c>
      <c r="C694" t="s">
        <v>32</v>
      </c>
      <c r="D694" s="3"/>
      <c r="E694" s="3">
        <v>0</v>
      </c>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c r="AV694" s="3"/>
      <c r="AW694" s="3"/>
      <c r="AX694" s="3"/>
      <c r="AY694" s="3"/>
      <c r="AZ694" s="3"/>
      <c r="BA694" s="3"/>
      <c r="BB694" s="3"/>
      <c r="BC694" s="3"/>
    </row>
    <row r="695" spans="1:55" x14ac:dyDescent="0.25">
      <c r="A695" s="1" t="str">
        <f>'Population Definitions'!$A$9</f>
        <v>18-64_females</v>
      </c>
      <c r="C695" t="s">
        <v>32</v>
      </c>
      <c r="D695" s="3"/>
      <c r="E695" s="3">
        <v>0</v>
      </c>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c r="AV695" s="3"/>
      <c r="AW695" s="3"/>
      <c r="AX695" s="3"/>
      <c r="AY695" s="3"/>
      <c r="AZ695" s="3"/>
      <c r="BA695" s="3"/>
      <c r="BB695" s="3"/>
      <c r="BC695" s="3"/>
    </row>
    <row r="696" spans="1:55" x14ac:dyDescent="0.25">
      <c r="A696" s="1" t="str">
        <f>'Population Definitions'!$A$10</f>
        <v>65+_males</v>
      </c>
      <c r="C696" t="s">
        <v>32</v>
      </c>
      <c r="D696" s="3"/>
      <c r="E696" s="3">
        <v>0</v>
      </c>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c r="AV696" s="3"/>
      <c r="AW696" s="3"/>
      <c r="AX696" s="3"/>
      <c r="AY696" s="3"/>
      <c r="AZ696" s="3"/>
      <c r="BA696" s="3"/>
      <c r="BB696" s="3"/>
      <c r="BC696" s="3"/>
    </row>
    <row r="697" spans="1:55" x14ac:dyDescent="0.25">
      <c r="A697" s="1" t="str">
        <f>'Population Definitions'!$A$11</f>
        <v>65+_females</v>
      </c>
      <c r="C697" t="s">
        <v>32</v>
      </c>
      <c r="D697" s="3"/>
      <c r="E697" s="3">
        <v>0</v>
      </c>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c r="AV697" s="3"/>
      <c r="AW697" s="3"/>
      <c r="AX697" s="3"/>
      <c r="AY697" s="3"/>
      <c r="AZ697" s="3"/>
      <c r="BA697" s="3"/>
      <c r="BB697" s="3"/>
      <c r="BC697" s="3"/>
    </row>
    <row r="698" spans="1:55" x14ac:dyDescent="0.25">
      <c r="A698" s="1" t="str">
        <f>'Population Definitions'!$A$12</f>
        <v>Prisoners_males</v>
      </c>
      <c r="C698" t="s">
        <v>32</v>
      </c>
      <c r="D698" s="3"/>
      <c r="E698" s="3">
        <v>0</v>
      </c>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c r="AV698" s="3"/>
      <c r="AW698" s="3"/>
      <c r="AX698" s="3"/>
      <c r="AY698" s="3"/>
      <c r="AZ698" s="3"/>
      <c r="BA698" s="3"/>
      <c r="BB698" s="3"/>
      <c r="BC698" s="3"/>
    </row>
    <row r="699" spans="1:55" x14ac:dyDescent="0.25">
      <c r="A699" s="1" t="str">
        <f>'Population Definitions'!$A$13</f>
        <v>Prisoners_females</v>
      </c>
      <c r="C699" t="s">
        <v>32</v>
      </c>
      <c r="D699" s="3"/>
      <c r="E699" s="3">
        <v>0</v>
      </c>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c r="AV699" s="3"/>
      <c r="AW699" s="3"/>
      <c r="AX699" s="3"/>
      <c r="AY699" s="3"/>
      <c r="AZ699" s="3"/>
      <c r="BA699" s="3"/>
      <c r="BB699" s="3"/>
      <c r="BC699" s="3"/>
    </row>
    <row r="701" spans="1:55" x14ac:dyDescent="0.25">
      <c r="A701" s="1" t="s">
        <v>176</v>
      </c>
      <c r="B701" s="1" t="s">
        <v>29</v>
      </c>
      <c r="C701" s="1" t="s">
        <v>30</v>
      </c>
      <c r="D701" s="1" t="s">
        <v>31</v>
      </c>
      <c r="E701" s="1">
        <v>2000</v>
      </c>
      <c r="F701" s="1">
        <v>2001</v>
      </c>
      <c r="G701" s="1">
        <v>2002</v>
      </c>
      <c r="H701" s="1">
        <v>2003</v>
      </c>
      <c r="I701" s="1">
        <v>2004</v>
      </c>
      <c r="J701" s="1">
        <v>2005</v>
      </c>
      <c r="K701" s="1">
        <v>2006</v>
      </c>
      <c r="L701" s="1">
        <v>2007</v>
      </c>
      <c r="M701" s="1">
        <v>2008</v>
      </c>
      <c r="N701" s="1">
        <v>2009</v>
      </c>
      <c r="O701" s="1">
        <v>2010</v>
      </c>
      <c r="P701" s="1">
        <v>2011</v>
      </c>
      <c r="Q701" s="1">
        <v>2012</v>
      </c>
      <c r="R701" s="1">
        <v>2013</v>
      </c>
      <c r="S701" s="1">
        <v>2014</v>
      </c>
      <c r="T701" s="1">
        <v>2015</v>
      </c>
      <c r="U701" s="1">
        <v>2016</v>
      </c>
      <c r="V701" s="1">
        <v>2017</v>
      </c>
      <c r="W701" s="1">
        <v>2018</v>
      </c>
      <c r="X701" s="1">
        <v>2019</v>
      </c>
      <c r="Y701" s="1">
        <v>2020</v>
      </c>
      <c r="Z701" s="1">
        <v>2021</v>
      </c>
      <c r="AA701" s="1">
        <v>2022</v>
      </c>
      <c r="AB701" s="1">
        <v>2023</v>
      </c>
      <c r="AC701" s="1">
        <v>2024</v>
      </c>
      <c r="AD701" s="1">
        <v>2025</v>
      </c>
      <c r="AE701" s="1">
        <v>2026</v>
      </c>
      <c r="AF701" s="1">
        <v>2027</v>
      </c>
      <c r="AG701" s="1">
        <v>2028</v>
      </c>
      <c r="AH701" s="1">
        <v>2029</v>
      </c>
      <c r="AI701" s="1">
        <v>2030</v>
      </c>
      <c r="AJ701" s="1">
        <v>2031</v>
      </c>
      <c r="AK701" s="1">
        <v>2032</v>
      </c>
      <c r="AL701" s="1">
        <v>2033</v>
      </c>
      <c r="AM701" s="1">
        <v>2034</v>
      </c>
      <c r="AN701" s="1">
        <v>2035</v>
      </c>
      <c r="AO701" s="1">
        <v>2036</v>
      </c>
      <c r="AP701" s="1">
        <v>2037</v>
      </c>
      <c r="AQ701" s="1">
        <v>2038</v>
      </c>
      <c r="AR701" s="1">
        <v>2039</v>
      </c>
      <c r="AS701" s="1">
        <v>2040</v>
      </c>
      <c r="AT701" s="1">
        <v>2041</v>
      </c>
      <c r="AU701" s="1">
        <v>2042</v>
      </c>
      <c r="AV701" s="1">
        <v>2043</v>
      </c>
      <c r="AW701" s="1">
        <v>2044</v>
      </c>
      <c r="AX701" s="1">
        <v>2045</v>
      </c>
      <c r="AY701" s="1">
        <v>2046</v>
      </c>
      <c r="AZ701" s="1">
        <v>2047</v>
      </c>
      <c r="BA701" s="1">
        <v>2048</v>
      </c>
      <c r="BB701" s="1">
        <v>2049</v>
      </c>
      <c r="BC701" s="1">
        <v>2050</v>
      </c>
    </row>
    <row r="702" spans="1:55" x14ac:dyDescent="0.25">
      <c r="A702" s="1" t="str">
        <f>'Population Definitions'!$A$2</f>
        <v>PWID_males</v>
      </c>
      <c r="C702" t="s">
        <v>32</v>
      </c>
      <c r="D702" s="3"/>
      <c r="E702" s="3">
        <v>0</v>
      </c>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c r="AV702" s="3"/>
      <c r="AW702" s="3"/>
      <c r="AX702" s="3"/>
      <c r="AY702" s="3"/>
      <c r="AZ702" s="3"/>
      <c r="BA702" s="3"/>
      <c r="BB702" s="3"/>
      <c r="BC702" s="3"/>
    </row>
    <row r="703" spans="1:55" x14ac:dyDescent="0.25">
      <c r="A703" s="1" t="str">
        <f>'Population Definitions'!$A$3</f>
        <v>PWID_females</v>
      </c>
      <c r="C703" t="s">
        <v>32</v>
      </c>
      <c r="D703" s="3"/>
      <c r="E703" s="3">
        <v>0</v>
      </c>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c r="AV703" s="3"/>
      <c r="AW703" s="3"/>
      <c r="AX703" s="3"/>
      <c r="AY703" s="3"/>
      <c r="AZ703" s="3"/>
      <c r="BA703" s="3"/>
      <c r="BB703" s="3"/>
      <c r="BC703" s="3"/>
    </row>
    <row r="704" spans="1:55" x14ac:dyDescent="0.25">
      <c r="A704" s="1" t="str">
        <f>'Population Definitions'!$A$4</f>
        <v>0-9_males</v>
      </c>
      <c r="C704" t="s">
        <v>32</v>
      </c>
      <c r="D704" s="3"/>
      <c r="E704" s="3">
        <v>0</v>
      </c>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c r="AV704" s="3"/>
      <c r="AW704" s="3"/>
      <c r="AX704" s="3"/>
      <c r="AY704" s="3"/>
      <c r="AZ704" s="3"/>
      <c r="BA704" s="3"/>
      <c r="BB704" s="3"/>
      <c r="BC704" s="3"/>
    </row>
    <row r="705" spans="1:55" x14ac:dyDescent="0.25">
      <c r="A705" s="1" t="str">
        <f>'Population Definitions'!$A$5</f>
        <v>0-9_females</v>
      </c>
      <c r="C705" t="s">
        <v>32</v>
      </c>
      <c r="D705" s="3"/>
      <c r="E705" s="3">
        <v>0</v>
      </c>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c r="AV705" s="3"/>
      <c r="AW705" s="3"/>
      <c r="AX705" s="3"/>
      <c r="AY705" s="3"/>
      <c r="AZ705" s="3"/>
      <c r="BA705" s="3"/>
      <c r="BB705" s="3"/>
      <c r="BC705" s="3"/>
    </row>
    <row r="706" spans="1:55" x14ac:dyDescent="0.25">
      <c r="A706" s="1" t="str">
        <f>'Population Definitions'!$A$6</f>
        <v>10-17_males</v>
      </c>
      <c r="C706" t="s">
        <v>32</v>
      </c>
      <c r="D706" s="3"/>
      <c r="E706" s="3">
        <v>0</v>
      </c>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c r="AV706" s="3"/>
      <c r="AW706" s="3"/>
      <c r="AX706" s="3"/>
      <c r="AY706" s="3"/>
      <c r="AZ706" s="3"/>
      <c r="BA706" s="3"/>
      <c r="BB706" s="3"/>
      <c r="BC706" s="3"/>
    </row>
    <row r="707" spans="1:55" x14ac:dyDescent="0.25">
      <c r="A707" s="1" t="str">
        <f>'Population Definitions'!$A$7</f>
        <v>10-17_females</v>
      </c>
      <c r="C707" t="s">
        <v>32</v>
      </c>
      <c r="D707" s="3"/>
      <c r="E707" s="3">
        <v>0</v>
      </c>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c r="AV707" s="3"/>
      <c r="AW707" s="3"/>
      <c r="AX707" s="3"/>
      <c r="AY707" s="3"/>
      <c r="AZ707" s="3"/>
      <c r="BA707" s="3"/>
      <c r="BB707" s="3"/>
      <c r="BC707" s="3"/>
    </row>
    <row r="708" spans="1:55" x14ac:dyDescent="0.25">
      <c r="A708" s="1" t="str">
        <f>'Population Definitions'!$A$8</f>
        <v>18-64_males</v>
      </c>
      <c r="C708" t="s">
        <v>32</v>
      </c>
      <c r="D708" s="3"/>
      <c r="E708" s="3">
        <v>0</v>
      </c>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c r="AV708" s="3"/>
      <c r="AW708" s="3"/>
      <c r="AX708" s="3"/>
      <c r="AY708" s="3"/>
      <c r="AZ708" s="3"/>
      <c r="BA708" s="3"/>
      <c r="BB708" s="3"/>
      <c r="BC708" s="3"/>
    </row>
    <row r="709" spans="1:55" x14ac:dyDescent="0.25">
      <c r="A709" s="1" t="str">
        <f>'Population Definitions'!$A$9</f>
        <v>18-64_females</v>
      </c>
      <c r="C709" t="s">
        <v>32</v>
      </c>
      <c r="D709" s="3"/>
      <c r="E709" s="3">
        <v>0</v>
      </c>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c r="AV709" s="3"/>
      <c r="AW709" s="3"/>
      <c r="AX709" s="3"/>
      <c r="AY709" s="3"/>
      <c r="AZ709" s="3"/>
      <c r="BA709" s="3"/>
      <c r="BB709" s="3"/>
      <c r="BC709" s="3"/>
    </row>
    <row r="710" spans="1:55" x14ac:dyDescent="0.25">
      <c r="A710" s="1" t="str">
        <f>'Population Definitions'!$A$10</f>
        <v>65+_males</v>
      </c>
      <c r="C710" t="s">
        <v>32</v>
      </c>
      <c r="D710" s="3"/>
      <c r="E710" s="3">
        <v>0</v>
      </c>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c r="AV710" s="3"/>
      <c r="AW710" s="3"/>
      <c r="AX710" s="3"/>
      <c r="AY710" s="3"/>
      <c r="AZ710" s="3"/>
      <c r="BA710" s="3"/>
      <c r="BB710" s="3"/>
      <c r="BC710" s="3"/>
    </row>
    <row r="711" spans="1:55" x14ac:dyDescent="0.25">
      <c r="A711" s="1" t="str">
        <f>'Population Definitions'!$A$11</f>
        <v>65+_females</v>
      </c>
      <c r="C711" t="s">
        <v>32</v>
      </c>
      <c r="D711" s="3"/>
      <c r="E711" s="3">
        <v>0</v>
      </c>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c r="AV711" s="3"/>
      <c r="AW711" s="3"/>
      <c r="AX711" s="3"/>
      <c r="AY711" s="3"/>
      <c r="AZ711" s="3"/>
      <c r="BA711" s="3"/>
      <c r="BB711" s="3"/>
      <c r="BC711" s="3"/>
    </row>
    <row r="712" spans="1:55" x14ac:dyDescent="0.25">
      <c r="A712" s="1" t="str">
        <f>'Population Definitions'!$A$12</f>
        <v>Prisoners_males</v>
      </c>
      <c r="C712" t="s">
        <v>32</v>
      </c>
      <c r="D712" s="3"/>
      <c r="E712" s="3">
        <v>0</v>
      </c>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c r="AV712" s="3"/>
      <c r="AW712" s="3"/>
      <c r="AX712" s="3"/>
      <c r="AY712" s="3"/>
      <c r="AZ712" s="3"/>
      <c r="BA712" s="3"/>
      <c r="BB712" s="3"/>
      <c r="BC712" s="3"/>
    </row>
    <row r="713" spans="1:55" x14ac:dyDescent="0.25">
      <c r="A713" s="1" t="str">
        <f>'Population Definitions'!$A$13</f>
        <v>Prisoners_females</v>
      </c>
      <c r="C713" t="s">
        <v>32</v>
      </c>
      <c r="D713" s="3"/>
      <c r="E713" s="3">
        <v>0</v>
      </c>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c r="AV713" s="3"/>
      <c r="AW713" s="3"/>
      <c r="AX713" s="3"/>
      <c r="AY713" s="3"/>
      <c r="AZ713" s="3"/>
      <c r="BA713" s="3"/>
      <c r="BB713" s="3"/>
      <c r="BC713" s="3"/>
    </row>
    <row r="715" spans="1:55" x14ac:dyDescent="0.25">
      <c r="A715" s="1" t="s">
        <v>177</v>
      </c>
      <c r="B715" s="1" t="s">
        <v>29</v>
      </c>
      <c r="C715" s="1" t="s">
        <v>30</v>
      </c>
      <c r="D715" s="1" t="s">
        <v>31</v>
      </c>
      <c r="E715" s="1">
        <v>2000</v>
      </c>
      <c r="F715" s="1">
        <v>2001</v>
      </c>
      <c r="G715" s="1">
        <v>2002</v>
      </c>
      <c r="H715" s="1">
        <v>2003</v>
      </c>
      <c r="I715" s="1">
        <v>2004</v>
      </c>
      <c r="J715" s="1">
        <v>2005</v>
      </c>
      <c r="K715" s="1">
        <v>2006</v>
      </c>
      <c r="L715" s="1">
        <v>2007</v>
      </c>
      <c r="M715" s="1">
        <v>2008</v>
      </c>
      <c r="N715" s="1">
        <v>2009</v>
      </c>
      <c r="O715" s="1">
        <v>2010</v>
      </c>
      <c r="P715" s="1">
        <v>2011</v>
      </c>
      <c r="Q715" s="1">
        <v>2012</v>
      </c>
      <c r="R715" s="1">
        <v>2013</v>
      </c>
      <c r="S715" s="1">
        <v>2014</v>
      </c>
      <c r="T715" s="1">
        <v>2015</v>
      </c>
      <c r="U715" s="1">
        <v>2016</v>
      </c>
      <c r="V715" s="1">
        <v>2017</v>
      </c>
      <c r="W715" s="1">
        <v>2018</v>
      </c>
      <c r="X715" s="1">
        <v>2019</v>
      </c>
      <c r="Y715" s="1">
        <v>2020</v>
      </c>
      <c r="Z715" s="1">
        <v>2021</v>
      </c>
      <c r="AA715" s="1">
        <v>2022</v>
      </c>
      <c r="AB715" s="1">
        <v>2023</v>
      </c>
      <c r="AC715" s="1">
        <v>2024</v>
      </c>
      <c r="AD715" s="1">
        <v>2025</v>
      </c>
      <c r="AE715" s="1">
        <v>2026</v>
      </c>
      <c r="AF715" s="1">
        <v>2027</v>
      </c>
      <c r="AG715" s="1">
        <v>2028</v>
      </c>
      <c r="AH715" s="1">
        <v>2029</v>
      </c>
      <c r="AI715" s="1">
        <v>2030</v>
      </c>
      <c r="AJ715" s="1">
        <v>2031</v>
      </c>
      <c r="AK715" s="1">
        <v>2032</v>
      </c>
      <c r="AL715" s="1">
        <v>2033</v>
      </c>
      <c r="AM715" s="1">
        <v>2034</v>
      </c>
      <c r="AN715" s="1">
        <v>2035</v>
      </c>
      <c r="AO715" s="1">
        <v>2036</v>
      </c>
      <c r="AP715" s="1">
        <v>2037</v>
      </c>
      <c r="AQ715" s="1">
        <v>2038</v>
      </c>
      <c r="AR715" s="1">
        <v>2039</v>
      </c>
      <c r="AS715" s="1">
        <v>2040</v>
      </c>
      <c r="AT715" s="1">
        <v>2041</v>
      </c>
      <c r="AU715" s="1">
        <v>2042</v>
      </c>
      <c r="AV715" s="1">
        <v>2043</v>
      </c>
      <c r="AW715" s="1">
        <v>2044</v>
      </c>
      <c r="AX715" s="1">
        <v>2045</v>
      </c>
      <c r="AY715" s="1">
        <v>2046</v>
      </c>
      <c r="AZ715" s="1">
        <v>2047</v>
      </c>
      <c r="BA715" s="1">
        <v>2048</v>
      </c>
      <c r="BB715" s="1">
        <v>2049</v>
      </c>
      <c r="BC715" s="1">
        <v>2050</v>
      </c>
    </row>
    <row r="716" spans="1:55" x14ac:dyDescent="0.25">
      <c r="A716" s="1" t="str">
        <f>'Population Definitions'!$A$2</f>
        <v>PWID_males</v>
      </c>
      <c r="C716" t="s">
        <v>32</v>
      </c>
      <c r="D716" s="3"/>
      <c r="E716" s="3">
        <v>0</v>
      </c>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c r="AV716" s="3"/>
      <c r="AW716" s="3"/>
      <c r="AX716" s="3"/>
      <c r="AY716" s="3"/>
      <c r="AZ716" s="3"/>
      <c r="BA716" s="3"/>
      <c r="BB716" s="3"/>
      <c r="BC716" s="3"/>
    </row>
    <row r="717" spans="1:55" x14ac:dyDescent="0.25">
      <c r="A717" s="1" t="str">
        <f>'Population Definitions'!$A$3</f>
        <v>PWID_females</v>
      </c>
      <c r="C717" t="s">
        <v>32</v>
      </c>
      <c r="D717" s="3"/>
      <c r="E717" s="3">
        <v>0</v>
      </c>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c r="AV717" s="3"/>
      <c r="AW717" s="3"/>
      <c r="AX717" s="3"/>
      <c r="AY717" s="3"/>
      <c r="AZ717" s="3"/>
      <c r="BA717" s="3"/>
      <c r="BB717" s="3"/>
      <c r="BC717" s="3"/>
    </row>
    <row r="718" spans="1:55" x14ac:dyDescent="0.25">
      <c r="A718" s="1" t="str">
        <f>'Population Definitions'!$A$4</f>
        <v>0-9_males</v>
      </c>
      <c r="C718" t="s">
        <v>32</v>
      </c>
      <c r="D718" s="3"/>
      <c r="E718" s="3">
        <v>0</v>
      </c>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c r="AV718" s="3"/>
      <c r="AW718" s="3"/>
      <c r="AX718" s="3"/>
      <c r="AY718" s="3"/>
      <c r="AZ718" s="3"/>
      <c r="BA718" s="3"/>
      <c r="BB718" s="3"/>
      <c r="BC718" s="3"/>
    </row>
    <row r="719" spans="1:55" x14ac:dyDescent="0.25">
      <c r="A719" s="1" t="str">
        <f>'Population Definitions'!$A$5</f>
        <v>0-9_females</v>
      </c>
      <c r="C719" t="s">
        <v>32</v>
      </c>
      <c r="D719" s="3"/>
      <c r="E719" s="3">
        <v>0</v>
      </c>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c r="AV719" s="3"/>
      <c r="AW719" s="3"/>
      <c r="AX719" s="3"/>
      <c r="AY719" s="3"/>
      <c r="AZ719" s="3"/>
      <c r="BA719" s="3"/>
      <c r="BB719" s="3"/>
      <c r="BC719" s="3"/>
    </row>
    <row r="720" spans="1:55" x14ac:dyDescent="0.25">
      <c r="A720" s="1" t="str">
        <f>'Population Definitions'!$A$6</f>
        <v>10-17_males</v>
      </c>
      <c r="C720" t="s">
        <v>32</v>
      </c>
      <c r="D720" s="3"/>
      <c r="E720" s="3">
        <v>0</v>
      </c>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c r="AV720" s="3"/>
      <c r="AW720" s="3"/>
      <c r="AX720" s="3"/>
      <c r="AY720" s="3"/>
      <c r="AZ720" s="3"/>
      <c r="BA720" s="3"/>
      <c r="BB720" s="3"/>
      <c r="BC720" s="3"/>
    </row>
    <row r="721" spans="1:55" x14ac:dyDescent="0.25">
      <c r="A721" s="1" t="str">
        <f>'Population Definitions'!$A$7</f>
        <v>10-17_females</v>
      </c>
      <c r="C721" t="s">
        <v>32</v>
      </c>
      <c r="D721" s="3"/>
      <c r="E721" s="3">
        <v>0</v>
      </c>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c r="AV721" s="3"/>
      <c r="AW721" s="3"/>
      <c r="AX721" s="3"/>
      <c r="AY721" s="3"/>
      <c r="AZ721" s="3"/>
      <c r="BA721" s="3"/>
      <c r="BB721" s="3"/>
      <c r="BC721" s="3"/>
    </row>
    <row r="722" spans="1:55" x14ac:dyDescent="0.25">
      <c r="A722" s="1" t="str">
        <f>'Population Definitions'!$A$8</f>
        <v>18-64_males</v>
      </c>
      <c r="C722" t="s">
        <v>32</v>
      </c>
      <c r="D722" s="3"/>
      <c r="E722" s="3">
        <v>0</v>
      </c>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c r="AV722" s="3"/>
      <c r="AW722" s="3"/>
      <c r="AX722" s="3"/>
      <c r="AY722" s="3"/>
      <c r="AZ722" s="3"/>
      <c r="BA722" s="3"/>
      <c r="BB722" s="3"/>
      <c r="BC722" s="3"/>
    </row>
    <row r="723" spans="1:55" x14ac:dyDescent="0.25">
      <c r="A723" s="1" t="str">
        <f>'Population Definitions'!$A$9</f>
        <v>18-64_females</v>
      </c>
      <c r="C723" t="s">
        <v>32</v>
      </c>
      <c r="D723" s="3"/>
      <c r="E723" s="3">
        <v>0</v>
      </c>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c r="AV723" s="3"/>
      <c r="AW723" s="3"/>
      <c r="AX723" s="3"/>
      <c r="AY723" s="3"/>
      <c r="AZ723" s="3"/>
      <c r="BA723" s="3"/>
      <c r="BB723" s="3"/>
      <c r="BC723" s="3"/>
    </row>
    <row r="724" spans="1:55" x14ac:dyDescent="0.25">
      <c r="A724" s="1" t="str">
        <f>'Population Definitions'!$A$10</f>
        <v>65+_males</v>
      </c>
      <c r="C724" t="s">
        <v>32</v>
      </c>
      <c r="D724" s="3"/>
      <c r="E724" s="3">
        <v>0</v>
      </c>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c r="AV724" s="3"/>
      <c r="AW724" s="3"/>
      <c r="AX724" s="3"/>
      <c r="AY724" s="3"/>
      <c r="AZ724" s="3"/>
      <c r="BA724" s="3"/>
      <c r="BB724" s="3"/>
      <c r="BC724" s="3"/>
    </row>
    <row r="725" spans="1:55" x14ac:dyDescent="0.25">
      <c r="A725" s="1" t="str">
        <f>'Population Definitions'!$A$11</f>
        <v>65+_females</v>
      </c>
      <c r="C725" t="s">
        <v>32</v>
      </c>
      <c r="D725" s="3"/>
      <c r="E725" s="3">
        <v>0</v>
      </c>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c r="AV725" s="3"/>
      <c r="AW725" s="3"/>
      <c r="AX725" s="3"/>
      <c r="AY725" s="3"/>
      <c r="AZ725" s="3"/>
      <c r="BA725" s="3"/>
      <c r="BB725" s="3"/>
      <c r="BC725" s="3"/>
    </row>
    <row r="726" spans="1:55" x14ac:dyDescent="0.25">
      <c r="A726" s="1" t="str">
        <f>'Population Definitions'!$A$12</f>
        <v>Prisoners_males</v>
      </c>
      <c r="C726" t="s">
        <v>32</v>
      </c>
      <c r="D726" s="3"/>
      <c r="E726" s="3">
        <v>0</v>
      </c>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c r="AV726" s="3"/>
      <c r="AW726" s="3"/>
      <c r="AX726" s="3"/>
      <c r="AY726" s="3"/>
      <c r="AZ726" s="3"/>
      <c r="BA726" s="3"/>
      <c r="BB726" s="3"/>
      <c r="BC726" s="3"/>
    </row>
    <row r="727" spans="1:55" x14ac:dyDescent="0.25">
      <c r="A727" s="1" t="str">
        <f>'Population Definitions'!$A$13</f>
        <v>Prisoners_females</v>
      </c>
      <c r="C727" t="s">
        <v>32</v>
      </c>
      <c r="D727" s="3"/>
      <c r="E727" s="3">
        <v>0</v>
      </c>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c r="AV727" s="3"/>
      <c r="AW727" s="3"/>
      <c r="AX727" s="3"/>
      <c r="AY727" s="3"/>
      <c r="AZ727" s="3"/>
      <c r="BA727" s="3"/>
      <c r="BB727" s="3"/>
      <c r="BC727" s="3"/>
    </row>
    <row r="729" spans="1:55" x14ac:dyDescent="0.25">
      <c r="A729" s="1" t="s">
        <v>178</v>
      </c>
      <c r="B729" s="1" t="s">
        <v>29</v>
      </c>
      <c r="C729" s="1" t="s">
        <v>30</v>
      </c>
      <c r="D729" s="1" t="s">
        <v>31</v>
      </c>
      <c r="E729" s="1">
        <v>2000</v>
      </c>
      <c r="F729" s="1">
        <v>2001</v>
      </c>
      <c r="G729" s="1">
        <v>2002</v>
      </c>
      <c r="H729" s="1">
        <v>2003</v>
      </c>
      <c r="I729" s="1">
        <v>2004</v>
      </c>
      <c r="J729" s="1">
        <v>2005</v>
      </c>
      <c r="K729" s="1">
        <v>2006</v>
      </c>
      <c r="L729" s="1">
        <v>2007</v>
      </c>
      <c r="M729" s="1">
        <v>2008</v>
      </c>
      <c r="N729" s="1">
        <v>2009</v>
      </c>
      <c r="O729" s="1">
        <v>2010</v>
      </c>
      <c r="P729" s="1">
        <v>2011</v>
      </c>
      <c r="Q729" s="1">
        <v>2012</v>
      </c>
      <c r="R729" s="1">
        <v>2013</v>
      </c>
      <c r="S729" s="1">
        <v>2014</v>
      </c>
      <c r="T729" s="1">
        <v>2015</v>
      </c>
      <c r="U729" s="1">
        <v>2016</v>
      </c>
      <c r="V729" s="1">
        <v>2017</v>
      </c>
      <c r="W729" s="1">
        <v>2018</v>
      </c>
      <c r="X729" s="1">
        <v>2019</v>
      </c>
      <c r="Y729" s="1">
        <v>2020</v>
      </c>
      <c r="Z729" s="1">
        <v>2021</v>
      </c>
      <c r="AA729" s="1">
        <v>2022</v>
      </c>
      <c r="AB729" s="1">
        <v>2023</v>
      </c>
      <c r="AC729" s="1">
        <v>2024</v>
      </c>
      <c r="AD729" s="1">
        <v>2025</v>
      </c>
      <c r="AE729" s="1">
        <v>2026</v>
      </c>
      <c r="AF729" s="1">
        <v>2027</v>
      </c>
      <c r="AG729" s="1">
        <v>2028</v>
      </c>
      <c r="AH729" s="1">
        <v>2029</v>
      </c>
      <c r="AI729" s="1">
        <v>2030</v>
      </c>
      <c r="AJ729" s="1">
        <v>2031</v>
      </c>
      <c r="AK729" s="1">
        <v>2032</v>
      </c>
      <c r="AL729" s="1">
        <v>2033</v>
      </c>
      <c r="AM729" s="1">
        <v>2034</v>
      </c>
      <c r="AN729" s="1">
        <v>2035</v>
      </c>
      <c r="AO729" s="1">
        <v>2036</v>
      </c>
      <c r="AP729" s="1">
        <v>2037</v>
      </c>
      <c r="AQ729" s="1">
        <v>2038</v>
      </c>
      <c r="AR729" s="1">
        <v>2039</v>
      </c>
      <c r="AS729" s="1">
        <v>2040</v>
      </c>
      <c r="AT729" s="1">
        <v>2041</v>
      </c>
      <c r="AU729" s="1">
        <v>2042</v>
      </c>
      <c r="AV729" s="1">
        <v>2043</v>
      </c>
      <c r="AW729" s="1">
        <v>2044</v>
      </c>
      <c r="AX729" s="1">
        <v>2045</v>
      </c>
      <c r="AY729" s="1">
        <v>2046</v>
      </c>
      <c r="AZ729" s="1">
        <v>2047</v>
      </c>
      <c r="BA729" s="1">
        <v>2048</v>
      </c>
      <c r="BB729" s="1">
        <v>2049</v>
      </c>
      <c r="BC729" s="1">
        <v>2050</v>
      </c>
    </row>
    <row r="730" spans="1:55" x14ac:dyDescent="0.25">
      <c r="A730" s="1" t="str">
        <f>'Population Definitions'!$A$2</f>
        <v>PWID_males</v>
      </c>
      <c r="C730" t="s">
        <v>32</v>
      </c>
      <c r="D730" s="3"/>
      <c r="E730" s="3">
        <v>0</v>
      </c>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c r="AV730" s="3"/>
      <c r="AW730" s="3"/>
      <c r="AX730" s="3"/>
      <c r="AY730" s="3"/>
      <c r="AZ730" s="3"/>
      <c r="BA730" s="3"/>
      <c r="BB730" s="3"/>
      <c r="BC730" s="3"/>
    </row>
    <row r="731" spans="1:55" x14ac:dyDescent="0.25">
      <c r="A731" s="1" t="str">
        <f>'Population Definitions'!$A$3</f>
        <v>PWID_females</v>
      </c>
      <c r="C731" t="s">
        <v>32</v>
      </c>
      <c r="D731" s="3"/>
      <c r="E731" s="3">
        <v>0</v>
      </c>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c r="AV731" s="3"/>
      <c r="AW731" s="3"/>
      <c r="AX731" s="3"/>
      <c r="AY731" s="3"/>
      <c r="AZ731" s="3"/>
      <c r="BA731" s="3"/>
      <c r="BB731" s="3"/>
      <c r="BC731" s="3"/>
    </row>
    <row r="732" spans="1:55" x14ac:dyDescent="0.25">
      <c r="A732" s="1" t="str">
        <f>'Population Definitions'!$A$4</f>
        <v>0-9_males</v>
      </c>
      <c r="C732" t="s">
        <v>32</v>
      </c>
      <c r="D732" s="3"/>
      <c r="E732" s="3">
        <v>0</v>
      </c>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3"/>
      <c r="AW732" s="3"/>
      <c r="AX732" s="3"/>
      <c r="AY732" s="3"/>
      <c r="AZ732" s="3"/>
      <c r="BA732" s="3"/>
      <c r="BB732" s="3"/>
      <c r="BC732" s="3"/>
    </row>
    <row r="733" spans="1:55" x14ac:dyDescent="0.25">
      <c r="A733" s="1" t="str">
        <f>'Population Definitions'!$A$5</f>
        <v>0-9_females</v>
      </c>
      <c r="C733" t="s">
        <v>32</v>
      </c>
      <c r="D733" s="3"/>
      <c r="E733" s="3">
        <v>0</v>
      </c>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c r="AV733" s="3"/>
      <c r="AW733" s="3"/>
      <c r="AX733" s="3"/>
      <c r="AY733" s="3"/>
      <c r="AZ733" s="3"/>
      <c r="BA733" s="3"/>
      <c r="BB733" s="3"/>
      <c r="BC733" s="3"/>
    </row>
    <row r="734" spans="1:55" x14ac:dyDescent="0.25">
      <c r="A734" s="1" t="str">
        <f>'Population Definitions'!$A$6</f>
        <v>10-17_males</v>
      </c>
      <c r="C734" t="s">
        <v>32</v>
      </c>
      <c r="D734" s="3"/>
      <c r="E734" s="3">
        <v>0</v>
      </c>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c r="AV734" s="3"/>
      <c r="AW734" s="3"/>
      <c r="AX734" s="3"/>
      <c r="AY734" s="3"/>
      <c r="AZ734" s="3"/>
      <c r="BA734" s="3"/>
      <c r="BB734" s="3"/>
      <c r="BC734" s="3"/>
    </row>
    <row r="735" spans="1:55" x14ac:dyDescent="0.25">
      <c r="A735" s="1" t="str">
        <f>'Population Definitions'!$A$7</f>
        <v>10-17_females</v>
      </c>
      <c r="C735" t="s">
        <v>32</v>
      </c>
      <c r="D735" s="3"/>
      <c r="E735" s="3">
        <v>0</v>
      </c>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c r="AV735" s="3"/>
      <c r="AW735" s="3"/>
      <c r="AX735" s="3"/>
      <c r="AY735" s="3"/>
      <c r="AZ735" s="3"/>
      <c r="BA735" s="3"/>
      <c r="BB735" s="3"/>
      <c r="BC735" s="3"/>
    </row>
    <row r="736" spans="1:55" x14ac:dyDescent="0.25">
      <c r="A736" s="1" t="str">
        <f>'Population Definitions'!$A$8</f>
        <v>18-64_males</v>
      </c>
      <c r="C736" t="s">
        <v>32</v>
      </c>
      <c r="D736" s="3"/>
      <c r="E736" s="3">
        <v>0</v>
      </c>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c r="AV736" s="3"/>
      <c r="AW736" s="3"/>
      <c r="AX736" s="3"/>
      <c r="AY736" s="3"/>
      <c r="AZ736" s="3"/>
      <c r="BA736" s="3"/>
      <c r="BB736" s="3"/>
      <c r="BC736" s="3"/>
    </row>
    <row r="737" spans="1:55" x14ac:dyDescent="0.25">
      <c r="A737" s="1" t="str">
        <f>'Population Definitions'!$A$9</f>
        <v>18-64_females</v>
      </c>
      <c r="C737" t="s">
        <v>32</v>
      </c>
      <c r="D737" s="3"/>
      <c r="E737" s="3">
        <v>0</v>
      </c>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c r="AV737" s="3"/>
      <c r="AW737" s="3"/>
      <c r="AX737" s="3"/>
      <c r="AY737" s="3"/>
      <c r="AZ737" s="3"/>
      <c r="BA737" s="3"/>
      <c r="BB737" s="3"/>
      <c r="BC737" s="3"/>
    </row>
    <row r="738" spans="1:55" x14ac:dyDescent="0.25">
      <c r="A738" s="1" t="str">
        <f>'Population Definitions'!$A$10</f>
        <v>65+_males</v>
      </c>
      <c r="C738" t="s">
        <v>32</v>
      </c>
      <c r="D738" s="3"/>
      <c r="E738" s="3">
        <v>0</v>
      </c>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c r="AV738" s="3"/>
      <c r="AW738" s="3"/>
      <c r="AX738" s="3"/>
      <c r="AY738" s="3"/>
      <c r="AZ738" s="3"/>
      <c r="BA738" s="3"/>
      <c r="BB738" s="3"/>
      <c r="BC738" s="3"/>
    </row>
    <row r="739" spans="1:55" x14ac:dyDescent="0.25">
      <c r="A739" s="1" t="str">
        <f>'Population Definitions'!$A$11</f>
        <v>65+_females</v>
      </c>
      <c r="C739" t="s">
        <v>32</v>
      </c>
      <c r="D739" s="3"/>
      <c r="E739" s="3">
        <v>0</v>
      </c>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c r="AV739" s="3"/>
      <c r="AW739" s="3"/>
      <c r="AX739" s="3"/>
      <c r="AY739" s="3"/>
      <c r="AZ739" s="3"/>
      <c r="BA739" s="3"/>
      <c r="BB739" s="3"/>
      <c r="BC739" s="3"/>
    </row>
    <row r="740" spans="1:55" x14ac:dyDescent="0.25">
      <c r="A740" s="1" t="str">
        <f>'Population Definitions'!$A$12</f>
        <v>Prisoners_males</v>
      </c>
      <c r="C740" t="s">
        <v>32</v>
      </c>
      <c r="D740" s="3"/>
      <c r="E740" s="3">
        <v>0</v>
      </c>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3"/>
      <c r="AW740" s="3"/>
      <c r="AX740" s="3"/>
      <c r="AY740" s="3"/>
      <c r="AZ740" s="3"/>
      <c r="BA740" s="3"/>
      <c r="BB740" s="3"/>
      <c r="BC740" s="3"/>
    </row>
    <row r="741" spans="1:55" x14ac:dyDescent="0.25">
      <c r="A741" s="1" t="str">
        <f>'Population Definitions'!$A$13</f>
        <v>Prisoners_females</v>
      </c>
      <c r="C741" t="s">
        <v>32</v>
      </c>
      <c r="D741" s="3"/>
      <c r="E741" s="3">
        <v>0</v>
      </c>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3"/>
      <c r="AW741" s="3"/>
      <c r="AX741" s="3"/>
      <c r="AY741" s="3"/>
      <c r="AZ741" s="3"/>
      <c r="BA741" s="3"/>
      <c r="BB741" s="3"/>
      <c r="BC741" s="3"/>
    </row>
    <row r="743" spans="1:55" x14ac:dyDescent="0.25">
      <c r="A743" s="1" t="s">
        <v>179</v>
      </c>
      <c r="B743" s="1" t="s">
        <v>29</v>
      </c>
      <c r="C743" s="1" t="s">
        <v>30</v>
      </c>
      <c r="D743" s="1" t="s">
        <v>31</v>
      </c>
      <c r="E743" s="1">
        <v>2000</v>
      </c>
      <c r="F743" s="1">
        <v>2001</v>
      </c>
      <c r="G743" s="1">
        <v>2002</v>
      </c>
      <c r="H743" s="1">
        <v>2003</v>
      </c>
      <c r="I743" s="1">
        <v>2004</v>
      </c>
      <c r="J743" s="1">
        <v>2005</v>
      </c>
      <c r="K743" s="1">
        <v>2006</v>
      </c>
      <c r="L743" s="1">
        <v>2007</v>
      </c>
      <c r="M743" s="1">
        <v>2008</v>
      </c>
      <c r="N743" s="1">
        <v>2009</v>
      </c>
      <c r="O743" s="1">
        <v>2010</v>
      </c>
      <c r="P743" s="1">
        <v>2011</v>
      </c>
      <c r="Q743" s="1">
        <v>2012</v>
      </c>
      <c r="R743" s="1">
        <v>2013</v>
      </c>
      <c r="S743" s="1">
        <v>2014</v>
      </c>
      <c r="T743" s="1">
        <v>2015</v>
      </c>
      <c r="U743" s="1">
        <v>2016</v>
      </c>
      <c r="V743" s="1">
        <v>2017</v>
      </c>
      <c r="W743" s="1">
        <v>2018</v>
      </c>
      <c r="X743" s="1">
        <v>2019</v>
      </c>
      <c r="Y743" s="1">
        <v>2020</v>
      </c>
      <c r="Z743" s="1">
        <v>2021</v>
      </c>
      <c r="AA743" s="1">
        <v>2022</v>
      </c>
      <c r="AB743" s="1">
        <v>2023</v>
      </c>
      <c r="AC743" s="1">
        <v>2024</v>
      </c>
      <c r="AD743" s="1">
        <v>2025</v>
      </c>
      <c r="AE743" s="1">
        <v>2026</v>
      </c>
      <c r="AF743" s="1">
        <v>2027</v>
      </c>
      <c r="AG743" s="1">
        <v>2028</v>
      </c>
      <c r="AH743" s="1">
        <v>2029</v>
      </c>
      <c r="AI743" s="1">
        <v>2030</v>
      </c>
      <c r="AJ743" s="1">
        <v>2031</v>
      </c>
      <c r="AK743" s="1">
        <v>2032</v>
      </c>
      <c r="AL743" s="1">
        <v>2033</v>
      </c>
      <c r="AM743" s="1">
        <v>2034</v>
      </c>
      <c r="AN743" s="1">
        <v>2035</v>
      </c>
      <c r="AO743" s="1">
        <v>2036</v>
      </c>
      <c r="AP743" s="1">
        <v>2037</v>
      </c>
      <c r="AQ743" s="1">
        <v>2038</v>
      </c>
      <c r="AR743" s="1">
        <v>2039</v>
      </c>
      <c r="AS743" s="1">
        <v>2040</v>
      </c>
      <c r="AT743" s="1">
        <v>2041</v>
      </c>
      <c r="AU743" s="1">
        <v>2042</v>
      </c>
      <c r="AV743" s="1">
        <v>2043</v>
      </c>
      <c r="AW743" s="1">
        <v>2044</v>
      </c>
      <c r="AX743" s="1">
        <v>2045</v>
      </c>
      <c r="AY743" s="1">
        <v>2046</v>
      </c>
      <c r="AZ743" s="1">
        <v>2047</v>
      </c>
      <c r="BA743" s="1">
        <v>2048</v>
      </c>
      <c r="BB743" s="1">
        <v>2049</v>
      </c>
      <c r="BC743" s="1">
        <v>2050</v>
      </c>
    </row>
    <row r="744" spans="1:55" x14ac:dyDescent="0.25">
      <c r="A744" s="1" t="str">
        <f>'Population Definitions'!$A$2</f>
        <v>PWID_males</v>
      </c>
      <c r="C744" t="s">
        <v>32</v>
      </c>
      <c r="D744" s="3"/>
      <c r="E744" s="3">
        <v>0</v>
      </c>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3"/>
      <c r="AW744" s="3"/>
      <c r="AX744" s="3"/>
      <c r="AY744" s="3"/>
      <c r="AZ744" s="3"/>
      <c r="BA744" s="3"/>
      <c r="BB744" s="3"/>
      <c r="BC744" s="3"/>
    </row>
    <row r="745" spans="1:55" x14ac:dyDescent="0.25">
      <c r="A745" s="1" t="str">
        <f>'Population Definitions'!$A$3</f>
        <v>PWID_females</v>
      </c>
      <c r="C745" t="s">
        <v>32</v>
      </c>
      <c r="D745" s="3"/>
      <c r="E745" s="3">
        <v>0</v>
      </c>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3"/>
      <c r="AW745" s="3"/>
      <c r="AX745" s="3"/>
      <c r="AY745" s="3"/>
      <c r="AZ745" s="3"/>
      <c r="BA745" s="3"/>
      <c r="BB745" s="3"/>
      <c r="BC745" s="3"/>
    </row>
    <row r="746" spans="1:55" x14ac:dyDescent="0.25">
      <c r="A746" s="1" t="str">
        <f>'Population Definitions'!$A$4</f>
        <v>0-9_males</v>
      </c>
      <c r="C746" t="s">
        <v>32</v>
      </c>
      <c r="D746" s="3"/>
      <c r="E746" s="3">
        <v>0</v>
      </c>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3"/>
      <c r="AW746" s="3"/>
      <c r="AX746" s="3"/>
      <c r="AY746" s="3"/>
      <c r="AZ746" s="3"/>
      <c r="BA746" s="3"/>
      <c r="BB746" s="3"/>
      <c r="BC746" s="3"/>
    </row>
    <row r="747" spans="1:55" x14ac:dyDescent="0.25">
      <c r="A747" s="1" t="str">
        <f>'Population Definitions'!$A$5</f>
        <v>0-9_females</v>
      </c>
      <c r="C747" t="s">
        <v>32</v>
      </c>
      <c r="D747" s="3"/>
      <c r="E747" s="3">
        <v>0</v>
      </c>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3"/>
      <c r="AW747" s="3"/>
      <c r="AX747" s="3"/>
      <c r="AY747" s="3"/>
      <c r="AZ747" s="3"/>
      <c r="BA747" s="3"/>
      <c r="BB747" s="3"/>
      <c r="BC747" s="3"/>
    </row>
    <row r="748" spans="1:55" x14ac:dyDescent="0.25">
      <c r="A748" s="1" t="str">
        <f>'Population Definitions'!$A$6</f>
        <v>10-17_males</v>
      </c>
      <c r="C748" t="s">
        <v>32</v>
      </c>
      <c r="D748" s="3"/>
      <c r="E748" s="3">
        <v>0</v>
      </c>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3"/>
      <c r="AW748" s="3"/>
      <c r="AX748" s="3"/>
      <c r="AY748" s="3"/>
      <c r="AZ748" s="3"/>
      <c r="BA748" s="3"/>
      <c r="BB748" s="3"/>
      <c r="BC748" s="3"/>
    </row>
    <row r="749" spans="1:55" x14ac:dyDescent="0.25">
      <c r="A749" s="1" t="str">
        <f>'Population Definitions'!$A$7</f>
        <v>10-17_females</v>
      </c>
      <c r="C749" t="s">
        <v>32</v>
      </c>
      <c r="D749" s="3"/>
      <c r="E749" s="3">
        <v>0</v>
      </c>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3"/>
      <c r="AW749" s="3"/>
      <c r="AX749" s="3"/>
      <c r="AY749" s="3"/>
      <c r="AZ749" s="3"/>
      <c r="BA749" s="3"/>
      <c r="BB749" s="3"/>
      <c r="BC749" s="3"/>
    </row>
    <row r="750" spans="1:55" x14ac:dyDescent="0.25">
      <c r="A750" s="1" t="str">
        <f>'Population Definitions'!$A$8</f>
        <v>18-64_males</v>
      </c>
      <c r="C750" t="s">
        <v>32</v>
      </c>
      <c r="D750" s="3"/>
      <c r="E750" s="3">
        <v>0</v>
      </c>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3"/>
      <c r="AW750" s="3"/>
      <c r="AX750" s="3"/>
      <c r="AY750" s="3"/>
      <c r="AZ750" s="3"/>
      <c r="BA750" s="3"/>
      <c r="BB750" s="3"/>
      <c r="BC750" s="3"/>
    </row>
    <row r="751" spans="1:55" x14ac:dyDescent="0.25">
      <c r="A751" s="1" t="str">
        <f>'Population Definitions'!$A$9</f>
        <v>18-64_females</v>
      </c>
      <c r="C751" t="s">
        <v>32</v>
      </c>
      <c r="D751" s="3"/>
      <c r="E751" s="3">
        <v>0</v>
      </c>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3"/>
      <c r="AW751" s="3"/>
      <c r="AX751" s="3"/>
      <c r="AY751" s="3"/>
      <c r="AZ751" s="3"/>
      <c r="BA751" s="3"/>
      <c r="BB751" s="3"/>
      <c r="BC751" s="3"/>
    </row>
    <row r="752" spans="1:55" x14ac:dyDescent="0.25">
      <c r="A752" s="1" t="str">
        <f>'Population Definitions'!$A$10</f>
        <v>65+_males</v>
      </c>
      <c r="C752" t="s">
        <v>32</v>
      </c>
      <c r="D752" s="3"/>
      <c r="E752" s="3">
        <v>0</v>
      </c>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3"/>
      <c r="AW752" s="3"/>
      <c r="AX752" s="3"/>
      <c r="AY752" s="3"/>
      <c r="AZ752" s="3"/>
      <c r="BA752" s="3"/>
      <c r="BB752" s="3"/>
      <c r="BC752" s="3"/>
    </row>
    <row r="753" spans="1:55" x14ac:dyDescent="0.25">
      <c r="A753" s="1" t="str">
        <f>'Population Definitions'!$A$11</f>
        <v>65+_females</v>
      </c>
      <c r="C753" t="s">
        <v>32</v>
      </c>
      <c r="D753" s="3"/>
      <c r="E753" s="3">
        <v>0</v>
      </c>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3"/>
      <c r="AW753" s="3"/>
      <c r="AX753" s="3"/>
      <c r="AY753" s="3"/>
      <c r="AZ753" s="3"/>
      <c r="BA753" s="3"/>
      <c r="BB753" s="3"/>
      <c r="BC753" s="3"/>
    </row>
    <row r="754" spans="1:55" x14ac:dyDescent="0.25">
      <c r="A754" s="1" t="str">
        <f>'Population Definitions'!$A$12</f>
        <v>Prisoners_males</v>
      </c>
      <c r="C754" t="s">
        <v>32</v>
      </c>
      <c r="D754" s="3"/>
      <c r="E754" s="3">
        <v>0</v>
      </c>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3"/>
      <c r="AW754" s="3"/>
      <c r="AX754" s="3"/>
      <c r="AY754" s="3"/>
      <c r="AZ754" s="3"/>
      <c r="BA754" s="3"/>
      <c r="BB754" s="3"/>
      <c r="BC754" s="3"/>
    </row>
    <row r="755" spans="1:55" x14ac:dyDescent="0.25">
      <c r="A755" s="1" t="str">
        <f>'Population Definitions'!$A$13</f>
        <v>Prisoners_females</v>
      </c>
      <c r="C755" t="s">
        <v>32</v>
      </c>
      <c r="D755" s="3"/>
      <c r="E755" s="3">
        <v>0</v>
      </c>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3"/>
      <c r="AW755" s="3"/>
      <c r="AX755" s="3"/>
      <c r="AY755" s="3"/>
      <c r="AZ755" s="3"/>
      <c r="BA755" s="3"/>
      <c r="BB755" s="3"/>
      <c r="BC755" s="3"/>
    </row>
    <row r="757" spans="1:55" x14ac:dyDescent="0.25">
      <c r="A757" s="1" t="s">
        <v>180</v>
      </c>
      <c r="B757" s="1" t="s">
        <v>29</v>
      </c>
      <c r="C757" s="1" t="s">
        <v>30</v>
      </c>
      <c r="D757" s="1" t="s">
        <v>31</v>
      </c>
      <c r="E757" s="1">
        <v>2000</v>
      </c>
      <c r="F757" s="1">
        <v>2001</v>
      </c>
      <c r="G757" s="1">
        <v>2002</v>
      </c>
      <c r="H757" s="1">
        <v>2003</v>
      </c>
      <c r="I757" s="1">
        <v>2004</v>
      </c>
      <c r="J757" s="1">
        <v>2005</v>
      </c>
      <c r="K757" s="1">
        <v>2006</v>
      </c>
      <c r="L757" s="1">
        <v>2007</v>
      </c>
      <c r="M757" s="1">
        <v>2008</v>
      </c>
      <c r="N757" s="1">
        <v>2009</v>
      </c>
      <c r="O757" s="1">
        <v>2010</v>
      </c>
      <c r="P757" s="1">
        <v>2011</v>
      </c>
      <c r="Q757" s="1">
        <v>2012</v>
      </c>
      <c r="R757" s="1">
        <v>2013</v>
      </c>
      <c r="S757" s="1">
        <v>2014</v>
      </c>
      <c r="T757" s="1">
        <v>2015</v>
      </c>
      <c r="U757" s="1">
        <v>2016</v>
      </c>
      <c r="V757" s="1">
        <v>2017</v>
      </c>
      <c r="W757" s="1">
        <v>2018</v>
      </c>
      <c r="X757" s="1">
        <v>2019</v>
      </c>
      <c r="Y757" s="1">
        <v>2020</v>
      </c>
      <c r="Z757" s="1">
        <v>2021</v>
      </c>
      <c r="AA757" s="1">
        <v>2022</v>
      </c>
      <c r="AB757" s="1">
        <v>2023</v>
      </c>
      <c r="AC757" s="1">
        <v>2024</v>
      </c>
      <c r="AD757" s="1">
        <v>2025</v>
      </c>
      <c r="AE757" s="1">
        <v>2026</v>
      </c>
      <c r="AF757" s="1">
        <v>2027</v>
      </c>
      <c r="AG757" s="1">
        <v>2028</v>
      </c>
      <c r="AH757" s="1">
        <v>2029</v>
      </c>
      <c r="AI757" s="1">
        <v>2030</v>
      </c>
      <c r="AJ757" s="1">
        <v>2031</v>
      </c>
      <c r="AK757" s="1">
        <v>2032</v>
      </c>
      <c r="AL757" s="1">
        <v>2033</v>
      </c>
      <c r="AM757" s="1">
        <v>2034</v>
      </c>
      <c r="AN757" s="1">
        <v>2035</v>
      </c>
      <c r="AO757" s="1">
        <v>2036</v>
      </c>
      <c r="AP757" s="1">
        <v>2037</v>
      </c>
      <c r="AQ757" s="1">
        <v>2038</v>
      </c>
      <c r="AR757" s="1">
        <v>2039</v>
      </c>
      <c r="AS757" s="1">
        <v>2040</v>
      </c>
      <c r="AT757" s="1">
        <v>2041</v>
      </c>
      <c r="AU757" s="1">
        <v>2042</v>
      </c>
      <c r="AV757" s="1">
        <v>2043</v>
      </c>
      <c r="AW757" s="1">
        <v>2044</v>
      </c>
      <c r="AX757" s="1">
        <v>2045</v>
      </c>
      <c r="AY757" s="1">
        <v>2046</v>
      </c>
      <c r="AZ757" s="1">
        <v>2047</v>
      </c>
      <c r="BA757" s="1">
        <v>2048</v>
      </c>
      <c r="BB757" s="1">
        <v>2049</v>
      </c>
      <c r="BC757" s="1">
        <v>2050</v>
      </c>
    </row>
    <row r="758" spans="1:55" x14ac:dyDescent="0.25">
      <c r="A758" s="1" t="str">
        <f>'Population Definitions'!$A$2</f>
        <v>PWID_males</v>
      </c>
      <c r="C758" t="s">
        <v>32</v>
      </c>
      <c r="D758" s="3"/>
      <c r="E758" s="3">
        <v>0</v>
      </c>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3"/>
      <c r="AW758" s="3"/>
      <c r="AX758" s="3"/>
      <c r="AY758" s="3"/>
      <c r="AZ758" s="3"/>
      <c r="BA758" s="3"/>
      <c r="BB758" s="3"/>
      <c r="BC758" s="3"/>
    </row>
    <row r="759" spans="1:55" x14ac:dyDescent="0.25">
      <c r="A759" s="1" t="str">
        <f>'Population Definitions'!$A$3</f>
        <v>PWID_females</v>
      </c>
      <c r="C759" t="s">
        <v>32</v>
      </c>
      <c r="D759" s="3"/>
      <c r="E759" s="3">
        <v>0</v>
      </c>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3"/>
      <c r="AW759" s="3"/>
      <c r="AX759" s="3"/>
      <c r="AY759" s="3"/>
      <c r="AZ759" s="3"/>
      <c r="BA759" s="3"/>
      <c r="BB759" s="3"/>
      <c r="BC759" s="3"/>
    </row>
    <row r="760" spans="1:55" x14ac:dyDescent="0.25">
      <c r="A760" s="1" t="str">
        <f>'Population Definitions'!$A$4</f>
        <v>0-9_males</v>
      </c>
      <c r="C760" t="s">
        <v>32</v>
      </c>
      <c r="D760" s="3"/>
      <c r="E760" s="3">
        <v>0</v>
      </c>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3"/>
      <c r="AW760" s="3"/>
      <c r="AX760" s="3"/>
      <c r="AY760" s="3"/>
      <c r="AZ760" s="3"/>
      <c r="BA760" s="3"/>
      <c r="BB760" s="3"/>
      <c r="BC760" s="3"/>
    </row>
    <row r="761" spans="1:55" x14ac:dyDescent="0.25">
      <c r="A761" s="1" t="str">
        <f>'Population Definitions'!$A$5</f>
        <v>0-9_females</v>
      </c>
      <c r="C761" t="s">
        <v>32</v>
      </c>
      <c r="D761" s="3"/>
      <c r="E761" s="3">
        <v>0</v>
      </c>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3"/>
      <c r="AW761" s="3"/>
      <c r="AX761" s="3"/>
      <c r="AY761" s="3"/>
      <c r="AZ761" s="3"/>
      <c r="BA761" s="3"/>
      <c r="BB761" s="3"/>
      <c r="BC761" s="3"/>
    </row>
    <row r="762" spans="1:55" x14ac:dyDescent="0.25">
      <c r="A762" s="1" t="str">
        <f>'Population Definitions'!$A$6</f>
        <v>10-17_males</v>
      </c>
      <c r="C762" t="s">
        <v>32</v>
      </c>
      <c r="D762" s="3"/>
      <c r="E762" s="3">
        <v>0</v>
      </c>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3"/>
      <c r="AW762" s="3"/>
      <c r="AX762" s="3"/>
      <c r="AY762" s="3"/>
      <c r="AZ762" s="3"/>
      <c r="BA762" s="3"/>
      <c r="BB762" s="3"/>
      <c r="BC762" s="3"/>
    </row>
    <row r="763" spans="1:55" x14ac:dyDescent="0.25">
      <c r="A763" s="1" t="str">
        <f>'Population Definitions'!$A$7</f>
        <v>10-17_females</v>
      </c>
      <c r="C763" t="s">
        <v>32</v>
      </c>
      <c r="D763" s="3"/>
      <c r="E763" s="3">
        <v>0</v>
      </c>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3"/>
      <c r="AW763" s="3"/>
      <c r="AX763" s="3"/>
      <c r="AY763" s="3"/>
      <c r="AZ763" s="3"/>
      <c r="BA763" s="3"/>
      <c r="BB763" s="3"/>
      <c r="BC763" s="3"/>
    </row>
    <row r="764" spans="1:55" x14ac:dyDescent="0.25">
      <c r="A764" s="1" t="str">
        <f>'Population Definitions'!$A$8</f>
        <v>18-64_males</v>
      </c>
      <c r="C764" t="s">
        <v>32</v>
      </c>
      <c r="D764" s="3"/>
      <c r="E764" s="3">
        <v>0</v>
      </c>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3"/>
      <c r="AW764" s="3"/>
      <c r="AX764" s="3"/>
      <c r="AY764" s="3"/>
      <c r="AZ764" s="3"/>
      <c r="BA764" s="3"/>
      <c r="BB764" s="3"/>
      <c r="BC764" s="3"/>
    </row>
    <row r="765" spans="1:55" x14ac:dyDescent="0.25">
      <c r="A765" s="1" t="str">
        <f>'Population Definitions'!$A$9</f>
        <v>18-64_females</v>
      </c>
      <c r="C765" t="s">
        <v>32</v>
      </c>
      <c r="D765" s="3"/>
      <c r="E765" s="3">
        <v>0</v>
      </c>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3"/>
      <c r="AW765" s="3"/>
      <c r="AX765" s="3"/>
      <c r="AY765" s="3"/>
      <c r="AZ765" s="3"/>
      <c r="BA765" s="3"/>
      <c r="BB765" s="3"/>
      <c r="BC765" s="3"/>
    </row>
    <row r="766" spans="1:55" x14ac:dyDescent="0.25">
      <c r="A766" s="1" t="str">
        <f>'Population Definitions'!$A$10</f>
        <v>65+_males</v>
      </c>
      <c r="C766" t="s">
        <v>32</v>
      </c>
      <c r="D766" s="3"/>
      <c r="E766" s="3">
        <v>0</v>
      </c>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3"/>
      <c r="AW766" s="3"/>
      <c r="AX766" s="3"/>
      <c r="AY766" s="3"/>
      <c r="AZ766" s="3"/>
      <c r="BA766" s="3"/>
      <c r="BB766" s="3"/>
      <c r="BC766" s="3"/>
    </row>
    <row r="767" spans="1:55" x14ac:dyDescent="0.25">
      <c r="A767" s="1" t="str">
        <f>'Population Definitions'!$A$11</f>
        <v>65+_females</v>
      </c>
      <c r="C767" t="s">
        <v>32</v>
      </c>
      <c r="D767" s="3"/>
      <c r="E767" s="3">
        <v>0</v>
      </c>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3"/>
      <c r="AW767" s="3"/>
      <c r="AX767" s="3"/>
      <c r="AY767" s="3"/>
      <c r="AZ767" s="3"/>
      <c r="BA767" s="3"/>
      <c r="BB767" s="3"/>
      <c r="BC767" s="3"/>
    </row>
    <row r="768" spans="1:55" x14ac:dyDescent="0.25">
      <c r="A768" s="1" t="str">
        <f>'Population Definitions'!$A$12</f>
        <v>Prisoners_males</v>
      </c>
      <c r="C768" t="s">
        <v>32</v>
      </c>
      <c r="D768" s="3"/>
      <c r="E768" s="3">
        <v>0</v>
      </c>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3"/>
      <c r="AW768" s="3"/>
      <c r="AX768" s="3"/>
      <c r="AY768" s="3"/>
      <c r="AZ768" s="3"/>
      <c r="BA768" s="3"/>
      <c r="BB768" s="3"/>
      <c r="BC768" s="3"/>
    </row>
    <row r="769" spans="1:55" x14ac:dyDescent="0.25">
      <c r="A769" s="1" t="str">
        <f>'Population Definitions'!$A$13</f>
        <v>Prisoners_females</v>
      </c>
      <c r="C769" t="s">
        <v>32</v>
      </c>
      <c r="D769" s="3"/>
      <c r="E769" s="3">
        <v>0</v>
      </c>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3"/>
      <c r="AW769" s="3"/>
      <c r="AX769" s="3"/>
      <c r="AY769" s="3"/>
      <c r="AZ769" s="3"/>
      <c r="BA769" s="3"/>
      <c r="BB769" s="3"/>
      <c r="BC769" s="3"/>
    </row>
    <row r="771" spans="1:55" x14ac:dyDescent="0.25">
      <c r="A771" s="1" t="s">
        <v>181</v>
      </c>
      <c r="B771" s="1" t="s">
        <v>29</v>
      </c>
      <c r="C771" s="1" t="s">
        <v>30</v>
      </c>
      <c r="D771" s="1" t="s">
        <v>31</v>
      </c>
      <c r="E771" s="1">
        <v>2000</v>
      </c>
      <c r="F771" s="1">
        <v>2001</v>
      </c>
      <c r="G771" s="1">
        <v>2002</v>
      </c>
      <c r="H771" s="1">
        <v>2003</v>
      </c>
      <c r="I771" s="1">
        <v>2004</v>
      </c>
      <c r="J771" s="1">
        <v>2005</v>
      </c>
      <c r="K771" s="1">
        <v>2006</v>
      </c>
      <c r="L771" s="1">
        <v>2007</v>
      </c>
      <c r="M771" s="1">
        <v>2008</v>
      </c>
      <c r="N771" s="1">
        <v>2009</v>
      </c>
      <c r="O771" s="1">
        <v>2010</v>
      </c>
      <c r="P771" s="1">
        <v>2011</v>
      </c>
      <c r="Q771" s="1">
        <v>2012</v>
      </c>
      <c r="R771" s="1">
        <v>2013</v>
      </c>
      <c r="S771" s="1">
        <v>2014</v>
      </c>
      <c r="T771" s="1">
        <v>2015</v>
      </c>
      <c r="U771" s="1">
        <v>2016</v>
      </c>
      <c r="V771" s="1">
        <v>2017</v>
      </c>
      <c r="W771" s="1">
        <v>2018</v>
      </c>
      <c r="X771" s="1">
        <v>2019</v>
      </c>
      <c r="Y771" s="1">
        <v>2020</v>
      </c>
      <c r="Z771" s="1">
        <v>2021</v>
      </c>
      <c r="AA771" s="1">
        <v>2022</v>
      </c>
      <c r="AB771" s="1">
        <v>2023</v>
      </c>
      <c r="AC771" s="1">
        <v>2024</v>
      </c>
      <c r="AD771" s="1">
        <v>2025</v>
      </c>
      <c r="AE771" s="1">
        <v>2026</v>
      </c>
      <c r="AF771" s="1">
        <v>2027</v>
      </c>
      <c r="AG771" s="1">
        <v>2028</v>
      </c>
      <c r="AH771" s="1">
        <v>2029</v>
      </c>
      <c r="AI771" s="1">
        <v>2030</v>
      </c>
      <c r="AJ771" s="1">
        <v>2031</v>
      </c>
      <c r="AK771" s="1">
        <v>2032</v>
      </c>
      <c r="AL771" s="1">
        <v>2033</v>
      </c>
      <c r="AM771" s="1">
        <v>2034</v>
      </c>
      <c r="AN771" s="1">
        <v>2035</v>
      </c>
      <c r="AO771" s="1">
        <v>2036</v>
      </c>
      <c r="AP771" s="1">
        <v>2037</v>
      </c>
      <c r="AQ771" s="1">
        <v>2038</v>
      </c>
      <c r="AR771" s="1">
        <v>2039</v>
      </c>
      <c r="AS771" s="1">
        <v>2040</v>
      </c>
      <c r="AT771" s="1">
        <v>2041</v>
      </c>
      <c r="AU771" s="1">
        <v>2042</v>
      </c>
      <c r="AV771" s="1">
        <v>2043</v>
      </c>
      <c r="AW771" s="1">
        <v>2044</v>
      </c>
      <c r="AX771" s="1">
        <v>2045</v>
      </c>
      <c r="AY771" s="1">
        <v>2046</v>
      </c>
      <c r="AZ771" s="1">
        <v>2047</v>
      </c>
      <c r="BA771" s="1">
        <v>2048</v>
      </c>
      <c r="BB771" s="1">
        <v>2049</v>
      </c>
      <c r="BC771" s="1">
        <v>2050</v>
      </c>
    </row>
    <row r="772" spans="1:55" x14ac:dyDescent="0.25">
      <c r="A772" s="1" t="str">
        <f>'Population Definitions'!$A$2</f>
        <v>PWID_males</v>
      </c>
      <c r="C772" t="s">
        <v>32</v>
      </c>
      <c r="D772" s="3"/>
      <c r="E772" s="3">
        <v>0</v>
      </c>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c r="AV772" s="3"/>
      <c r="AW772" s="3"/>
      <c r="AX772" s="3"/>
      <c r="AY772" s="3"/>
      <c r="AZ772" s="3"/>
      <c r="BA772" s="3"/>
      <c r="BB772" s="3"/>
      <c r="BC772" s="3"/>
    </row>
    <row r="773" spans="1:55" x14ac:dyDescent="0.25">
      <c r="A773" s="1" t="str">
        <f>'Population Definitions'!$A$3</f>
        <v>PWID_females</v>
      </c>
      <c r="C773" t="s">
        <v>32</v>
      </c>
      <c r="D773" s="3"/>
      <c r="E773" s="3">
        <v>0</v>
      </c>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c r="AV773" s="3"/>
      <c r="AW773" s="3"/>
      <c r="AX773" s="3"/>
      <c r="AY773" s="3"/>
      <c r="AZ773" s="3"/>
      <c r="BA773" s="3"/>
      <c r="BB773" s="3"/>
      <c r="BC773" s="3"/>
    </row>
    <row r="774" spans="1:55" x14ac:dyDescent="0.25">
      <c r="A774" s="1" t="str">
        <f>'Population Definitions'!$A$4</f>
        <v>0-9_males</v>
      </c>
      <c r="C774" t="s">
        <v>32</v>
      </c>
      <c r="D774" s="3"/>
      <c r="E774" s="3">
        <v>0</v>
      </c>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c r="AV774" s="3"/>
      <c r="AW774" s="3"/>
      <c r="AX774" s="3"/>
      <c r="AY774" s="3"/>
      <c r="AZ774" s="3"/>
      <c r="BA774" s="3"/>
      <c r="BB774" s="3"/>
      <c r="BC774" s="3"/>
    </row>
    <row r="775" spans="1:55" x14ac:dyDescent="0.25">
      <c r="A775" s="1" t="str">
        <f>'Population Definitions'!$A$5</f>
        <v>0-9_females</v>
      </c>
      <c r="C775" t="s">
        <v>32</v>
      </c>
      <c r="D775" s="3"/>
      <c r="E775" s="3">
        <v>0</v>
      </c>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c r="AV775" s="3"/>
      <c r="AW775" s="3"/>
      <c r="AX775" s="3"/>
      <c r="AY775" s="3"/>
      <c r="AZ775" s="3"/>
      <c r="BA775" s="3"/>
      <c r="BB775" s="3"/>
      <c r="BC775" s="3"/>
    </row>
    <row r="776" spans="1:55" x14ac:dyDescent="0.25">
      <c r="A776" s="1" t="str">
        <f>'Population Definitions'!$A$6</f>
        <v>10-17_males</v>
      </c>
      <c r="C776" t="s">
        <v>32</v>
      </c>
      <c r="D776" s="3"/>
      <c r="E776" s="3">
        <v>0</v>
      </c>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c r="AV776" s="3"/>
      <c r="AW776" s="3"/>
      <c r="AX776" s="3"/>
      <c r="AY776" s="3"/>
      <c r="AZ776" s="3"/>
      <c r="BA776" s="3"/>
      <c r="BB776" s="3"/>
      <c r="BC776" s="3"/>
    </row>
    <row r="777" spans="1:55" x14ac:dyDescent="0.25">
      <c r="A777" s="1" t="str">
        <f>'Population Definitions'!$A$7</f>
        <v>10-17_females</v>
      </c>
      <c r="C777" t="s">
        <v>32</v>
      </c>
      <c r="D777" s="3"/>
      <c r="E777" s="3">
        <v>0</v>
      </c>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c r="AV777" s="3"/>
      <c r="AW777" s="3"/>
      <c r="AX777" s="3"/>
      <c r="AY777" s="3"/>
      <c r="AZ777" s="3"/>
      <c r="BA777" s="3"/>
      <c r="BB777" s="3"/>
      <c r="BC777" s="3"/>
    </row>
    <row r="778" spans="1:55" x14ac:dyDescent="0.25">
      <c r="A778" s="1" t="str">
        <f>'Population Definitions'!$A$8</f>
        <v>18-64_males</v>
      </c>
      <c r="C778" t="s">
        <v>32</v>
      </c>
      <c r="D778" s="3"/>
      <c r="E778" s="3">
        <v>0</v>
      </c>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c r="AV778" s="3"/>
      <c r="AW778" s="3"/>
      <c r="AX778" s="3"/>
      <c r="AY778" s="3"/>
      <c r="AZ778" s="3"/>
      <c r="BA778" s="3"/>
      <c r="BB778" s="3"/>
      <c r="BC778" s="3"/>
    </row>
    <row r="779" spans="1:55" x14ac:dyDescent="0.25">
      <c r="A779" s="1" t="str">
        <f>'Population Definitions'!$A$9</f>
        <v>18-64_females</v>
      </c>
      <c r="C779" t="s">
        <v>32</v>
      </c>
      <c r="D779" s="3"/>
      <c r="E779" s="3">
        <v>0</v>
      </c>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c r="AV779" s="3"/>
      <c r="AW779" s="3"/>
      <c r="AX779" s="3"/>
      <c r="AY779" s="3"/>
      <c r="AZ779" s="3"/>
      <c r="BA779" s="3"/>
      <c r="BB779" s="3"/>
      <c r="BC779" s="3"/>
    </row>
    <row r="780" spans="1:55" x14ac:dyDescent="0.25">
      <c r="A780" s="1" t="str">
        <f>'Population Definitions'!$A$10</f>
        <v>65+_males</v>
      </c>
      <c r="C780" t="s">
        <v>32</v>
      </c>
      <c r="D780" s="3"/>
      <c r="E780" s="3">
        <v>0</v>
      </c>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3"/>
      <c r="AW780" s="3"/>
      <c r="AX780" s="3"/>
      <c r="AY780" s="3"/>
      <c r="AZ780" s="3"/>
      <c r="BA780" s="3"/>
      <c r="BB780" s="3"/>
      <c r="BC780" s="3"/>
    </row>
    <row r="781" spans="1:55" x14ac:dyDescent="0.25">
      <c r="A781" s="1" t="str">
        <f>'Population Definitions'!$A$11</f>
        <v>65+_females</v>
      </c>
      <c r="C781" t="s">
        <v>32</v>
      </c>
      <c r="D781" s="3"/>
      <c r="E781" s="3">
        <v>0</v>
      </c>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c r="AV781" s="3"/>
      <c r="AW781" s="3"/>
      <c r="AX781" s="3"/>
      <c r="AY781" s="3"/>
      <c r="AZ781" s="3"/>
      <c r="BA781" s="3"/>
      <c r="BB781" s="3"/>
      <c r="BC781" s="3"/>
    </row>
    <row r="782" spans="1:55" x14ac:dyDescent="0.25">
      <c r="A782" s="1" t="str">
        <f>'Population Definitions'!$A$12</f>
        <v>Prisoners_males</v>
      </c>
      <c r="C782" t="s">
        <v>32</v>
      </c>
      <c r="D782" s="3"/>
      <c r="E782" s="3">
        <v>0</v>
      </c>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c r="AV782" s="3"/>
      <c r="AW782" s="3"/>
      <c r="AX782" s="3"/>
      <c r="AY782" s="3"/>
      <c r="AZ782" s="3"/>
      <c r="BA782" s="3"/>
      <c r="BB782" s="3"/>
      <c r="BC782" s="3"/>
    </row>
    <row r="783" spans="1:55" x14ac:dyDescent="0.25">
      <c r="A783" s="1" t="str">
        <f>'Population Definitions'!$A$13</f>
        <v>Prisoners_females</v>
      </c>
      <c r="C783" t="s">
        <v>32</v>
      </c>
      <c r="D783" s="3"/>
      <c r="E783" s="3">
        <v>0</v>
      </c>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c r="AV783" s="3"/>
      <c r="AW783" s="3"/>
      <c r="AX783" s="3"/>
      <c r="AY783" s="3"/>
      <c r="AZ783" s="3"/>
      <c r="BA783" s="3"/>
      <c r="BB783" s="3"/>
      <c r="BC783" s="3"/>
    </row>
    <row r="785" spans="1:55" x14ac:dyDescent="0.25">
      <c r="A785" s="1" t="s">
        <v>182</v>
      </c>
      <c r="B785" s="1" t="s">
        <v>29</v>
      </c>
      <c r="C785" s="1" t="s">
        <v>30</v>
      </c>
      <c r="D785" s="1" t="s">
        <v>31</v>
      </c>
      <c r="E785" s="1">
        <v>2000</v>
      </c>
      <c r="F785" s="1">
        <v>2001</v>
      </c>
      <c r="G785" s="1">
        <v>2002</v>
      </c>
      <c r="H785" s="1">
        <v>2003</v>
      </c>
      <c r="I785" s="1">
        <v>2004</v>
      </c>
      <c r="J785" s="1">
        <v>2005</v>
      </c>
      <c r="K785" s="1">
        <v>2006</v>
      </c>
      <c r="L785" s="1">
        <v>2007</v>
      </c>
      <c r="M785" s="1">
        <v>2008</v>
      </c>
      <c r="N785" s="1">
        <v>2009</v>
      </c>
      <c r="O785" s="1">
        <v>2010</v>
      </c>
      <c r="P785" s="1">
        <v>2011</v>
      </c>
      <c r="Q785" s="1">
        <v>2012</v>
      </c>
      <c r="R785" s="1">
        <v>2013</v>
      </c>
      <c r="S785" s="1">
        <v>2014</v>
      </c>
      <c r="T785" s="1">
        <v>2015</v>
      </c>
      <c r="U785" s="1">
        <v>2016</v>
      </c>
      <c r="V785" s="1">
        <v>2017</v>
      </c>
      <c r="W785" s="1">
        <v>2018</v>
      </c>
      <c r="X785" s="1">
        <v>2019</v>
      </c>
      <c r="Y785" s="1">
        <v>2020</v>
      </c>
      <c r="Z785" s="1">
        <v>2021</v>
      </c>
      <c r="AA785" s="1">
        <v>2022</v>
      </c>
      <c r="AB785" s="1">
        <v>2023</v>
      </c>
      <c r="AC785" s="1">
        <v>2024</v>
      </c>
      <c r="AD785" s="1">
        <v>2025</v>
      </c>
      <c r="AE785" s="1">
        <v>2026</v>
      </c>
      <c r="AF785" s="1">
        <v>2027</v>
      </c>
      <c r="AG785" s="1">
        <v>2028</v>
      </c>
      <c r="AH785" s="1">
        <v>2029</v>
      </c>
      <c r="AI785" s="1">
        <v>2030</v>
      </c>
      <c r="AJ785" s="1">
        <v>2031</v>
      </c>
      <c r="AK785" s="1">
        <v>2032</v>
      </c>
      <c r="AL785" s="1">
        <v>2033</v>
      </c>
      <c r="AM785" s="1">
        <v>2034</v>
      </c>
      <c r="AN785" s="1">
        <v>2035</v>
      </c>
      <c r="AO785" s="1">
        <v>2036</v>
      </c>
      <c r="AP785" s="1">
        <v>2037</v>
      </c>
      <c r="AQ785" s="1">
        <v>2038</v>
      </c>
      <c r="AR785" s="1">
        <v>2039</v>
      </c>
      <c r="AS785" s="1">
        <v>2040</v>
      </c>
      <c r="AT785" s="1">
        <v>2041</v>
      </c>
      <c r="AU785" s="1">
        <v>2042</v>
      </c>
      <c r="AV785" s="1">
        <v>2043</v>
      </c>
      <c r="AW785" s="1">
        <v>2044</v>
      </c>
      <c r="AX785" s="1">
        <v>2045</v>
      </c>
      <c r="AY785" s="1">
        <v>2046</v>
      </c>
      <c r="AZ785" s="1">
        <v>2047</v>
      </c>
      <c r="BA785" s="1">
        <v>2048</v>
      </c>
      <c r="BB785" s="1">
        <v>2049</v>
      </c>
      <c r="BC785" s="1">
        <v>2050</v>
      </c>
    </row>
    <row r="786" spans="1:55" x14ac:dyDescent="0.25">
      <c r="A786" s="1" t="str">
        <f>'Population Definitions'!$A$2</f>
        <v>PWID_males</v>
      </c>
      <c r="C786" t="s">
        <v>32</v>
      </c>
      <c r="D786" s="3"/>
      <c r="E786" s="3">
        <v>0</v>
      </c>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c r="AV786" s="3"/>
      <c r="AW786" s="3"/>
      <c r="AX786" s="3"/>
      <c r="AY786" s="3"/>
      <c r="AZ786" s="3"/>
      <c r="BA786" s="3"/>
      <c r="BB786" s="3"/>
      <c r="BC786" s="3"/>
    </row>
    <row r="787" spans="1:55" x14ac:dyDescent="0.25">
      <c r="A787" s="1" t="str">
        <f>'Population Definitions'!$A$3</f>
        <v>PWID_females</v>
      </c>
      <c r="C787" t="s">
        <v>32</v>
      </c>
      <c r="D787" s="3"/>
      <c r="E787" s="3">
        <v>0</v>
      </c>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c r="AV787" s="3"/>
      <c r="AW787" s="3"/>
      <c r="AX787" s="3"/>
      <c r="AY787" s="3"/>
      <c r="AZ787" s="3"/>
      <c r="BA787" s="3"/>
      <c r="BB787" s="3"/>
      <c r="BC787" s="3"/>
    </row>
    <row r="788" spans="1:55" x14ac:dyDescent="0.25">
      <c r="A788" s="1" t="str">
        <f>'Population Definitions'!$A$4</f>
        <v>0-9_males</v>
      </c>
      <c r="C788" t="s">
        <v>32</v>
      </c>
      <c r="D788" s="3"/>
      <c r="E788" s="3">
        <v>0</v>
      </c>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c r="AV788" s="3"/>
      <c r="AW788" s="3"/>
      <c r="AX788" s="3"/>
      <c r="AY788" s="3"/>
      <c r="AZ788" s="3"/>
      <c r="BA788" s="3"/>
      <c r="BB788" s="3"/>
      <c r="BC788" s="3"/>
    </row>
    <row r="789" spans="1:55" x14ac:dyDescent="0.25">
      <c r="A789" s="1" t="str">
        <f>'Population Definitions'!$A$5</f>
        <v>0-9_females</v>
      </c>
      <c r="C789" t="s">
        <v>32</v>
      </c>
      <c r="D789" s="3"/>
      <c r="E789" s="3">
        <v>0</v>
      </c>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c r="AV789" s="3"/>
      <c r="AW789" s="3"/>
      <c r="AX789" s="3"/>
      <c r="AY789" s="3"/>
      <c r="AZ789" s="3"/>
      <c r="BA789" s="3"/>
      <c r="BB789" s="3"/>
      <c r="BC789" s="3"/>
    </row>
    <row r="790" spans="1:55" x14ac:dyDescent="0.25">
      <c r="A790" s="1" t="str">
        <f>'Population Definitions'!$A$6</f>
        <v>10-17_males</v>
      </c>
      <c r="C790" t="s">
        <v>32</v>
      </c>
      <c r="D790" s="3"/>
      <c r="E790" s="3">
        <v>0</v>
      </c>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c r="AV790" s="3"/>
      <c r="AW790" s="3"/>
      <c r="AX790" s="3"/>
      <c r="AY790" s="3"/>
      <c r="AZ790" s="3"/>
      <c r="BA790" s="3"/>
      <c r="BB790" s="3"/>
      <c r="BC790" s="3"/>
    </row>
    <row r="791" spans="1:55" x14ac:dyDescent="0.25">
      <c r="A791" s="1" t="str">
        <f>'Population Definitions'!$A$7</f>
        <v>10-17_females</v>
      </c>
      <c r="C791" t="s">
        <v>32</v>
      </c>
      <c r="D791" s="3"/>
      <c r="E791" s="3">
        <v>0</v>
      </c>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c r="AV791" s="3"/>
      <c r="AW791" s="3"/>
      <c r="AX791" s="3"/>
      <c r="AY791" s="3"/>
      <c r="AZ791" s="3"/>
      <c r="BA791" s="3"/>
      <c r="BB791" s="3"/>
      <c r="BC791" s="3"/>
    </row>
    <row r="792" spans="1:55" x14ac:dyDescent="0.25">
      <c r="A792" s="1" t="str">
        <f>'Population Definitions'!$A$8</f>
        <v>18-64_males</v>
      </c>
      <c r="C792" t="s">
        <v>32</v>
      </c>
      <c r="D792" s="3"/>
      <c r="E792" s="3">
        <v>0</v>
      </c>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c r="AV792" s="3"/>
      <c r="AW792" s="3"/>
      <c r="AX792" s="3"/>
      <c r="AY792" s="3"/>
      <c r="AZ792" s="3"/>
      <c r="BA792" s="3"/>
      <c r="BB792" s="3"/>
      <c r="BC792" s="3"/>
    </row>
    <row r="793" spans="1:55" x14ac:dyDescent="0.25">
      <c r="A793" s="1" t="str">
        <f>'Population Definitions'!$A$9</f>
        <v>18-64_females</v>
      </c>
      <c r="C793" t="s">
        <v>32</v>
      </c>
      <c r="D793" s="3"/>
      <c r="E793" s="3">
        <v>0</v>
      </c>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c r="AV793" s="3"/>
      <c r="AW793" s="3"/>
      <c r="AX793" s="3"/>
      <c r="AY793" s="3"/>
      <c r="AZ793" s="3"/>
      <c r="BA793" s="3"/>
      <c r="BB793" s="3"/>
      <c r="BC793" s="3"/>
    </row>
    <row r="794" spans="1:55" x14ac:dyDescent="0.25">
      <c r="A794" s="1" t="str">
        <f>'Population Definitions'!$A$10</f>
        <v>65+_males</v>
      </c>
      <c r="C794" t="s">
        <v>32</v>
      </c>
      <c r="D794" s="3"/>
      <c r="E794" s="3">
        <v>0</v>
      </c>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c r="AV794" s="3"/>
      <c r="AW794" s="3"/>
      <c r="AX794" s="3"/>
      <c r="AY794" s="3"/>
      <c r="AZ794" s="3"/>
      <c r="BA794" s="3"/>
      <c r="BB794" s="3"/>
      <c r="BC794" s="3"/>
    </row>
    <row r="795" spans="1:55" x14ac:dyDescent="0.25">
      <c r="A795" s="1" t="str">
        <f>'Population Definitions'!$A$11</f>
        <v>65+_females</v>
      </c>
      <c r="C795" t="s">
        <v>32</v>
      </c>
      <c r="D795" s="3"/>
      <c r="E795" s="3">
        <v>0</v>
      </c>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c r="AV795" s="3"/>
      <c r="AW795" s="3"/>
      <c r="AX795" s="3"/>
      <c r="AY795" s="3"/>
      <c r="AZ795" s="3"/>
      <c r="BA795" s="3"/>
      <c r="BB795" s="3"/>
      <c r="BC795" s="3"/>
    </row>
    <row r="796" spans="1:55" x14ac:dyDescent="0.25">
      <c r="A796" s="1" t="str">
        <f>'Population Definitions'!$A$12</f>
        <v>Prisoners_males</v>
      </c>
      <c r="C796" t="s">
        <v>32</v>
      </c>
      <c r="D796" s="3"/>
      <c r="E796" s="3">
        <v>0</v>
      </c>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c r="AV796" s="3"/>
      <c r="AW796" s="3"/>
      <c r="AX796" s="3"/>
      <c r="AY796" s="3"/>
      <c r="AZ796" s="3"/>
      <c r="BA796" s="3"/>
      <c r="BB796" s="3"/>
      <c r="BC796" s="3"/>
    </row>
    <row r="797" spans="1:55" x14ac:dyDescent="0.25">
      <c r="A797" s="1" t="str">
        <f>'Population Definitions'!$A$13</f>
        <v>Prisoners_females</v>
      </c>
      <c r="C797" t="s">
        <v>32</v>
      </c>
      <c r="D797" s="3"/>
      <c r="E797" s="3">
        <v>0</v>
      </c>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c r="AV797" s="3"/>
      <c r="AW797" s="3"/>
      <c r="AX797" s="3"/>
      <c r="AY797" s="3"/>
      <c r="AZ797" s="3"/>
      <c r="BA797" s="3"/>
      <c r="BB797" s="3"/>
      <c r="BC797" s="3"/>
    </row>
    <row r="799" spans="1:55" x14ac:dyDescent="0.25">
      <c r="A799" s="1" t="s">
        <v>183</v>
      </c>
      <c r="B799" s="1" t="s">
        <v>29</v>
      </c>
      <c r="C799" s="1" t="s">
        <v>30</v>
      </c>
      <c r="D799" s="1" t="s">
        <v>31</v>
      </c>
      <c r="E799" s="1">
        <v>2000</v>
      </c>
      <c r="F799" s="1">
        <v>2001</v>
      </c>
      <c r="G799" s="1">
        <v>2002</v>
      </c>
      <c r="H799" s="1">
        <v>2003</v>
      </c>
      <c r="I799" s="1">
        <v>2004</v>
      </c>
      <c r="J799" s="1">
        <v>2005</v>
      </c>
      <c r="K799" s="1">
        <v>2006</v>
      </c>
      <c r="L799" s="1">
        <v>2007</v>
      </c>
      <c r="M799" s="1">
        <v>2008</v>
      </c>
      <c r="N799" s="1">
        <v>2009</v>
      </c>
      <c r="O799" s="1">
        <v>2010</v>
      </c>
      <c r="P799" s="1">
        <v>2011</v>
      </c>
      <c r="Q799" s="1">
        <v>2012</v>
      </c>
      <c r="R799" s="1">
        <v>2013</v>
      </c>
      <c r="S799" s="1">
        <v>2014</v>
      </c>
      <c r="T799" s="1">
        <v>2015</v>
      </c>
      <c r="U799" s="1">
        <v>2016</v>
      </c>
      <c r="V799" s="1">
        <v>2017</v>
      </c>
      <c r="W799" s="1">
        <v>2018</v>
      </c>
      <c r="X799" s="1">
        <v>2019</v>
      </c>
      <c r="Y799" s="1">
        <v>2020</v>
      </c>
      <c r="Z799" s="1">
        <v>2021</v>
      </c>
      <c r="AA799" s="1">
        <v>2022</v>
      </c>
      <c r="AB799" s="1">
        <v>2023</v>
      </c>
      <c r="AC799" s="1">
        <v>2024</v>
      </c>
      <c r="AD799" s="1">
        <v>2025</v>
      </c>
      <c r="AE799" s="1">
        <v>2026</v>
      </c>
      <c r="AF799" s="1">
        <v>2027</v>
      </c>
      <c r="AG799" s="1">
        <v>2028</v>
      </c>
      <c r="AH799" s="1">
        <v>2029</v>
      </c>
      <c r="AI799" s="1">
        <v>2030</v>
      </c>
      <c r="AJ799" s="1">
        <v>2031</v>
      </c>
      <c r="AK799" s="1">
        <v>2032</v>
      </c>
      <c r="AL799" s="1">
        <v>2033</v>
      </c>
      <c r="AM799" s="1">
        <v>2034</v>
      </c>
      <c r="AN799" s="1">
        <v>2035</v>
      </c>
      <c r="AO799" s="1">
        <v>2036</v>
      </c>
      <c r="AP799" s="1">
        <v>2037</v>
      </c>
      <c r="AQ799" s="1">
        <v>2038</v>
      </c>
      <c r="AR799" s="1">
        <v>2039</v>
      </c>
      <c r="AS799" s="1">
        <v>2040</v>
      </c>
      <c r="AT799" s="1">
        <v>2041</v>
      </c>
      <c r="AU799" s="1">
        <v>2042</v>
      </c>
      <c r="AV799" s="1">
        <v>2043</v>
      </c>
      <c r="AW799" s="1">
        <v>2044</v>
      </c>
      <c r="AX799" s="1">
        <v>2045</v>
      </c>
      <c r="AY799" s="1">
        <v>2046</v>
      </c>
      <c r="AZ799" s="1">
        <v>2047</v>
      </c>
      <c r="BA799" s="1">
        <v>2048</v>
      </c>
      <c r="BB799" s="1">
        <v>2049</v>
      </c>
      <c r="BC799" s="1">
        <v>2050</v>
      </c>
    </row>
    <row r="800" spans="1:55" x14ac:dyDescent="0.25">
      <c r="A800" s="1" t="str">
        <f>'Population Definitions'!$A$2</f>
        <v>PWID_males</v>
      </c>
      <c r="C800" t="s">
        <v>32</v>
      </c>
      <c r="D800" s="3"/>
      <c r="E800" s="3">
        <v>0</v>
      </c>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c r="AV800" s="3"/>
      <c r="AW800" s="3"/>
      <c r="AX800" s="3"/>
      <c r="AY800" s="3"/>
      <c r="AZ800" s="3"/>
      <c r="BA800" s="3"/>
      <c r="BB800" s="3"/>
      <c r="BC800" s="3"/>
    </row>
    <row r="801" spans="1:55" x14ac:dyDescent="0.25">
      <c r="A801" s="1" t="str">
        <f>'Population Definitions'!$A$3</f>
        <v>PWID_females</v>
      </c>
      <c r="C801" t="s">
        <v>32</v>
      </c>
      <c r="D801" s="3"/>
      <c r="E801" s="3">
        <v>0</v>
      </c>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c r="AV801" s="3"/>
      <c r="AW801" s="3"/>
      <c r="AX801" s="3"/>
      <c r="AY801" s="3"/>
      <c r="AZ801" s="3"/>
      <c r="BA801" s="3"/>
      <c r="BB801" s="3"/>
      <c r="BC801" s="3"/>
    </row>
    <row r="802" spans="1:55" x14ac:dyDescent="0.25">
      <c r="A802" s="1" t="str">
        <f>'Population Definitions'!$A$4</f>
        <v>0-9_males</v>
      </c>
      <c r="C802" t="s">
        <v>32</v>
      </c>
      <c r="D802" s="3"/>
      <c r="E802" s="3">
        <v>0</v>
      </c>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c r="AV802" s="3"/>
      <c r="AW802" s="3"/>
      <c r="AX802" s="3"/>
      <c r="AY802" s="3"/>
      <c r="AZ802" s="3"/>
      <c r="BA802" s="3"/>
      <c r="BB802" s="3"/>
      <c r="BC802" s="3"/>
    </row>
    <row r="803" spans="1:55" x14ac:dyDescent="0.25">
      <c r="A803" s="1" t="str">
        <f>'Population Definitions'!$A$5</f>
        <v>0-9_females</v>
      </c>
      <c r="C803" t="s">
        <v>32</v>
      </c>
      <c r="D803" s="3"/>
      <c r="E803" s="3">
        <v>0</v>
      </c>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c r="AV803" s="3"/>
      <c r="AW803" s="3"/>
      <c r="AX803" s="3"/>
      <c r="AY803" s="3"/>
      <c r="AZ803" s="3"/>
      <c r="BA803" s="3"/>
      <c r="BB803" s="3"/>
      <c r="BC803" s="3"/>
    </row>
    <row r="804" spans="1:55" x14ac:dyDescent="0.25">
      <c r="A804" s="1" t="str">
        <f>'Population Definitions'!$A$6</f>
        <v>10-17_males</v>
      </c>
      <c r="C804" t="s">
        <v>32</v>
      </c>
      <c r="D804" s="3"/>
      <c r="E804" s="3">
        <v>0</v>
      </c>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c r="AV804" s="3"/>
      <c r="AW804" s="3"/>
      <c r="AX804" s="3"/>
      <c r="AY804" s="3"/>
      <c r="AZ804" s="3"/>
      <c r="BA804" s="3"/>
      <c r="BB804" s="3"/>
      <c r="BC804" s="3"/>
    </row>
    <row r="805" spans="1:55" x14ac:dyDescent="0.25">
      <c r="A805" s="1" t="str">
        <f>'Population Definitions'!$A$7</f>
        <v>10-17_females</v>
      </c>
      <c r="C805" t="s">
        <v>32</v>
      </c>
      <c r="D805" s="3"/>
      <c r="E805" s="3">
        <v>0</v>
      </c>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c r="AV805" s="3"/>
      <c r="AW805" s="3"/>
      <c r="AX805" s="3"/>
      <c r="AY805" s="3"/>
      <c r="AZ805" s="3"/>
      <c r="BA805" s="3"/>
      <c r="BB805" s="3"/>
      <c r="BC805" s="3"/>
    </row>
    <row r="806" spans="1:55" x14ac:dyDescent="0.25">
      <c r="A806" s="1" t="str">
        <f>'Population Definitions'!$A$8</f>
        <v>18-64_males</v>
      </c>
      <c r="C806" t="s">
        <v>32</v>
      </c>
      <c r="D806" s="3"/>
      <c r="E806" s="3">
        <v>0</v>
      </c>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c r="AV806" s="3"/>
      <c r="AW806" s="3"/>
      <c r="AX806" s="3"/>
      <c r="AY806" s="3"/>
      <c r="AZ806" s="3"/>
      <c r="BA806" s="3"/>
      <c r="BB806" s="3"/>
      <c r="BC806" s="3"/>
    </row>
    <row r="807" spans="1:55" x14ac:dyDescent="0.25">
      <c r="A807" s="1" t="str">
        <f>'Population Definitions'!$A$9</f>
        <v>18-64_females</v>
      </c>
      <c r="C807" t="s">
        <v>32</v>
      </c>
      <c r="D807" s="3"/>
      <c r="E807" s="3">
        <v>0</v>
      </c>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c r="AV807" s="3"/>
      <c r="AW807" s="3"/>
      <c r="AX807" s="3"/>
      <c r="AY807" s="3"/>
      <c r="AZ807" s="3"/>
      <c r="BA807" s="3"/>
      <c r="BB807" s="3"/>
      <c r="BC807" s="3"/>
    </row>
    <row r="808" spans="1:55" x14ac:dyDescent="0.25">
      <c r="A808" s="1" t="str">
        <f>'Population Definitions'!$A$10</f>
        <v>65+_males</v>
      </c>
      <c r="C808" t="s">
        <v>32</v>
      </c>
      <c r="D808" s="3"/>
      <c r="E808" s="3">
        <v>0</v>
      </c>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c r="AV808" s="3"/>
      <c r="AW808" s="3"/>
      <c r="AX808" s="3"/>
      <c r="AY808" s="3"/>
      <c r="AZ808" s="3"/>
      <c r="BA808" s="3"/>
      <c r="BB808" s="3"/>
      <c r="BC808" s="3"/>
    </row>
    <row r="809" spans="1:55" x14ac:dyDescent="0.25">
      <c r="A809" s="1" t="str">
        <f>'Population Definitions'!$A$11</f>
        <v>65+_females</v>
      </c>
      <c r="C809" t="s">
        <v>32</v>
      </c>
      <c r="D809" s="3"/>
      <c r="E809" s="3">
        <v>0</v>
      </c>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c r="AV809" s="3"/>
      <c r="AW809" s="3"/>
      <c r="AX809" s="3"/>
      <c r="AY809" s="3"/>
      <c r="AZ809" s="3"/>
      <c r="BA809" s="3"/>
      <c r="BB809" s="3"/>
      <c r="BC809" s="3"/>
    </row>
    <row r="810" spans="1:55" x14ac:dyDescent="0.25">
      <c r="A810" s="1" t="str">
        <f>'Population Definitions'!$A$12</f>
        <v>Prisoners_males</v>
      </c>
      <c r="C810" t="s">
        <v>32</v>
      </c>
      <c r="D810" s="3"/>
      <c r="E810" s="3">
        <v>0</v>
      </c>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c r="AV810" s="3"/>
      <c r="AW810" s="3"/>
      <c r="AX810" s="3"/>
      <c r="AY810" s="3"/>
      <c r="AZ810" s="3"/>
      <c r="BA810" s="3"/>
      <c r="BB810" s="3"/>
      <c r="BC810" s="3"/>
    </row>
    <row r="811" spans="1:55" x14ac:dyDescent="0.25">
      <c r="A811" s="1" t="str">
        <f>'Population Definitions'!$A$13</f>
        <v>Prisoners_females</v>
      </c>
      <c r="C811" t="s">
        <v>32</v>
      </c>
      <c r="D811" s="3"/>
      <c r="E811" s="3">
        <v>0</v>
      </c>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c r="AV811" s="3"/>
      <c r="AW811" s="3"/>
      <c r="AX811" s="3"/>
      <c r="AY811" s="3"/>
      <c r="AZ811" s="3"/>
      <c r="BA811" s="3"/>
      <c r="BB811" s="3"/>
      <c r="BC811" s="3"/>
    </row>
    <row r="813" spans="1:55" x14ac:dyDescent="0.25">
      <c r="A813" s="1" t="s">
        <v>184</v>
      </c>
      <c r="B813" s="1" t="s">
        <v>29</v>
      </c>
      <c r="C813" s="1" t="s">
        <v>30</v>
      </c>
      <c r="D813" s="1" t="s">
        <v>31</v>
      </c>
      <c r="E813" s="1">
        <v>2000</v>
      </c>
      <c r="F813" s="1">
        <v>2001</v>
      </c>
      <c r="G813" s="1">
        <v>2002</v>
      </c>
      <c r="H813" s="1">
        <v>2003</v>
      </c>
      <c r="I813" s="1">
        <v>2004</v>
      </c>
      <c r="J813" s="1">
        <v>2005</v>
      </c>
      <c r="K813" s="1">
        <v>2006</v>
      </c>
      <c r="L813" s="1">
        <v>2007</v>
      </c>
      <c r="M813" s="1">
        <v>2008</v>
      </c>
      <c r="N813" s="1">
        <v>2009</v>
      </c>
      <c r="O813" s="1">
        <v>2010</v>
      </c>
      <c r="P813" s="1">
        <v>2011</v>
      </c>
      <c r="Q813" s="1">
        <v>2012</v>
      </c>
      <c r="R813" s="1">
        <v>2013</v>
      </c>
      <c r="S813" s="1">
        <v>2014</v>
      </c>
      <c r="T813" s="1">
        <v>2015</v>
      </c>
      <c r="U813" s="1">
        <v>2016</v>
      </c>
      <c r="V813" s="1">
        <v>2017</v>
      </c>
      <c r="W813" s="1">
        <v>2018</v>
      </c>
      <c r="X813" s="1">
        <v>2019</v>
      </c>
      <c r="Y813" s="1">
        <v>2020</v>
      </c>
      <c r="Z813" s="1">
        <v>2021</v>
      </c>
      <c r="AA813" s="1">
        <v>2022</v>
      </c>
      <c r="AB813" s="1">
        <v>2023</v>
      </c>
      <c r="AC813" s="1">
        <v>2024</v>
      </c>
      <c r="AD813" s="1">
        <v>2025</v>
      </c>
      <c r="AE813" s="1">
        <v>2026</v>
      </c>
      <c r="AF813" s="1">
        <v>2027</v>
      </c>
      <c r="AG813" s="1">
        <v>2028</v>
      </c>
      <c r="AH813" s="1">
        <v>2029</v>
      </c>
      <c r="AI813" s="1">
        <v>2030</v>
      </c>
      <c r="AJ813" s="1">
        <v>2031</v>
      </c>
      <c r="AK813" s="1">
        <v>2032</v>
      </c>
      <c r="AL813" s="1">
        <v>2033</v>
      </c>
      <c r="AM813" s="1">
        <v>2034</v>
      </c>
      <c r="AN813" s="1">
        <v>2035</v>
      </c>
      <c r="AO813" s="1">
        <v>2036</v>
      </c>
      <c r="AP813" s="1">
        <v>2037</v>
      </c>
      <c r="AQ813" s="1">
        <v>2038</v>
      </c>
      <c r="AR813" s="1">
        <v>2039</v>
      </c>
      <c r="AS813" s="1">
        <v>2040</v>
      </c>
      <c r="AT813" s="1">
        <v>2041</v>
      </c>
      <c r="AU813" s="1">
        <v>2042</v>
      </c>
      <c r="AV813" s="1">
        <v>2043</v>
      </c>
      <c r="AW813" s="1">
        <v>2044</v>
      </c>
      <c r="AX813" s="1">
        <v>2045</v>
      </c>
      <c r="AY813" s="1">
        <v>2046</v>
      </c>
      <c r="AZ813" s="1">
        <v>2047</v>
      </c>
      <c r="BA813" s="1">
        <v>2048</v>
      </c>
      <c r="BB813" s="1">
        <v>2049</v>
      </c>
      <c r="BC813" s="1">
        <v>2050</v>
      </c>
    </row>
    <row r="814" spans="1:55" x14ac:dyDescent="0.25">
      <c r="A814" s="1" t="str">
        <f>'Population Definitions'!$A$2</f>
        <v>PWID_males</v>
      </c>
      <c r="C814" t="s">
        <v>32</v>
      </c>
      <c r="D814" s="3"/>
      <c r="E814" s="3">
        <v>0</v>
      </c>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c r="AV814" s="3"/>
      <c r="AW814" s="3"/>
      <c r="AX814" s="3"/>
      <c r="AY814" s="3"/>
      <c r="AZ814" s="3"/>
      <c r="BA814" s="3"/>
      <c r="BB814" s="3"/>
      <c r="BC814" s="3"/>
    </row>
    <row r="815" spans="1:55" x14ac:dyDescent="0.25">
      <c r="A815" s="1" t="str">
        <f>'Population Definitions'!$A$3</f>
        <v>PWID_females</v>
      </c>
      <c r="C815" t="s">
        <v>32</v>
      </c>
      <c r="D815" s="3"/>
      <c r="E815" s="3">
        <v>0</v>
      </c>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c r="AV815" s="3"/>
      <c r="AW815" s="3"/>
      <c r="AX815" s="3"/>
      <c r="AY815" s="3"/>
      <c r="AZ815" s="3"/>
      <c r="BA815" s="3"/>
      <c r="BB815" s="3"/>
      <c r="BC815" s="3"/>
    </row>
    <row r="816" spans="1:55" x14ac:dyDescent="0.25">
      <c r="A816" s="1" t="str">
        <f>'Population Definitions'!$A$4</f>
        <v>0-9_males</v>
      </c>
      <c r="C816" t="s">
        <v>32</v>
      </c>
      <c r="D816" s="3"/>
      <c r="E816" s="3">
        <v>0</v>
      </c>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c r="AV816" s="3"/>
      <c r="AW816" s="3"/>
      <c r="AX816" s="3"/>
      <c r="AY816" s="3"/>
      <c r="AZ816" s="3"/>
      <c r="BA816" s="3"/>
      <c r="BB816" s="3"/>
      <c r="BC816" s="3"/>
    </row>
    <row r="817" spans="1:55" x14ac:dyDescent="0.25">
      <c r="A817" s="1" t="str">
        <f>'Population Definitions'!$A$5</f>
        <v>0-9_females</v>
      </c>
      <c r="C817" t="s">
        <v>32</v>
      </c>
      <c r="D817" s="3"/>
      <c r="E817" s="3">
        <v>0</v>
      </c>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c r="AV817" s="3"/>
      <c r="AW817" s="3"/>
      <c r="AX817" s="3"/>
      <c r="AY817" s="3"/>
      <c r="AZ817" s="3"/>
      <c r="BA817" s="3"/>
      <c r="BB817" s="3"/>
      <c r="BC817" s="3"/>
    </row>
    <row r="818" spans="1:55" x14ac:dyDescent="0.25">
      <c r="A818" s="1" t="str">
        <f>'Population Definitions'!$A$6</f>
        <v>10-17_males</v>
      </c>
      <c r="C818" t="s">
        <v>32</v>
      </c>
      <c r="D818" s="3"/>
      <c r="E818" s="3">
        <v>0</v>
      </c>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c r="AV818" s="3"/>
      <c r="AW818" s="3"/>
      <c r="AX818" s="3"/>
      <c r="AY818" s="3"/>
      <c r="AZ818" s="3"/>
      <c r="BA818" s="3"/>
      <c r="BB818" s="3"/>
      <c r="BC818" s="3"/>
    </row>
    <row r="819" spans="1:55" x14ac:dyDescent="0.25">
      <c r="A819" s="1" t="str">
        <f>'Population Definitions'!$A$7</f>
        <v>10-17_females</v>
      </c>
      <c r="C819" t="s">
        <v>32</v>
      </c>
      <c r="D819" s="3"/>
      <c r="E819" s="3">
        <v>0</v>
      </c>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c r="AV819" s="3"/>
      <c r="AW819" s="3"/>
      <c r="AX819" s="3"/>
      <c r="AY819" s="3"/>
      <c r="AZ819" s="3"/>
      <c r="BA819" s="3"/>
      <c r="BB819" s="3"/>
      <c r="BC819" s="3"/>
    </row>
    <row r="820" spans="1:55" x14ac:dyDescent="0.25">
      <c r="A820" s="1" t="str">
        <f>'Population Definitions'!$A$8</f>
        <v>18-64_males</v>
      </c>
      <c r="C820" t="s">
        <v>32</v>
      </c>
      <c r="D820" s="3"/>
      <c r="E820" s="3">
        <v>0</v>
      </c>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c r="AV820" s="3"/>
      <c r="AW820" s="3"/>
      <c r="AX820" s="3"/>
      <c r="AY820" s="3"/>
      <c r="AZ820" s="3"/>
      <c r="BA820" s="3"/>
      <c r="BB820" s="3"/>
      <c r="BC820" s="3"/>
    </row>
    <row r="821" spans="1:55" x14ac:dyDescent="0.25">
      <c r="A821" s="1" t="str">
        <f>'Population Definitions'!$A$9</f>
        <v>18-64_females</v>
      </c>
      <c r="C821" t="s">
        <v>32</v>
      </c>
      <c r="D821" s="3"/>
      <c r="E821" s="3">
        <v>0</v>
      </c>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c r="AV821" s="3"/>
      <c r="AW821" s="3"/>
      <c r="AX821" s="3"/>
      <c r="AY821" s="3"/>
      <c r="AZ821" s="3"/>
      <c r="BA821" s="3"/>
      <c r="BB821" s="3"/>
      <c r="BC821" s="3"/>
    </row>
    <row r="822" spans="1:55" x14ac:dyDescent="0.25">
      <c r="A822" s="1" t="str">
        <f>'Population Definitions'!$A$10</f>
        <v>65+_males</v>
      </c>
      <c r="C822" t="s">
        <v>32</v>
      </c>
      <c r="D822" s="3"/>
      <c r="E822" s="3">
        <v>0</v>
      </c>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c r="AV822" s="3"/>
      <c r="AW822" s="3"/>
      <c r="AX822" s="3"/>
      <c r="AY822" s="3"/>
      <c r="AZ822" s="3"/>
      <c r="BA822" s="3"/>
      <c r="BB822" s="3"/>
      <c r="BC822" s="3"/>
    </row>
    <row r="823" spans="1:55" x14ac:dyDescent="0.25">
      <c r="A823" s="1" t="str">
        <f>'Population Definitions'!$A$11</f>
        <v>65+_females</v>
      </c>
      <c r="C823" t="s">
        <v>32</v>
      </c>
      <c r="D823" s="3"/>
      <c r="E823" s="3">
        <v>0</v>
      </c>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c r="AV823" s="3"/>
      <c r="AW823" s="3"/>
      <c r="AX823" s="3"/>
      <c r="AY823" s="3"/>
      <c r="AZ823" s="3"/>
      <c r="BA823" s="3"/>
      <c r="BB823" s="3"/>
      <c r="BC823" s="3"/>
    </row>
    <row r="824" spans="1:55" x14ac:dyDescent="0.25">
      <c r="A824" s="1" t="str">
        <f>'Population Definitions'!$A$12</f>
        <v>Prisoners_males</v>
      </c>
      <c r="C824" t="s">
        <v>32</v>
      </c>
      <c r="D824" s="3"/>
      <c r="E824" s="3">
        <v>0</v>
      </c>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c r="AV824" s="3"/>
      <c r="AW824" s="3"/>
      <c r="AX824" s="3"/>
      <c r="AY824" s="3"/>
      <c r="AZ824" s="3"/>
      <c r="BA824" s="3"/>
      <c r="BB824" s="3"/>
      <c r="BC824" s="3"/>
    </row>
    <row r="825" spans="1:55" x14ac:dyDescent="0.25">
      <c r="A825" s="1" t="str">
        <f>'Population Definitions'!$A$13</f>
        <v>Prisoners_females</v>
      </c>
      <c r="C825" t="s">
        <v>32</v>
      </c>
      <c r="D825" s="3"/>
      <c r="E825" s="3">
        <v>0</v>
      </c>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c r="AV825" s="3"/>
      <c r="AW825" s="3"/>
      <c r="AX825" s="3"/>
      <c r="AY825" s="3"/>
      <c r="AZ825" s="3"/>
      <c r="BA825" s="3"/>
      <c r="BB825" s="3"/>
      <c r="BC825" s="3"/>
    </row>
    <row r="827" spans="1:55" x14ac:dyDescent="0.25">
      <c r="A827" s="1" t="s">
        <v>185</v>
      </c>
      <c r="B827" s="1" t="s">
        <v>29</v>
      </c>
      <c r="C827" s="1" t="s">
        <v>30</v>
      </c>
      <c r="D827" s="1" t="s">
        <v>31</v>
      </c>
      <c r="E827" s="1">
        <v>2000</v>
      </c>
      <c r="F827" s="1">
        <v>2001</v>
      </c>
      <c r="G827" s="1">
        <v>2002</v>
      </c>
      <c r="H827" s="1">
        <v>2003</v>
      </c>
      <c r="I827" s="1">
        <v>2004</v>
      </c>
      <c r="J827" s="1">
        <v>2005</v>
      </c>
      <c r="K827" s="1">
        <v>2006</v>
      </c>
      <c r="L827" s="1">
        <v>2007</v>
      </c>
      <c r="M827" s="1">
        <v>2008</v>
      </c>
      <c r="N827" s="1">
        <v>2009</v>
      </c>
      <c r="O827" s="1">
        <v>2010</v>
      </c>
      <c r="P827" s="1">
        <v>2011</v>
      </c>
      <c r="Q827" s="1">
        <v>2012</v>
      </c>
      <c r="R827" s="1">
        <v>2013</v>
      </c>
      <c r="S827" s="1">
        <v>2014</v>
      </c>
      <c r="T827" s="1">
        <v>2015</v>
      </c>
      <c r="U827" s="1">
        <v>2016</v>
      </c>
      <c r="V827" s="1">
        <v>2017</v>
      </c>
      <c r="W827" s="1">
        <v>2018</v>
      </c>
      <c r="X827" s="1">
        <v>2019</v>
      </c>
      <c r="Y827" s="1">
        <v>2020</v>
      </c>
      <c r="Z827" s="1">
        <v>2021</v>
      </c>
      <c r="AA827" s="1">
        <v>2022</v>
      </c>
      <c r="AB827" s="1">
        <v>2023</v>
      </c>
      <c r="AC827" s="1">
        <v>2024</v>
      </c>
      <c r="AD827" s="1">
        <v>2025</v>
      </c>
      <c r="AE827" s="1">
        <v>2026</v>
      </c>
      <c r="AF827" s="1">
        <v>2027</v>
      </c>
      <c r="AG827" s="1">
        <v>2028</v>
      </c>
      <c r="AH827" s="1">
        <v>2029</v>
      </c>
      <c r="AI827" s="1">
        <v>2030</v>
      </c>
      <c r="AJ827" s="1">
        <v>2031</v>
      </c>
      <c r="AK827" s="1">
        <v>2032</v>
      </c>
      <c r="AL827" s="1">
        <v>2033</v>
      </c>
      <c r="AM827" s="1">
        <v>2034</v>
      </c>
      <c r="AN827" s="1">
        <v>2035</v>
      </c>
      <c r="AO827" s="1">
        <v>2036</v>
      </c>
      <c r="AP827" s="1">
        <v>2037</v>
      </c>
      <c r="AQ827" s="1">
        <v>2038</v>
      </c>
      <c r="AR827" s="1">
        <v>2039</v>
      </c>
      <c r="AS827" s="1">
        <v>2040</v>
      </c>
      <c r="AT827" s="1">
        <v>2041</v>
      </c>
      <c r="AU827" s="1">
        <v>2042</v>
      </c>
      <c r="AV827" s="1">
        <v>2043</v>
      </c>
      <c r="AW827" s="1">
        <v>2044</v>
      </c>
      <c r="AX827" s="1">
        <v>2045</v>
      </c>
      <c r="AY827" s="1">
        <v>2046</v>
      </c>
      <c r="AZ827" s="1">
        <v>2047</v>
      </c>
      <c r="BA827" s="1">
        <v>2048</v>
      </c>
      <c r="BB827" s="1">
        <v>2049</v>
      </c>
      <c r="BC827" s="1">
        <v>2050</v>
      </c>
    </row>
    <row r="828" spans="1:55" x14ac:dyDescent="0.25">
      <c r="A828" s="1" t="str">
        <f>'Population Definitions'!$A$2</f>
        <v>PWID_males</v>
      </c>
      <c r="C828" t="s">
        <v>32</v>
      </c>
      <c r="D828" s="3"/>
      <c r="E828" s="3">
        <v>0</v>
      </c>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c r="AV828" s="3"/>
      <c r="AW828" s="3"/>
      <c r="AX828" s="3"/>
      <c r="AY828" s="3"/>
      <c r="AZ828" s="3"/>
      <c r="BA828" s="3"/>
      <c r="BB828" s="3"/>
      <c r="BC828" s="3"/>
    </row>
    <row r="829" spans="1:55" x14ac:dyDescent="0.25">
      <c r="A829" s="1" t="str">
        <f>'Population Definitions'!$A$3</f>
        <v>PWID_females</v>
      </c>
      <c r="C829" t="s">
        <v>32</v>
      </c>
      <c r="D829" s="3"/>
      <c r="E829" s="3">
        <v>0</v>
      </c>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c r="AV829" s="3"/>
      <c r="AW829" s="3"/>
      <c r="AX829" s="3"/>
      <c r="AY829" s="3"/>
      <c r="AZ829" s="3"/>
      <c r="BA829" s="3"/>
      <c r="BB829" s="3"/>
      <c r="BC829" s="3"/>
    </row>
    <row r="830" spans="1:55" x14ac:dyDescent="0.25">
      <c r="A830" s="1" t="str">
        <f>'Population Definitions'!$A$4</f>
        <v>0-9_males</v>
      </c>
      <c r="C830" t="s">
        <v>32</v>
      </c>
      <c r="D830" s="3"/>
      <c r="E830" s="3">
        <v>0</v>
      </c>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c r="AV830" s="3"/>
      <c r="AW830" s="3"/>
      <c r="AX830" s="3"/>
      <c r="AY830" s="3"/>
      <c r="AZ830" s="3"/>
      <c r="BA830" s="3"/>
      <c r="BB830" s="3"/>
      <c r="BC830" s="3"/>
    </row>
    <row r="831" spans="1:55" x14ac:dyDescent="0.25">
      <c r="A831" s="1" t="str">
        <f>'Population Definitions'!$A$5</f>
        <v>0-9_females</v>
      </c>
      <c r="C831" t="s">
        <v>32</v>
      </c>
      <c r="D831" s="3"/>
      <c r="E831" s="3">
        <v>0</v>
      </c>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c r="AV831" s="3"/>
      <c r="AW831" s="3"/>
      <c r="AX831" s="3"/>
      <c r="AY831" s="3"/>
      <c r="AZ831" s="3"/>
      <c r="BA831" s="3"/>
      <c r="BB831" s="3"/>
      <c r="BC831" s="3"/>
    </row>
    <row r="832" spans="1:55" x14ac:dyDescent="0.25">
      <c r="A832" s="1" t="str">
        <f>'Population Definitions'!$A$6</f>
        <v>10-17_males</v>
      </c>
      <c r="C832" t="s">
        <v>32</v>
      </c>
      <c r="D832" s="3"/>
      <c r="E832" s="3">
        <v>0</v>
      </c>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c r="AV832" s="3"/>
      <c r="AW832" s="3"/>
      <c r="AX832" s="3"/>
      <c r="AY832" s="3"/>
      <c r="AZ832" s="3"/>
      <c r="BA832" s="3"/>
      <c r="BB832" s="3"/>
      <c r="BC832" s="3"/>
    </row>
    <row r="833" spans="1:55" x14ac:dyDescent="0.25">
      <c r="A833" s="1" t="str">
        <f>'Population Definitions'!$A$7</f>
        <v>10-17_females</v>
      </c>
      <c r="C833" t="s">
        <v>32</v>
      </c>
      <c r="D833" s="3"/>
      <c r="E833" s="3">
        <v>0</v>
      </c>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c r="AV833" s="3"/>
      <c r="AW833" s="3"/>
      <c r="AX833" s="3"/>
      <c r="AY833" s="3"/>
      <c r="AZ833" s="3"/>
      <c r="BA833" s="3"/>
      <c r="BB833" s="3"/>
      <c r="BC833" s="3"/>
    </row>
    <row r="834" spans="1:55" x14ac:dyDescent="0.25">
      <c r="A834" s="1" t="str">
        <f>'Population Definitions'!$A$8</f>
        <v>18-64_males</v>
      </c>
      <c r="C834" t="s">
        <v>32</v>
      </c>
      <c r="D834" s="3"/>
      <c r="E834" s="3">
        <v>0</v>
      </c>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c r="AV834" s="3"/>
      <c r="AW834" s="3"/>
      <c r="AX834" s="3"/>
      <c r="AY834" s="3"/>
      <c r="AZ834" s="3"/>
      <c r="BA834" s="3"/>
      <c r="BB834" s="3"/>
      <c r="BC834" s="3"/>
    </row>
    <row r="835" spans="1:55" x14ac:dyDescent="0.25">
      <c r="A835" s="1" t="str">
        <f>'Population Definitions'!$A$9</f>
        <v>18-64_females</v>
      </c>
      <c r="C835" t="s">
        <v>32</v>
      </c>
      <c r="D835" s="3"/>
      <c r="E835" s="3">
        <v>0</v>
      </c>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c r="AV835" s="3"/>
      <c r="AW835" s="3"/>
      <c r="AX835" s="3"/>
      <c r="AY835" s="3"/>
      <c r="AZ835" s="3"/>
      <c r="BA835" s="3"/>
      <c r="BB835" s="3"/>
      <c r="BC835" s="3"/>
    </row>
    <row r="836" spans="1:55" x14ac:dyDescent="0.25">
      <c r="A836" s="1" t="str">
        <f>'Population Definitions'!$A$10</f>
        <v>65+_males</v>
      </c>
      <c r="C836" t="s">
        <v>32</v>
      </c>
      <c r="D836" s="3"/>
      <c r="E836" s="3">
        <v>0</v>
      </c>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c r="AV836" s="3"/>
      <c r="AW836" s="3"/>
      <c r="AX836" s="3"/>
      <c r="AY836" s="3"/>
      <c r="AZ836" s="3"/>
      <c r="BA836" s="3"/>
      <c r="BB836" s="3"/>
      <c r="BC836" s="3"/>
    </row>
    <row r="837" spans="1:55" x14ac:dyDescent="0.25">
      <c r="A837" s="1" t="str">
        <f>'Population Definitions'!$A$11</f>
        <v>65+_females</v>
      </c>
      <c r="C837" t="s">
        <v>32</v>
      </c>
      <c r="D837" s="3"/>
      <c r="E837" s="3">
        <v>0</v>
      </c>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c r="AV837" s="3"/>
      <c r="AW837" s="3"/>
      <c r="AX837" s="3"/>
      <c r="AY837" s="3"/>
      <c r="AZ837" s="3"/>
      <c r="BA837" s="3"/>
      <c r="BB837" s="3"/>
      <c r="BC837" s="3"/>
    </row>
    <row r="838" spans="1:55" x14ac:dyDescent="0.25">
      <c r="A838" s="1" t="str">
        <f>'Population Definitions'!$A$12</f>
        <v>Prisoners_males</v>
      </c>
      <c r="C838" t="s">
        <v>32</v>
      </c>
      <c r="D838" s="3"/>
      <c r="E838" s="3">
        <v>0</v>
      </c>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c r="AV838" s="3"/>
      <c r="AW838" s="3"/>
      <c r="AX838" s="3"/>
      <c r="AY838" s="3"/>
      <c r="AZ838" s="3"/>
      <c r="BA838" s="3"/>
      <c r="BB838" s="3"/>
      <c r="BC838" s="3"/>
    </row>
    <row r="839" spans="1:55" x14ac:dyDescent="0.25">
      <c r="A839" s="1" t="str">
        <f>'Population Definitions'!$A$13</f>
        <v>Prisoners_females</v>
      </c>
      <c r="C839" t="s">
        <v>32</v>
      </c>
      <c r="D839" s="3"/>
      <c r="E839" s="3">
        <v>0</v>
      </c>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c r="AV839" s="3"/>
      <c r="AW839" s="3"/>
      <c r="AX839" s="3"/>
      <c r="AY839" s="3"/>
      <c r="AZ839" s="3"/>
      <c r="BA839" s="3"/>
      <c r="BB839" s="3"/>
      <c r="BC839" s="3"/>
    </row>
    <row r="841" spans="1:55" x14ac:dyDescent="0.25">
      <c r="A841" s="1" t="s">
        <v>186</v>
      </c>
      <c r="B841" s="1" t="s">
        <v>29</v>
      </c>
      <c r="C841" s="1" t="s">
        <v>30</v>
      </c>
      <c r="D841" s="1" t="s">
        <v>31</v>
      </c>
      <c r="E841" s="1">
        <v>2000</v>
      </c>
      <c r="F841" s="1">
        <v>2001</v>
      </c>
      <c r="G841" s="1">
        <v>2002</v>
      </c>
      <c r="H841" s="1">
        <v>2003</v>
      </c>
      <c r="I841" s="1">
        <v>2004</v>
      </c>
      <c r="J841" s="1">
        <v>2005</v>
      </c>
      <c r="K841" s="1">
        <v>2006</v>
      </c>
      <c r="L841" s="1">
        <v>2007</v>
      </c>
      <c r="M841" s="1">
        <v>2008</v>
      </c>
      <c r="N841" s="1">
        <v>2009</v>
      </c>
      <c r="O841" s="1">
        <v>2010</v>
      </c>
      <c r="P841" s="1">
        <v>2011</v>
      </c>
      <c r="Q841" s="1">
        <v>2012</v>
      </c>
      <c r="R841" s="1">
        <v>2013</v>
      </c>
      <c r="S841" s="1">
        <v>2014</v>
      </c>
      <c r="T841" s="1">
        <v>2015</v>
      </c>
      <c r="U841" s="1">
        <v>2016</v>
      </c>
      <c r="V841" s="1">
        <v>2017</v>
      </c>
      <c r="W841" s="1">
        <v>2018</v>
      </c>
      <c r="X841" s="1">
        <v>2019</v>
      </c>
      <c r="Y841" s="1">
        <v>2020</v>
      </c>
      <c r="Z841" s="1">
        <v>2021</v>
      </c>
      <c r="AA841" s="1">
        <v>2022</v>
      </c>
      <c r="AB841" s="1">
        <v>2023</v>
      </c>
      <c r="AC841" s="1">
        <v>2024</v>
      </c>
      <c r="AD841" s="1">
        <v>2025</v>
      </c>
      <c r="AE841" s="1">
        <v>2026</v>
      </c>
      <c r="AF841" s="1">
        <v>2027</v>
      </c>
      <c r="AG841" s="1">
        <v>2028</v>
      </c>
      <c r="AH841" s="1">
        <v>2029</v>
      </c>
      <c r="AI841" s="1">
        <v>2030</v>
      </c>
      <c r="AJ841" s="1">
        <v>2031</v>
      </c>
      <c r="AK841" s="1">
        <v>2032</v>
      </c>
      <c r="AL841" s="1">
        <v>2033</v>
      </c>
      <c r="AM841" s="1">
        <v>2034</v>
      </c>
      <c r="AN841" s="1">
        <v>2035</v>
      </c>
      <c r="AO841" s="1">
        <v>2036</v>
      </c>
      <c r="AP841" s="1">
        <v>2037</v>
      </c>
      <c r="AQ841" s="1">
        <v>2038</v>
      </c>
      <c r="AR841" s="1">
        <v>2039</v>
      </c>
      <c r="AS841" s="1">
        <v>2040</v>
      </c>
      <c r="AT841" s="1">
        <v>2041</v>
      </c>
      <c r="AU841" s="1">
        <v>2042</v>
      </c>
      <c r="AV841" s="1">
        <v>2043</v>
      </c>
      <c r="AW841" s="1">
        <v>2044</v>
      </c>
      <c r="AX841" s="1">
        <v>2045</v>
      </c>
      <c r="AY841" s="1">
        <v>2046</v>
      </c>
      <c r="AZ841" s="1">
        <v>2047</v>
      </c>
      <c r="BA841" s="1">
        <v>2048</v>
      </c>
      <c r="BB841" s="1">
        <v>2049</v>
      </c>
      <c r="BC841" s="1">
        <v>2050</v>
      </c>
    </row>
    <row r="842" spans="1:55" x14ac:dyDescent="0.25">
      <c r="A842" s="1" t="str">
        <f>'Population Definitions'!$A$2</f>
        <v>PWID_males</v>
      </c>
      <c r="C842" t="s">
        <v>32</v>
      </c>
      <c r="D842" s="3"/>
      <c r="E842" s="3">
        <v>0</v>
      </c>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c r="AV842" s="3"/>
      <c r="AW842" s="3"/>
      <c r="AX842" s="3"/>
      <c r="AY842" s="3"/>
      <c r="AZ842" s="3"/>
      <c r="BA842" s="3"/>
      <c r="BB842" s="3"/>
      <c r="BC842" s="3"/>
    </row>
    <row r="843" spans="1:55" x14ac:dyDescent="0.25">
      <c r="A843" s="1" t="str">
        <f>'Population Definitions'!$A$3</f>
        <v>PWID_females</v>
      </c>
      <c r="C843" t="s">
        <v>32</v>
      </c>
      <c r="D843" s="3"/>
      <c r="E843" s="3">
        <v>0</v>
      </c>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c r="AV843" s="3"/>
      <c r="AW843" s="3"/>
      <c r="AX843" s="3"/>
      <c r="AY843" s="3"/>
      <c r="AZ843" s="3"/>
      <c r="BA843" s="3"/>
      <c r="BB843" s="3"/>
      <c r="BC843" s="3"/>
    </row>
    <row r="844" spans="1:55" x14ac:dyDescent="0.25">
      <c r="A844" s="1" t="str">
        <f>'Population Definitions'!$A$4</f>
        <v>0-9_males</v>
      </c>
      <c r="C844" t="s">
        <v>32</v>
      </c>
      <c r="D844" s="3"/>
      <c r="E844" s="3">
        <v>0</v>
      </c>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c r="AV844" s="3"/>
      <c r="AW844" s="3"/>
      <c r="AX844" s="3"/>
      <c r="AY844" s="3"/>
      <c r="AZ844" s="3"/>
      <c r="BA844" s="3"/>
      <c r="BB844" s="3"/>
      <c r="BC844" s="3"/>
    </row>
    <row r="845" spans="1:55" x14ac:dyDescent="0.25">
      <c r="A845" s="1" t="str">
        <f>'Population Definitions'!$A$5</f>
        <v>0-9_females</v>
      </c>
      <c r="C845" t="s">
        <v>32</v>
      </c>
      <c r="D845" s="3"/>
      <c r="E845" s="3">
        <v>0</v>
      </c>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c r="AV845" s="3"/>
      <c r="AW845" s="3"/>
      <c r="AX845" s="3"/>
      <c r="AY845" s="3"/>
      <c r="AZ845" s="3"/>
      <c r="BA845" s="3"/>
      <c r="BB845" s="3"/>
      <c r="BC845" s="3"/>
    </row>
    <row r="846" spans="1:55" x14ac:dyDescent="0.25">
      <c r="A846" s="1" t="str">
        <f>'Population Definitions'!$A$6</f>
        <v>10-17_males</v>
      </c>
      <c r="C846" t="s">
        <v>32</v>
      </c>
      <c r="D846" s="3"/>
      <c r="E846" s="3">
        <v>0</v>
      </c>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c r="AV846" s="3"/>
      <c r="AW846" s="3"/>
      <c r="AX846" s="3"/>
      <c r="AY846" s="3"/>
      <c r="AZ846" s="3"/>
      <c r="BA846" s="3"/>
      <c r="BB846" s="3"/>
      <c r="BC846" s="3"/>
    </row>
    <row r="847" spans="1:55" x14ac:dyDescent="0.25">
      <c r="A847" s="1" t="str">
        <f>'Population Definitions'!$A$7</f>
        <v>10-17_females</v>
      </c>
      <c r="C847" t="s">
        <v>32</v>
      </c>
      <c r="D847" s="3"/>
      <c r="E847" s="3">
        <v>0</v>
      </c>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c r="AV847" s="3"/>
      <c r="AW847" s="3"/>
      <c r="AX847" s="3"/>
      <c r="AY847" s="3"/>
      <c r="AZ847" s="3"/>
      <c r="BA847" s="3"/>
      <c r="BB847" s="3"/>
      <c r="BC847" s="3"/>
    </row>
    <row r="848" spans="1:55" x14ac:dyDescent="0.25">
      <c r="A848" s="1" t="str">
        <f>'Population Definitions'!$A$8</f>
        <v>18-64_males</v>
      </c>
      <c r="C848" t="s">
        <v>32</v>
      </c>
      <c r="D848" s="3"/>
      <c r="E848" s="3">
        <v>0</v>
      </c>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c r="AV848" s="3"/>
      <c r="AW848" s="3"/>
      <c r="AX848" s="3"/>
      <c r="AY848" s="3"/>
      <c r="AZ848" s="3"/>
      <c r="BA848" s="3"/>
      <c r="BB848" s="3"/>
      <c r="BC848" s="3"/>
    </row>
    <row r="849" spans="1:55" x14ac:dyDescent="0.25">
      <c r="A849" s="1" t="str">
        <f>'Population Definitions'!$A$9</f>
        <v>18-64_females</v>
      </c>
      <c r="C849" t="s">
        <v>32</v>
      </c>
      <c r="D849" s="3"/>
      <c r="E849" s="3">
        <v>0</v>
      </c>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c r="AV849" s="3"/>
      <c r="AW849" s="3"/>
      <c r="AX849" s="3"/>
      <c r="AY849" s="3"/>
      <c r="AZ849" s="3"/>
      <c r="BA849" s="3"/>
      <c r="BB849" s="3"/>
      <c r="BC849" s="3"/>
    </row>
    <row r="850" spans="1:55" x14ac:dyDescent="0.25">
      <c r="A850" s="1" t="str">
        <f>'Population Definitions'!$A$10</f>
        <v>65+_males</v>
      </c>
      <c r="C850" t="s">
        <v>32</v>
      </c>
      <c r="D850" s="3"/>
      <c r="E850" s="3">
        <v>0</v>
      </c>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c r="AV850" s="3"/>
      <c r="AW850" s="3"/>
      <c r="AX850" s="3"/>
      <c r="AY850" s="3"/>
      <c r="AZ850" s="3"/>
      <c r="BA850" s="3"/>
      <c r="BB850" s="3"/>
      <c r="BC850" s="3"/>
    </row>
    <row r="851" spans="1:55" x14ac:dyDescent="0.25">
      <c r="A851" s="1" t="str">
        <f>'Population Definitions'!$A$11</f>
        <v>65+_females</v>
      </c>
      <c r="C851" t="s">
        <v>32</v>
      </c>
      <c r="D851" s="3"/>
      <c r="E851" s="3">
        <v>0</v>
      </c>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c r="AV851" s="3"/>
      <c r="AW851" s="3"/>
      <c r="AX851" s="3"/>
      <c r="AY851" s="3"/>
      <c r="AZ851" s="3"/>
      <c r="BA851" s="3"/>
      <c r="BB851" s="3"/>
      <c r="BC851" s="3"/>
    </row>
    <row r="852" spans="1:55" x14ac:dyDescent="0.25">
      <c r="A852" s="1" t="str">
        <f>'Population Definitions'!$A$12</f>
        <v>Prisoners_males</v>
      </c>
      <c r="C852" t="s">
        <v>32</v>
      </c>
      <c r="D852" s="3"/>
      <c r="E852" s="3">
        <v>0</v>
      </c>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c r="AV852" s="3"/>
      <c r="AW852" s="3"/>
      <c r="AX852" s="3"/>
      <c r="AY852" s="3"/>
      <c r="AZ852" s="3"/>
      <c r="BA852" s="3"/>
      <c r="BB852" s="3"/>
      <c r="BC852" s="3"/>
    </row>
    <row r="853" spans="1:55" x14ac:dyDescent="0.25">
      <c r="A853" s="1" t="str">
        <f>'Population Definitions'!$A$13</f>
        <v>Prisoners_females</v>
      </c>
      <c r="C853" t="s">
        <v>32</v>
      </c>
      <c r="D853" s="3"/>
      <c r="E853" s="3">
        <v>0</v>
      </c>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c r="AV853" s="3"/>
      <c r="AW853" s="3"/>
      <c r="AX853" s="3"/>
      <c r="AY853" s="3"/>
      <c r="AZ853" s="3"/>
      <c r="BA853" s="3"/>
      <c r="BB853" s="3"/>
      <c r="BC853" s="3"/>
    </row>
    <row r="855" spans="1:55" x14ac:dyDescent="0.25">
      <c r="A855" s="1" t="s">
        <v>187</v>
      </c>
      <c r="B855" s="1" t="s">
        <v>29</v>
      </c>
      <c r="C855" s="1" t="s">
        <v>30</v>
      </c>
      <c r="D855" s="1" t="s">
        <v>31</v>
      </c>
      <c r="E855" s="1">
        <v>2000</v>
      </c>
      <c r="F855" s="1">
        <v>2001</v>
      </c>
      <c r="G855" s="1">
        <v>2002</v>
      </c>
      <c r="H855" s="1">
        <v>2003</v>
      </c>
      <c r="I855" s="1">
        <v>2004</v>
      </c>
      <c r="J855" s="1">
        <v>2005</v>
      </c>
      <c r="K855" s="1">
        <v>2006</v>
      </c>
      <c r="L855" s="1">
        <v>2007</v>
      </c>
      <c r="M855" s="1">
        <v>2008</v>
      </c>
      <c r="N855" s="1">
        <v>2009</v>
      </c>
      <c r="O855" s="1">
        <v>2010</v>
      </c>
      <c r="P855" s="1">
        <v>2011</v>
      </c>
      <c r="Q855" s="1">
        <v>2012</v>
      </c>
      <c r="R855" s="1">
        <v>2013</v>
      </c>
      <c r="S855" s="1">
        <v>2014</v>
      </c>
      <c r="T855" s="1">
        <v>2015</v>
      </c>
      <c r="U855" s="1">
        <v>2016</v>
      </c>
      <c r="V855" s="1">
        <v>2017</v>
      </c>
      <c r="W855" s="1">
        <v>2018</v>
      </c>
      <c r="X855" s="1">
        <v>2019</v>
      </c>
      <c r="Y855" s="1">
        <v>2020</v>
      </c>
      <c r="Z855" s="1">
        <v>2021</v>
      </c>
      <c r="AA855" s="1">
        <v>2022</v>
      </c>
      <c r="AB855" s="1">
        <v>2023</v>
      </c>
      <c r="AC855" s="1">
        <v>2024</v>
      </c>
      <c r="AD855" s="1">
        <v>2025</v>
      </c>
      <c r="AE855" s="1">
        <v>2026</v>
      </c>
      <c r="AF855" s="1">
        <v>2027</v>
      </c>
      <c r="AG855" s="1">
        <v>2028</v>
      </c>
      <c r="AH855" s="1">
        <v>2029</v>
      </c>
      <c r="AI855" s="1">
        <v>2030</v>
      </c>
      <c r="AJ855" s="1">
        <v>2031</v>
      </c>
      <c r="AK855" s="1">
        <v>2032</v>
      </c>
      <c r="AL855" s="1">
        <v>2033</v>
      </c>
      <c r="AM855" s="1">
        <v>2034</v>
      </c>
      <c r="AN855" s="1">
        <v>2035</v>
      </c>
      <c r="AO855" s="1">
        <v>2036</v>
      </c>
      <c r="AP855" s="1">
        <v>2037</v>
      </c>
      <c r="AQ855" s="1">
        <v>2038</v>
      </c>
      <c r="AR855" s="1">
        <v>2039</v>
      </c>
      <c r="AS855" s="1">
        <v>2040</v>
      </c>
      <c r="AT855" s="1">
        <v>2041</v>
      </c>
      <c r="AU855" s="1">
        <v>2042</v>
      </c>
      <c r="AV855" s="1">
        <v>2043</v>
      </c>
      <c r="AW855" s="1">
        <v>2044</v>
      </c>
      <c r="AX855" s="1">
        <v>2045</v>
      </c>
      <c r="AY855" s="1">
        <v>2046</v>
      </c>
      <c r="AZ855" s="1">
        <v>2047</v>
      </c>
      <c r="BA855" s="1">
        <v>2048</v>
      </c>
      <c r="BB855" s="1">
        <v>2049</v>
      </c>
      <c r="BC855" s="1">
        <v>2050</v>
      </c>
    </row>
    <row r="856" spans="1:55" x14ac:dyDescent="0.25">
      <c r="A856" s="1" t="str">
        <f>'Population Definitions'!$A$2</f>
        <v>PWID_males</v>
      </c>
      <c r="C856" t="s">
        <v>32</v>
      </c>
      <c r="D856" s="3"/>
      <c r="E856" s="3">
        <v>0</v>
      </c>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c r="AV856" s="3"/>
      <c r="AW856" s="3"/>
      <c r="AX856" s="3"/>
      <c r="AY856" s="3"/>
      <c r="AZ856" s="3"/>
      <c r="BA856" s="3"/>
      <c r="BB856" s="3"/>
      <c r="BC856" s="3"/>
    </row>
    <row r="857" spans="1:55" x14ac:dyDescent="0.25">
      <c r="A857" s="1" t="str">
        <f>'Population Definitions'!$A$3</f>
        <v>PWID_females</v>
      </c>
      <c r="C857" t="s">
        <v>32</v>
      </c>
      <c r="D857" s="3"/>
      <c r="E857" s="3">
        <v>0</v>
      </c>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c r="AV857" s="3"/>
      <c r="AW857" s="3"/>
      <c r="AX857" s="3"/>
      <c r="AY857" s="3"/>
      <c r="AZ857" s="3"/>
      <c r="BA857" s="3"/>
      <c r="BB857" s="3"/>
      <c r="BC857" s="3"/>
    </row>
    <row r="858" spans="1:55" x14ac:dyDescent="0.25">
      <c r="A858" s="1" t="str">
        <f>'Population Definitions'!$A$4</f>
        <v>0-9_males</v>
      </c>
      <c r="C858" t="s">
        <v>32</v>
      </c>
      <c r="D858" s="3"/>
      <c r="E858" s="3">
        <v>0</v>
      </c>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c r="AV858" s="3"/>
      <c r="AW858" s="3"/>
      <c r="AX858" s="3"/>
      <c r="AY858" s="3"/>
      <c r="AZ858" s="3"/>
      <c r="BA858" s="3"/>
      <c r="BB858" s="3"/>
      <c r="BC858" s="3"/>
    </row>
    <row r="859" spans="1:55" x14ac:dyDescent="0.25">
      <c r="A859" s="1" t="str">
        <f>'Population Definitions'!$A$5</f>
        <v>0-9_females</v>
      </c>
      <c r="C859" t="s">
        <v>32</v>
      </c>
      <c r="D859" s="3"/>
      <c r="E859" s="3">
        <v>0</v>
      </c>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c r="AV859" s="3"/>
      <c r="AW859" s="3"/>
      <c r="AX859" s="3"/>
      <c r="AY859" s="3"/>
      <c r="AZ859" s="3"/>
      <c r="BA859" s="3"/>
      <c r="BB859" s="3"/>
      <c r="BC859" s="3"/>
    </row>
    <row r="860" spans="1:55" x14ac:dyDescent="0.25">
      <c r="A860" s="1" t="str">
        <f>'Population Definitions'!$A$6</f>
        <v>10-17_males</v>
      </c>
      <c r="C860" t="s">
        <v>32</v>
      </c>
      <c r="D860" s="3"/>
      <c r="E860" s="3">
        <v>0</v>
      </c>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c r="AV860" s="3"/>
      <c r="AW860" s="3"/>
      <c r="AX860" s="3"/>
      <c r="AY860" s="3"/>
      <c r="AZ860" s="3"/>
      <c r="BA860" s="3"/>
      <c r="BB860" s="3"/>
      <c r="BC860" s="3"/>
    </row>
    <row r="861" spans="1:55" x14ac:dyDescent="0.25">
      <c r="A861" s="1" t="str">
        <f>'Population Definitions'!$A$7</f>
        <v>10-17_females</v>
      </c>
      <c r="C861" t="s">
        <v>32</v>
      </c>
      <c r="D861" s="3"/>
      <c r="E861" s="3">
        <v>0</v>
      </c>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c r="AV861" s="3"/>
      <c r="AW861" s="3"/>
      <c r="AX861" s="3"/>
      <c r="AY861" s="3"/>
      <c r="AZ861" s="3"/>
      <c r="BA861" s="3"/>
      <c r="BB861" s="3"/>
      <c r="BC861" s="3"/>
    </row>
    <row r="862" spans="1:55" x14ac:dyDescent="0.25">
      <c r="A862" s="1" t="str">
        <f>'Population Definitions'!$A$8</f>
        <v>18-64_males</v>
      </c>
      <c r="C862" t="s">
        <v>32</v>
      </c>
      <c r="D862" s="3"/>
      <c r="E862" s="3">
        <v>0</v>
      </c>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c r="AV862" s="3"/>
      <c r="AW862" s="3"/>
      <c r="AX862" s="3"/>
      <c r="AY862" s="3"/>
      <c r="AZ862" s="3"/>
      <c r="BA862" s="3"/>
      <c r="BB862" s="3"/>
      <c r="BC862" s="3"/>
    </row>
    <row r="863" spans="1:55" x14ac:dyDescent="0.25">
      <c r="A863" s="1" t="str">
        <f>'Population Definitions'!$A$9</f>
        <v>18-64_females</v>
      </c>
      <c r="C863" t="s">
        <v>32</v>
      </c>
      <c r="D863" s="3"/>
      <c r="E863" s="3">
        <v>0</v>
      </c>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c r="AV863" s="3"/>
      <c r="AW863" s="3"/>
      <c r="AX863" s="3"/>
      <c r="AY863" s="3"/>
      <c r="AZ863" s="3"/>
      <c r="BA863" s="3"/>
      <c r="BB863" s="3"/>
      <c r="BC863" s="3"/>
    </row>
    <row r="864" spans="1:55" x14ac:dyDescent="0.25">
      <c r="A864" s="1" t="str">
        <f>'Population Definitions'!$A$10</f>
        <v>65+_males</v>
      </c>
      <c r="C864" t="s">
        <v>32</v>
      </c>
      <c r="D864" s="3"/>
      <c r="E864" s="3">
        <v>0</v>
      </c>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c r="AV864" s="3"/>
      <c r="AW864" s="3"/>
      <c r="AX864" s="3"/>
      <c r="AY864" s="3"/>
      <c r="AZ864" s="3"/>
      <c r="BA864" s="3"/>
      <c r="BB864" s="3"/>
      <c r="BC864" s="3"/>
    </row>
    <row r="865" spans="1:55" x14ac:dyDescent="0.25">
      <c r="A865" s="1" t="str">
        <f>'Population Definitions'!$A$11</f>
        <v>65+_females</v>
      </c>
      <c r="C865" t="s">
        <v>32</v>
      </c>
      <c r="D865" s="3"/>
      <c r="E865" s="3">
        <v>0</v>
      </c>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c r="AV865" s="3"/>
      <c r="AW865" s="3"/>
      <c r="AX865" s="3"/>
      <c r="AY865" s="3"/>
      <c r="AZ865" s="3"/>
      <c r="BA865" s="3"/>
      <c r="BB865" s="3"/>
      <c r="BC865" s="3"/>
    </row>
    <row r="866" spans="1:55" x14ac:dyDescent="0.25">
      <c r="A866" s="1" t="str">
        <f>'Population Definitions'!$A$12</f>
        <v>Prisoners_males</v>
      </c>
      <c r="C866" t="s">
        <v>32</v>
      </c>
      <c r="D866" s="3"/>
      <c r="E866" s="3">
        <v>0</v>
      </c>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c r="AV866" s="3"/>
      <c r="AW866" s="3"/>
      <c r="AX866" s="3"/>
      <c r="AY866" s="3"/>
      <c r="AZ866" s="3"/>
      <c r="BA866" s="3"/>
      <c r="BB866" s="3"/>
      <c r="BC866" s="3"/>
    </row>
    <row r="867" spans="1:55" x14ac:dyDescent="0.25">
      <c r="A867" s="1" t="str">
        <f>'Population Definitions'!$A$13</f>
        <v>Prisoners_females</v>
      </c>
      <c r="C867" t="s">
        <v>32</v>
      </c>
      <c r="D867" s="3"/>
      <c r="E867" s="3">
        <v>0</v>
      </c>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c r="AV867" s="3"/>
      <c r="AW867" s="3"/>
      <c r="AX867" s="3"/>
      <c r="AY867" s="3"/>
      <c r="AZ867" s="3"/>
      <c r="BA867" s="3"/>
      <c r="BB867" s="3"/>
      <c r="BC867" s="3"/>
    </row>
    <row r="869" spans="1:55" x14ac:dyDescent="0.25">
      <c r="A869" s="1" t="s">
        <v>188</v>
      </c>
      <c r="B869" s="1" t="s">
        <v>29</v>
      </c>
      <c r="C869" s="1" t="s">
        <v>30</v>
      </c>
      <c r="D869" s="1" t="s">
        <v>31</v>
      </c>
      <c r="E869" s="1">
        <v>2000</v>
      </c>
      <c r="F869" s="1">
        <v>2001</v>
      </c>
      <c r="G869" s="1">
        <v>2002</v>
      </c>
      <c r="H869" s="1">
        <v>2003</v>
      </c>
      <c r="I869" s="1">
        <v>2004</v>
      </c>
      <c r="J869" s="1">
        <v>2005</v>
      </c>
      <c r="K869" s="1">
        <v>2006</v>
      </c>
      <c r="L869" s="1">
        <v>2007</v>
      </c>
      <c r="M869" s="1">
        <v>2008</v>
      </c>
      <c r="N869" s="1">
        <v>2009</v>
      </c>
      <c r="O869" s="1">
        <v>2010</v>
      </c>
      <c r="P869" s="1">
        <v>2011</v>
      </c>
      <c r="Q869" s="1">
        <v>2012</v>
      </c>
      <c r="R869" s="1">
        <v>2013</v>
      </c>
      <c r="S869" s="1">
        <v>2014</v>
      </c>
      <c r="T869" s="1">
        <v>2015</v>
      </c>
      <c r="U869" s="1">
        <v>2016</v>
      </c>
      <c r="V869" s="1">
        <v>2017</v>
      </c>
      <c r="W869" s="1">
        <v>2018</v>
      </c>
      <c r="X869" s="1">
        <v>2019</v>
      </c>
      <c r="Y869" s="1">
        <v>2020</v>
      </c>
      <c r="Z869" s="1">
        <v>2021</v>
      </c>
      <c r="AA869" s="1">
        <v>2022</v>
      </c>
      <c r="AB869" s="1">
        <v>2023</v>
      </c>
      <c r="AC869" s="1">
        <v>2024</v>
      </c>
      <c r="AD869" s="1">
        <v>2025</v>
      </c>
      <c r="AE869" s="1">
        <v>2026</v>
      </c>
      <c r="AF869" s="1">
        <v>2027</v>
      </c>
      <c r="AG869" s="1">
        <v>2028</v>
      </c>
      <c r="AH869" s="1">
        <v>2029</v>
      </c>
      <c r="AI869" s="1">
        <v>2030</v>
      </c>
      <c r="AJ869" s="1">
        <v>2031</v>
      </c>
      <c r="AK869" s="1">
        <v>2032</v>
      </c>
      <c r="AL869" s="1">
        <v>2033</v>
      </c>
      <c r="AM869" s="1">
        <v>2034</v>
      </c>
      <c r="AN869" s="1">
        <v>2035</v>
      </c>
      <c r="AO869" s="1">
        <v>2036</v>
      </c>
      <c r="AP869" s="1">
        <v>2037</v>
      </c>
      <c r="AQ869" s="1">
        <v>2038</v>
      </c>
      <c r="AR869" s="1">
        <v>2039</v>
      </c>
      <c r="AS869" s="1">
        <v>2040</v>
      </c>
      <c r="AT869" s="1">
        <v>2041</v>
      </c>
      <c r="AU869" s="1">
        <v>2042</v>
      </c>
      <c r="AV869" s="1">
        <v>2043</v>
      </c>
      <c r="AW869" s="1">
        <v>2044</v>
      </c>
      <c r="AX869" s="1">
        <v>2045</v>
      </c>
      <c r="AY869" s="1">
        <v>2046</v>
      </c>
      <c r="AZ869" s="1">
        <v>2047</v>
      </c>
      <c r="BA869" s="1">
        <v>2048</v>
      </c>
      <c r="BB869" s="1">
        <v>2049</v>
      </c>
      <c r="BC869" s="1">
        <v>2050</v>
      </c>
    </row>
    <row r="870" spans="1:55" x14ac:dyDescent="0.25">
      <c r="A870" s="1" t="str">
        <f>'Population Definitions'!$A$2</f>
        <v>PWID_males</v>
      </c>
      <c r="C870" t="s">
        <v>32</v>
      </c>
      <c r="D870" s="3"/>
      <c r="E870" s="3">
        <v>0</v>
      </c>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c r="AV870" s="3"/>
      <c r="AW870" s="3"/>
      <c r="AX870" s="3"/>
      <c r="AY870" s="3"/>
      <c r="AZ870" s="3"/>
      <c r="BA870" s="3"/>
      <c r="BB870" s="3"/>
      <c r="BC870" s="3"/>
    </row>
    <row r="871" spans="1:55" x14ac:dyDescent="0.25">
      <c r="A871" s="1" t="str">
        <f>'Population Definitions'!$A$3</f>
        <v>PWID_females</v>
      </c>
      <c r="C871" t="s">
        <v>32</v>
      </c>
      <c r="D871" s="3"/>
      <c r="E871" s="3">
        <v>0</v>
      </c>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c r="AV871" s="3"/>
      <c r="AW871" s="3"/>
      <c r="AX871" s="3"/>
      <c r="AY871" s="3"/>
      <c r="AZ871" s="3"/>
      <c r="BA871" s="3"/>
      <c r="BB871" s="3"/>
      <c r="BC871" s="3"/>
    </row>
    <row r="872" spans="1:55" x14ac:dyDescent="0.25">
      <c r="A872" s="1" t="str">
        <f>'Population Definitions'!$A$4</f>
        <v>0-9_males</v>
      </c>
      <c r="C872" t="s">
        <v>32</v>
      </c>
      <c r="D872" s="3"/>
      <c r="E872" s="3">
        <v>0</v>
      </c>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c r="AV872" s="3"/>
      <c r="AW872" s="3"/>
      <c r="AX872" s="3"/>
      <c r="AY872" s="3"/>
      <c r="AZ872" s="3"/>
      <c r="BA872" s="3"/>
      <c r="BB872" s="3"/>
      <c r="BC872" s="3"/>
    </row>
    <row r="873" spans="1:55" x14ac:dyDescent="0.25">
      <c r="A873" s="1" t="str">
        <f>'Population Definitions'!$A$5</f>
        <v>0-9_females</v>
      </c>
      <c r="C873" t="s">
        <v>32</v>
      </c>
      <c r="D873" s="3"/>
      <c r="E873" s="3">
        <v>0</v>
      </c>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c r="AV873" s="3"/>
      <c r="AW873" s="3"/>
      <c r="AX873" s="3"/>
      <c r="AY873" s="3"/>
      <c r="AZ873" s="3"/>
      <c r="BA873" s="3"/>
      <c r="BB873" s="3"/>
      <c r="BC873" s="3"/>
    </row>
    <row r="874" spans="1:55" x14ac:dyDescent="0.25">
      <c r="A874" s="1" t="str">
        <f>'Population Definitions'!$A$6</f>
        <v>10-17_males</v>
      </c>
      <c r="C874" t="s">
        <v>32</v>
      </c>
      <c r="D874" s="3"/>
      <c r="E874" s="3">
        <v>0</v>
      </c>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c r="AV874" s="3"/>
      <c r="AW874" s="3"/>
      <c r="AX874" s="3"/>
      <c r="AY874" s="3"/>
      <c r="AZ874" s="3"/>
      <c r="BA874" s="3"/>
      <c r="BB874" s="3"/>
      <c r="BC874" s="3"/>
    </row>
    <row r="875" spans="1:55" x14ac:dyDescent="0.25">
      <c r="A875" s="1" t="str">
        <f>'Population Definitions'!$A$7</f>
        <v>10-17_females</v>
      </c>
      <c r="C875" t="s">
        <v>32</v>
      </c>
      <c r="D875" s="3"/>
      <c r="E875" s="3">
        <v>0</v>
      </c>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c r="AV875" s="3"/>
      <c r="AW875" s="3"/>
      <c r="AX875" s="3"/>
      <c r="AY875" s="3"/>
      <c r="AZ875" s="3"/>
      <c r="BA875" s="3"/>
      <c r="BB875" s="3"/>
      <c r="BC875" s="3"/>
    </row>
    <row r="876" spans="1:55" x14ac:dyDescent="0.25">
      <c r="A876" s="1" t="str">
        <f>'Population Definitions'!$A$8</f>
        <v>18-64_males</v>
      </c>
      <c r="C876" t="s">
        <v>32</v>
      </c>
      <c r="D876" s="3"/>
      <c r="E876" s="3">
        <v>0</v>
      </c>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c r="AV876" s="3"/>
      <c r="AW876" s="3"/>
      <c r="AX876" s="3"/>
      <c r="AY876" s="3"/>
      <c r="AZ876" s="3"/>
      <c r="BA876" s="3"/>
      <c r="BB876" s="3"/>
      <c r="BC876" s="3"/>
    </row>
    <row r="877" spans="1:55" x14ac:dyDescent="0.25">
      <c r="A877" s="1" t="str">
        <f>'Population Definitions'!$A$9</f>
        <v>18-64_females</v>
      </c>
      <c r="C877" t="s">
        <v>32</v>
      </c>
      <c r="D877" s="3"/>
      <c r="E877" s="3">
        <v>0</v>
      </c>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c r="AV877" s="3"/>
      <c r="AW877" s="3"/>
      <c r="AX877" s="3"/>
      <c r="AY877" s="3"/>
      <c r="AZ877" s="3"/>
      <c r="BA877" s="3"/>
      <c r="BB877" s="3"/>
      <c r="BC877" s="3"/>
    </row>
    <row r="878" spans="1:55" x14ac:dyDescent="0.25">
      <c r="A878" s="1" t="str">
        <f>'Population Definitions'!$A$10</f>
        <v>65+_males</v>
      </c>
      <c r="C878" t="s">
        <v>32</v>
      </c>
      <c r="D878" s="3"/>
      <c r="E878" s="3">
        <v>0</v>
      </c>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c r="AV878" s="3"/>
      <c r="AW878" s="3"/>
      <c r="AX878" s="3"/>
      <c r="AY878" s="3"/>
      <c r="AZ878" s="3"/>
      <c r="BA878" s="3"/>
      <c r="BB878" s="3"/>
      <c r="BC878" s="3"/>
    </row>
    <row r="879" spans="1:55" x14ac:dyDescent="0.25">
      <c r="A879" s="1" t="str">
        <f>'Population Definitions'!$A$11</f>
        <v>65+_females</v>
      </c>
      <c r="C879" t="s">
        <v>32</v>
      </c>
      <c r="D879" s="3"/>
      <c r="E879" s="3">
        <v>0</v>
      </c>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c r="AV879" s="3"/>
      <c r="AW879" s="3"/>
      <c r="AX879" s="3"/>
      <c r="AY879" s="3"/>
      <c r="AZ879" s="3"/>
      <c r="BA879" s="3"/>
      <c r="BB879" s="3"/>
      <c r="BC879" s="3"/>
    </row>
    <row r="880" spans="1:55" x14ac:dyDescent="0.25">
      <c r="A880" s="1" t="str">
        <f>'Population Definitions'!$A$12</f>
        <v>Prisoners_males</v>
      </c>
      <c r="C880" t="s">
        <v>32</v>
      </c>
      <c r="D880" s="3"/>
      <c r="E880" s="3">
        <v>0</v>
      </c>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c r="AV880" s="3"/>
      <c r="AW880" s="3"/>
      <c r="AX880" s="3"/>
      <c r="AY880" s="3"/>
      <c r="AZ880" s="3"/>
      <c r="BA880" s="3"/>
      <c r="BB880" s="3"/>
      <c r="BC880" s="3"/>
    </row>
    <row r="881" spans="1:55" x14ac:dyDescent="0.25">
      <c r="A881" s="1" t="str">
        <f>'Population Definitions'!$A$13</f>
        <v>Prisoners_females</v>
      </c>
      <c r="C881" t="s">
        <v>32</v>
      </c>
      <c r="D881" s="3"/>
      <c r="E881" s="3">
        <v>0</v>
      </c>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c r="AV881" s="3"/>
      <c r="AW881" s="3"/>
      <c r="AX881" s="3"/>
      <c r="AY881" s="3"/>
      <c r="AZ881" s="3"/>
      <c r="BA881" s="3"/>
      <c r="BB881" s="3"/>
      <c r="BC881" s="3"/>
    </row>
    <row r="883" spans="1:55" x14ac:dyDescent="0.25">
      <c r="A883" s="1" t="s">
        <v>189</v>
      </c>
      <c r="B883" s="1" t="s">
        <v>29</v>
      </c>
      <c r="C883" s="1" t="s">
        <v>30</v>
      </c>
      <c r="D883" s="1" t="s">
        <v>31</v>
      </c>
      <c r="E883" s="1">
        <v>2000</v>
      </c>
      <c r="F883" s="1">
        <v>2001</v>
      </c>
      <c r="G883" s="1">
        <v>2002</v>
      </c>
      <c r="H883" s="1">
        <v>2003</v>
      </c>
      <c r="I883" s="1">
        <v>2004</v>
      </c>
      <c r="J883" s="1">
        <v>2005</v>
      </c>
      <c r="K883" s="1">
        <v>2006</v>
      </c>
      <c r="L883" s="1">
        <v>2007</v>
      </c>
      <c r="M883" s="1">
        <v>2008</v>
      </c>
      <c r="N883" s="1">
        <v>2009</v>
      </c>
      <c r="O883" s="1">
        <v>2010</v>
      </c>
      <c r="P883" s="1">
        <v>2011</v>
      </c>
      <c r="Q883" s="1">
        <v>2012</v>
      </c>
      <c r="R883" s="1">
        <v>2013</v>
      </c>
      <c r="S883" s="1">
        <v>2014</v>
      </c>
      <c r="T883" s="1">
        <v>2015</v>
      </c>
      <c r="U883" s="1">
        <v>2016</v>
      </c>
      <c r="V883" s="1">
        <v>2017</v>
      </c>
      <c r="W883" s="1">
        <v>2018</v>
      </c>
      <c r="X883" s="1">
        <v>2019</v>
      </c>
      <c r="Y883" s="1">
        <v>2020</v>
      </c>
      <c r="Z883" s="1">
        <v>2021</v>
      </c>
      <c r="AA883" s="1">
        <v>2022</v>
      </c>
      <c r="AB883" s="1">
        <v>2023</v>
      </c>
      <c r="AC883" s="1">
        <v>2024</v>
      </c>
      <c r="AD883" s="1">
        <v>2025</v>
      </c>
      <c r="AE883" s="1">
        <v>2026</v>
      </c>
      <c r="AF883" s="1">
        <v>2027</v>
      </c>
      <c r="AG883" s="1">
        <v>2028</v>
      </c>
      <c r="AH883" s="1">
        <v>2029</v>
      </c>
      <c r="AI883" s="1">
        <v>2030</v>
      </c>
      <c r="AJ883" s="1">
        <v>2031</v>
      </c>
      <c r="AK883" s="1">
        <v>2032</v>
      </c>
      <c r="AL883" s="1">
        <v>2033</v>
      </c>
      <c r="AM883" s="1">
        <v>2034</v>
      </c>
      <c r="AN883" s="1">
        <v>2035</v>
      </c>
      <c r="AO883" s="1">
        <v>2036</v>
      </c>
      <c r="AP883" s="1">
        <v>2037</v>
      </c>
      <c r="AQ883" s="1">
        <v>2038</v>
      </c>
      <c r="AR883" s="1">
        <v>2039</v>
      </c>
      <c r="AS883" s="1">
        <v>2040</v>
      </c>
      <c r="AT883" s="1">
        <v>2041</v>
      </c>
      <c r="AU883" s="1">
        <v>2042</v>
      </c>
      <c r="AV883" s="1">
        <v>2043</v>
      </c>
      <c r="AW883" s="1">
        <v>2044</v>
      </c>
      <c r="AX883" s="1">
        <v>2045</v>
      </c>
      <c r="AY883" s="1">
        <v>2046</v>
      </c>
      <c r="AZ883" s="1">
        <v>2047</v>
      </c>
      <c r="BA883" s="1">
        <v>2048</v>
      </c>
      <c r="BB883" s="1">
        <v>2049</v>
      </c>
      <c r="BC883" s="1">
        <v>2050</v>
      </c>
    </row>
    <row r="884" spans="1:55" x14ac:dyDescent="0.25">
      <c r="A884" s="1" t="str">
        <f>'Population Definitions'!$A$2</f>
        <v>PWID_males</v>
      </c>
      <c r="C884" t="s">
        <v>32</v>
      </c>
      <c r="D884" s="3"/>
      <c r="E884" s="3">
        <v>0</v>
      </c>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c r="AV884" s="3"/>
      <c r="AW884" s="3"/>
      <c r="AX884" s="3"/>
      <c r="AY884" s="3"/>
      <c r="AZ884" s="3"/>
      <c r="BA884" s="3"/>
      <c r="BB884" s="3"/>
      <c r="BC884" s="3"/>
    </row>
    <row r="885" spans="1:55" x14ac:dyDescent="0.25">
      <c r="A885" s="1" t="str">
        <f>'Population Definitions'!$A$3</f>
        <v>PWID_females</v>
      </c>
      <c r="C885" t="s">
        <v>32</v>
      </c>
      <c r="D885" s="3"/>
      <c r="E885" s="3">
        <v>0</v>
      </c>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c r="AV885" s="3"/>
      <c r="AW885" s="3"/>
      <c r="AX885" s="3"/>
      <c r="AY885" s="3"/>
      <c r="AZ885" s="3"/>
      <c r="BA885" s="3"/>
      <c r="BB885" s="3"/>
      <c r="BC885" s="3"/>
    </row>
    <row r="886" spans="1:55" x14ac:dyDescent="0.25">
      <c r="A886" s="1" t="str">
        <f>'Population Definitions'!$A$4</f>
        <v>0-9_males</v>
      </c>
      <c r="C886" t="s">
        <v>32</v>
      </c>
      <c r="D886" s="3"/>
      <c r="E886" s="3">
        <v>0</v>
      </c>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c r="AV886" s="3"/>
      <c r="AW886" s="3"/>
      <c r="AX886" s="3"/>
      <c r="AY886" s="3"/>
      <c r="AZ886" s="3"/>
      <c r="BA886" s="3"/>
      <c r="BB886" s="3"/>
      <c r="BC886" s="3"/>
    </row>
    <row r="887" spans="1:55" x14ac:dyDescent="0.25">
      <c r="A887" s="1" t="str">
        <f>'Population Definitions'!$A$5</f>
        <v>0-9_females</v>
      </c>
      <c r="C887" t="s">
        <v>32</v>
      </c>
      <c r="D887" s="3"/>
      <c r="E887" s="3">
        <v>0</v>
      </c>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c r="AV887" s="3"/>
      <c r="AW887" s="3"/>
      <c r="AX887" s="3"/>
      <c r="AY887" s="3"/>
      <c r="AZ887" s="3"/>
      <c r="BA887" s="3"/>
      <c r="BB887" s="3"/>
      <c r="BC887" s="3"/>
    </row>
    <row r="888" spans="1:55" x14ac:dyDescent="0.25">
      <c r="A888" s="1" t="str">
        <f>'Population Definitions'!$A$6</f>
        <v>10-17_males</v>
      </c>
      <c r="C888" t="s">
        <v>32</v>
      </c>
      <c r="D888" s="3"/>
      <c r="E888" s="3">
        <v>0</v>
      </c>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c r="AV888" s="3"/>
      <c r="AW888" s="3"/>
      <c r="AX888" s="3"/>
      <c r="AY888" s="3"/>
      <c r="AZ888" s="3"/>
      <c r="BA888" s="3"/>
      <c r="BB888" s="3"/>
      <c r="BC888" s="3"/>
    </row>
    <row r="889" spans="1:55" x14ac:dyDescent="0.25">
      <c r="A889" s="1" t="str">
        <f>'Population Definitions'!$A$7</f>
        <v>10-17_females</v>
      </c>
      <c r="C889" t="s">
        <v>32</v>
      </c>
      <c r="D889" s="3"/>
      <c r="E889" s="3">
        <v>0</v>
      </c>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c r="AV889" s="3"/>
      <c r="AW889" s="3"/>
      <c r="AX889" s="3"/>
      <c r="AY889" s="3"/>
      <c r="AZ889" s="3"/>
      <c r="BA889" s="3"/>
      <c r="BB889" s="3"/>
      <c r="BC889" s="3"/>
    </row>
    <row r="890" spans="1:55" x14ac:dyDescent="0.25">
      <c r="A890" s="1" t="str">
        <f>'Population Definitions'!$A$8</f>
        <v>18-64_males</v>
      </c>
      <c r="C890" t="s">
        <v>32</v>
      </c>
      <c r="D890" s="3"/>
      <c r="E890" s="3">
        <v>0</v>
      </c>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c r="AV890" s="3"/>
      <c r="AW890" s="3"/>
      <c r="AX890" s="3"/>
      <c r="AY890" s="3"/>
      <c r="AZ890" s="3"/>
      <c r="BA890" s="3"/>
      <c r="BB890" s="3"/>
      <c r="BC890" s="3"/>
    </row>
    <row r="891" spans="1:55" x14ac:dyDescent="0.25">
      <c r="A891" s="1" t="str">
        <f>'Population Definitions'!$A$9</f>
        <v>18-64_females</v>
      </c>
      <c r="C891" t="s">
        <v>32</v>
      </c>
      <c r="D891" s="3"/>
      <c r="E891" s="3">
        <v>0</v>
      </c>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c r="AV891" s="3"/>
      <c r="AW891" s="3"/>
      <c r="AX891" s="3"/>
      <c r="AY891" s="3"/>
      <c r="AZ891" s="3"/>
      <c r="BA891" s="3"/>
      <c r="BB891" s="3"/>
      <c r="BC891" s="3"/>
    </row>
    <row r="892" spans="1:55" x14ac:dyDescent="0.25">
      <c r="A892" s="1" t="str">
        <f>'Population Definitions'!$A$10</f>
        <v>65+_males</v>
      </c>
      <c r="C892" t="s">
        <v>32</v>
      </c>
      <c r="D892" s="3"/>
      <c r="E892" s="3">
        <v>0</v>
      </c>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c r="AV892" s="3"/>
      <c r="AW892" s="3"/>
      <c r="AX892" s="3"/>
      <c r="AY892" s="3"/>
      <c r="AZ892" s="3"/>
      <c r="BA892" s="3"/>
      <c r="BB892" s="3"/>
      <c r="BC892" s="3"/>
    </row>
    <row r="893" spans="1:55" x14ac:dyDescent="0.25">
      <c r="A893" s="1" t="str">
        <f>'Population Definitions'!$A$11</f>
        <v>65+_females</v>
      </c>
      <c r="C893" t="s">
        <v>32</v>
      </c>
      <c r="D893" s="3"/>
      <c r="E893" s="3">
        <v>0</v>
      </c>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c r="AV893" s="3"/>
      <c r="AW893" s="3"/>
      <c r="AX893" s="3"/>
      <c r="AY893" s="3"/>
      <c r="AZ893" s="3"/>
      <c r="BA893" s="3"/>
      <c r="BB893" s="3"/>
      <c r="BC893" s="3"/>
    </row>
    <row r="894" spans="1:55" x14ac:dyDescent="0.25">
      <c r="A894" s="1" t="str">
        <f>'Population Definitions'!$A$12</f>
        <v>Prisoners_males</v>
      </c>
      <c r="C894" t="s">
        <v>32</v>
      </c>
      <c r="D894" s="3"/>
      <c r="E894" s="3">
        <v>0</v>
      </c>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c r="AV894" s="3"/>
      <c r="AW894" s="3"/>
      <c r="AX894" s="3"/>
      <c r="AY894" s="3"/>
      <c r="AZ894" s="3"/>
      <c r="BA894" s="3"/>
      <c r="BB894" s="3"/>
      <c r="BC894" s="3"/>
    </row>
    <row r="895" spans="1:55" x14ac:dyDescent="0.25">
      <c r="A895" s="1" t="str">
        <f>'Population Definitions'!$A$13</f>
        <v>Prisoners_females</v>
      </c>
      <c r="C895" t="s">
        <v>32</v>
      </c>
      <c r="D895" s="3"/>
      <c r="E895" s="3">
        <v>0</v>
      </c>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c r="AV895" s="3"/>
      <c r="AW895" s="3"/>
      <c r="AX895" s="3"/>
      <c r="AY895" s="3"/>
      <c r="AZ895" s="3"/>
      <c r="BA895" s="3"/>
      <c r="BB895" s="3"/>
      <c r="BC895" s="3"/>
    </row>
    <row r="897" spans="1:55" x14ac:dyDescent="0.25">
      <c r="A897" s="1" t="s">
        <v>190</v>
      </c>
      <c r="B897" s="1" t="s">
        <v>29</v>
      </c>
      <c r="C897" s="1" t="s">
        <v>30</v>
      </c>
      <c r="D897" s="1" t="s">
        <v>31</v>
      </c>
      <c r="E897" s="1">
        <v>2000</v>
      </c>
      <c r="F897" s="1">
        <v>2001</v>
      </c>
      <c r="G897" s="1">
        <v>2002</v>
      </c>
      <c r="H897" s="1">
        <v>2003</v>
      </c>
      <c r="I897" s="1">
        <v>2004</v>
      </c>
      <c r="J897" s="1">
        <v>2005</v>
      </c>
      <c r="K897" s="1">
        <v>2006</v>
      </c>
      <c r="L897" s="1">
        <v>2007</v>
      </c>
      <c r="M897" s="1">
        <v>2008</v>
      </c>
      <c r="N897" s="1">
        <v>2009</v>
      </c>
      <c r="O897" s="1">
        <v>2010</v>
      </c>
      <c r="P897" s="1">
        <v>2011</v>
      </c>
      <c r="Q897" s="1">
        <v>2012</v>
      </c>
      <c r="R897" s="1">
        <v>2013</v>
      </c>
      <c r="S897" s="1">
        <v>2014</v>
      </c>
      <c r="T897" s="1">
        <v>2015</v>
      </c>
      <c r="U897" s="1">
        <v>2016</v>
      </c>
      <c r="V897" s="1">
        <v>2017</v>
      </c>
      <c r="W897" s="1">
        <v>2018</v>
      </c>
      <c r="X897" s="1">
        <v>2019</v>
      </c>
      <c r="Y897" s="1">
        <v>2020</v>
      </c>
      <c r="Z897" s="1">
        <v>2021</v>
      </c>
      <c r="AA897" s="1">
        <v>2022</v>
      </c>
      <c r="AB897" s="1">
        <v>2023</v>
      </c>
      <c r="AC897" s="1">
        <v>2024</v>
      </c>
      <c r="AD897" s="1">
        <v>2025</v>
      </c>
      <c r="AE897" s="1">
        <v>2026</v>
      </c>
      <c r="AF897" s="1">
        <v>2027</v>
      </c>
      <c r="AG897" s="1">
        <v>2028</v>
      </c>
      <c r="AH897" s="1">
        <v>2029</v>
      </c>
      <c r="AI897" s="1">
        <v>2030</v>
      </c>
      <c r="AJ897" s="1">
        <v>2031</v>
      </c>
      <c r="AK897" s="1">
        <v>2032</v>
      </c>
      <c r="AL897" s="1">
        <v>2033</v>
      </c>
      <c r="AM897" s="1">
        <v>2034</v>
      </c>
      <c r="AN897" s="1">
        <v>2035</v>
      </c>
      <c r="AO897" s="1">
        <v>2036</v>
      </c>
      <c r="AP897" s="1">
        <v>2037</v>
      </c>
      <c r="AQ897" s="1">
        <v>2038</v>
      </c>
      <c r="AR897" s="1">
        <v>2039</v>
      </c>
      <c r="AS897" s="1">
        <v>2040</v>
      </c>
      <c r="AT897" s="1">
        <v>2041</v>
      </c>
      <c r="AU897" s="1">
        <v>2042</v>
      </c>
      <c r="AV897" s="1">
        <v>2043</v>
      </c>
      <c r="AW897" s="1">
        <v>2044</v>
      </c>
      <c r="AX897" s="1">
        <v>2045</v>
      </c>
      <c r="AY897" s="1">
        <v>2046</v>
      </c>
      <c r="AZ897" s="1">
        <v>2047</v>
      </c>
      <c r="BA897" s="1">
        <v>2048</v>
      </c>
      <c r="BB897" s="1">
        <v>2049</v>
      </c>
      <c r="BC897" s="1">
        <v>2050</v>
      </c>
    </row>
    <row r="898" spans="1:55" x14ac:dyDescent="0.25">
      <c r="A898" s="1" t="str">
        <f>'Population Definitions'!$A$2</f>
        <v>PWID_males</v>
      </c>
      <c r="C898" t="s">
        <v>32</v>
      </c>
      <c r="D898" s="3"/>
      <c r="E898" s="3">
        <v>0</v>
      </c>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c r="AV898" s="3"/>
      <c r="AW898" s="3"/>
      <c r="AX898" s="3"/>
      <c r="AY898" s="3"/>
      <c r="AZ898" s="3"/>
      <c r="BA898" s="3"/>
      <c r="BB898" s="3"/>
      <c r="BC898" s="3"/>
    </row>
    <row r="899" spans="1:55" x14ac:dyDescent="0.25">
      <c r="A899" s="1" t="str">
        <f>'Population Definitions'!$A$3</f>
        <v>PWID_females</v>
      </c>
      <c r="C899" t="s">
        <v>32</v>
      </c>
      <c r="D899" s="3"/>
      <c r="E899" s="3">
        <v>0</v>
      </c>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c r="AV899" s="3"/>
      <c r="AW899" s="3"/>
      <c r="AX899" s="3"/>
      <c r="AY899" s="3"/>
      <c r="AZ899" s="3"/>
      <c r="BA899" s="3"/>
      <c r="BB899" s="3"/>
      <c r="BC899" s="3"/>
    </row>
    <row r="900" spans="1:55" x14ac:dyDescent="0.25">
      <c r="A900" s="1" t="str">
        <f>'Population Definitions'!$A$4</f>
        <v>0-9_males</v>
      </c>
      <c r="C900" t="s">
        <v>32</v>
      </c>
      <c r="D900" s="3"/>
      <c r="E900" s="3">
        <v>0</v>
      </c>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c r="AV900" s="3"/>
      <c r="AW900" s="3"/>
      <c r="AX900" s="3"/>
      <c r="AY900" s="3"/>
      <c r="AZ900" s="3"/>
      <c r="BA900" s="3"/>
      <c r="BB900" s="3"/>
      <c r="BC900" s="3"/>
    </row>
    <row r="901" spans="1:55" x14ac:dyDescent="0.25">
      <c r="A901" s="1" t="str">
        <f>'Population Definitions'!$A$5</f>
        <v>0-9_females</v>
      </c>
      <c r="C901" t="s">
        <v>32</v>
      </c>
      <c r="D901" s="3"/>
      <c r="E901" s="3">
        <v>0</v>
      </c>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c r="AV901" s="3"/>
      <c r="AW901" s="3"/>
      <c r="AX901" s="3"/>
      <c r="AY901" s="3"/>
      <c r="AZ901" s="3"/>
      <c r="BA901" s="3"/>
      <c r="BB901" s="3"/>
      <c r="BC901" s="3"/>
    </row>
    <row r="902" spans="1:55" x14ac:dyDescent="0.25">
      <c r="A902" s="1" t="str">
        <f>'Population Definitions'!$A$6</f>
        <v>10-17_males</v>
      </c>
      <c r="C902" t="s">
        <v>32</v>
      </c>
      <c r="D902" s="3"/>
      <c r="E902" s="3">
        <v>0</v>
      </c>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c r="AV902" s="3"/>
      <c r="AW902" s="3"/>
      <c r="AX902" s="3"/>
      <c r="AY902" s="3"/>
      <c r="AZ902" s="3"/>
      <c r="BA902" s="3"/>
      <c r="BB902" s="3"/>
      <c r="BC902" s="3"/>
    </row>
    <row r="903" spans="1:55" x14ac:dyDescent="0.25">
      <c r="A903" s="1" t="str">
        <f>'Population Definitions'!$A$7</f>
        <v>10-17_females</v>
      </c>
      <c r="C903" t="s">
        <v>32</v>
      </c>
      <c r="D903" s="3"/>
      <c r="E903" s="3">
        <v>0</v>
      </c>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c r="AV903" s="3"/>
      <c r="AW903" s="3"/>
      <c r="AX903" s="3"/>
      <c r="AY903" s="3"/>
      <c r="AZ903" s="3"/>
      <c r="BA903" s="3"/>
      <c r="BB903" s="3"/>
      <c r="BC903" s="3"/>
    </row>
    <row r="904" spans="1:55" x14ac:dyDescent="0.25">
      <c r="A904" s="1" t="str">
        <f>'Population Definitions'!$A$8</f>
        <v>18-64_males</v>
      </c>
      <c r="C904" t="s">
        <v>32</v>
      </c>
      <c r="D904" s="3"/>
      <c r="E904" s="3">
        <v>0</v>
      </c>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c r="AV904" s="3"/>
      <c r="AW904" s="3"/>
      <c r="AX904" s="3"/>
      <c r="AY904" s="3"/>
      <c r="AZ904" s="3"/>
      <c r="BA904" s="3"/>
      <c r="BB904" s="3"/>
      <c r="BC904" s="3"/>
    </row>
    <row r="905" spans="1:55" x14ac:dyDescent="0.25">
      <c r="A905" s="1" t="str">
        <f>'Population Definitions'!$A$9</f>
        <v>18-64_females</v>
      </c>
      <c r="C905" t="s">
        <v>32</v>
      </c>
      <c r="D905" s="3"/>
      <c r="E905" s="3">
        <v>0</v>
      </c>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c r="AV905" s="3"/>
      <c r="AW905" s="3"/>
      <c r="AX905" s="3"/>
      <c r="AY905" s="3"/>
      <c r="AZ905" s="3"/>
      <c r="BA905" s="3"/>
      <c r="BB905" s="3"/>
      <c r="BC905" s="3"/>
    </row>
    <row r="906" spans="1:55" x14ac:dyDescent="0.25">
      <c r="A906" s="1" t="str">
        <f>'Population Definitions'!$A$10</f>
        <v>65+_males</v>
      </c>
      <c r="C906" t="s">
        <v>32</v>
      </c>
      <c r="D906" s="3"/>
      <c r="E906" s="3">
        <v>0</v>
      </c>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c r="AV906" s="3"/>
      <c r="AW906" s="3"/>
      <c r="AX906" s="3"/>
      <c r="AY906" s="3"/>
      <c r="AZ906" s="3"/>
      <c r="BA906" s="3"/>
      <c r="BB906" s="3"/>
      <c r="BC906" s="3"/>
    </row>
    <row r="907" spans="1:55" x14ac:dyDescent="0.25">
      <c r="A907" s="1" t="str">
        <f>'Population Definitions'!$A$11</f>
        <v>65+_females</v>
      </c>
      <c r="C907" t="s">
        <v>32</v>
      </c>
      <c r="D907" s="3"/>
      <c r="E907" s="3">
        <v>0</v>
      </c>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c r="AV907" s="3"/>
      <c r="AW907" s="3"/>
      <c r="AX907" s="3"/>
      <c r="AY907" s="3"/>
      <c r="AZ907" s="3"/>
      <c r="BA907" s="3"/>
      <c r="BB907" s="3"/>
      <c r="BC907" s="3"/>
    </row>
    <row r="908" spans="1:55" x14ac:dyDescent="0.25">
      <c r="A908" s="1" t="str">
        <f>'Population Definitions'!$A$12</f>
        <v>Prisoners_males</v>
      </c>
      <c r="C908" t="s">
        <v>32</v>
      </c>
      <c r="D908" s="3"/>
      <c r="E908" s="3">
        <v>0</v>
      </c>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c r="AV908" s="3"/>
      <c r="AW908" s="3"/>
      <c r="AX908" s="3"/>
      <c r="AY908" s="3"/>
      <c r="AZ908" s="3"/>
      <c r="BA908" s="3"/>
      <c r="BB908" s="3"/>
      <c r="BC908" s="3"/>
    </row>
    <row r="909" spans="1:55" x14ac:dyDescent="0.25">
      <c r="A909" s="1" t="str">
        <f>'Population Definitions'!$A$13</f>
        <v>Prisoners_females</v>
      </c>
      <c r="C909" t="s">
        <v>32</v>
      </c>
      <c r="D909" s="3"/>
      <c r="E909" s="3">
        <v>0</v>
      </c>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c r="AV909" s="3"/>
      <c r="AW909" s="3"/>
      <c r="AX909" s="3"/>
      <c r="AY909" s="3"/>
      <c r="AZ909" s="3"/>
      <c r="BA909" s="3"/>
      <c r="BB909" s="3"/>
      <c r="BC909" s="3"/>
    </row>
    <row r="911" spans="1:55" x14ac:dyDescent="0.25">
      <c r="A911" s="1" t="s">
        <v>191</v>
      </c>
      <c r="B911" s="1" t="s">
        <v>29</v>
      </c>
      <c r="C911" s="1" t="s">
        <v>30</v>
      </c>
      <c r="D911" s="1" t="s">
        <v>31</v>
      </c>
      <c r="E911" s="1">
        <v>2000</v>
      </c>
      <c r="F911" s="1">
        <v>2001</v>
      </c>
      <c r="G911" s="1">
        <v>2002</v>
      </c>
      <c r="H911" s="1">
        <v>2003</v>
      </c>
      <c r="I911" s="1">
        <v>2004</v>
      </c>
      <c r="J911" s="1">
        <v>2005</v>
      </c>
      <c r="K911" s="1">
        <v>2006</v>
      </c>
      <c r="L911" s="1">
        <v>2007</v>
      </c>
      <c r="M911" s="1">
        <v>2008</v>
      </c>
      <c r="N911" s="1">
        <v>2009</v>
      </c>
      <c r="O911" s="1">
        <v>2010</v>
      </c>
      <c r="P911" s="1">
        <v>2011</v>
      </c>
      <c r="Q911" s="1">
        <v>2012</v>
      </c>
      <c r="R911" s="1">
        <v>2013</v>
      </c>
      <c r="S911" s="1">
        <v>2014</v>
      </c>
      <c r="T911" s="1">
        <v>2015</v>
      </c>
      <c r="U911" s="1">
        <v>2016</v>
      </c>
      <c r="V911" s="1">
        <v>2017</v>
      </c>
      <c r="W911" s="1">
        <v>2018</v>
      </c>
      <c r="X911" s="1">
        <v>2019</v>
      </c>
      <c r="Y911" s="1">
        <v>2020</v>
      </c>
      <c r="Z911" s="1">
        <v>2021</v>
      </c>
      <c r="AA911" s="1">
        <v>2022</v>
      </c>
      <c r="AB911" s="1">
        <v>2023</v>
      </c>
      <c r="AC911" s="1">
        <v>2024</v>
      </c>
      <c r="AD911" s="1">
        <v>2025</v>
      </c>
      <c r="AE911" s="1">
        <v>2026</v>
      </c>
      <c r="AF911" s="1">
        <v>2027</v>
      </c>
      <c r="AG911" s="1">
        <v>2028</v>
      </c>
      <c r="AH911" s="1">
        <v>2029</v>
      </c>
      <c r="AI911" s="1">
        <v>2030</v>
      </c>
      <c r="AJ911" s="1">
        <v>2031</v>
      </c>
      <c r="AK911" s="1">
        <v>2032</v>
      </c>
      <c r="AL911" s="1">
        <v>2033</v>
      </c>
      <c r="AM911" s="1">
        <v>2034</v>
      </c>
      <c r="AN911" s="1">
        <v>2035</v>
      </c>
      <c r="AO911" s="1">
        <v>2036</v>
      </c>
      <c r="AP911" s="1">
        <v>2037</v>
      </c>
      <c r="AQ911" s="1">
        <v>2038</v>
      </c>
      <c r="AR911" s="1">
        <v>2039</v>
      </c>
      <c r="AS911" s="1">
        <v>2040</v>
      </c>
      <c r="AT911" s="1">
        <v>2041</v>
      </c>
      <c r="AU911" s="1">
        <v>2042</v>
      </c>
      <c r="AV911" s="1">
        <v>2043</v>
      </c>
      <c r="AW911" s="1">
        <v>2044</v>
      </c>
      <c r="AX911" s="1">
        <v>2045</v>
      </c>
      <c r="AY911" s="1">
        <v>2046</v>
      </c>
      <c r="AZ911" s="1">
        <v>2047</v>
      </c>
      <c r="BA911" s="1">
        <v>2048</v>
      </c>
      <c r="BB911" s="1">
        <v>2049</v>
      </c>
      <c r="BC911" s="1">
        <v>2050</v>
      </c>
    </row>
    <row r="912" spans="1:55" x14ac:dyDescent="0.25">
      <c r="A912" s="1" t="str">
        <f>'Population Definitions'!$A$2</f>
        <v>PWID_males</v>
      </c>
      <c r="C912" t="s">
        <v>32</v>
      </c>
      <c r="D912" s="3"/>
      <c r="E912" s="3">
        <v>0</v>
      </c>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c r="AV912" s="3"/>
      <c r="AW912" s="3"/>
      <c r="AX912" s="3"/>
      <c r="AY912" s="3"/>
      <c r="AZ912" s="3"/>
      <c r="BA912" s="3"/>
      <c r="BB912" s="3"/>
      <c r="BC912" s="3"/>
    </row>
    <row r="913" spans="1:55" x14ac:dyDescent="0.25">
      <c r="A913" s="1" t="str">
        <f>'Population Definitions'!$A$3</f>
        <v>PWID_females</v>
      </c>
      <c r="C913" t="s">
        <v>32</v>
      </c>
      <c r="D913" s="3"/>
      <c r="E913" s="3">
        <v>0</v>
      </c>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c r="AV913" s="3"/>
      <c r="AW913" s="3"/>
      <c r="AX913" s="3"/>
      <c r="AY913" s="3"/>
      <c r="AZ913" s="3"/>
      <c r="BA913" s="3"/>
      <c r="BB913" s="3"/>
      <c r="BC913" s="3"/>
    </row>
    <row r="914" spans="1:55" x14ac:dyDescent="0.25">
      <c r="A914" s="1" t="str">
        <f>'Population Definitions'!$A$4</f>
        <v>0-9_males</v>
      </c>
      <c r="C914" t="s">
        <v>32</v>
      </c>
      <c r="D914" s="3"/>
      <c r="E914" s="3">
        <v>0</v>
      </c>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c r="AV914" s="3"/>
      <c r="AW914" s="3"/>
      <c r="AX914" s="3"/>
      <c r="AY914" s="3"/>
      <c r="AZ914" s="3"/>
      <c r="BA914" s="3"/>
      <c r="BB914" s="3"/>
      <c r="BC914" s="3"/>
    </row>
    <row r="915" spans="1:55" x14ac:dyDescent="0.25">
      <c r="A915" s="1" t="str">
        <f>'Population Definitions'!$A$5</f>
        <v>0-9_females</v>
      </c>
      <c r="C915" t="s">
        <v>32</v>
      </c>
      <c r="D915" s="3"/>
      <c r="E915" s="3">
        <v>0</v>
      </c>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c r="AV915" s="3"/>
      <c r="AW915" s="3"/>
      <c r="AX915" s="3"/>
      <c r="AY915" s="3"/>
      <c r="AZ915" s="3"/>
      <c r="BA915" s="3"/>
      <c r="BB915" s="3"/>
      <c r="BC915" s="3"/>
    </row>
    <row r="916" spans="1:55" x14ac:dyDescent="0.25">
      <c r="A916" s="1" t="str">
        <f>'Population Definitions'!$A$6</f>
        <v>10-17_males</v>
      </c>
      <c r="C916" t="s">
        <v>32</v>
      </c>
      <c r="D916" s="3"/>
      <c r="E916" s="3">
        <v>0</v>
      </c>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c r="AV916" s="3"/>
      <c r="AW916" s="3"/>
      <c r="AX916" s="3"/>
      <c r="AY916" s="3"/>
      <c r="AZ916" s="3"/>
      <c r="BA916" s="3"/>
      <c r="BB916" s="3"/>
      <c r="BC916" s="3"/>
    </row>
    <row r="917" spans="1:55" x14ac:dyDescent="0.25">
      <c r="A917" s="1" t="str">
        <f>'Population Definitions'!$A$7</f>
        <v>10-17_females</v>
      </c>
      <c r="C917" t="s">
        <v>32</v>
      </c>
      <c r="D917" s="3"/>
      <c r="E917" s="3">
        <v>0</v>
      </c>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c r="AV917" s="3"/>
      <c r="AW917" s="3"/>
      <c r="AX917" s="3"/>
      <c r="AY917" s="3"/>
      <c r="AZ917" s="3"/>
      <c r="BA917" s="3"/>
      <c r="BB917" s="3"/>
      <c r="BC917" s="3"/>
    </row>
    <row r="918" spans="1:55" x14ac:dyDescent="0.25">
      <c r="A918" s="1" t="str">
        <f>'Population Definitions'!$A$8</f>
        <v>18-64_males</v>
      </c>
      <c r="C918" t="s">
        <v>32</v>
      </c>
      <c r="D918" s="3"/>
      <c r="E918" s="3">
        <v>0</v>
      </c>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c r="AV918" s="3"/>
      <c r="AW918" s="3"/>
      <c r="AX918" s="3"/>
      <c r="AY918" s="3"/>
      <c r="AZ918" s="3"/>
      <c r="BA918" s="3"/>
      <c r="BB918" s="3"/>
      <c r="BC918" s="3"/>
    </row>
    <row r="919" spans="1:55" x14ac:dyDescent="0.25">
      <c r="A919" s="1" t="str">
        <f>'Population Definitions'!$A$9</f>
        <v>18-64_females</v>
      </c>
      <c r="C919" t="s">
        <v>32</v>
      </c>
      <c r="D919" s="3"/>
      <c r="E919" s="3">
        <v>0</v>
      </c>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c r="AV919" s="3"/>
      <c r="AW919" s="3"/>
      <c r="AX919" s="3"/>
      <c r="AY919" s="3"/>
      <c r="AZ919" s="3"/>
      <c r="BA919" s="3"/>
      <c r="BB919" s="3"/>
      <c r="BC919" s="3"/>
    </row>
    <row r="920" spans="1:55" x14ac:dyDescent="0.25">
      <c r="A920" s="1" t="str">
        <f>'Population Definitions'!$A$10</f>
        <v>65+_males</v>
      </c>
      <c r="C920" t="s">
        <v>32</v>
      </c>
      <c r="D920" s="3"/>
      <c r="E920" s="3">
        <v>0</v>
      </c>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c r="AV920" s="3"/>
      <c r="AW920" s="3"/>
      <c r="AX920" s="3"/>
      <c r="AY920" s="3"/>
      <c r="AZ920" s="3"/>
      <c r="BA920" s="3"/>
      <c r="BB920" s="3"/>
      <c r="BC920" s="3"/>
    </row>
    <row r="921" spans="1:55" x14ac:dyDescent="0.25">
      <c r="A921" s="1" t="str">
        <f>'Population Definitions'!$A$11</f>
        <v>65+_females</v>
      </c>
      <c r="C921" t="s">
        <v>32</v>
      </c>
      <c r="D921" s="3"/>
      <c r="E921" s="3">
        <v>0</v>
      </c>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3"/>
      <c r="AW921" s="3"/>
      <c r="AX921" s="3"/>
      <c r="AY921" s="3"/>
      <c r="AZ921" s="3"/>
      <c r="BA921" s="3"/>
      <c r="BB921" s="3"/>
      <c r="BC921" s="3"/>
    </row>
    <row r="922" spans="1:55" x14ac:dyDescent="0.25">
      <c r="A922" s="1" t="str">
        <f>'Population Definitions'!$A$12</f>
        <v>Prisoners_males</v>
      </c>
      <c r="C922" t="s">
        <v>32</v>
      </c>
      <c r="D922" s="3"/>
      <c r="E922" s="3">
        <v>0</v>
      </c>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c r="AV922" s="3"/>
      <c r="AW922" s="3"/>
      <c r="AX922" s="3"/>
      <c r="AY922" s="3"/>
      <c r="AZ922" s="3"/>
      <c r="BA922" s="3"/>
      <c r="BB922" s="3"/>
      <c r="BC922" s="3"/>
    </row>
    <row r="923" spans="1:55" x14ac:dyDescent="0.25">
      <c r="A923" s="1" t="str">
        <f>'Population Definitions'!$A$13</f>
        <v>Prisoners_females</v>
      </c>
      <c r="C923" t="s">
        <v>32</v>
      </c>
      <c r="D923" s="3"/>
      <c r="E923" s="3">
        <v>0</v>
      </c>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3"/>
      <c r="AW923" s="3"/>
      <c r="AX923" s="3"/>
      <c r="AY923" s="3"/>
      <c r="AZ923" s="3"/>
      <c r="BA923" s="3"/>
      <c r="BB923" s="3"/>
      <c r="BC923" s="3"/>
    </row>
    <row r="925" spans="1:55" x14ac:dyDescent="0.25">
      <c r="A925" s="1" t="s">
        <v>192</v>
      </c>
      <c r="B925" s="1" t="s">
        <v>29</v>
      </c>
      <c r="C925" s="1" t="s">
        <v>30</v>
      </c>
      <c r="D925" s="1" t="s">
        <v>31</v>
      </c>
      <c r="E925" s="1">
        <v>2000</v>
      </c>
      <c r="F925" s="1">
        <v>2001</v>
      </c>
      <c r="G925" s="1">
        <v>2002</v>
      </c>
      <c r="H925" s="1">
        <v>2003</v>
      </c>
      <c r="I925" s="1">
        <v>2004</v>
      </c>
      <c r="J925" s="1">
        <v>2005</v>
      </c>
      <c r="K925" s="1">
        <v>2006</v>
      </c>
      <c r="L925" s="1">
        <v>2007</v>
      </c>
      <c r="M925" s="1">
        <v>2008</v>
      </c>
      <c r="N925" s="1">
        <v>2009</v>
      </c>
      <c r="O925" s="1">
        <v>2010</v>
      </c>
      <c r="P925" s="1">
        <v>2011</v>
      </c>
      <c r="Q925" s="1">
        <v>2012</v>
      </c>
      <c r="R925" s="1">
        <v>2013</v>
      </c>
      <c r="S925" s="1">
        <v>2014</v>
      </c>
      <c r="T925" s="1">
        <v>2015</v>
      </c>
      <c r="U925" s="1">
        <v>2016</v>
      </c>
      <c r="V925" s="1">
        <v>2017</v>
      </c>
      <c r="W925" s="1">
        <v>2018</v>
      </c>
      <c r="X925" s="1">
        <v>2019</v>
      </c>
      <c r="Y925" s="1">
        <v>2020</v>
      </c>
      <c r="Z925" s="1">
        <v>2021</v>
      </c>
      <c r="AA925" s="1">
        <v>2022</v>
      </c>
      <c r="AB925" s="1">
        <v>2023</v>
      </c>
      <c r="AC925" s="1">
        <v>2024</v>
      </c>
      <c r="AD925" s="1">
        <v>2025</v>
      </c>
      <c r="AE925" s="1">
        <v>2026</v>
      </c>
      <c r="AF925" s="1">
        <v>2027</v>
      </c>
      <c r="AG925" s="1">
        <v>2028</v>
      </c>
      <c r="AH925" s="1">
        <v>2029</v>
      </c>
      <c r="AI925" s="1">
        <v>2030</v>
      </c>
      <c r="AJ925" s="1">
        <v>2031</v>
      </c>
      <c r="AK925" s="1">
        <v>2032</v>
      </c>
      <c r="AL925" s="1">
        <v>2033</v>
      </c>
      <c r="AM925" s="1">
        <v>2034</v>
      </c>
      <c r="AN925" s="1">
        <v>2035</v>
      </c>
      <c r="AO925" s="1">
        <v>2036</v>
      </c>
      <c r="AP925" s="1">
        <v>2037</v>
      </c>
      <c r="AQ925" s="1">
        <v>2038</v>
      </c>
      <c r="AR925" s="1">
        <v>2039</v>
      </c>
      <c r="AS925" s="1">
        <v>2040</v>
      </c>
      <c r="AT925" s="1">
        <v>2041</v>
      </c>
      <c r="AU925" s="1">
        <v>2042</v>
      </c>
      <c r="AV925" s="1">
        <v>2043</v>
      </c>
      <c r="AW925" s="1">
        <v>2044</v>
      </c>
      <c r="AX925" s="1">
        <v>2045</v>
      </c>
      <c r="AY925" s="1">
        <v>2046</v>
      </c>
      <c r="AZ925" s="1">
        <v>2047</v>
      </c>
      <c r="BA925" s="1">
        <v>2048</v>
      </c>
      <c r="BB925" s="1">
        <v>2049</v>
      </c>
      <c r="BC925" s="1">
        <v>2050</v>
      </c>
    </row>
    <row r="926" spans="1:55" x14ac:dyDescent="0.25">
      <c r="A926" s="1" t="str">
        <f>'Population Definitions'!$A$2</f>
        <v>PWID_males</v>
      </c>
      <c r="C926" t="s">
        <v>32</v>
      </c>
      <c r="D926" s="3"/>
      <c r="E926" s="3">
        <v>0</v>
      </c>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3"/>
      <c r="AW926" s="3"/>
      <c r="AX926" s="3"/>
      <c r="AY926" s="3"/>
      <c r="AZ926" s="3"/>
      <c r="BA926" s="3"/>
      <c r="BB926" s="3"/>
      <c r="BC926" s="3"/>
    </row>
    <row r="927" spans="1:55" x14ac:dyDescent="0.25">
      <c r="A927" s="1" t="str">
        <f>'Population Definitions'!$A$3</f>
        <v>PWID_females</v>
      </c>
      <c r="C927" t="s">
        <v>32</v>
      </c>
      <c r="D927" s="3"/>
      <c r="E927" s="3">
        <v>0</v>
      </c>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3"/>
      <c r="AW927" s="3"/>
      <c r="AX927" s="3"/>
      <c r="AY927" s="3"/>
      <c r="AZ927" s="3"/>
      <c r="BA927" s="3"/>
      <c r="BB927" s="3"/>
      <c r="BC927" s="3"/>
    </row>
    <row r="928" spans="1:55" x14ac:dyDescent="0.25">
      <c r="A928" s="1" t="str">
        <f>'Population Definitions'!$A$4</f>
        <v>0-9_males</v>
      </c>
      <c r="C928" t="s">
        <v>32</v>
      </c>
      <c r="D928" s="3"/>
      <c r="E928" s="3">
        <v>0</v>
      </c>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c r="AV928" s="3"/>
      <c r="AW928" s="3"/>
      <c r="AX928" s="3"/>
      <c r="AY928" s="3"/>
      <c r="AZ928" s="3"/>
      <c r="BA928" s="3"/>
      <c r="BB928" s="3"/>
      <c r="BC928" s="3"/>
    </row>
    <row r="929" spans="1:55" x14ac:dyDescent="0.25">
      <c r="A929" s="1" t="str">
        <f>'Population Definitions'!$A$5</f>
        <v>0-9_females</v>
      </c>
      <c r="C929" t="s">
        <v>32</v>
      </c>
      <c r="D929" s="3"/>
      <c r="E929" s="3">
        <v>0</v>
      </c>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c r="AV929" s="3"/>
      <c r="AW929" s="3"/>
      <c r="AX929" s="3"/>
      <c r="AY929" s="3"/>
      <c r="AZ929" s="3"/>
      <c r="BA929" s="3"/>
      <c r="BB929" s="3"/>
      <c r="BC929" s="3"/>
    </row>
    <row r="930" spans="1:55" x14ac:dyDescent="0.25">
      <c r="A930" s="1" t="str">
        <f>'Population Definitions'!$A$6</f>
        <v>10-17_males</v>
      </c>
      <c r="C930" t="s">
        <v>32</v>
      </c>
      <c r="D930" s="3"/>
      <c r="E930" s="3">
        <v>0</v>
      </c>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c r="AV930" s="3"/>
      <c r="AW930" s="3"/>
      <c r="AX930" s="3"/>
      <c r="AY930" s="3"/>
      <c r="AZ930" s="3"/>
      <c r="BA930" s="3"/>
      <c r="BB930" s="3"/>
      <c r="BC930" s="3"/>
    </row>
    <row r="931" spans="1:55" x14ac:dyDescent="0.25">
      <c r="A931" s="1" t="str">
        <f>'Population Definitions'!$A$7</f>
        <v>10-17_females</v>
      </c>
      <c r="C931" t="s">
        <v>32</v>
      </c>
      <c r="D931" s="3"/>
      <c r="E931" s="3">
        <v>0</v>
      </c>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c r="AV931" s="3"/>
      <c r="AW931" s="3"/>
      <c r="AX931" s="3"/>
      <c r="AY931" s="3"/>
      <c r="AZ931" s="3"/>
      <c r="BA931" s="3"/>
      <c r="BB931" s="3"/>
      <c r="BC931" s="3"/>
    </row>
    <row r="932" spans="1:55" x14ac:dyDescent="0.25">
      <c r="A932" s="1" t="str">
        <f>'Population Definitions'!$A$8</f>
        <v>18-64_males</v>
      </c>
      <c r="C932" t="s">
        <v>32</v>
      </c>
      <c r="D932" s="3"/>
      <c r="E932" s="3">
        <v>0</v>
      </c>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c r="AV932" s="3"/>
      <c r="AW932" s="3"/>
      <c r="AX932" s="3"/>
      <c r="AY932" s="3"/>
      <c r="AZ932" s="3"/>
      <c r="BA932" s="3"/>
      <c r="BB932" s="3"/>
      <c r="BC932" s="3"/>
    </row>
    <row r="933" spans="1:55" x14ac:dyDescent="0.25">
      <c r="A933" s="1" t="str">
        <f>'Population Definitions'!$A$9</f>
        <v>18-64_females</v>
      </c>
      <c r="C933" t="s">
        <v>32</v>
      </c>
      <c r="D933" s="3"/>
      <c r="E933" s="3">
        <v>0</v>
      </c>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c r="AV933" s="3"/>
      <c r="AW933" s="3"/>
      <c r="AX933" s="3"/>
      <c r="AY933" s="3"/>
      <c r="AZ933" s="3"/>
      <c r="BA933" s="3"/>
      <c r="BB933" s="3"/>
      <c r="BC933" s="3"/>
    </row>
    <row r="934" spans="1:55" x14ac:dyDescent="0.25">
      <c r="A934" s="1" t="str">
        <f>'Population Definitions'!$A$10</f>
        <v>65+_males</v>
      </c>
      <c r="C934" t="s">
        <v>32</v>
      </c>
      <c r="D934" s="3"/>
      <c r="E934" s="3">
        <v>0</v>
      </c>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c r="AV934" s="3"/>
      <c r="AW934" s="3"/>
      <c r="AX934" s="3"/>
      <c r="AY934" s="3"/>
      <c r="AZ934" s="3"/>
      <c r="BA934" s="3"/>
      <c r="BB934" s="3"/>
      <c r="BC934" s="3"/>
    </row>
    <row r="935" spans="1:55" x14ac:dyDescent="0.25">
      <c r="A935" s="1" t="str">
        <f>'Population Definitions'!$A$11</f>
        <v>65+_females</v>
      </c>
      <c r="C935" t="s">
        <v>32</v>
      </c>
      <c r="D935" s="3"/>
      <c r="E935" s="3">
        <v>0</v>
      </c>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3"/>
      <c r="AW935" s="3"/>
      <c r="AX935" s="3"/>
      <c r="AY935" s="3"/>
      <c r="AZ935" s="3"/>
      <c r="BA935" s="3"/>
      <c r="BB935" s="3"/>
      <c r="BC935" s="3"/>
    </row>
    <row r="936" spans="1:55" x14ac:dyDescent="0.25">
      <c r="A936" s="1" t="str">
        <f>'Population Definitions'!$A$12</f>
        <v>Prisoners_males</v>
      </c>
      <c r="C936" t="s">
        <v>32</v>
      </c>
      <c r="D936" s="3"/>
      <c r="E936" s="3">
        <v>0</v>
      </c>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c r="AV936" s="3"/>
      <c r="AW936" s="3"/>
      <c r="AX936" s="3"/>
      <c r="AY936" s="3"/>
      <c r="AZ936" s="3"/>
      <c r="BA936" s="3"/>
      <c r="BB936" s="3"/>
      <c r="BC936" s="3"/>
    </row>
    <row r="937" spans="1:55" x14ac:dyDescent="0.25">
      <c r="A937" s="1" t="str">
        <f>'Population Definitions'!$A$13</f>
        <v>Prisoners_females</v>
      </c>
      <c r="C937" t="s">
        <v>32</v>
      </c>
      <c r="D937" s="3"/>
      <c r="E937" s="3">
        <v>0</v>
      </c>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c r="AV937" s="3"/>
      <c r="AW937" s="3"/>
      <c r="AX937" s="3"/>
      <c r="AY937" s="3"/>
      <c r="AZ937" s="3"/>
      <c r="BA937" s="3"/>
      <c r="BB937" s="3"/>
      <c r="BC937" s="3"/>
    </row>
    <row r="939" spans="1:55" x14ac:dyDescent="0.25">
      <c r="A939" s="1" t="s">
        <v>193</v>
      </c>
      <c r="B939" s="1" t="s">
        <v>29</v>
      </c>
      <c r="C939" s="1" t="s">
        <v>30</v>
      </c>
      <c r="D939" s="1" t="s">
        <v>31</v>
      </c>
      <c r="E939" s="1">
        <v>2000</v>
      </c>
      <c r="F939" s="1">
        <v>2001</v>
      </c>
      <c r="G939" s="1">
        <v>2002</v>
      </c>
      <c r="H939" s="1">
        <v>2003</v>
      </c>
      <c r="I939" s="1">
        <v>2004</v>
      </c>
      <c r="J939" s="1">
        <v>2005</v>
      </c>
      <c r="K939" s="1">
        <v>2006</v>
      </c>
      <c r="L939" s="1">
        <v>2007</v>
      </c>
      <c r="M939" s="1">
        <v>2008</v>
      </c>
      <c r="N939" s="1">
        <v>2009</v>
      </c>
      <c r="O939" s="1">
        <v>2010</v>
      </c>
      <c r="P939" s="1">
        <v>2011</v>
      </c>
      <c r="Q939" s="1">
        <v>2012</v>
      </c>
      <c r="R939" s="1">
        <v>2013</v>
      </c>
      <c r="S939" s="1">
        <v>2014</v>
      </c>
      <c r="T939" s="1">
        <v>2015</v>
      </c>
      <c r="U939" s="1">
        <v>2016</v>
      </c>
      <c r="V939" s="1">
        <v>2017</v>
      </c>
      <c r="W939" s="1">
        <v>2018</v>
      </c>
      <c r="X939" s="1">
        <v>2019</v>
      </c>
      <c r="Y939" s="1">
        <v>2020</v>
      </c>
      <c r="Z939" s="1">
        <v>2021</v>
      </c>
      <c r="AA939" s="1">
        <v>2022</v>
      </c>
      <c r="AB939" s="1">
        <v>2023</v>
      </c>
      <c r="AC939" s="1">
        <v>2024</v>
      </c>
      <c r="AD939" s="1">
        <v>2025</v>
      </c>
      <c r="AE939" s="1">
        <v>2026</v>
      </c>
      <c r="AF939" s="1">
        <v>2027</v>
      </c>
      <c r="AG939" s="1">
        <v>2028</v>
      </c>
      <c r="AH939" s="1">
        <v>2029</v>
      </c>
      <c r="AI939" s="1">
        <v>2030</v>
      </c>
      <c r="AJ939" s="1">
        <v>2031</v>
      </c>
      <c r="AK939" s="1">
        <v>2032</v>
      </c>
      <c r="AL939" s="1">
        <v>2033</v>
      </c>
      <c r="AM939" s="1">
        <v>2034</v>
      </c>
      <c r="AN939" s="1">
        <v>2035</v>
      </c>
      <c r="AO939" s="1">
        <v>2036</v>
      </c>
      <c r="AP939" s="1">
        <v>2037</v>
      </c>
      <c r="AQ939" s="1">
        <v>2038</v>
      </c>
      <c r="AR939" s="1">
        <v>2039</v>
      </c>
      <c r="AS939" s="1">
        <v>2040</v>
      </c>
      <c r="AT939" s="1">
        <v>2041</v>
      </c>
      <c r="AU939" s="1">
        <v>2042</v>
      </c>
      <c r="AV939" s="1">
        <v>2043</v>
      </c>
      <c r="AW939" s="1">
        <v>2044</v>
      </c>
      <c r="AX939" s="1">
        <v>2045</v>
      </c>
      <c r="AY939" s="1">
        <v>2046</v>
      </c>
      <c r="AZ939" s="1">
        <v>2047</v>
      </c>
      <c r="BA939" s="1">
        <v>2048</v>
      </c>
      <c r="BB939" s="1">
        <v>2049</v>
      </c>
      <c r="BC939" s="1">
        <v>2050</v>
      </c>
    </row>
    <row r="940" spans="1:55" x14ac:dyDescent="0.25">
      <c r="A940" s="1" t="str">
        <f>'Population Definitions'!$A$2</f>
        <v>PWID_males</v>
      </c>
      <c r="C940" t="s">
        <v>32</v>
      </c>
      <c r="D940" s="3"/>
      <c r="E940" s="3">
        <v>0</v>
      </c>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3"/>
      <c r="AW940" s="3"/>
      <c r="AX940" s="3"/>
      <c r="AY940" s="3"/>
      <c r="AZ940" s="3"/>
      <c r="BA940" s="3"/>
      <c r="BB940" s="3"/>
      <c r="BC940" s="3"/>
    </row>
    <row r="941" spans="1:55" x14ac:dyDescent="0.25">
      <c r="A941" s="1" t="str">
        <f>'Population Definitions'!$A$3</f>
        <v>PWID_females</v>
      </c>
      <c r="C941" t="s">
        <v>32</v>
      </c>
      <c r="D941" s="3"/>
      <c r="E941" s="3">
        <v>0</v>
      </c>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c r="AV941" s="3"/>
      <c r="AW941" s="3"/>
      <c r="AX941" s="3"/>
      <c r="AY941" s="3"/>
      <c r="AZ941" s="3"/>
      <c r="BA941" s="3"/>
      <c r="BB941" s="3"/>
      <c r="BC941" s="3"/>
    </row>
    <row r="942" spans="1:55" x14ac:dyDescent="0.25">
      <c r="A942" s="1" t="str">
        <f>'Population Definitions'!$A$4</f>
        <v>0-9_males</v>
      </c>
      <c r="C942" t="s">
        <v>32</v>
      </c>
      <c r="D942" s="3"/>
      <c r="E942" s="3">
        <v>0</v>
      </c>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c r="AV942" s="3"/>
      <c r="AW942" s="3"/>
      <c r="AX942" s="3"/>
      <c r="AY942" s="3"/>
      <c r="AZ942" s="3"/>
      <c r="BA942" s="3"/>
      <c r="BB942" s="3"/>
      <c r="BC942" s="3"/>
    </row>
    <row r="943" spans="1:55" x14ac:dyDescent="0.25">
      <c r="A943" s="1" t="str">
        <f>'Population Definitions'!$A$5</f>
        <v>0-9_females</v>
      </c>
      <c r="C943" t="s">
        <v>32</v>
      </c>
      <c r="D943" s="3"/>
      <c r="E943" s="3">
        <v>0</v>
      </c>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c r="AV943" s="3"/>
      <c r="AW943" s="3"/>
      <c r="AX943" s="3"/>
      <c r="AY943" s="3"/>
      <c r="AZ943" s="3"/>
      <c r="BA943" s="3"/>
      <c r="BB943" s="3"/>
      <c r="BC943" s="3"/>
    </row>
    <row r="944" spans="1:55" x14ac:dyDescent="0.25">
      <c r="A944" s="1" t="str">
        <f>'Population Definitions'!$A$6</f>
        <v>10-17_males</v>
      </c>
      <c r="C944" t="s">
        <v>32</v>
      </c>
      <c r="D944" s="3"/>
      <c r="E944" s="3">
        <v>0</v>
      </c>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c r="AV944" s="3"/>
      <c r="AW944" s="3"/>
      <c r="AX944" s="3"/>
      <c r="AY944" s="3"/>
      <c r="AZ944" s="3"/>
      <c r="BA944" s="3"/>
      <c r="BB944" s="3"/>
      <c r="BC944" s="3"/>
    </row>
    <row r="945" spans="1:55" x14ac:dyDescent="0.25">
      <c r="A945" s="1" t="str">
        <f>'Population Definitions'!$A$7</f>
        <v>10-17_females</v>
      </c>
      <c r="C945" t="s">
        <v>32</v>
      </c>
      <c r="D945" s="3"/>
      <c r="E945" s="3">
        <v>0</v>
      </c>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3"/>
      <c r="AW945" s="3"/>
      <c r="AX945" s="3"/>
      <c r="AY945" s="3"/>
      <c r="AZ945" s="3"/>
      <c r="BA945" s="3"/>
      <c r="BB945" s="3"/>
      <c r="BC945" s="3"/>
    </row>
    <row r="946" spans="1:55" x14ac:dyDescent="0.25">
      <c r="A946" s="1" t="str">
        <f>'Population Definitions'!$A$8</f>
        <v>18-64_males</v>
      </c>
      <c r="C946" t="s">
        <v>32</v>
      </c>
      <c r="D946" s="3"/>
      <c r="E946" s="3">
        <v>0</v>
      </c>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c r="AV946" s="3"/>
      <c r="AW946" s="3"/>
      <c r="AX946" s="3"/>
      <c r="AY946" s="3"/>
      <c r="AZ946" s="3"/>
      <c r="BA946" s="3"/>
      <c r="BB946" s="3"/>
      <c r="BC946" s="3"/>
    </row>
    <row r="947" spans="1:55" x14ac:dyDescent="0.25">
      <c r="A947" s="1" t="str">
        <f>'Population Definitions'!$A$9</f>
        <v>18-64_females</v>
      </c>
      <c r="C947" t="s">
        <v>32</v>
      </c>
      <c r="D947" s="3"/>
      <c r="E947" s="3">
        <v>0</v>
      </c>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3"/>
      <c r="AW947" s="3"/>
      <c r="AX947" s="3"/>
      <c r="AY947" s="3"/>
      <c r="AZ947" s="3"/>
      <c r="BA947" s="3"/>
      <c r="BB947" s="3"/>
      <c r="BC947" s="3"/>
    </row>
    <row r="948" spans="1:55" x14ac:dyDescent="0.25">
      <c r="A948" s="1" t="str">
        <f>'Population Definitions'!$A$10</f>
        <v>65+_males</v>
      </c>
      <c r="C948" t="s">
        <v>32</v>
      </c>
      <c r="D948" s="3"/>
      <c r="E948" s="3">
        <v>0</v>
      </c>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c r="AV948" s="3"/>
      <c r="AW948" s="3"/>
      <c r="AX948" s="3"/>
      <c r="AY948" s="3"/>
      <c r="AZ948" s="3"/>
      <c r="BA948" s="3"/>
      <c r="BB948" s="3"/>
      <c r="BC948" s="3"/>
    </row>
    <row r="949" spans="1:55" x14ac:dyDescent="0.25">
      <c r="A949" s="1" t="str">
        <f>'Population Definitions'!$A$11</f>
        <v>65+_females</v>
      </c>
      <c r="C949" t="s">
        <v>32</v>
      </c>
      <c r="D949" s="3"/>
      <c r="E949" s="3">
        <v>0</v>
      </c>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3"/>
      <c r="AW949" s="3"/>
      <c r="AX949" s="3"/>
      <c r="AY949" s="3"/>
      <c r="AZ949" s="3"/>
      <c r="BA949" s="3"/>
      <c r="BB949" s="3"/>
      <c r="BC949" s="3"/>
    </row>
    <row r="950" spans="1:55" x14ac:dyDescent="0.25">
      <c r="A950" s="1" t="str">
        <f>'Population Definitions'!$A$12</f>
        <v>Prisoners_males</v>
      </c>
      <c r="C950" t="s">
        <v>32</v>
      </c>
      <c r="D950" s="3"/>
      <c r="E950" s="3">
        <v>0</v>
      </c>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c r="AV950" s="3"/>
      <c r="AW950" s="3"/>
      <c r="AX950" s="3"/>
      <c r="AY950" s="3"/>
      <c r="AZ950" s="3"/>
      <c r="BA950" s="3"/>
      <c r="BB950" s="3"/>
      <c r="BC950" s="3"/>
    </row>
    <row r="951" spans="1:55" x14ac:dyDescent="0.25">
      <c r="A951" s="1" t="str">
        <f>'Population Definitions'!$A$13</f>
        <v>Prisoners_females</v>
      </c>
      <c r="C951" t="s">
        <v>32</v>
      </c>
      <c r="D951" s="3"/>
      <c r="E951" s="3">
        <v>0</v>
      </c>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c r="AV951" s="3"/>
      <c r="AW951" s="3"/>
      <c r="AX951" s="3"/>
      <c r="AY951" s="3"/>
      <c r="AZ951" s="3"/>
      <c r="BA951" s="3"/>
      <c r="BB951" s="3"/>
      <c r="BC951" s="3"/>
    </row>
    <row r="953" spans="1:55" x14ac:dyDescent="0.25">
      <c r="A953" s="1" t="s">
        <v>194</v>
      </c>
      <c r="B953" s="1" t="s">
        <v>29</v>
      </c>
      <c r="C953" s="1" t="s">
        <v>30</v>
      </c>
      <c r="D953" s="1" t="s">
        <v>31</v>
      </c>
      <c r="E953" s="1">
        <v>2000</v>
      </c>
      <c r="F953" s="1">
        <v>2001</v>
      </c>
      <c r="G953" s="1">
        <v>2002</v>
      </c>
      <c r="H953" s="1">
        <v>2003</v>
      </c>
      <c r="I953" s="1">
        <v>2004</v>
      </c>
      <c r="J953" s="1">
        <v>2005</v>
      </c>
      <c r="K953" s="1">
        <v>2006</v>
      </c>
      <c r="L953" s="1">
        <v>2007</v>
      </c>
      <c r="M953" s="1">
        <v>2008</v>
      </c>
      <c r="N953" s="1">
        <v>2009</v>
      </c>
      <c r="O953" s="1">
        <v>2010</v>
      </c>
      <c r="P953" s="1">
        <v>2011</v>
      </c>
      <c r="Q953" s="1">
        <v>2012</v>
      </c>
      <c r="R953" s="1">
        <v>2013</v>
      </c>
      <c r="S953" s="1">
        <v>2014</v>
      </c>
      <c r="T953" s="1">
        <v>2015</v>
      </c>
      <c r="U953" s="1">
        <v>2016</v>
      </c>
      <c r="V953" s="1">
        <v>2017</v>
      </c>
      <c r="W953" s="1">
        <v>2018</v>
      </c>
      <c r="X953" s="1">
        <v>2019</v>
      </c>
      <c r="Y953" s="1">
        <v>2020</v>
      </c>
      <c r="Z953" s="1">
        <v>2021</v>
      </c>
      <c r="AA953" s="1">
        <v>2022</v>
      </c>
      <c r="AB953" s="1">
        <v>2023</v>
      </c>
      <c r="AC953" s="1">
        <v>2024</v>
      </c>
      <c r="AD953" s="1">
        <v>2025</v>
      </c>
      <c r="AE953" s="1">
        <v>2026</v>
      </c>
      <c r="AF953" s="1">
        <v>2027</v>
      </c>
      <c r="AG953" s="1">
        <v>2028</v>
      </c>
      <c r="AH953" s="1">
        <v>2029</v>
      </c>
      <c r="AI953" s="1">
        <v>2030</v>
      </c>
      <c r="AJ953" s="1">
        <v>2031</v>
      </c>
      <c r="AK953" s="1">
        <v>2032</v>
      </c>
      <c r="AL953" s="1">
        <v>2033</v>
      </c>
      <c r="AM953" s="1">
        <v>2034</v>
      </c>
      <c r="AN953" s="1">
        <v>2035</v>
      </c>
      <c r="AO953" s="1">
        <v>2036</v>
      </c>
      <c r="AP953" s="1">
        <v>2037</v>
      </c>
      <c r="AQ953" s="1">
        <v>2038</v>
      </c>
      <c r="AR953" s="1">
        <v>2039</v>
      </c>
      <c r="AS953" s="1">
        <v>2040</v>
      </c>
      <c r="AT953" s="1">
        <v>2041</v>
      </c>
      <c r="AU953" s="1">
        <v>2042</v>
      </c>
      <c r="AV953" s="1">
        <v>2043</v>
      </c>
      <c r="AW953" s="1">
        <v>2044</v>
      </c>
      <c r="AX953" s="1">
        <v>2045</v>
      </c>
      <c r="AY953" s="1">
        <v>2046</v>
      </c>
      <c r="AZ953" s="1">
        <v>2047</v>
      </c>
      <c r="BA953" s="1">
        <v>2048</v>
      </c>
      <c r="BB953" s="1">
        <v>2049</v>
      </c>
      <c r="BC953" s="1">
        <v>2050</v>
      </c>
    </row>
    <row r="954" spans="1:55" x14ac:dyDescent="0.25">
      <c r="A954" s="1" t="str">
        <f>'Population Definitions'!$A$2</f>
        <v>PWID_males</v>
      </c>
      <c r="C954" t="s">
        <v>32</v>
      </c>
      <c r="D954" s="3"/>
      <c r="E954" s="3">
        <v>0</v>
      </c>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3"/>
      <c r="AW954" s="3"/>
      <c r="AX954" s="3"/>
      <c r="AY954" s="3"/>
      <c r="AZ954" s="3"/>
      <c r="BA954" s="3"/>
      <c r="BB954" s="3"/>
      <c r="BC954" s="3"/>
    </row>
    <row r="955" spans="1:55" x14ac:dyDescent="0.25">
      <c r="A955" s="1" t="str">
        <f>'Population Definitions'!$A$3</f>
        <v>PWID_females</v>
      </c>
      <c r="C955" t="s">
        <v>32</v>
      </c>
      <c r="D955" s="3"/>
      <c r="E955" s="3">
        <v>0</v>
      </c>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c r="AV955" s="3"/>
      <c r="AW955" s="3"/>
      <c r="AX955" s="3"/>
      <c r="AY955" s="3"/>
      <c r="AZ955" s="3"/>
      <c r="BA955" s="3"/>
      <c r="BB955" s="3"/>
      <c r="BC955" s="3"/>
    </row>
    <row r="956" spans="1:55" x14ac:dyDescent="0.25">
      <c r="A956" s="1" t="str">
        <f>'Population Definitions'!$A$4</f>
        <v>0-9_males</v>
      </c>
      <c r="C956" t="s">
        <v>32</v>
      </c>
      <c r="D956" s="3"/>
      <c r="E956" s="3">
        <v>0</v>
      </c>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c r="AV956" s="3"/>
      <c r="AW956" s="3"/>
      <c r="AX956" s="3"/>
      <c r="AY956" s="3"/>
      <c r="AZ956" s="3"/>
      <c r="BA956" s="3"/>
      <c r="BB956" s="3"/>
      <c r="BC956" s="3"/>
    </row>
    <row r="957" spans="1:55" x14ac:dyDescent="0.25">
      <c r="A957" s="1" t="str">
        <f>'Population Definitions'!$A$5</f>
        <v>0-9_females</v>
      </c>
      <c r="C957" t="s">
        <v>32</v>
      </c>
      <c r="D957" s="3"/>
      <c r="E957" s="3">
        <v>0</v>
      </c>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3"/>
      <c r="AW957" s="3"/>
      <c r="AX957" s="3"/>
      <c r="AY957" s="3"/>
      <c r="AZ957" s="3"/>
      <c r="BA957" s="3"/>
      <c r="BB957" s="3"/>
      <c r="BC957" s="3"/>
    </row>
    <row r="958" spans="1:55" x14ac:dyDescent="0.25">
      <c r="A958" s="1" t="str">
        <f>'Population Definitions'!$A$6</f>
        <v>10-17_males</v>
      </c>
      <c r="C958" t="s">
        <v>32</v>
      </c>
      <c r="D958" s="3"/>
      <c r="E958" s="3">
        <v>0</v>
      </c>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c r="AV958" s="3"/>
      <c r="AW958" s="3"/>
      <c r="AX958" s="3"/>
      <c r="AY958" s="3"/>
      <c r="AZ958" s="3"/>
      <c r="BA958" s="3"/>
      <c r="BB958" s="3"/>
      <c r="BC958" s="3"/>
    </row>
    <row r="959" spans="1:55" x14ac:dyDescent="0.25">
      <c r="A959" s="1" t="str">
        <f>'Population Definitions'!$A$7</f>
        <v>10-17_females</v>
      </c>
      <c r="C959" t="s">
        <v>32</v>
      </c>
      <c r="D959" s="3"/>
      <c r="E959" s="3">
        <v>0</v>
      </c>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3"/>
      <c r="AW959" s="3"/>
      <c r="AX959" s="3"/>
      <c r="AY959" s="3"/>
      <c r="AZ959" s="3"/>
      <c r="BA959" s="3"/>
      <c r="BB959" s="3"/>
      <c r="BC959" s="3"/>
    </row>
    <row r="960" spans="1:55" x14ac:dyDescent="0.25">
      <c r="A960" s="1" t="str">
        <f>'Population Definitions'!$A$8</f>
        <v>18-64_males</v>
      </c>
      <c r="C960" t="s">
        <v>32</v>
      </c>
      <c r="D960" s="3"/>
      <c r="E960" s="3">
        <v>0</v>
      </c>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c r="AV960" s="3"/>
      <c r="AW960" s="3"/>
      <c r="AX960" s="3"/>
      <c r="AY960" s="3"/>
      <c r="AZ960" s="3"/>
      <c r="BA960" s="3"/>
      <c r="BB960" s="3"/>
      <c r="BC960" s="3"/>
    </row>
    <row r="961" spans="1:55" x14ac:dyDescent="0.25">
      <c r="A961" s="1" t="str">
        <f>'Population Definitions'!$A$9</f>
        <v>18-64_females</v>
      </c>
      <c r="C961" t="s">
        <v>32</v>
      </c>
      <c r="D961" s="3"/>
      <c r="E961" s="3">
        <v>0</v>
      </c>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c r="AV961" s="3"/>
      <c r="AW961" s="3"/>
      <c r="AX961" s="3"/>
      <c r="AY961" s="3"/>
      <c r="AZ961" s="3"/>
      <c r="BA961" s="3"/>
      <c r="BB961" s="3"/>
      <c r="BC961" s="3"/>
    </row>
    <row r="962" spans="1:55" x14ac:dyDescent="0.25">
      <c r="A962" s="1" t="str">
        <f>'Population Definitions'!$A$10</f>
        <v>65+_males</v>
      </c>
      <c r="C962" t="s">
        <v>32</v>
      </c>
      <c r="D962" s="3"/>
      <c r="E962" s="3">
        <v>0</v>
      </c>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c r="AV962" s="3"/>
      <c r="AW962" s="3"/>
      <c r="AX962" s="3"/>
      <c r="AY962" s="3"/>
      <c r="AZ962" s="3"/>
      <c r="BA962" s="3"/>
      <c r="BB962" s="3"/>
      <c r="BC962" s="3"/>
    </row>
    <row r="963" spans="1:55" x14ac:dyDescent="0.25">
      <c r="A963" s="1" t="str">
        <f>'Population Definitions'!$A$11</f>
        <v>65+_females</v>
      </c>
      <c r="C963" t="s">
        <v>32</v>
      </c>
      <c r="D963" s="3"/>
      <c r="E963" s="3">
        <v>0</v>
      </c>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3"/>
      <c r="AW963" s="3"/>
      <c r="AX963" s="3"/>
      <c r="AY963" s="3"/>
      <c r="AZ963" s="3"/>
      <c r="BA963" s="3"/>
      <c r="BB963" s="3"/>
      <c r="BC963" s="3"/>
    </row>
    <row r="964" spans="1:55" x14ac:dyDescent="0.25">
      <c r="A964" s="1" t="str">
        <f>'Population Definitions'!$A$12</f>
        <v>Prisoners_males</v>
      </c>
      <c r="C964" t="s">
        <v>32</v>
      </c>
      <c r="D964" s="3"/>
      <c r="E964" s="3">
        <v>0</v>
      </c>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c r="AV964" s="3"/>
      <c r="AW964" s="3"/>
      <c r="AX964" s="3"/>
      <c r="AY964" s="3"/>
      <c r="AZ964" s="3"/>
      <c r="BA964" s="3"/>
      <c r="BB964" s="3"/>
      <c r="BC964" s="3"/>
    </row>
    <row r="965" spans="1:55" x14ac:dyDescent="0.25">
      <c r="A965" s="1" t="str">
        <f>'Population Definitions'!$A$13</f>
        <v>Prisoners_females</v>
      </c>
      <c r="C965" t="s">
        <v>32</v>
      </c>
      <c r="D965" s="3"/>
      <c r="E965" s="3">
        <v>0</v>
      </c>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c r="AV965" s="3"/>
      <c r="AW965" s="3"/>
      <c r="AX965" s="3"/>
      <c r="AY965" s="3"/>
      <c r="AZ965" s="3"/>
      <c r="BA965" s="3"/>
      <c r="BB965" s="3"/>
      <c r="BC965" s="3"/>
    </row>
    <row r="967" spans="1:55" x14ac:dyDescent="0.25">
      <c r="A967" s="1" t="s">
        <v>195</v>
      </c>
      <c r="B967" s="1" t="s">
        <v>29</v>
      </c>
      <c r="C967" s="1" t="s">
        <v>30</v>
      </c>
      <c r="D967" s="1" t="s">
        <v>31</v>
      </c>
      <c r="E967" s="1">
        <v>2000</v>
      </c>
      <c r="F967" s="1">
        <v>2001</v>
      </c>
      <c r="G967" s="1">
        <v>2002</v>
      </c>
      <c r="H967" s="1">
        <v>2003</v>
      </c>
      <c r="I967" s="1">
        <v>2004</v>
      </c>
      <c r="J967" s="1">
        <v>2005</v>
      </c>
      <c r="K967" s="1">
        <v>2006</v>
      </c>
      <c r="L967" s="1">
        <v>2007</v>
      </c>
      <c r="M967" s="1">
        <v>2008</v>
      </c>
      <c r="N967" s="1">
        <v>2009</v>
      </c>
      <c r="O967" s="1">
        <v>2010</v>
      </c>
      <c r="P967" s="1">
        <v>2011</v>
      </c>
      <c r="Q967" s="1">
        <v>2012</v>
      </c>
      <c r="R967" s="1">
        <v>2013</v>
      </c>
      <c r="S967" s="1">
        <v>2014</v>
      </c>
      <c r="T967" s="1">
        <v>2015</v>
      </c>
      <c r="U967" s="1">
        <v>2016</v>
      </c>
      <c r="V967" s="1">
        <v>2017</v>
      </c>
      <c r="W967" s="1">
        <v>2018</v>
      </c>
      <c r="X967" s="1">
        <v>2019</v>
      </c>
      <c r="Y967" s="1">
        <v>2020</v>
      </c>
      <c r="Z967" s="1">
        <v>2021</v>
      </c>
      <c r="AA967" s="1">
        <v>2022</v>
      </c>
      <c r="AB967" s="1">
        <v>2023</v>
      </c>
      <c r="AC967" s="1">
        <v>2024</v>
      </c>
      <c r="AD967" s="1">
        <v>2025</v>
      </c>
      <c r="AE967" s="1">
        <v>2026</v>
      </c>
      <c r="AF967" s="1">
        <v>2027</v>
      </c>
      <c r="AG967" s="1">
        <v>2028</v>
      </c>
      <c r="AH967" s="1">
        <v>2029</v>
      </c>
      <c r="AI967" s="1">
        <v>2030</v>
      </c>
      <c r="AJ967" s="1">
        <v>2031</v>
      </c>
      <c r="AK967" s="1">
        <v>2032</v>
      </c>
      <c r="AL967" s="1">
        <v>2033</v>
      </c>
      <c r="AM967" s="1">
        <v>2034</v>
      </c>
      <c r="AN967" s="1">
        <v>2035</v>
      </c>
      <c r="AO967" s="1">
        <v>2036</v>
      </c>
      <c r="AP967" s="1">
        <v>2037</v>
      </c>
      <c r="AQ967" s="1">
        <v>2038</v>
      </c>
      <c r="AR967" s="1">
        <v>2039</v>
      </c>
      <c r="AS967" s="1">
        <v>2040</v>
      </c>
      <c r="AT967" s="1">
        <v>2041</v>
      </c>
      <c r="AU967" s="1">
        <v>2042</v>
      </c>
      <c r="AV967" s="1">
        <v>2043</v>
      </c>
      <c r="AW967" s="1">
        <v>2044</v>
      </c>
      <c r="AX967" s="1">
        <v>2045</v>
      </c>
      <c r="AY967" s="1">
        <v>2046</v>
      </c>
      <c r="AZ967" s="1">
        <v>2047</v>
      </c>
      <c r="BA967" s="1">
        <v>2048</v>
      </c>
      <c r="BB967" s="1">
        <v>2049</v>
      </c>
      <c r="BC967" s="1">
        <v>2050</v>
      </c>
    </row>
    <row r="968" spans="1:55" x14ac:dyDescent="0.25">
      <c r="A968" s="1" t="str">
        <f>'Population Definitions'!$A$2</f>
        <v>PWID_males</v>
      </c>
      <c r="C968" t="s">
        <v>32</v>
      </c>
      <c r="D968" s="3"/>
      <c r="E968" s="3">
        <v>0</v>
      </c>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c r="AV968" s="3"/>
      <c r="AW968" s="3"/>
      <c r="AX968" s="3"/>
      <c r="AY968" s="3"/>
      <c r="AZ968" s="3"/>
      <c r="BA968" s="3"/>
      <c r="BB968" s="3"/>
      <c r="BC968" s="3"/>
    </row>
    <row r="969" spans="1:55" x14ac:dyDescent="0.25">
      <c r="A969" s="1" t="str">
        <f>'Population Definitions'!$A$3</f>
        <v>PWID_females</v>
      </c>
      <c r="C969" t="s">
        <v>32</v>
      </c>
      <c r="D969" s="3"/>
      <c r="E969" s="3">
        <v>0</v>
      </c>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c r="AV969" s="3"/>
      <c r="AW969" s="3"/>
      <c r="AX969" s="3"/>
      <c r="AY969" s="3"/>
      <c r="AZ969" s="3"/>
      <c r="BA969" s="3"/>
      <c r="BB969" s="3"/>
      <c r="BC969" s="3"/>
    </row>
    <row r="970" spans="1:55" x14ac:dyDescent="0.25">
      <c r="A970" s="1" t="str">
        <f>'Population Definitions'!$A$4</f>
        <v>0-9_males</v>
      </c>
      <c r="C970" t="s">
        <v>32</v>
      </c>
      <c r="D970" s="3"/>
      <c r="E970" s="3">
        <v>0</v>
      </c>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c r="AV970" s="3"/>
      <c r="AW970" s="3"/>
      <c r="AX970" s="3"/>
      <c r="AY970" s="3"/>
      <c r="AZ970" s="3"/>
      <c r="BA970" s="3"/>
      <c r="BB970" s="3"/>
      <c r="BC970" s="3"/>
    </row>
    <row r="971" spans="1:55" x14ac:dyDescent="0.25">
      <c r="A971" s="1" t="str">
        <f>'Population Definitions'!$A$5</f>
        <v>0-9_females</v>
      </c>
      <c r="C971" t="s">
        <v>32</v>
      </c>
      <c r="D971" s="3"/>
      <c r="E971" s="3">
        <v>0</v>
      </c>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c r="AV971" s="3"/>
      <c r="AW971" s="3"/>
      <c r="AX971" s="3"/>
      <c r="AY971" s="3"/>
      <c r="AZ971" s="3"/>
      <c r="BA971" s="3"/>
      <c r="BB971" s="3"/>
      <c r="BC971" s="3"/>
    </row>
    <row r="972" spans="1:55" x14ac:dyDescent="0.25">
      <c r="A972" s="1" t="str">
        <f>'Population Definitions'!$A$6</f>
        <v>10-17_males</v>
      </c>
      <c r="C972" t="s">
        <v>32</v>
      </c>
      <c r="D972" s="3"/>
      <c r="E972" s="3">
        <v>0</v>
      </c>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c r="AV972" s="3"/>
      <c r="AW972" s="3"/>
      <c r="AX972" s="3"/>
      <c r="AY972" s="3"/>
      <c r="AZ972" s="3"/>
      <c r="BA972" s="3"/>
      <c r="BB972" s="3"/>
      <c r="BC972" s="3"/>
    </row>
    <row r="973" spans="1:55" x14ac:dyDescent="0.25">
      <c r="A973" s="1" t="str">
        <f>'Population Definitions'!$A$7</f>
        <v>10-17_females</v>
      </c>
      <c r="C973" t="s">
        <v>32</v>
      </c>
      <c r="D973" s="3"/>
      <c r="E973" s="3">
        <v>0</v>
      </c>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c r="AV973" s="3"/>
      <c r="AW973" s="3"/>
      <c r="AX973" s="3"/>
      <c r="AY973" s="3"/>
      <c r="AZ973" s="3"/>
      <c r="BA973" s="3"/>
      <c r="BB973" s="3"/>
      <c r="BC973" s="3"/>
    </row>
    <row r="974" spans="1:55" x14ac:dyDescent="0.25">
      <c r="A974" s="1" t="str">
        <f>'Population Definitions'!$A$8</f>
        <v>18-64_males</v>
      </c>
      <c r="C974" t="s">
        <v>32</v>
      </c>
      <c r="D974" s="3"/>
      <c r="E974" s="3">
        <v>0</v>
      </c>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3"/>
      <c r="AW974" s="3"/>
      <c r="AX974" s="3"/>
      <c r="AY974" s="3"/>
      <c r="AZ974" s="3"/>
      <c r="BA974" s="3"/>
      <c r="BB974" s="3"/>
      <c r="BC974" s="3"/>
    </row>
    <row r="975" spans="1:55" x14ac:dyDescent="0.25">
      <c r="A975" s="1" t="str">
        <f>'Population Definitions'!$A$9</f>
        <v>18-64_females</v>
      </c>
      <c r="C975" t="s">
        <v>32</v>
      </c>
      <c r="D975" s="3"/>
      <c r="E975" s="3">
        <v>0</v>
      </c>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c r="AV975" s="3"/>
      <c r="AW975" s="3"/>
      <c r="AX975" s="3"/>
      <c r="AY975" s="3"/>
      <c r="AZ975" s="3"/>
      <c r="BA975" s="3"/>
      <c r="BB975" s="3"/>
      <c r="BC975" s="3"/>
    </row>
    <row r="976" spans="1:55" x14ac:dyDescent="0.25">
      <c r="A976" s="1" t="str">
        <f>'Population Definitions'!$A$10</f>
        <v>65+_males</v>
      </c>
      <c r="C976" t="s">
        <v>32</v>
      </c>
      <c r="D976" s="3"/>
      <c r="E976" s="3">
        <v>0</v>
      </c>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c r="AV976" s="3"/>
      <c r="AW976" s="3"/>
      <c r="AX976" s="3"/>
      <c r="AY976" s="3"/>
      <c r="AZ976" s="3"/>
      <c r="BA976" s="3"/>
      <c r="BB976" s="3"/>
      <c r="BC976" s="3"/>
    </row>
    <row r="977" spans="1:55" x14ac:dyDescent="0.25">
      <c r="A977" s="1" t="str">
        <f>'Population Definitions'!$A$11</f>
        <v>65+_females</v>
      </c>
      <c r="C977" t="s">
        <v>32</v>
      </c>
      <c r="D977" s="3"/>
      <c r="E977" s="3">
        <v>0</v>
      </c>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c r="AV977" s="3"/>
      <c r="AW977" s="3"/>
      <c r="AX977" s="3"/>
      <c r="AY977" s="3"/>
      <c r="AZ977" s="3"/>
      <c r="BA977" s="3"/>
      <c r="BB977" s="3"/>
      <c r="BC977" s="3"/>
    </row>
    <row r="978" spans="1:55" x14ac:dyDescent="0.25">
      <c r="A978" s="1" t="str">
        <f>'Population Definitions'!$A$12</f>
        <v>Prisoners_males</v>
      </c>
      <c r="C978" t="s">
        <v>32</v>
      </c>
      <c r="D978" s="3"/>
      <c r="E978" s="3">
        <v>0</v>
      </c>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c r="AV978" s="3"/>
      <c r="AW978" s="3"/>
      <c r="AX978" s="3"/>
      <c r="AY978" s="3"/>
      <c r="AZ978" s="3"/>
      <c r="BA978" s="3"/>
      <c r="BB978" s="3"/>
      <c r="BC978" s="3"/>
    </row>
    <row r="979" spans="1:55" x14ac:dyDescent="0.25">
      <c r="A979" s="1" t="str">
        <f>'Population Definitions'!$A$13</f>
        <v>Prisoners_females</v>
      </c>
      <c r="C979" t="s">
        <v>32</v>
      </c>
      <c r="D979" s="3"/>
      <c r="E979" s="3">
        <v>0</v>
      </c>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c r="AV979" s="3"/>
      <c r="AW979" s="3"/>
      <c r="AX979" s="3"/>
      <c r="AY979" s="3"/>
      <c r="AZ979" s="3"/>
      <c r="BA979" s="3"/>
      <c r="BB979" s="3"/>
      <c r="BC979" s="3"/>
    </row>
    <row r="981" spans="1:55" x14ac:dyDescent="0.25">
      <c r="A981" s="1" t="s">
        <v>196</v>
      </c>
      <c r="B981" s="1" t="s">
        <v>29</v>
      </c>
      <c r="C981" s="1" t="s">
        <v>30</v>
      </c>
      <c r="D981" s="1" t="s">
        <v>31</v>
      </c>
      <c r="E981" s="1">
        <v>2000</v>
      </c>
      <c r="F981" s="1">
        <v>2001</v>
      </c>
      <c r="G981" s="1">
        <v>2002</v>
      </c>
      <c r="H981" s="1">
        <v>2003</v>
      </c>
      <c r="I981" s="1">
        <v>2004</v>
      </c>
      <c r="J981" s="1">
        <v>2005</v>
      </c>
      <c r="K981" s="1">
        <v>2006</v>
      </c>
      <c r="L981" s="1">
        <v>2007</v>
      </c>
      <c r="M981" s="1">
        <v>2008</v>
      </c>
      <c r="N981" s="1">
        <v>2009</v>
      </c>
      <c r="O981" s="1">
        <v>2010</v>
      </c>
      <c r="P981" s="1">
        <v>2011</v>
      </c>
      <c r="Q981" s="1">
        <v>2012</v>
      </c>
      <c r="R981" s="1">
        <v>2013</v>
      </c>
      <c r="S981" s="1">
        <v>2014</v>
      </c>
      <c r="T981" s="1">
        <v>2015</v>
      </c>
      <c r="U981" s="1">
        <v>2016</v>
      </c>
      <c r="V981" s="1">
        <v>2017</v>
      </c>
      <c r="W981" s="1">
        <v>2018</v>
      </c>
      <c r="X981" s="1">
        <v>2019</v>
      </c>
      <c r="Y981" s="1">
        <v>2020</v>
      </c>
      <c r="Z981" s="1">
        <v>2021</v>
      </c>
      <c r="AA981" s="1">
        <v>2022</v>
      </c>
      <c r="AB981" s="1">
        <v>2023</v>
      </c>
      <c r="AC981" s="1">
        <v>2024</v>
      </c>
      <c r="AD981" s="1">
        <v>2025</v>
      </c>
      <c r="AE981" s="1">
        <v>2026</v>
      </c>
      <c r="AF981" s="1">
        <v>2027</v>
      </c>
      <c r="AG981" s="1">
        <v>2028</v>
      </c>
      <c r="AH981" s="1">
        <v>2029</v>
      </c>
      <c r="AI981" s="1">
        <v>2030</v>
      </c>
      <c r="AJ981" s="1">
        <v>2031</v>
      </c>
      <c r="AK981" s="1">
        <v>2032</v>
      </c>
      <c r="AL981" s="1">
        <v>2033</v>
      </c>
      <c r="AM981" s="1">
        <v>2034</v>
      </c>
      <c r="AN981" s="1">
        <v>2035</v>
      </c>
      <c r="AO981" s="1">
        <v>2036</v>
      </c>
      <c r="AP981" s="1">
        <v>2037</v>
      </c>
      <c r="AQ981" s="1">
        <v>2038</v>
      </c>
      <c r="AR981" s="1">
        <v>2039</v>
      </c>
      <c r="AS981" s="1">
        <v>2040</v>
      </c>
      <c r="AT981" s="1">
        <v>2041</v>
      </c>
      <c r="AU981" s="1">
        <v>2042</v>
      </c>
      <c r="AV981" s="1">
        <v>2043</v>
      </c>
      <c r="AW981" s="1">
        <v>2044</v>
      </c>
      <c r="AX981" s="1">
        <v>2045</v>
      </c>
      <c r="AY981" s="1">
        <v>2046</v>
      </c>
      <c r="AZ981" s="1">
        <v>2047</v>
      </c>
      <c r="BA981" s="1">
        <v>2048</v>
      </c>
      <c r="BB981" s="1">
        <v>2049</v>
      </c>
      <c r="BC981" s="1">
        <v>2050</v>
      </c>
    </row>
    <row r="982" spans="1:55" x14ac:dyDescent="0.25">
      <c r="A982" s="1" t="str">
        <f>'Population Definitions'!$A$2</f>
        <v>PWID_males</v>
      </c>
      <c r="C982" t="s">
        <v>32</v>
      </c>
      <c r="D982" s="3"/>
      <c r="E982" s="3">
        <v>0</v>
      </c>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c r="AV982" s="3"/>
      <c r="AW982" s="3"/>
      <c r="AX982" s="3"/>
      <c r="AY982" s="3"/>
      <c r="AZ982" s="3"/>
      <c r="BA982" s="3"/>
      <c r="BB982" s="3"/>
      <c r="BC982" s="3"/>
    </row>
    <row r="983" spans="1:55" x14ac:dyDescent="0.25">
      <c r="A983" s="1" t="str">
        <f>'Population Definitions'!$A$3</f>
        <v>PWID_females</v>
      </c>
      <c r="C983" t="s">
        <v>32</v>
      </c>
      <c r="D983" s="3"/>
      <c r="E983" s="3">
        <v>0</v>
      </c>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c r="AV983" s="3"/>
      <c r="AW983" s="3"/>
      <c r="AX983" s="3"/>
      <c r="AY983" s="3"/>
      <c r="AZ983" s="3"/>
      <c r="BA983" s="3"/>
      <c r="BB983" s="3"/>
      <c r="BC983" s="3"/>
    </row>
    <row r="984" spans="1:55" x14ac:dyDescent="0.25">
      <c r="A984" s="1" t="str">
        <f>'Population Definitions'!$A$4</f>
        <v>0-9_males</v>
      </c>
      <c r="C984" t="s">
        <v>32</v>
      </c>
      <c r="D984" s="3"/>
      <c r="E984" s="3">
        <v>0</v>
      </c>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c r="AV984" s="3"/>
      <c r="AW984" s="3"/>
      <c r="AX984" s="3"/>
      <c r="AY984" s="3"/>
      <c r="AZ984" s="3"/>
      <c r="BA984" s="3"/>
      <c r="BB984" s="3"/>
      <c r="BC984" s="3"/>
    </row>
    <row r="985" spans="1:55" x14ac:dyDescent="0.25">
      <c r="A985" s="1" t="str">
        <f>'Population Definitions'!$A$5</f>
        <v>0-9_females</v>
      </c>
      <c r="C985" t="s">
        <v>32</v>
      </c>
      <c r="D985" s="3"/>
      <c r="E985" s="3">
        <v>0</v>
      </c>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c r="AV985" s="3"/>
      <c r="AW985" s="3"/>
      <c r="AX985" s="3"/>
      <c r="AY985" s="3"/>
      <c r="AZ985" s="3"/>
      <c r="BA985" s="3"/>
      <c r="BB985" s="3"/>
      <c r="BC985" s="3"/>
    </row>
    <row r="986" spans="1:55" x14ac:dyDescent="0.25">
      <c r="A986" s="1" t="str">
        <f>'Population Definitions'!$A$6</f>
        <v>10-17_males</v>
      </c>
      <c r="C986" t="s">
        <v>32</v>
      </c>
      <c r="D986" s="3"/>
      <c r="E986" s="3">
        <v>0</v>
      </c>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c r="AV986" s="3"/>
      <c r="AW986" s="3"/>
      <c r="AX986" s="3"/>
      <c r="AY986" s="3"/>
      <c r="AZ986" s="3"/>
      <c r="BA986" s="3"/>
      <c r="BB986" s="3"/>
      <c r="BC986" s="3"/>
    </row>
    <row r="987" spans="1:55" x14ac:dyDescent="0.25">
      <c r="A987" s="1" t="str">
        <f>'Population Definitions'!$A$7</f>
        <v>10-17_females</v>
      </c>
      <c r="C987" t="s">
        <v>32</v>
      </c>
      <c r="D987" s="3"/>
      <c r="E987" s="3">
        <v>0</v>
      </c>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c r="AV987" s="3"/>
      <c r="AW987" s="3"/>
      <c r="AX987" s="3"/>
      <c r="AY987" s="3"/>
      <c r="AZ987" s="3"/>
      <c r="BA987" s="3"/>
      <c r="BB987" s="3"/>
      <c r="BC987" s="3"/>
    </row>
    <row r="988" spans="1:55" x14ac:dyDescent="0.25">
      <c r="A988" s="1" t="str">
        <f>'Population Definitions'!$A$8</f>
        <v>18-64_males</v>
      </c>
      <c r="C988" t="s">
        <v>32</v>
      </c>
      <c r="D988" s="3"/>
      <c r="E988" s="3">
        <v>0</v>
      </c>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c r="AV988" s="3"/>
      <c r="AW988" s="3"/>
      <c r="AX988" s="3"/>
      <c r="AY988" s="3"/>
      <c r="AZ988" s="3"/>
      <c r="BA988" s="3"/>
      <c r="BB988" s="3"/>
      <c r="BC988" s="3"/>
    </row>
    <row r="989" spans="1:55" x14ac:dyDescent="0.25">
      <c r="A989" s="1" t="str">
        <f>'Population Definitions'!$A$9</f>
        <v>18-64_females</v>
      </c>
      <c r="C989" t="s">
        <v>32</v>
      </c>
      <c r="D989" s="3"/>
      <c r="E989" s="3">
        <v>0</v>
      </c>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c r="AV989" s="3"/>
      <c r="AW989" s="3"/>
      <c r="AX989" s="3"/>
      <c r="AY989" s="3"/>
      <c r="AZ989" s="3"/>
      <c r="BA989" s="3"/>
      <c r="BB989" s="3"/>
      <c r="BC989" s="3"/>
    </row>
    <row r="990" spans="1:55" x14ac:dyDescent="0.25">
      <c r="A990" s="1" t="str">
        <f>'Population Definitions'!$A$10</f>
        <v>65+_males</v>
      </c>
      <c r="C990" t="s">
        <v>32</v>
      </c>
      <c r="D990" s="3"/>
      <c r="E990" s="3">
        <v>0</v>
      </c>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c r="AV990" s="3"/>
      <c r="AW990" s="3"/>
      <c r="AX990" s="3"/>
      <c r="AY990" s="3"/>
      <c r="AZ990" s="3"/>
      <c r="BA990" s="3"/>
      <c r="BB990" s="3"/>
      <c r="BC990" s="3"/>
    </row>
    <row r="991" spans="1:55" x14ac:dyDescent="0.25">
      <c r="A991" s="1" t="str">
        <f>'Population Definitions'!$A$11</f>
        <v>65+_females</v>
      </c>
      <c r="C991" t="s">
        <v>32</v>
      </c>
      <c r="D991" s="3"/>
      <c r="E991" s="3">
        <v>0</v>
      </c>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c r="AV991" s="3"/>
      <c r="AW991" s="3"/>
      <c r="AX991" s="3"/>
      <c r="AY991" s="3"/>
      <c r="AZ991" s="3"/>
      <c r="BA991" s="3"/>
      <c r="BB991" s="3"/>
      <c r="BC991" s="3"/>
    </row>
    <row r="992" spans="1:55" x14ac:dyDescent="0.25">
      <c r="A992" s="1" t="str">
        <f>'Population Definitions'!$A$12</f>
        <v>Prisoners_males</v>
      </c>
      <c r="C992" t="s">
        <v>32</v>
      </c>
      <c r="D992" s="3"/>
      <c r="E992" s="3">
        <v>0</v>
      </c>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c r="AV992" s="3"/>
      <c r="AW992" s="3"/>
      <c r="AX992" s="3"/>
      <c r="AY992" s="3"/>
      <c r="AZ992" s="3"/>
      <c r="BA992" s="3"/>
      <c r="BB992" s="3"/>
      <c r="BC992" s="3"/>
    </row>
    <row r="993" spans="1:55" x14ac:dyDescent="0.25">
      <c r="A993" s="1" t="str">
        <f>'Population Definitions'!$A$13</f>
        <v>Prisoners_females</v>
      </c>
      <c r="C993" t="s">
        <v>32</v>
      </c>
      <c r="D993" s="3"/>
      <c r="E993" s="3">
        <v>0</v>
      </c>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c r="AV993" s="3"/>
      <c r="AW993" s="3"/>
      <c r="AX993" s="3"/>
      <c r="AY993" s="3"/>
      <c r="AZ993" s="3"/>
      <c r="BA993" s="3"/>
      <c r="BB993" s="3"/>
      <c r="BC993" s="3"/>
    </row>
    <row r="995" spans="1:55" x14ac:dyDescent="0.25">
      <c r="A995" s="1" t="s">
        <v>197</v>
      </c>
      <c r="B995" s="1" t="s">
        <v>29</v>
      </c>
      <c r="C995" s="1" t="s">
        <v>30</v>
      </c>
      <c r="D995" s="1" t="s">
        <v>31</v>
      </c>
      <c r="E995" s="1">
        <v>2000</v>
      </c>
      <c r="F995" s="1">
        <v>2001</v>
      </c>
      <c r="G995" s="1">
        <v>2002</v>
      </c>
      <c r="H995" s="1">
        <v>2003</v>
      </c>
      <c r="I995" s="1">
        <v>2004</v>
      </c>
      <c r="J995" s="1">
        <v>2005</v>
      </c>
      <c r="K995" s="1">
        <v>2006</v>
      </c>
      <c r="L995" s="1">
        <v>2007</v>
      </c>
      <c r="M995" s="1">
        <v>2008</v>
      </c>
      <c r="N995" s="1">
        <v>2009</v>
      </c>
      <c r="O995" s="1">
        <v>2010</v>
      </c>
      <c r="P995" s="1">
        <v>2011</v>
      </c>
      <c r="Q995" s="1">
        <v>2012</v>
      </c>
      <c r="R995" s="1">
        <v>2013</v>
      </c>
      <c r="S995" s="1">
        <v>2014</v>
      </c>
      <c r="T995" s="1">
        <v>2015</v>
      </c>
      <c r="U995" s="1">
        <v>2016</v>
      </c>
      <c r="V995" s="1">
        <v>2017</v>
      </c>
      <c r="W995" s="1">
        <v>2018</v>
      </c>
      <c r="X995" s="1">
        <v>2019</v>
      </c>
      <c r="Y995" s="1">
        <v>2020</v>
      </c>
      <c r="Z995" s="1">
        <v>2021</v>
      </c>
      <c r="AA995" s="1">
        <v>2022</v>
      </c>
      <c r="AB995" s="1">
        <v>2023</v>
      </c>
      <c r="AC995" s="1">
        <v>2024</v>
      </c>
      <c r="AD995" s="1">
        <v>2025</v>
      </c>
      <c r="AE995" s="1">
        <v>2026</v>
      </c>
      <c r="AF995" s="1">
        <v>2027</v>
      </c>
      <c r="AG995" s="1">
        <v>2028</v>
      </c>
      <c r="AH995" s="1">
        <v>2029</v>
      </c>
      <c r="AI995" s="1">
        <v>2030</v>
      </c>
      <c r="AJ995" s="1">
        <v>2031</v>
      </c>
      <c r="AK995" s="1">
        <v>2032</v>
      </c>
      <c r="AL995" s="1">
        <v>2033</v>
      </c>
      <c r="AM995" s="1">
        <v>2034</v>
      </c>
      <c r="AN995" s="1">
        <v>2035</v>
      </c>
      <c r="AO995" s="1">
        <v>2036</v>
      </c>
      <c r="AP995" s="1">
        <v>2037</v>
      </c>
      <c r="AQ995" s="1">
        <v>2038</v>
      </c>
      <c r="AR995" s="1">
        <v>2039</v>
      </c>
      <c r="AS995" s="1">
        <v>2040</v>
      </c>
      <c r="AT995" s="1">
        <v>2041</v>
      </c>
      <c r="AU995" s="1">
        <v>2042</v>
      </c>
      <c r="AV995" s="1">
        <v>2043</v>
      </c>
      <c r="AW995" s="1">
        <v>2044</v>
      </c>
      <c r="AX995" s="1">
        <v>2045</v>
      </c>
      <c r="AY995" s="1">
        <v>2046</v>
      </c>
      <c r="AZ995" s="1">
        <v>2047</v>
      </c>
      <c r="BA995" s="1">
        <v>2048</v>
      </c>
      <c r="BB995" s="1">
        <v>2049</v>
      </c>
      <c r="BC995" s="1">
        <v>2050</v>
      </c>
    </row>
    <row r="996" spans="1:55" x14ac:dyDescent="0.25">
      <c r="A996" s="1" t="str">
        <f>'Population Definitions'!$A$2</f>
        <v>PWID_males</v>
      </c>
      <c r="C996" t="s">
        <v>32</v>
      </c>
      <c r="D996" s="3"/>
      <c r="E996" s="3">
        <v>0</v>
      </c>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c r="AV996" s="3"/>
      <c r="AW996" s="3"/>
      <c r="AX996" s="3"/>
      <c r="AY996" s="3"/>
      <c r="AZ996" s="3"/>
      <c r="BA996" s="3"/>
      <c r="BB996" s="3"/>
      <c r="BC996" s="3"/>
    </row>
    <row r="997" spans="1:55" x14ac:dyDescent="0.25">
      <c r="A997" s="1" t="str">
        <f>'Population Definitions'!$A$3</f>
        <v>PWID_females</v>
      </c>
      <c r="C997" t="s">
        <v>32</v>
      </c>
      <c r="D997" s="3"/>
      <c r="E997" s="3">
        <v>0</v>
      </c>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c r="AV997" s="3"/>
      <c r="AW997" s="3"/>
      <c r="AX997" s="3"/>
      <c r="AY997" s="3"/>
      <c r="AZ997" s="3"/>
      <c r="BA997" s="3"/>
      <c r="BB997" s="3"/>
      <c r="BC997" s="3"/>
    </row>
    <row r="998" spans="1:55" x14ac:dyDescent="0.25">
      <c r="A998" s="1" t="str">
        <f>'Population Definitions'!$A$4</f>
        <v>0-9_males</v>
      </c>
      <c r="C998" t="s">
        <v>32</v>
      </c>
      <c r="D998" s="3"/>
      <c r="E998" s="3">
        <v>0</v>
      </c>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c r="AV998" s="3"/>
      <c r="AW998" s="3"/>
      <c r="AX998" s="3"/>
      <c r="AY998" s="3"/>
      <c r="AZ998" s="3"/>
      <c r="BA998" s="3"/>
      <c r="BB998" s="3"/>
      <c r="BC998" s="3"/>
    </row>
    <row r="999" spans="1:55" x14ac:dyDescent="0.25">
      <c r="A999" s="1" t="str">
        <f>'Population Definitions'!$A$5</f>
        <v>0-9_females</v>
      </c>
      <c r="C999" t="s">
        <v>32</v>
      </c>
      <c r="D999" s="3"/>
      <c r="E999" s="3">
        <v>0</v>
      </c>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c r="AV999" s="3"/>
      <c r="AW999" s="3"/>
      <c r="AX999" s="3"/>
      <c r="AY999" s="3"/>
      <c r="AZ999" s="3"/>
      <c r="BA999" s="3"/>
      <c r="BB999" s="3"/>
      <c r="BC999" s="3"/>
    </row>
    <row r="1000" spans="1:55" x14ac:dyDescent="0.25">
      <c r="A1000" s="1" t="str">
        <f>'Population Definitions'!$A$6</f>
        <v>10-17_males</v>
      </c>
      <c r="C1000" t="s">
        <v>32</v>
      </c>
      <c r="D1000" s="3"/>
      <c r="E1000" s="3">
        <v>0</v>
      </c>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c r="AV1000" s="3"/>
      <c r="AW1000" s="3"/>
      <c r="AX1000" s="3"/>
      <c r="AY1000" s="3"/>
      <c r="AZ1000" s="3"/>
      <c r="BA1000" s="3"/>
      <c r="BB1000" s="3"/>
      <c r="BC1000" s="3"/>
    </row>
    <row r="1001" spans="1:55" x14ac:dyDescent="0.25">
      <c r="A1001" s="1" t="str">
        <f>'Population Definitions'!$A$7</f>
        <v>10-17_females</v>
      </c>
      <c r="C1001" t="s">
        <v>32</v>
      </c>
      <c r="D1001" s="3"/>
      <c r="E1001" s="3">
        <v>0</v>
      </c>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c r="AV1001" s="3"/>
      <c r="AW1001" s="3"/>
      <c r="AX1001" s="3"/>
      <c r="AY1001" s="3"/>
      <c r="AZ1001" s="3"/>
      <c r="BA1001" s="3"/>
      <c r="BB1001" s="3"/>
      <c r="BC1001" s="3"/>
    </row>
    <row r="1002" spans="1:55" x14ac:dyDescent="0.25">
      <c r="A1002" s="1" t="str">
        <f>'Population Definitions'!$A$8</f>
        <v>18-64_males</v>
      </c>
      <c r="C1002" t="s">
        <v>32</v>
      </c>
      <c r="D1002" s="3"/>
      <c r="E1002" s="3">
        <v>0</v>
      </c>
      <c r="F1002" s="3"/>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c r="AV1002" s="3"/>
      <c r="AW1002" s="3"/>
      <c r="AX1002" s="3"/>
      <c r="AY1002" s="3"/>
      <c r="AZ1002" s="3"/>
      <c r="BA1002" s="3"/>
      <c r="BB1002" s="3"/>
      <c r="BC1002" s="3"/>
    </row>
    <row r="1003" spans="1:55" x14ac:dyDescent="0.25">
      <c r="A1003" s="1" t="str">
        <f>'Population Definitions'!$A$9</f>
        <v>18-64_females</v>
      </c>
      <c r="C1003" t="s">
        <v>32</v>
      </c>
      <c r="D1003" s="3"/>
      <c r="E1003" s="3">
        <v>0</v>
      </c>
      <c r="F1003" s="3"/>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c r="AV1003" s="3"/>
      <c r="AW1003" s="3"/>
      <c r="AX1003" s="3"/>
      <c r="AY1003" s="3"/>
      <c r="AZ1003" s="3"/>
      <c r="BA1003" s="3"/>
      <c r="BB1003" s="3"/>
      <c r="BC1003" s="3"/>
    </row>
    <row r="1004" spans="1:55" x14ac:dyDescent="0.25">
      <c r="A1004" s="1" t="str">
        <f>'Population Definitions'!$A$10</f>
        <v>65+_males</v>
      </c>
      <c r="C1004" t="s">
        <v>32</v>
      </c>
      <c r="D1004" s="3"/>
      <c r="E1004" s="3">
        <v>0</v>
      </c>
      <c r="F1004" s="3"/>
      <c r="G1004" s="3"/>
      <c r="H1004" s="3"/>
      <c r="I1004" s="3"/>
      <c r="J1004" s="3"/>
      <c r="K1004" s="3"/>
      <c r="L1004" s="3"/>
      <c r="M1004" s="3"/>
      <c r="N1004" s="3"/>
      <c r="O1004" s="3"/>
      <c r="P1004" s="3"/>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c r="AV1004" s="3"/>
      <c r="AW1004" s="3"/>
      <c r="AX1004" s="3"/>
      <c r="AY1004" s="3"/>
      <c r="AZ1004" s="3"/>
      <c r="BA1004" s="3"/>
      <c r="BB1004" s="3"/>
      <c r="BC1004" s="3"/>
    </row>
    <row r="1005" spans="1:55" x14ac:dyDescent="0.25">
      <c r="A1005" s="1" t="str">
        <f>'Population Definitions'!$A$11</f>
        <v>65+_females</v>
      </c>
      <c r="C1005" t="s">
        <v>32</v>
      </c>
      <c r="D1005" s="3"/>
      <c r="E1005" s="3">
        <v>0</v>
      </c>
      <c r="F1005" s="3"/>
      <c r="G1005" s="3"/>
      <c r="H1005" s="3"/>
      <c r="I1005" s="3"/>
      <c r="J1005" s="3"/>
      <c r="K1005" s="3"/>
      <c r="L1005" s="3"/>
      <c r="M1005" s="3"/>
      <c r="N1005" s="3"/>
      <c r="O1005" s="3"/>
      <c r="P1005" s="3"/>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c r="AV1005" s="3"/>
      <c r="AW1005" s="3"/>
      <c r="AX1005" s="3"/>
      <c r="AY1005" s="3"/>
      <c r="AZ1005" s="3"/>
      <c r="BA1005" s="3"/>
      <c r="BB1005" s="3"/>
      <c r="BC1005" s="3"/>
    </row>
    <row r="1006" spans="1:55" x14ac:dyDescent="0.25">
      <c r="A1006" s="1" t="str">
        <f>'Population Definitions'!$A$12</f>
        <v>Prisoners_males</v>
      </c>
      <c r="C1006" t="s">
        <v>32</v>
      </c>
      <c r="D1006" s="3"/>
      <c r="E1006" s="3">
        <v>0</v>
      </c>
      <c r="F1006" s="3"/>
      <c r="G1006" s="3"/>
      <c r="H1006" s="3"/>
      <c r="I1006" s="3"/>
      <c r="J1006" s="3"/>
      <c r="K1006" s="3"/>
      <c r="L1006" s="3"/>
      <c r="M1006" s="3"/>
      <c r="N1006" s="3"/>
      <c r="O1006" s="3"/>
      <c r="P1006" s="3"/>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c r="AV1006" s="3"/>
      <c r="AW1006" s="3"/>
      <c r="AX1006" s="3"/>
      <c r="AY1006" s="3"/>
      <c r="AZ1006" s="3"/>
      <c r="BA1006" s="3"/>
      <c r="BB1006" s="3"/>
      <c r="BC1006" s="3"/>
    </row>
    <row r="1007" spans="1:55" x14ac:dyDescent="0.25">
      <c r="A1007" s="1" t="str">
        <f>'Population Definitions'!$A$13</f>
        <v>Prisoners_females</v>
      </c>
      <c r="C1007" t="s">
        <v>32</v>
      </c>
      <c r="D1007" s="3"/>
      <c r="E1007" s="3">
        <v>0</v>
      </c>
      <c r="F1007" s="3"/>
      <c r="G1007" s="3"/>
      <c r="H1007" s="3"/>
      <c r="I1007" s="3"/>
      <c r="J1007" s="3"/>
      <c r="K1007" s="3"/>
      <c r="L1007" s="3"/>
      <c r="M1007" s="3"/>
      <c r="N1007" s="3"/>
      <c r="O1007" s="3"/>
      <c r="P1007" s="3"/>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c r="AV1007" s="3"/>
      <c r="AW1007" s="3"/>
      <c r="AX1007" s="3"/>
      <c r="AY1007" s="3"/>
      <c r="AZ1007" s="3"/>
      <c r="BA1007" s="3"/>
      <c r="BB1007" s="3"/>
      <c r="BC1007" s="3"/>
    </row>
    <row r="1009" spans="1:55" x14ac:dyDescent="0.25">
      <c r="A1009" s="1" t="s">
        <v>198</v>
      </c>
      <c r="B1009" s="1" t="s">
        <v>29</v>
      </c>
      <c r="C1009" s="1" t="s">
        <v>30</v>
      </c>
      <c r="D1009" s="1" t="s">
        <v>31</v>
      </c>
      <c r="E1009" s="1">
        <v>2000</v>
      </c>
      <c r="F1009" s="1">
        <v>2001</v>
      </c>
      <c r="G1009" s="1">
        <v>2002</v>
      </c>
      <c r="H1009" s="1">
        <v>2003</v>
      </c>
      <c r="I1009" s="1">
        <v>2004</v>
      </c>
      <c r="J1009" s="1">
        <v>2005</v>
      </c>
      <c r="K1009" s="1">
        <v>2006</v>
      </c>
      <c r="L1009" s="1">
        <v>2007</v>
      </c>
      <c r="M1009" s="1">
        <v>2008</v>
      </c>
      <c r="N1009" s="1">
        <v>2009</v>
      </c>
      <c r="O1009" s="1">
        <v>2010</v>
      </c>
      <c r="P1009" s="1">
        <v>2011</v>
      </c>
      <c r="Q1009" s="1">
        <v>2012</v>
      </c>
      <c r="R1009" s="1">
        <v>2013</v>
      </c>
      <c r="S1009" s="1">
        <v>2014</v>
      </c>
      <c r="T1009" s="1">
        <v>2015</v>
      </c>
      <c r="U1009" s="1">
        <v>2016</v>
      </c>
      <c r="V1009" s="1">
        <v>2017</v>
      </c>
      <c r="W1009" s="1">
        <v>2018</v>
      </c>
      <c r="X1009" s="1">
        <v>2019</v>
      </c>
      <c r="Y1009" s="1">
        <v>2020</v>
      </c>
      <c r="Z1009" s="1">
        <v>2021</v>
      </c>
      <c r="AA1009" s="1">
        <v>2022</v>
      </c>
      <c r="AB1009" s="1">
        <v>2023</v>
      </c>
      <c r="AC1009" s="1">
        <v>2024</v>
      </c>
      <c r="AD1009" s="1">
        <v>2025</v>
      </c>
      <c r="AE1009" s="1">
        <v>2026</v>
      </c>
      <c r="AF1009" s="1">
        <v>2027</v>
      </c>
      <c r="AG1009" s="1">
        <v>2028</v>
      </c>
      <c r="AH1009" s="1">
        <v>2029</v>
      </c>
      <c r="AI1009" s="1">
        <v>2030</v>
      </c>
      <c r="AJ1009" s="1">
        <v>2031</v>
      </c>
      <c r="AK1009" s="1">
        <v>2032</v>
      </c>
      <c r="AL1009" s="1">
        <v>2033</v>
      </c>
      <c r="AM1009" s="1">
        <v>2034</v>
      </c>
      <c r="AN1009" s="1">
        <v>2035</v>
      </c>
      <c r="AO1009" s="1">
        <v>2036</v>
      </c>
      <c r="AP1009" s="1">
        <v>2037</v>
      </c>
      <c r="AQ1009" s="1">
        <v>2038</v>
      </c>
      <c r="AR1009" s="1">
        <v>2039</v>
      </c>
      <c r="AS1009" s="1">
        <v>2040</v>
      </c>
      <c r="AT1009" s="1">
        <v>2041</v>
      </c>
      <c r="AU1009" s="1">
        <v>2042</v>
      </c>
      <c r="AV1009" s="1">
        <v>2043</v>
      </c>
      <c r="AW1009" s="1">
        <v>2044</v>
      </c>
      <c r="AX1009" s="1">
        <v>2045</v>
      </c>
      <c r="AY1009" s="1">
        <v>2046</v>
      </c>
      <c r="AZ1009" s="1">
        <v>2047</v>
      </c>
      <c r="BA1009" s="1">
        <v>2048</v>
      </c>
      <c r="BB1009" s="1">
        <v>2049</v>
      </c>
      <c r="BC1009" s="1">
        <v>2050</v>
      </c>
    </row>
    <row r="1010" spans="1:55" x14ac:dyDescent="0.25">
      <c r="A1010" s="1" t="str">
        <f>'Population Definitions'!$A$2</f>
        <v>PWID_males</v>
      </c>
      <c r="C1010" t="s">
        <v>32</v>
      </c>
      <c r="D1010" s="3"/>
      <c r="E1010" s="3">
        <v>0</v>
      </c>
      <c r="F1010" s="3"/>
      <c r="G1010" s="3"/>
      <c r="H1010" s="3"/>
      <c r="I1010" s="3"/>
      <c r="J1010" s="3"/>
      <c r="K1010" s="3"/>
      <c r="L1010" s="3"/>
      <c r="M1010" s="3"/>
      <c r="N1010" s="3"/>
      <c r="O1010" s="3"/>
      <c r="P1010" s="3"/>
      <c r="Q1010" s="3"/>
      <c r="R1010" s="3"/>
      <c r="S1010" s="3"/>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c r="AV1010" s="3"/>
      <c r="AW1010" s="3"/>
      <c r="AX1010" s="3"/>
      <c r="AY1010" s="3"/>
      <c r="AZ1010" s="3"/>
      <c r="BA1010" s="3"/>
      <c r="BB1010" s="3"/>
      <c r="BC1010" s="3"/>
    </row>
    <row r="1011" spans="1:55" x14ac:dyDescent="0.25">
      <c r="A1011" s="1" t="str">
        <f>'Population Definitions'!$A$3</f>
        <v>PWID_females</v>
      </c>
      <c r="C1011" t="s">
        <v>32</v>
      </c>
      <c r="D1011" s="3"/>
      <c r="E1011" s="3">
        <v>0</v>
      </c>
      <c r="F1011" s="3"/>
      <c r="G1011" s="3"/>
      <c r="H1011" s="3"/>
      <c r="I1011" s="3"/>
      <c r="J1011" s="3"/>
      <c r="K1011" s="3"/>
      <c r="L1011" s="3"/>
      <c r="M1011" s="3"/>
      <c r="N1011" s="3"/>
      <c r="O1011" s="3"/>
      <c r="P1011" s="3"/>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c r="AV1011" s="3"/>
      <c r="AW1011" s="3"/>
      <c r="AX1011" s="3"/>
      <c r="AY1011" s="3"/>
      <c r="AZ1011" s="3"/>
      <c r="BA1011" s="3"/>
      <c r="BB1011" s="3"/>
      <c r="BC1011" s="3"/>
    </row>
    <row r="1012" spans="1:55" x14ac:dyDescent="0.25">
      <c r="A1012" s="1" t="str">
        <f>'Population Definitions'!$A$4</f>
        <v>0-9_males</v>
      </c>
      <c r="C1012" t="s">
        <v>32</v>
      </c>
      <c r="D1012" s="3"/>
      <c r="E1012" s="3">
        <v>0</v>
      </c>
      <c r="F1012" s="3"/>
      <c r="G1012" s="3"/>
      <c r="H1012" s="3"/>
      <c r="I1012" s="3"/>
      <c r="J1012" s="3"/>
      <c r="K1012" s="3"/>
      <c r="L1012" s="3"/>
      <c r="M1012" s="3"/>
      <c r="N1012" s="3"/>
      <c r="O1012" s="3"/>
      <c r="P1012" s="3"/>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c r="AV1012" s="3"/>
      <c r="AW1012" s="3"/>
      <c r="AX1012" s="3"/>
      <c r="AY1012" s="3"/>
      <c r="AZ1012" s="3"/>
      <c r="BA1012" s="3"/>
      <c r="BB1012" s="3"/>
      <c r="BC1012" s="3"/>
    </row>
    <row r="1013" spans="1:55" x14ac:dyDescent="0.25">
      <c r="A1013" s="1" t="str">
        <f>'Population Definitions'!$A$5</f>
        <v>0-9_females</v>
      </c>
      <c r="C1013" t="s">
        <v>32</v>
      </c>
      <c r="D1013" s="3"/>
      <c r="E1013" s="3">
        <v>0</v>
      </c>
      <c r="F1013" s="3"/>
      <c r="G1013" s="3"/>
      <c r="H1013" s="3"/>
      <c r="I1013" s="3"/>
      <c r="J1013" s="3"/>
      <c r="K1013" s="3"/>
      <c r="L1013" s="3"/>
      <c r="M1013" s="3"/>
      <c r="N1013" s="3"/>
      <c r="O1013" s="3"/>
      <c r="P1013" s="3"/>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c r="AV1013" s="3"/>
      <c r="AW1013" s="3"/>
      <c r="AX1013" s="3"/>
      <c r="AY1013" s="3"/>
      <c r="AZ1013" s="3"/>
      <c r="BA1013" s="3"/>
      <c r="BB1013" s="3"/>
      <c r="BC1013" s="3"/>
    </row>
    <row r="1014" spans="1:55" x14ac:dyDescent="0.25">
      <c r="A1014" s="1" t="str">
        <f>'Population Definitions'!$A$6</f>
        <v>10-17_males</v>
      </c>
      <c r="C1014" t="s">
        <v>32</v>
      </c>
      <c r="D1014" s="3"/>
      <c r="E1014" s="3">
        <v>0</v>
      </c>
      <c r="F1014" s="3"/>
      <c r="G1014" s="3"/>
      <c r="H1014" s="3"/>
      <c r="I1014" s="3"/>
      <c r="J1014" s="3"/>
      <c r="K1014" s="3"/>
      <c r="L1014" s="3"/>
      <c r="M1014" s="3"/>
      <c r="N1014" s="3"/>
      <c r="O1014" s="3"/>
      <c r="P1014" s="3"/>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c r="AV1014" s="3"/>
      <c r="AW1014" s="3"/>
      <c r="AX1014" s="3"/>
      <c r="AY1014" s="3"/>
      <c r="AZ1014" s="3"/>
      <c r="BA1014" s="3"/>
      <c r="BB1014" s="3"/>
      <c r="BC1014" s="3"/>
    </row>
    <row r="1015" spans="1:55" x14ac:dyDescent="0.25">
      <c r="A1015" s="1" t="str">
        <f>'Population Definitions'!$A$7</f>
        <v>10-17_females</v>
      </c>
      <c r="C1015" t="s">
        <v>32</v>
      </c>
      <c r="D1015" s="3"/>
      <c r="E1015" s="3">
        <v>0</v>
      </c>
      <c r="F1015" s="3"/>
      <c r="G1015" s="3"/>
      <c r="H1015" s="3"/>
      <c r="I1015" s="3"/>
      <c r="J1015" s="3"/>
      <c r="K1015" s="3"/>
      <c r="L1015" s="3"/>
      <c r="M1015" s="3"/>
      <c r="N1015" s="3"/>
      <c r="O1015" s="3"/>
      <c r="P1015" s="3"/>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c r="AV1015" s="3"/>
      <c r="AW1015" s="3"/>
      <c r="AX1015" s="3"/>
      <c r="AY1015" s="3"/>
      <c r="AZ1015" s="3"/>
      <c r="BA1015" s="3"/>
      <c r="BB1015" s="3"/>
      <c r="BC1015" s="3"/>
    </row>
    <row r="1016" spans="1:55" x14ac:dyDescent="0.25">
      <c r="A1016" s="1" t="str">
        <f>'Population Definitions'!$A$8</f>
        <v>18-64_males</v>
      </c>
      <c r="C1016" t="s">
        <v>32</v>
      </c>
      <c r="D1016" s="3"/>
      <c r="E1016" s="3">
        <v>0</v>
      </c>
      <c r="F1016" s="3"/>
      <c r="G1016" s="3"/>
      <c r="H1016" s="3"/>
      <c r="I1016" s="3"/>
      <c r="J1016" s="3"/>
      <c r="K1016" s="3"/>
      <c r="L1016" s="3"/>
      <c r="M1016" s="3"/>
      <c r="N1016" s="3"/>
      <c r="O1016" s="3"/>
      <c r="P1016" s="3"/>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c r="AV1016" s="3"/>
      <c r="AW1016" s="3"/>
      <c r="AX1016" s="3"/>
      <c r="AY1016" s="3"/>
      <c r="AZ1016" s="3"/>
      <c r="BA1016" s="3"/>
      <c r="BB1016" s="3"/>
      <c r="BC1016" s="3"/>
    </row>
    <row r="1017" spans="1:55" x14ac:dyDescent="0.25">
      <c r="A1017" s="1" t="str">
        <f>'Population Definitions'!$A$9</f>
        <v>18-64_females</v>
      </c>
      <c r="C1017" t="s">
        <v>32</v>
      </c>
      <c r="D1017" s="3"/>
      <c r="E1017" s="3">
        <v>0</v>
      </c>
      <c r="F1017" s="3"/>
      <c r="G1017" s="3"/>
      <c r="H1017" s="3"/>
      <c r="I1017" s="3"/>
      <c r="J1017" s="3"/>
      <c r="K1017" s="3"/>
      <c r="L1017" s="3"/>
      <c r="M1017" s="3"/>
      <c r="N1017" s="3"/>
      <c r="O1017" s="3"/>
      <c r="P1017" s="3"/>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c r="AV1017" s="3"/>
      <c r="AW1017" s="3"/>
      <c r="AX1017" s="3"/>
      <c r="AY1017" s="3"/>
      <c r="AZ1017" s="3"/>
      <c r="BA1017" s="3"/>
      <c r="BB1017" s="3"/>
      <c r="BC1017" s="3"/>
    </row>
    <row r="1018" spans="1:55" x14ac:dyDescent="0.25">
      <c r="A1018" s="1" t="str">
        <f>'Population Definitions'!$A$10</f>
        <v>65+_males</v>
      </c>
      <c r="C1018" t="s">
        <v>32</v>
      </c>
      <c r="D1018" s="3"/>
      <c r="E1018" s="3">
        <v>0</v>
      </c>
      <c r="F1018" s="3"/>
      <c r="G1018" s="3"/>
      <c r="H1018" s="3"/>
      <c r="I1018" s="3"/>
      <c r="J1018" s="3"/>
      <c r="K1018" s="3"/>
      <c r="L1018" s="3"/>
      <c r="M1018" s="3"/>
      <c r="N1018" s="3"/>
      <c r="O1018" s="3"/>
      <c r="P1018" s="3"/>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c r="AV1018" s="3"/>
      <c r="AW1018" s="3"/>
      <c r="AX1018" s="3"/>
      <c r="AY1018" s="3"/>
      <c r="AZ1018" s="3"/>
      <c r="BA1018" s="3"/>
      <c r="BB1018" s="3"/>
      <c r="BC1018" s="3"/>
    </row>
    <row r="1019" spans="1:55" x14ac:dyDescent="0.25">
      <c r="A1019" s="1" t="str">
        <f>'Population Definitions'!$A$11</f>
        <v>65+_females</v>
      </c>
      <c r="C1019" t="s">
        <v>32</v>
      </c>
      <c r="D1019" s="3"/>
      <c r="E1019" s="3">
        <v>0</v>
      </c>
      <c r="F1019" s="3"/>
      <c r="G1019" s="3"/>
      <c r="H1019" s="3"/>
      <c r="I1019" s="3"/>
      <c r="J1019" s="3"/>
      <c r="K1019" s="3"/>
      <c r="L1019" s="3"/>
      <c r="M1019" s="3"/>
      <c r="N1019" s="3"/>
      <c r="O1019" s="3"/>
      <c r="P1019" s="3"/>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c r="AV1019" s="3"/>
      <c r="AW1019" s="3"/>
      <c r="AX1019" s="3"/>
      <c r="AY1019" s="3"/>
      <c r="AZ1019" s="3"/>
      <c r="BA1019" s="3"/>
      <c r="BB1019" s="3"/>
      <c r="BC1019" s="3"/>
    </row>
    <row r="1020" spans="1:55" x14ac:dyDescent="0.25">
      <c r="A1020" s="1" t="str">
        <f>'Population Definitions'!$A$12</f>
        <v>Prisoners_males</v>
      </c>
      <c r="C1020" t="s">
        <v>32</v>
      </c>
      <c r="D1020" s="3"/>
      <c r="E1020" s="3">
        <v>0</v>
      </c>
      <c r="F1020" s="3"/>
      <c r="G1020" s="3"/>
      <c r="H1020" s="3"/>
      <c r="I1020" s="3"/>
      <c r="J1020" s="3"/>
      <c r="K1020" s="3"/>
      <c r="L1020" s="3"/>
      <c r="M1020" s="3"/>
      <c r="N1020" s="3"/>
      <c r="O1020" s="3"/>
      <c r="P1020" s="3"/>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c r="AV1020" s="3"/>
      <c r="AW1020" s="3"/>
      <c r="AX1020" s="3"/>
      <c r="AY1020" s="3"/>
      <c r="AZ1020" s="3"/>
      <c r="BA1020" s="3"/>
      <c r="BB1020" s="3"/>
      <c r="BC1020" s="3"/>
    </row>
    <row r="1021" spans="1:55" x14ac:dyDescent="0.25">
      <c r="A1021" s="1" t="str">
        <f>'Population Definitions'!$A$13</f>
        <v>Prisoners_females</v>
      </c>
      <c r="C1021" t="s">
        <v>32</v>
      </c>
      <c r="D1021" s="3"/>
      <c r="E1021" s="3">
        <v>0</v>
      </c>
      <c r="F1021" s="3"/>
      <c r="G1021" s="3"/>
      <c r="H1021" s="3"/>
      <c r="I1021" s="3"/>
      <c r="J1021" s="3"/>
      <c r="K1021" s="3"/>
      <c r="L1021" s="3"/>
      <c r="M1021" s="3"/>
      <c r="N1021" s="3"/>
      <c r="O1021" s="3"/>
      <c r="P1021" s="3"/>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c r="AV1021" s="3"/>
      <c r="AW1021" s="3"/>
      <c r="AX1021" s="3"/>
      <c r="AY1021" s="3"/>
      <c r="AZ1021" s="3"/>
      <c r="BA1021" s="3"/>
      <c r="BB1021" s="3"/>
      <c r="BC1021" s="3"/>
    </row>
    <row r="1023" spans="1:55" x14ac:dyDescent="0.25">
      <c r="A1023" s="1" t="s">
        <v>199</v>
      </c>
      <c r="B1023" s="1" t="s">
        <v>29</v>
      </c>
      <c r="C1023" s="1" t="s">
        <v>30</v>
      </c>
      <c r="D1023" s="1" t="s">
        <v>31</v>
      </c>
      <c r="E1023" s="1">
        <v>2000</v>
      </c>
      <c r="F1023" s="1">
        <v>2001</v>
      </c>
      <c r="G1023" s="1">
        <v>2002</v>
      </c>
      <c r="H1023" s="1">
        <v>2003</v>
      </c>
      <c r="I1023" s="1">
        <v>2004</v>
      </c>
      <c r="J1023" s="1">
        <v>2005</v>
      </c>
      <c r="K1023" s="1">
        <v>2006</v>
      </c>
      <c r="L1023" s="1">
        <v>2007</v>
      </c>
      <c r="M1023" s="1">
        <v>2008</v>
      </c>
      <c r="N1023" s="1">
        <v>2009</v>
      </c>
      <c r="O1023" s="1">
        <v>2010</v>
      </c>
      <c r="P1023" s="1">
        <v>2011</v>
      </c>
      <c r="Q1023" s="1">
        <v>2012</v>
      </c>
      <c r="R1023" s="1">
        <v>2013</v>
      </c>
      <c r="S1023" s="1">
        <v>2014</v>
      </c>
      <c r="T1023" s="1">
        <v>2015</v>
      </c>
      <c r="U1023" s="1">
        <v>2016</v>
      </c>
      <c r="V1023" s="1">
        <v>2017</v>
      </c>
      <c r="W1023" s="1">
        <v>2018</v>
      </c>
      <c r="X1023" s="1">
        <v>2019</v>
      </c>
      <c r="Y1023" s="1">
        <v>2020</v>
      </c>
      <c r="Z1023" s="1">
        <v>2021</v>
      </c>
      <c r="AA1023" s="1">
        <v>2022</v>
      </c>
      <c r="AB1023" s="1">
        <v>2023</v>
      </c>
      <c r="AC1023" s="1">
        <v>2024</v>
      </c>
      <c r="AD1023" s="1">
        <v>2025</v>
      </c>
      <c r="AE1023" s="1">
        <v>2026</v>
      </c>
      <c r="AF1023" s="1">
        <v>2027</v>
      </c>
      <c r="AG1023" s="1">
        <v>2028</v>
      </c>
      <c r="AH1023" s="1">
        <v>2029</v>
      </c>
      <c r="AI1023" s="1">
        <v>2030</v>
      </c>
      <c r="AJ1023" s="1">
        <v>2031</v>
      </c>
      <c r="AK1023" s="1">
        <v>2032</v>
      </c>
      <c r="AL1023" s="1">
        <v>2033</v>
      </c>
      <c r="AM1023" s="1">
        <v>2034</v>
      </c>
      <c r="AN1023" s="1">
        <v>2035</v>
      </c>
      <c r="AO1023" s="1">
        <v>2036</v>
      </c>
      <c r="AP1023" s="1">
        <v>2037</v>
      </c>
      <c r="AQ1023" s="1">
        <v>2038</v>
      </c>
      <c r="AR1023" s="1">
        <v>2039</v>
      </c>
      <c r="AS1023" s="1">
        <v>2040</v>
      </c>
      <c r="AT1023" s="1">
        <v>2041</v>
      </c>
      <c r="AU1023" s="1">
        <v>2042</v>
      </c>
      <c r="AV1023" s="1">
        <v>2043</v>
      </c>
      <c r="AW1023" s="1">
        <v>2044</v>
      </c>
      <c r="AX1023" s="1">
        <v>2045</v>
      </c>
      <c r="AY1023" s="1">
        <v>2046</v>
      </c>
      <c r="AZ1023" s="1">
        <v>2047</v>
      </c>
      <c r="BA1023" s="1">
        <v>2048</v>
      </c>
      <c r="BB1023" s="1">
        <v>2049</v>
      </c>
      <c r="BC1023" s="1">
        <v>2050</v>
      </c>
    </row>
    <row r="1024" spans="1:55" x14ac:dyDescent="0.25">
      <c r="A1024" s="1" t="str">
        <f>'Population Definitions'!$A$2</f>
        <v>PWID_males</v>
      </c>
      <c r="C1024" t="s">
        <v>32</v>
      </c>
      <c r="D1024" s="3"/>
      <c r="E1024" s="3">
        <v>0</v>
      </c>
      <c r="F1024" s="3"/>
      <c r="G1024" s="3"/>
      <c r="H1024" s="3"/>
      <c r="I1024" s="3"/>
      <c r="J1024" s="3"/>
      <c r="K1024" s="3"/>
      <c r="L1024" s="3"/>
      <c r="M1024" s="3"/>
      <c r="N1024" s="3"/>
      <c r="O1024" s="3"/>
      <c r="P1024" s="3"/>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c r="AV1024" s="3"/>
      <c r="AW1024" s="3"/>
      <c r="AX1024" s="3"/>
      <c r="AY1024" s="3"/>
      <c r="AZ1024" s="3"/>
      <c r="BA1024" s="3"/>
      <c r="BB1024" s="3"/>
      <c r="BC1024" s="3"/>
    </row>
    <row r="1025" spans="1:55" x14ac:dyDescent="0.25">
      <c r="A1025" s="1" t="str">
        <f>'Population Definitions'!$A$3</f>
        <v>PWID_females</v>
      </c>
      <c r="C1025" t="s">
        <v>32</v>
      </c>
      <c r="D1025" s="3"/>
      <c r="E1025" s="3">
        <v>0</v>
      </c>
      <c r="F1025" s="3"/>
      <c r="G1025" s="3"/>
      <c r="H1025" s="3"/>
      <c r="I1025" s="3"/>
      <c r="J1025" s="3"/>
      <c r="K1025" s="3"/>
      <c r="L1025" s="3"/>
      <c r="M1025" s="3"/>
      <c r="N1025" s="3"/>
      <c r="O1025" s="3"/>
      <c r="P1025" s="3"/>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c r="AV1025" s="3"/>
      <c r="AW1025" s="3"/>
      <c r="AX1025" s="3"/>
      <c r="AY1025" s="3"/>
      <c r="AZ1025" s="3"/>
      <c r="BA1025" s="3"/>
      <c r="BB1025" s="3"/>
      <c r="BC1025" s="3"/>
    </row>
    <row r="1026" spans="1:55" x14ac:dyDescent="0.25">
      <c r="A1026" s="1" t="str">
        <f>'Population Definitions'!$A$4</f>
        <v>0-9_males</v>
      </c>
      <c r="C1026" t="s">
        <v>32</v>
      </c>
      <c r="D1026" s="3"/>
      <c r="E1026" s="3">
        <v>0</v>
      </c>
      <c r="F1026" s="3"/>
      <c r="G1026" s="3"/>
      <c r="H1026" s="3"/>
      <c r="I1026" s="3"/>
      <c r="J1026" s="3"/>
      <c r="K1026" s="3"/>
      <c r="L1026" s="3"/>
      <c r="M1026" s="3"/>
      <c r="N1026" s="3"/>
      <c r="O1026" s="3"/>
      <c r="P1026" s="3"/>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c r="AV1026" s="3"/>
      <c r="AW1026" s="3"/>
      <c r="AX1026" s="3"/>
      <c r="AY1026" s="3"/>
      <c r="AZ1026" s="3"/>
      <c r="BA1026" s="3"/>
      <c r="BB1026" s="3"/>
      <c r="BC1026" s="3"/>
    </row>
    <row r="1027" spans="1:55" x14ac:dyDescent="0.25">
      <c r="A1027" s="1" t="str">
        <f>'Population Definitions'!$A$5</f>
        <v>0-9_females</v>
      </c>
      <c r="C1027" t="s">
        <v>32</v>
      </c>
      <c r="D1027" s="3"/>
      <c r="E1027" s="3">
        <v>0</v>
      </c>
      <c r="F1027" s="3"/>
      <c r="G1027" s="3"/>
      <c r="H1027" s="3"/>
      <c r="I1027" s="3"/>
      <c r="J1027" s="3"/>
      <c r="K1027" s="3"/>
      <c r="L1027" s="3"/>
      <c r="M1027" s="3"/>
      <c r="N1027" s="3"/>
      <c r="O1027" s="3"/>
      <c r="P1027" s="3"/>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c r="AV1027" s="3"/>
      <c r="AW1027" s="3"/>
      <c r="AX1027" s="3"/>
      <c r="AY1027" s="3"/>
      <c r="AZ1027" s="3"/>
      <c r="BA1027" s="3"/>
      <c r="BB1027" s="3"/>
      <c r="BC1027" s="3"/>
    </row>
    <row r="1028" spans="1:55" x14ac:dyDescent="0.25">
      <c r="A1028" s="1" t="str">
        <f>'Population Definitions'!$A$6</f>
        <v>10-17_males</v>
      </c>
      <c r="C1028" t="s">
        <v>32</v>
      </c>
      <c r="D1028" s="3"/>
      <c r="E1028" s="3">
        <v>0</v>
      </c>
      <c r="F1028" s="3"/>
      <c r="G1028" s="3"/>
      <c r="H1028" s="3"/>
      <c r="I1028" s="3"/>
      <c r="J1028" s="3"/>
      <c r="K1028" s="3"/>
      <c r="L1028" s="3"/>
      <c r="M1028" s="3"/>
      <c r="N1028" s="3"/>
      <c r="O1028" s="3"/>
      <c r="P1028" s="3"/>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c r="AV1028" s="3"/>
      <c r="AW1028" s="3"/>
      <c r="AX1028" s="3"/>
      <c r="AY1028" s="3"/>
      <c r="AZ1028" s="3"/>
      <c r="BA1028" s="3"/>
      <c r="BB1028" s="3"/>
      <c r="BC1028" s="3"/>
    </row>
    <row r="1029" spans="1:55" x14ac:dyDescent="0.25">
      <c r="A1029" s="1" t="str">
        <f>'Population Definitions'!$A$7</f>
        <v>10-17_females</v>
      </c>
      <c r="C1029" t="s">
        <v>32</v>
      </c>
      <c r="D1029" s="3"/>
      <c r="E1029" s="3">
        <v>0</v>
      </c>
      <c r="F1029" s="3"/>
      <c r="G1029" s="3"/>
      <c r="H1029" s="3"/>
      <c r="I1029" s="3"/>
      <c r="J1029" s="3"/>
      <c r="K1029" s="3"/>
      <c r="L1029" s="3"/>
      <c r="M1029" s="3"/>
      <c r="N1029" s="3"/>
      <c r="O1029" s="3"/>
      <c r="P1029" s="3"/>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c r="AV1029" s="3"/>
      <c r="AW1029" s="3"/>
      <c r="AX1029" s="3"/>
      <c r="AY1029" s="3"/>
      <c r="AZ1029" s="3"/>
      <c r="BA1029" s="3"/>
      <c r="BB1029" s="3"/>
      <c r="BC1029" s="3"/>
    </row>
    <row r="1030" spans="1:55" x14ac:dyDescent="0.25">
      <c r="A1030" s="1" t="str">
        <f>'Population Definitions'!$A$8</f>
        <v>18-64_males</v>
      </c>
      <c r="C1030" t="s">
        <v>32</v>
      </c>
      <c r="D1030" s="3"/>
      <c r="E1030" s="3">
        <v>0</v>
      </c>
      <c r="F1030" s="3"/>
      <c r="G1030" s="3"/>
      <c r="H1030" s="3"/>
      <c r="I1030" s="3"/>
      <c r="J1030" s="3"/>
      <c r="K1030" s="3"/>
      <c r="L1030" s="3"/>
      <c r="M1030" s="3"/>
      <c r="N1030" s="3"/>
      <c r="O1030" s="3"/>
      <c r="P1030" s="3"/>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c r="AV1030" s="3"/>
      <c r="AW1030" s="3"/>
      <c r="AX1030" s="3"/>
      <c r="AY1030" s="3"/>
      <c r="AZ1030" s="3"/>
      <c r="BA1030" s="3"/>
      <c r="BB1030" s="3"/>
      <c r="BC1030" s="3"/>
    </row>
    <row r="1031" spans="1:55" x14ac:dyDescent="0.25">
      <c r="A1031" s="1" t="str">
        <f>'Population Definitions'!$A$9</f>
        <v>18-64_females</v>
      </c>
      <c r="C1031" t="s">
        <v>32</v>
      </c>
      <c r="D1031" s="3"/>
      <c r="E1031" s="3">
        <v>0</v>
      </c>
      <c r="F1031" s="3"/>
      <c r="G1031" s="3"/>
      <c r="H1031" s="3"/>
      <c r="I1031" s="3"/>
      <c r="J1031" s="3"/>
      <c r="K1031" s="3"/>
      <c r="L1031" s="3"/>
      <c r="M1031" s="3"/>
      <c r="N1031" s="3"/>
      <c r="O1031" s="3"/>
      <c r="P1031" s="3"/>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c r="AV1031" s="3"/>
      <c r="AW1031" s="3"/>
      <c r="AX1031" s="3"/>
      <c r="AY1031" s="3"/>
      <c r="AZ1031" s="3"/>
      <c r="BA1031" s="3"/>
      <c r="BB1031" s="3"/>
      <c r="BC1031" s="3"/>
    </row>
    <row r="1032" spans="1:55" x14ac:dyDescent="0.25">
      <c r="A1032" s="1" t="str">
        <f>'Population Definitions'!$A$10</f>
        <v>65+_males</v>
      </c>
      <c r="C1032" t="s">
        <v>32</v>
      </c>
      <c r="D1032" s="3"/>
      <c r="E1032" s="3">
        <v>0</v>
      </c>
      <c r="F1032" s="3"/>
      <c r="G1032" s="3"/>
      <c r="H1032" s="3"/>
      <c r="I1032" s="3"/>
      <c r="J1032" s="3"/>
      <c r="K1032" s="3"/>
      <c r="L1032" s="3"/>
      <c r="M1032" s="3"/>
      <c r="N1032" s="3"/>
      <c r="O1032" s="3"/>
      <c r="P1032" s="3"/>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c r="AV1032" s="3"/>
      <c r="AW1032" s="3"/>
      <c r="AX1032" s="3"/>
      <c r="AY1032" s="3"/>
      <c r="AZ1032" s="3"/>
      <c r="BA1032" s="3"/>
      <c r="BB1032" s="3"/>
      <c r="BC1032" s="3"/>
    </row>
    <row r="1033" spans="1:55" x14ac:dyDescent="0.25">
      <c r="A1033" s="1" t="str">
        <f>'Population Definitions'!$A$11</f>
        <v>65+_females</v>
      </c>
      <c r="C1033" t="s">
        <v>32</v>
      </c>
      <c r="D1033" s="3"/>
      <c r="E1033" s="3">
        <v>0</v>
      </c>
      <c r="F1033" s="3"/>
      <c r="G1033" s="3"/>
      <c r="H1033" s="3"/>
      <c r="I1033" s="3"/>
      <c r="J1033" s="3"/>
      <c r="K1033" s="3"/>
      <c r="L1033" s="3"/>
      <c r="M1033" s="3"/>
      <c r="N1033" s="3"/>
      <c r="O1033" s="3"/>
      <c r="P1033" s="3"/>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c r="AV1033" s="3"/>
      <c r="AW1033" s="3"/>
      <c r="AX1033" s="3"/>
      <c r="AY1033" s="3"/>
      <c r="AZ1033" s="3"/>
      <c r="BA1033" s="3"/>
      <c r="BB1033" s="3"/>
      <c r="BC1033" s="3"/>
    </row>
    <row r="1034" spans="1:55" x14ac:dyDescent="0.25">
      <c r="A1034" s="1" t="str">
        <f>'Population Definitions'!$A$12</f>
        <v>Prisoners_males</v>
      </c>
      <c r="C1034" t="s">
        <v>32</v>
      </c>
      <c r="D1034" s="3"/>
      <c r="E1034" s="3">
        <v>0</v>
      </c>
      <c r="F1034" s="3"/>
      <c r="G1034" s="3"/>
      <c r="H1034" s="3"/>
      <c r="I1034" s="3"/>
      <c r="J1034" s="3"/>
      <c r="K1034" s="3"/>
      <c r="L1034" s="3"/>
      <c r="M1034" s="3"/>
      <c r="N1034" s="3"/>
      <c r="O1034" s="3"/>
      <c r="P1034" s="3"/>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c r="AV1034" s="3"/>
      <c r="AW1034" s="3"/>
      <c r="AX1034" s="3"/>
      <c r="AY1034" s="3"/>
      <c r="AZ1034" s="3"/>
      <c r="BA1034" s="3"/>
      <c r="BB1034" s="3"/>
      <c r="BC1034" s="3"/>
    </row>
    <row r="1035" spans="1:55" x14ac:dyDescent="0.25">
      <c r="A1035" s="1" t="str">
        <f>'Population Definitions'!$A$13</f>
        <v>Prisoners_females</v>
      </c>
      <c r="C1035" t="s">
        <v>32</v>
      </c>
      <c r="D1035" s="3"/>
      <c r="E1035" s="3">
        <v>0</v>
      </c>
      <c r="F1035" s="3"/>
      <c r="G1035" s="3"/>
      <c r="H1035" s="3"/>
      <c r="I1035" s="3"/>
      <c r="J1035" s="3"/>
      <c r="K1035" s="3"/>
      <c r="L1035" s="3"/>
      <c r="M1035" s="3"/>
      <c r="N1035" s="3"/>
      <c r="O1035" s="3"/>
      <c r="P1035" s="3"/>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c r="AV1035" s="3"/>
      <c r="AW1035" s="3"/>
      <c r="AX1035" s="3"/>
      <c r="AY1035" s="3"/>
      <c r="AZ1035" s="3"/>
      <c r="BA1035" s="3"/>
      <c r="BB1035" s="3"/>
      <c r="BC1035" s="3"/>
    </row>
    <row r="1037" spans="1:55" x14ac:dyDescent="0.25">
      <c r="A1037" s="1" t="s">
        <v>200</v>
      </c>
      <c r="B1037" s="1" t="s">
        <v>29</v>
      </c>
      <c r="C1037" s="1" t="s">
        <v>30</v>
      </c>
      <c r="D1037" s="1" t="s">
        <v>31</v>
      </c>
      <c r="E1037" s="1">
        <v>2000</v>
      </c>
      <c r="F1037" s="1">
        <v>2001</v>
      </c>
      <c r="G1037" s="1">
        <v>2002</v>
      </c>
      <c r="H1037" s="1">
        <v>2003</v>
      </c>
      <c r="I1037" s="1">
        <v>2004</v>
      </c>
      <c r="J1037" s="1">
        <v>2005</v>
      </c>
      <c r="K1037" s="1">
        <v>2006</v>
      </c>
      <c r="L1037" s="1">
        <v>2007</v>
      </c>
      <c r="M1037" s="1">
        <v>2008</v>
      </c>
      <c r="N1037" s="1">
        <v>2009</v>
      </c>
      <c r="O1037" s="1">
        <v>2010</v>
      </c>
      <c r="P1037" s="1">
        <v>2011</v>
      </c>
      <c r="Q1037" s="1">
        <v>2012</v>
      </c>
      <c r="R1037" s="1">
        <v>2013</v>
      </c>
      <c r="S1037" s="1">
        <v>2014</v>
      </c>
      <c r="T1037" s="1">
        <v>2015</v>
      </c>
      <c r="U1037" s="1">
        <v>2016</v>
      </c>
      <c r="V1037" s="1">
        <v>2017</v>
      </c>
      <c r="W1037" s="1">
        <v>2018</v>
      </c>
      <c r="X1037" s="1">
        <v>2019</v>
      </c>
      <c r="Y1037" s="1">
        <v>2020</v>
      </c>
      <c r="Z1037" s="1">
        <v>2021</v>
      </c>
      <c r="AA1037" s="1">
        <v>2022</v>
      </c>
      <c r="AB1037" s="1">
        <v>2023</v>
      </c>
      <c r="AC1037" s="1">
        <v>2024</v>
      </c>
      <c r="AD1037" s="1">
        <v>2025</v>
      </c>
      <c r="AE1037" s="1">
        <v>2026</v>
      </c>
      <c r="AF1037" s="1">
        <v>2027</v>
      </c>
      <c r="AG1037" s="1">
        <v>2028</v>
      </c>
      <c r="AH1037" s="1">
        <v>2029</v>
      </c>
      <c r="AI1037" s="1">
        <v>2030</v>
      </c>
      <c r="AJ1037" s="1">
        <v>2031</v>
      </c>
      <c r="AK1037" s="1">
        <v>2032</v>
      </c>
      <c r="AL1037" s="1">
        <v>2033</v>
      </c>
      <c r="AM1037" s="1">
        <v>2034</v>
      </c>
      <c r="AN1037" s="1">
        <v>2035</v>
      </c>
      <c r="AO1037" s="1">
        <v>2036</v>
      </c>
      <c r="AP1037" s="1">
        <v>2037</v>
      </c>
      <c r="AQ1037" s="1">
        <v>2038</v>
      </c>
      <c r="AR1037" s="1">
        <v>2039</v>
      </c>
      <c r="AS1037" s="1">
        <v>2040</v>
      </c>
      <c r="AT1037" s="1">
        <v>2041</v>
      </c>
      <c r="AU1037" s="1">
        <v>2042</v>
      </c>
      <c r="AV1037" s="1">
        <v>2043</v>
      </c>
      <c r="AW1037" s="1">
        <v>2044</v>
      </c>
      <c r="AX1037" s="1">
        <v>2045</v>
      </c>
      <c r="AY1037" s="1">
        <v>2046</v>
      </c>
      <c r="AZ1037" s="1">
        <v>2047</v>
      </c>
      <c r="BA1037" s="1">
        <v>2048</v>
      </c>
      <c r="BB1037" s="1">
        <v>2049</v>
      </c>
      <c r="BC1037" s="1">
        <v>2050</v>
      </c>
    </row>
    <row r="1038" spans="1:55" x14ac:dyDescent="0.25">
      <c r="A1038" s="1" t="str">
        <f>'Population Definitions'!$A$2</f>
        <v>PWID_males</v>
      </c>
      <c r="C1038" t="s">
        <v>32</v>
      </c>
      <c r="D1038" s="3"/>
      <c r="E1038" s="3">
        <v>0</v>
      </c>
      <c r="F1038" s="3"/>
      <c r="G1038" s="3"/>
      <c r="H1038" s="3"/>
      <c r="I1038" s="3"/>
      <c r="J1038" s="3"/>
      <c r="K1038" s="3"/>
      <c r="L1038" s="3"/>
      <c r="M1038" s="3"/>
      <c r="N1038" s="3"/>
      <c r="O1038" s="3"/>
      <c r="P1038" s="3"/>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c r="AV1038" s="3"/>
      <c r="AW1038" s="3"/>
      <c r="AX1038" s="3"/>
      <c r="AY1038" s="3"/>
      <c r="AZ1038" s="3"/>
      <c r="BA1038" s="3"/>
      <c r="BB1038" s="3"/>
      <c r="BC1038" s="3"/>
    </row>
    <row r="1039" spans="1:55" x14ac:dyDescent="0.25">
      <c r="A1039" s="1" t="str">
        <f>'Population Definitions'!$A$3</f>
        <v>PWID_females</v>
      </c>
      <c r="C1039" t="s">
        <v>32</v>
      </c>
      <c r="D1039" s="3"/>
      <c r="E1039" s="3">
        <v>0</v>
      </c>
      <c r="F1039" s="3"/>
      <c r="G1039" s="3"/>
      <c r="H1039" s="3"/>
      <c r="I1039" s="3"/>
      <c r="J1039" s="3"/>
      <c r="K1039" s="3"/>
      <c r="L1039" s="3"/>
      <c r="M1039" s="3"/>
      <c r="N1039" s="3"/>
      <c r="O1039" s="3"/>
      <c r="P1039" s="3"/>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c r="AV1039" s="3"/>
      <c r="AW1039" s="3"/>
      <c r="AX1039" s="3"/>
      <c r="AY1039" s="3"/>
      <c r="AZ1039" s="3"/>
      <c r="BA1039" s="3"/>
      <c r="BB1039" s="3"/>
      <c r="BC1039" s="3"/>
    </row>
    <row r="1040" spans="1:55" x14ac:dyDescent="0.25">
      <c r="A1040" s="1" t="str">
        <f>'Population Definitions'!$A$4</f>
        <v>0-9_males</v>
      </c>
      <c r="C1040" t="s">
        <v>32</v>
      </c>
      <c r="D1040" s="3"/>
      <c r="E1040" s="3">
        <v>0</v>
      </c>
      <c r="F1040" s="3"/>
      <c r="G1040" s="3"/>
      <c r="H1040" s="3"/>
      <c r="I1040" s="3"/>
      <c r="J1040" s="3"/>
      <c r="K1040" s="3"/>
      <c r="L1040" s="3"/>
      <c r="M1040" s="3"/>
      <c r="N1040" s="3"/>
      <c r="O1040" s="3"/>
      <c r="P1040" s="3"/>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c r="AV1040" s="3"/>
      <c r="AW1040" s="3"/>
      <c r="AX1040" s="3"/>
      <c r="AY1040" s="3"/>
      <c r="AZ1040" s="3"/>
      <c r="BA1040" s="3"/>
      <c r="BB1040" s="3"/>
      <c r="BC1040" s="3"/>
    </row>
    <row r="1041" spans="1:55" x14ac:dyDescent="0.25">
      <c r="A1041" s="1" t="str">
        <f>'Population Definitions'!$A$5</f>
        <v>0-9_females</v>
      </c>
      <c r="C1041" t="s">
        <v>32</v>
      </c>
      <c r="D1041" s="3"/>
      <c r="E1041" s="3">
        <v>0</v>
      </c>
      <c r="F1041" s="3"/>
      <c r="G1041" s="3"/>
      <c r="H1041" s="3"/>
      <c r="I1041" s="3"/>
      <c r="J1041" s="3"/>
      <c r="K1041" s="3"/>
      <c r="L1041" s="3"/>
      <c r="M1041" s="3"/>
      <c r="N1041" s="3"/>
      <c r="O1041" s="3"/>
      <c r="P1041" s="3"/>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c r="AV1041" s="3"/>
      <c r="AW1041" s="3"/>
      <c r="AX1041" s="3"/>
      <c r="AY1041" s="3"/>
      <c r="AZ1041" s="3"/>
      <c r="BA1041" s="3"/>
      <c r="BB1041" s="3"/>
      <c r="BC1041" s="3"/>
    </row>
    <row r="1042" spans="1:55" x14ac:dyDescent="0.25">
      <c r="A1042" s="1" t="str">
        <f>'Population Definitions'!$A$6</f>
        <v>10-17_males</v>
      </c>
      <c r="C1042" t="s">
        <v>32</v>
      </c>
      <c r="D1042" s="3"/>
      <c r="E1042" s="3">
        <v>0</v>
      </c>
      <c r="F1042" s="3"/>
      <c r="G1042" s="3"/>
      <c r="H1042" s="3"/>
      <c r="I1042" s="3"/>
      <c r="J1042" s="3"/>
      <c r="K1042" s="3"/>
      <c r="L1042" s="3"/>
      <c r="M1042" s="3"/>
      <c r="N1042" s="3"/>
      <c r="O1042" s="3"/>
      <c r="P1042" s="3"/>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c r="AV1042" s="3"/>
      <c r="AW1042" s="3"/>
      <c r="AX1042" s="3"/>
      <c r="AY1042" s="3"/>
      <c r="AZ1042" s="3"/>
      <c r="BA1042" s="3"/>
      <c r="BB1042" s="3"/>
      <c r="BC1042" s="3"/>
    </row>
    <row r="1043" spans="1:55" x14ac:dyDescent="0.25">
      <c r="A1043" s="1" t="str">
        <f>'Population Definitions'!$A$7</f>
        <v>10-17_females</v>
      </c>
      <c r="C1043" t="s">
        <v>32</v>
      </c>
      <c r="D1043" s="3"/>
      <c r="E1043" s="3">
        <v>0</v>
      </c>
      <c r="F1043" s="3"/>
      <c r="G1043" s="3"/>
      <c r="H1043" s="3"/>
      <c r="I1043" s="3"/>
      <c r="J1043" s="3"/>
      <c r="K1043" s="3"/>
      <c r="L1043" s="3"/>
      <c r="M1043" s="3"/>
      <c r="N1043" s="3"/>
      <c r="O1043" s="3"/>
      <c r="P1043" s="3"/>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c r="AV1043" s="3"/>
      <c r="AW1043" s="3"/>
      <c r="AX1043" s="3"/>
      <c r="AY1043" s="3"/>
      <c r="AZ1043" s="3"/>
      <c r="BA1043" s="3"/>
      <c r="BB1043" s="3"/>
      <c r="BC1043" s="3"/>
    </row>
    <row r="1044" spans="1:55" x14ac:dyDescent="0.25">
      <c r="A1044" s="1" t="str">
        <f>'Population Definitions'!$A$8</f>
        <v>18-64_males</v>
      </c>
      <c r="C1044" t="s">
        <v>32</v>
      </c>
      <c r="D1044" s="3"/>
      <c r="E1044" s="3">
        <v>0</v>
      </c>
      <c r="F1044" s="3"/>
      <c r="G1044" s="3"/>
      <c r="H1044" s="3"/>
      <c r="I1044" s="3"/>
      <c r="J1044" s="3"/>
      <c r="K1044" s="3"/>
      <c r="L1044" s="3"/>
      <c r="M1044" s="3"/>
      <c r="N1044" s="3"/>
      <c r="O1044" s="3"/>
      <c r="P1044" s="3"/>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c r="AV1044" s="3"/>
      <c r="AW1044" s="3"/>
      <c r="AX1044" s="3"/>
      <c r="AY1044" s="3"/>
      <c r="AZ1044" s="3"/>
      <c r="BA1044" s="3"/>
      <c r="BB1044" s="3"/>
      <c r="BC1044" s="3"/>
    </row>
    <row r="1045" spans="1:55" x14ac:dyDescent="0.25">
      <c r="A1045" s="1" t="str">
        <f>'Population Definitions'!$A$9</f>
        <v>18-64_females</v>
      </c>
      <c r="C1045" t="s">
        <v>32</v>
      </c>
      <c r="D1045" s="3"/>
      <c r="E1045" s="3">
        <v>0</v>
      </c>
      <c r="F1045" s="3"/>
      <c r="G1045" s="3"/>
      <c r="H1045" s="3"/>
      <c r="I1045" s="3"/>
      <c r="J1045" s="3"/>
      <c r="K1045" s="3"/>
      <c r="L1045" s="3"/>
      <c r="M1045" s="3"/>
      <c r="N1045" s="3"/>
      <c r="O1045" s="3"/>
      <c r="P1045" s="3"/>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c r="AV1045" s="3"/>
      <c r="AW1045" s="3"/>
      <c r="AX1045" s="3"/>
      <c r="AY1045" s="3"/>
      <c r="AZ1045" s="3"/>
      <c r="BA1045" s="3"/>
      <c r="BB1045" s="3"/>
      <c r="BC1045" s="3"/>
    </row>
    <row r="1046" spans="1:55" x14ac:dyDescent="0.25">
      <c r="A1046" s="1" t="str">
        <f>'Population Definitions'!$A$10</f>
        <v>65+_males</v>
      </c>
      <c r="C1046" t="s">
        <v>32</v>
      </c>
      <c r="D1046" s="3"/>
      <c r="E1046" s="3">
        <v>0</v>
      </c>
      <c r="F1046" s="3"/>
      <c r="G1046" s="3"/>
      <c r="H1046" s="3"/>
      <c r="I1046" s="3"/>
      <c r="J1046" s="3"/>
      <c r="K1046" s="3"/>
      <c r="L1046" s="3"/>
      <c r="M1046" s="3"/>
      <c r="N1046" s="3"/>
      <c r="O1046" s="3"/>
      <c r="P1046" s="3"/>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c r="AV1046" s="3"/>
      <c r="AW1046" s="3"/>
      <c r="AX1046" s="3"/>
      <c r="AY1046" s="3"/>
      <c r="AZ1046" s="3"/>
      <c r="BA1046" s="3"/>
      <c r="BB1046" s="3"/>
      <c r="BC1046" s="3"/>
    </row>
    <row r="1047" spans="1:55" x14ac:dyDescent="0.25">
      <c r="A1047" s="1" t="str">
        <f>'Population Definitions'!$A$11</f>
        <v>65+_females</v>
      </c>
      <c r="C1047" t="s">
        <v>32</v>
      </c>
      <c r="D1047" s="3"/>
      <c r="E1047" s="3">
        <v>0</v>
      </c>
      <c r="F1047" s="3"/>
      <c r="G1047" s="3"/>
      <c r="H1047" s="3"/>
      <c r="I1047" s="3"/>
      <c r="J1047" s="3"/>
      <c r="K1047" s="3"/>
      <c r="L1047" s="3"/>
      <c r="M1047" s="3"/>
      <c r="N1047" s="3"/>
      <c r="O1047" s="3"/>
      <c r="P1047" s="3"/>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c r="AV1047" s="3"/>
      <c r="AW1047" s="3"/>
      <c r="AX1047" s="3"/>
      <c r="AY1047" s="3"/>
      <c r="AZ1047" s="3"/>
      <c r="BA1047" s="3"/>
      <c r="BB1047" s="3"/>
      <c r="BC1047" s="3"/>
    </row>
    <row r="1048" spans="1:55" x14ac:dyDescent="0.25">
      <c r="A1048" s="1" t="str">
        <f>'Population Definitions'!$A$12</f>
        <v>Prisoners_males</v>
      </c>
      <c r="C1048" t="s">
        <v>32</v>
      </c>
      <c r="D1048" s="3"/>
      <c r="E1048" s="3">
        <v>0</v>
      </c>
      <c r="F1048" s="3"/>
      <c r="G1048" s="3"/>
      <c r="H1048" s="3"/>
      <c r="I1048" s="3"/>
      <c r="J1048" s="3"/>
      <c r="K1048" s="3"/>
      <c r="L1048" s="3"/>
      <c r="M1048" s="3"/>
      <c r="N1048" s="3"/>
      <c r="O1048" s="3"/>
      <c r="P1048" s="3"/>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c r="AV1048" s="3"/>
      <c r="AW1048" s="3"/>
      <c r="AX1048" s="3"/>
      <c r="AY1048" s="3"/>
      <c r="AZ1048" s="3"/>
      <c r="BA1048" s="3"/>
      <c r="BB1048" s="3"/>
      <c r="BC1048" s="3"/>
    </row>
    <row r="1049" spans="1:55" x14ac:dyDescent="0.25">
      <c r="A1049" s="1" t="str">
        <f>'Population Definitions'!$A$13</f>
        <v>Prisoners_females</v>
      </c>
      <c r="C1049" t="s">
        <v>32</v>
      </c>
      <c r="D1049" s="3"/>
      <c r="E1049" s="3">
        <v>0</v>
      </c>
      <c r="F1049" s="3"/>
      <c r="G1049" s="3"/>
      <c r="H1049" s="3"/>
      <c r="I1049" s="3"/>
      <c r="J1049" s="3"/>
      <c r="K1049" s="3"/>
      <c r="L1049" s="3"/>
      <c r="M1049" s="3"/>
      <c r="N1049" s="3"/>
      <c r="O1049" s="3"/>
      <c r="P1049" s="3"/>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c r="AV1049" s="3"/>
      <c r="AW1049" s="3"/>
      <c r="AX1049" s="3"/>
      <c r="AY1049" s="3"/>
      <c r="AZ1049" s="3"/>
      <c r="BA1049" s="3"/>
      <c r="BB1049" s="3"/>
      <c r="BC1049" s="3"/>
    </row>
    <row r="1051" spans="1:55" x14ac:dyDescent="0.25">
      <c r="A1051" s="1" t="s">
        <v>201</v>
      </c>
      <c r="B1051" s="1" t="s">
        <v>29</v>
      </c>
      <c r="C1051" s="1" t="s">
        <v>30</v>
      </c>
      <c r="D1051" s="1" t="s">
        <v>31</v>
      </c>
      <c r="E1051" s="1">
        <v>2000</v>
      </c>
      <c r="F1051" s="1">
        <v>2001</v>
      </c>
      <c r="G1051" s="1">
        <v>2002</v>
      </c>
      <c r="H1051" s="1">
        <v>2003</v>
      </c>
      <c r="I1051" s="1">
        <v>2004</v>
      </c>
      <c r="J1051" s="1">
        <v>2005</v>
      </c>
      <c r="K1051" s="1">
        <v>2006</v>
      </c>
      <c r="L1051" s="1">
        <v>2007</v>
      </c>
      <c r="M1051" s="1">
        <v>2008</v>
      </c>
      <c r="N1051" s="1">
        <v>2009</v>
      </c>
      <c r="O1051" s="1">
        <v>2010</v>
      </c>
      <c r="P1051" s="1">
        <v>2011</v>
      </c>
      <c r="Q1051" s="1">
        <v>2012</v>
      </c>
      <c r="R1051" s="1">
        <v>2013</v>
      </c>
      <c r="S1051" s="1">
        <v>2014</v>
      </c>
      <c r="T1051" s="1">
        <v>2015</v>
      </c>
      <c r="U1051" s="1">
        <v>2016</v>
      </c>
      <c r="V1051" s="1">
        <v>2017</v>
      </c>
      <c r="W1051" s="1">
        <v>2018</v>
      </c>
      <c r="X1051" s="1">
        <v>2019</v>
      </c>
      <c r="Y1051" s="1">
        <v>2020</v>
      </c>
      <c r="Z1051" s="1">
        <v>2021</v>
      </c>
      <c r="AA1051" s="1">
        <v>2022</v>
      </c>
      <c r="AB1051" s="1">
        <v>2023</v>
      </c>
      <c r="AC1051" s="1">
        <v>2024</v>
      </c>
      <c r="AD1051" s="1">
        <v>2025</v>
      </c>
      <c r="AE1051" s="1">
        <v>2026</v>
      </c>
      <c r="AF1051" s="1">
        <v>2027</v>
      </c>
      <c r="AG1051" s="1">
        <v>2028</v>
      </c>
      <c r="AH1051" s="1">
        <v>2029</v>
      </c>
      <c r="AI1051" s="1">
        <v>2030</v>
      </c>
      <c r="AJ1051" s="1">
        <v>2031</v>
      </c>
      <c r="AK1051" s="1">
        <v>2032</v>
      </c>
      <c r="AL1051" s="1">
        <v>2033</v>
      </c>
      <c r="AM1051" s="1">
        <v>2034</v>
      </c>
      <c r="AN1051" s="1">
        <v>2035</v>
      </c>
      <c r="AO1051" s="1">
        <v>2036</v>
      </c>
      <c r="AP1051" s="1">
        <v>2037</v>
      </c>
      <c r="AQ1051" s="1">
        <v>2038</v>
      </c>
      <c r="AR1051" s="1">
        <v>2039</v>
      </c>
      <c r="AS1051" s="1">
        <v>2040</v>
      </c>
      <c r="AT1051" s="1">
        <v>2041</v>
      </c>
      <c r="AU1051" s="1">
        <v>2042</v>
      </c>
      <c r="AV1051" s="1">
        <v>2043</v>
      </c>
      <c r="AW1051" s="1">
        <v>2044</v>
      </c>
      <c r="AX1051" s="1">
        <v>2045</v>
      </c>
      <c r="AY1051" s="1">
        <v>2046</v>
      </c>
      <c r="AZ1051" s="1">
        <v>2047</v>
      </c>
      <c r="BA1051" s="1">
        <v>2048</v>
      </c>
      <c r="BB1051" s="1">
        <v>2049</v>
      </c>
      <c r="BC1051" s="1">
        <v>2050</v>
      </c>
    </row>
    <row r="1052" spans="1:55" x14ac:dyDescent="0.25">
      <c r="A1052" s="1" t="str">
        <f>'Population Definitions'!$A$2</f>
        <v>PWID_males</v>
      </c>
      <c r="C1052" t="s">
        <v>32</v>
      </c>
      <c r="D1052" s="3"/>
      <c r="E1052" s="3">
        <v>0</v>
      </c>
      <c r="F1052" s="3"/>
      <c r="G1052" s="3"/>
      <c r="H1052" s="3"/>
      <c r="I1052" s="3"/>
      <c r="J1052" s="3"/>
      <c r="K1052" s="3"/>
      <c r="L1052" s="3"/>
      <c r="M1052" s="3"/>
      <c r="N1052" s="3"/>
      <c r="O1052" s="3"/>
      <c r="P1052" s="3"/>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c r="AV1052" s="3"/>
      <c r="AW1052" s="3"/>
      <c r="AX1052" s="3"/>
      <c r="AY1052" s="3"/>
      <c r="AZ1052" s="3"/>
      <c r="BA1052" s="3"/>
      <c r="BB1052" s="3"/>
      <c r="BC1052" s="3"/>
    </row>
    <row r="1053" spans="1:55" x14ac:dyDescent="0.25">
      <c r="A1053" s="1" t="str">
        <f>'Population Definitions'!$A$3</f>
        <v>PWID_females</v>
      </c>
      <c r="C1053" t="s">
        <v>32</v>
      </c>
      <c r="D1053" s="3"/>
      <c r="E1053" s="3">
        <v>0</v>
      </c>
      <c r="F1053" s="3"/>
      <c r="G1053" s="3"/>
      <c r="H1053" s="3"/>
      <c r="I1053" s="3"/>
      <c r="J1053" s="3"/>
      <c r="K1053" s="3"/>
      <c r="L1053" s="3"/>
      <c r="M1053" s="3"/>
      <c r="N1053" s="3"/>
      <c r="O1053" s="3"/>
      <c r="P1053" s="3"/>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c r="AV1053" s="3"/>
      <c r="AW1053" s="3"/>
      <c r="AX1053" s="3"/>
      <c r="AY1053" s="3"/>
      <c r="AZ1053" s="3"/>
      <c r="BA1053" s="3"/>
      <c r="BB1053" s="3"/>
      <c r="BC1053" s="3"/>
    </row>
    <row r="1054" spans="1:55" x14ac:dyDescent="0.25">
      <c r="A1054" s="1" t="str">
        <f>'Population Definitions'!$A$4</f>
        <v>0-9_males</v>
      </c>
      <c r="C1054" t="s">
        <v>32</v>
      </c>
      <c r="D1054" s="3"/>
      <c r="E1054" s="3">
        <v>0</v>
      </c>
      <c r="F1054" s="3"/>
      <c r="G1054" s="3"/>
      <c r="H1054" s="3"/>
      <c r="I1054" s="3"/>
      <c r="J1054" s="3"/>
      <c r="K1054" s="3"/>
      <c r="L1054" s="3"/>
      <c r="M1054" s="3"/>
      <c r="N1054" s="3"/>
      <c r="O1054" s="3"/>
      <c r="P1054" s="3"/>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c r="AV1054" s="3"/>
      <c r="AW1054" s="3"/>
      <c r="AX1054" s="3"/>
      <c r="AY1054" s="3"/>
      <c r="AZ1054" s="3"/>
      <c r="BA1054" s="3"/>
      <c r="BB1054" s="3"/>
      <c r="BC1054" s="3"/>
    </row>
    <row r="1055" spans="1:55" x14ac:dyDescent="0.25">
      <c r="A1055" s="1" t="str">
        <f>'Population Definitions'!$A$5</f>
        <v>0-9_females</v>
      </c>
      <c r="C1055" t="s">
        <v>32</v>
      </c>
      <c r="D1055" s="3"/>
      <c r="E1055" s="3">
        <v>0</v>
      </c>
      <c r="F1055" s="3"/>
      <c r="G1055" s="3"/>
      <c r="H1055" s="3"/>
      <c r="I1055" s="3"/>
      <c r="J1055" s="3"/>
      <c r="K1055" s="3"/>
      <c r="L1055" s="3"/>
      <c r="M1055" s="3"/>
      <c r="N1055" s="3"/>
      <c r="O1055" s="3"/>
      <c r="P1055" s="3"/>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c r="AV1055" s="3"/>
      <c r="AW1055" s="3"/>
      <c r="AX1055" s="3"/>
      <c r="AY1055" s="3"/>
      <c r="AZ1055" s="3"/>
      <c r="BA1055" s="3"/>
      <c r="BB1055" s="3"/>
      <c r="BC1055" s="3"/>
    </row>
    <row r="1056" spans="1:55" x14ac:dyDescent="0.25">
      <c r="A1056" s="1" t="str">
        <f>'Population Definitions'!$A$6</f>
        <v>10-17_males</v>
      </c>
      <c r="C1056" t="s">
        <v>32</v>
      </c>
      <c r="D1056" s="3"/>
      <c r="E1056" s="3">
        <v>0</v>
      </c>
      <c r="F1056" s="3"/>
      <c r="G1056" s="3"/>
      <c r="H1056" s="3"/>
      <c r="I1056" s="3"/>
      <c r="J1056" s="3"/>
      <c r="K1056" s="3"/>
      <c r="L1056" s="3"/>
      <c r="M1056" s="3"/>
      <c r="N1056" s="3"/>
      <c r="O1056" s="3"/>
      <c r="P1056" s="3"/>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c r="AV1056" s="3"/>
      <c r="AW1056" s="3"/>
      <c r="AX1056" s="3"/>
      <c r="AY1056" s="3"/>
      <c r="AZ1056" s="3"/>
      <c r="BA1056" s="3"/>
      <c r="BB1056" s="3"/>
      <c r="BC1056" s="3"/>
    </row>
    <row r="1057" spans="1:55" x14ac:dyDescent="0.25">
      <c r="A1057" s="1" t="str">
        <f>'Population Definitions'!$A$7</f>
        <v>10-17_females</v>
      </c>
      <c r="C1057" t="s">
        <v>32</v>
      </c>
      <c r="D1057" s="3"/>
      <c r="E1057" s="3">
        <v>0</v>
      </c>
      <c r="F1057" s="3"/>
      <c r="G1057" s="3"/>
      <c r="H1057" s="3"/>
      <c r="I1057" s="3"/>
      <c r="J1057" s="3"/>
      <c r="K1057" s="3"/>
      <c r="L1057" s="3"/>
      <c r="M1057" s="3"/>
      <c r="N1057" s="3"/>
      <c r="O1057" s="3"/>
      <c r="P1057" s="3"/>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c r="AV1057" s="3"/>
      <c r="AW1057" s="3"/>
      <c r="AX1057" s="3"/>
      <c r="AY1057" s="3"/>
      <c r="AZ1057" s="3"/>
      <c r="BA1057" s="3"/>
      <c r="BB1057" s="3"/>
      <c r="BC1057" s="3"/>
    </row>
    <row r="1058" spans="1:55" x14ac:dyDescent="0.25">
      <c r="A1058" s="1" t="str">
        <f>'Population Definitions'!$A$8</f>
        <v>18-64_males</v>
      </c>
      <c r="C1058" t="s">
        <v>32</v>
      </c>
      <c r="D1058" s="3"/>
      <c r="E1058" s="3">
        <v>0</v>
      </c>
      <c r="F1058" s="3"/>
      <c r="G1058" s="3"/>
      <c r="H1058" s="3"/>
      <c r="I1058" s="3"/>
      <c r="J1058" s="3"/>
      <c r="K1058" s="3"/>
      <c r="L1058" s="3"/>
      <c r="M1058" s="3"/>
      <c r="N1058" s="3"/>
      <c r="O1058" s="3"/>
      <c r="P1058" s="3"/>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c r="AV1058" s="3"/>
      <c r="AW1058" s="3"/>
      <c r="AX1058" s="3"/>
      <c r="AY1058" s="3"/>
      <c r="AZ1058" s="3"/>
      <c r="BA1058" s="3"/>
      <c r="BB1058" s="3"/>
      <c r="BC1058" s="3"/>
    </row>
    <row r="1059" spans="1:55" x14ac:dyDescent="0.25">
      <c r="A1059" s="1" t="str">
        <f>'Population Definitions'!$A$9</f>
        <v>18-64_females</v>
      </c>
      <c r="C1059" t="s">
        <v>32</v>
      </c>
      <c r="D1059" s="3"/>
      <c r="E1059" s="3">
        <v>0</v>
      </c>
      <c r="F1059" s="3"/>
      <c r="G1059" s="3"/>
      <c r="H1059" s="3"/>
      <c r="I1059" s="3"/>
      <c r="J1059" s="3"/>
      <c r="K1059" s="3"/>
      <c r="L1059" s="3"/>
      <c r="M1059" s="3"/>
      <c r="N1059" s="3"/>
      <c r="O1059" s="3"/>
      <c r="P1059" s="3"/>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c r="AV1059" s="3"/>
      <c r="AW1059" s="3"/>
      <c r="AX1059" s="3"/>
      <c r="AY1059" s="3"/>
      <c r="AZ1059" s="3"/>
      <c r="BA1059" s="3"/>
      <c r="BB1059" s="3"/>
      <c r="BC1059" s="3"/>
    </row>
    <row r="1060" spans="1:55" x14ac:dyDescent="0.25">
      <c r="A1060" s="1" t="str">
        <f>'Population Definitions'!$A$10</f>
        <v>65+_males</v>
      </c>
      <c r="C1060" t="s">
        <v>32</v>
      </c>
      <c r="D1060" s="3"/>
      <c r="E1060" s="3">
        <v>0</v>
      </c>
      <c r="F1060" s="3"/>
      <c r="G1060" s="3"/>
      <c r="H1060" s="3"/>
      <c r="I1060" s="3"/>
      <c r="J1060" s="3"/>
      <c r="K1060" s="3"/>
      <c r="L1060" s="3"/>
      <c r="M1060" s="3"/>
      <c r="N1060" s="3"/>
      <c r="O1060" s="3"/>
      <c r="P1060" s="3"/>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c r="AV1060" s="3"/>
      <c r="AW1060" s="3"/>
      <c r="AX1060" s="3"/>
      <c r="AY1060" s="3"/>
      <c r="AZ1060" s="3"/>
      <c r="BA1060" s="3"/>
      <c r="BB1060" s="3"/>
      <c r="BC1060" s="3"/>
    </row>
    <row r="1061" spans="1:55" x14ac:dyDescent="0.25">
      <c r="A1061" s="1" t="str">
        <f>'Population Definitions'!$A$11</f>
        <v>65+_females</v>
      </c>
      <c r="C1061" t="s">
        <v>32</v>
      </c>
      <c r="D1061" s="3"/>
      <c r="E1061" s="3">
        <v>0</v>
      </c>
      <c r="F1061" s="3"/>
      <c r="G1061" s="3"/>
      <c r="H1061" s="3"/>
      <c r="I1061" s="3"/>
      <c r="J1061" s="3"/>
      <c r="K1061" s="3"/>
      <c r="L1061" s="3"/>
      <c r="M1061" s="3"/>
      <c r="N1061" s="3"/>
      <c r="O1061" s="3"/>
      <c r="P1061" s="3"/>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c r="AV1061" s="3"/>
      <c r="AW1061" s="3"/>
      <c r="AX1061" s="3"/>
      <c r="AY1061" s="3"/>
      <c r="AZ1061" s="3"/>
      <c r="BA1061" s="3"/>
      <c r="BB1061" s="3"/>
      <c r="BC1061" s="3"/>
    </row>
    <row r="1062" spans="1:55" x14ac:dyDescent="0.25">
      <c r="A1062" s="1" t="str">
        <f>'Population Definitions'!$A$12</f>
        <v>Prisoners_males</v>
      </c>
      <c r="C1062" t="s">
        <v>32</v>
      </c>
      <c r="D1062" s="3"/>
      <c r="E1062" s="3">
        <v>0</v>
      </c>
      <c r="F1062" s="3"/>
      <c r="G1062" s="3"/>
      <c r="H1062" s="3"/>
      <c r="I1062" s="3"/>
      <c r="J1062" s="3"/>
      <c r="K1062" s="3"/>
      <c r="L1062" s="3"/>
      <c r="M1062" s="3"/>
      <c r="N1062" s="3"/>
      <c r="O1062" s="3"/>
      <c r="P1062" s="3"/>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c r="AV1062" s="3"/>
      <c r="AW1062" s="3"/>
      <c r="AX1062" s="3"/>
      <c r="AY1062" s="3"/>
      <c r="AZ1062" s="3"/>
      <c r="BA1062" s="3"/>
      <c r="BB1062" s="3"/>
      <c r="BC1062" s="3"/>
    </row>
    <row r="1063" spans="1:55" x14ac:dyDescent="0.25">
      <c r="A1063" s="1" t="str">
        <f>'Population Definitions'!$A$13</f>
        <v>Prisoners_females</v>
      </c>
      <c r="C1063" t="s">
        <v>32</v>
      </c>
      <c r="D1063" s="3"/>
      <c r="E1063" s="3">
        <v>0</v>
      </c>
      <c r="F1063" s="3"/>
      <c r="G1063" s="3"/>
      <c r="H1063" s="3"/>
      <c r="I1063" s="3"/>
      <c r="J1063" s="3"/>
      <c r="K1063" s="3"/>
      <c r="L1063" s="3"/>
      <c r="M1063" s="3"/>
      <c r="N1063" s="3"/>
      <c r="O1063" s="3"/>
      <c r="P1063" s="3"/>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c r="AV1063" s="3"/>
      <c r="AW1063" s="3"/>
      <c r="AX1063" s="3"/>
      <c r="AY1063" s="3"/>
      <c r="AZ1063" s="3"/>
      <c r="BA1063" s="3"/>
      <c r="BB1063" s="3"/>
      <c r="BC1063" s="3"/>
    </row>
    <row r="1065" spans="1:55" x14ac:dyDescent="0.25">
      <c r="A1065" s="1" t="s">
        <v>202</v>
      </c>
      <c r="B1065" s="1" t="s">
        <v>29</v>
      </c>
      <c r="C1065" s="1" t="s">
        <v>30</v>
      </c>
      <c r="D1065" s="1" t="s">
        <v>31</v>
      </c>
      <c r="E1065" s="1">
        <v>2000</v>
      </c>
      <c r="F1065" s="1">
        <v>2001</v>
      </c>
      <c r="G1065" s="1">
        <v>2002</v>
      </c>
      <c r="H1065" s="1">
        <v>2003</v>
      </c>
      <c r="I1065" s="1">
        <v>2004</v>
      </c>
      <c r="J1065" s="1">
        <v>2005</v>
      </c>
      <c r="K1065" s="1">
        <v>2006</v>
      </c>
      <c r="L1065" s="1">
        <v>2007</v>
      </c>
      <c r="M1065" s="1">
        <v>2008</v>
      </c>
      <c r="N1065" s="1">
        <v>2009</v>
      </c>
      <c r="O1065" s="1">
        <v>2010</v>
      </c>
      <c r="P1065" s="1">
        <v>2011</v>
      </c>
      <c r="Q1065" s="1">
        <v>2012</v>
      </c>
      <c r="R1065" s="1">
        <v>2013</v>
      </c>
      <c r="S1065" s="1">
        <v>2014</v>
      </c>
      <c r="T1065" s="1">
        <v>2015</v>
      </c>
      <c r="U1065" s="1">
        <v>2016</v>
      </c>
      <c r="V1065" s="1">
        <v>2017</v>
      </c>
      <c r="W1065" s="1">
        <v>2018</v>
      </c>
      <c r="X1065" s="1">
        <v>2019</v>
      </c>
      <c r="Y1065" s="1">
        <v>2020</v>
      </c>
      <c r="Z1065" s="1">
        <v>2021</v>
      </c>
      <c r="AA1065" s="1">
        <v>2022</v>
      </c>
      <c r="AB1065" s="1">
        <v>2023</v>
      </c>
      <c r="AC1065" s="1">
        <v>2024</v>
      </c>
      <c r="AD1065" s="1">
        <v>2025</v>
      </c>
      <c r="AE1065" s="1">
        <v>2026</v>
      </c>
      <c r="AF1065" s="1">
        <v>2027</v>
      </c>
      <c r="AG1065" s="1">
        <v>2028</v>
      </c>
      <c r="AH1065" s="1">
        <v>2029</v>
      </c>
      <c r="AI1065" s="1">
        <v>2030</v>
      </c>
      <c r="AJ1065" s="1">
        <v>2031</v>
      </c>
      <c r="AK1065" s="1">
        <v>2032</v>
      </c>
      <c r="AL1065" s="1">
        <v>2033</v>
      </c>
      <c r="AM1065" s="1">
        <v>2034</v>
      </c>
      <c r="AN1065" s="1">
        <v>2035</v>
      </c>
      <c r="AO1065" s="1">
        <v>2036</v>
      </c>
      <c r="AP1065" s="1">
        <v>2037</v>
      </c>
      <c r="AQ1065" s="1">
        <v>2038</v>
      </c>
      <c r="AR1065" s="1">
        <v>2039</v>
      </c>
      <c r="AS1065" s="1">
        <v>2040</v>
      </c>
      <c r="AT1065" s="1">
        <v>2041</v>
      </c>
      <c r="AU1065" s="1">
        <v>2042</v>
      </c>
      <c r="AV1065" s="1">
        <v>2043</v>
      </c>
      <c r="AW1065" s="1">
        <v>2044</v>
      </c>
      <c r="AX1065" s="1">
        <v>2045</v>
      </c>
      <c r="AY1065" s="1">
        <v>2046</v>
      </c>
      <c r="AZ1065" s="1">
        <v>2047</v>
      </c>
      <c r="BA1065" s="1">
        <v>2048</v>
      </c>
      <c r="BB1065" s="1">
        <v>2049</v>
      </c>
      <c r="BC1065" s="1">
        <v>2050</v>
      </c>
    </row>
    <row r="1066" spans="1:55" x14ac:dyDescent="0.25">
      <c r="A1066" s="1" t="str">
        <f>'Population Definitions'!$A$2</f>
        <v>PWID_males</v>
      </c>
      <c r="C1066" t="s">
        <v>32</v>
      </c>
      <c r="D1066" s="3"/>
      <c r="E1066" s="3">
        <v>0</v>
      </c>
      <c r="F1066" s="3"/>
      <c r="G1066" s="3"/>
      <c r="H1066" s="3"/>
      <c r="I1066" s="3"/>
      <c r="J1066" s="3"/>
      <c r="K1066" s="3"/>
      <c r="L1066" s="3"/>
      <c r="M1066" s="3"/>
      <c r="N1066" s="3"/>
      <c r="O1066" s="3"/>
      <c r="P1066" s="3"/>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c r="AV1066" s="3"/>
      <c r="AW1066" s="3"/>
      <c r="AX1066" s="3"/>
      <c r="AY1066" s="3"/>
      <c r="AZ1066" s="3"/>
      <c r="BA1066" s="3"/>
      <c r="BB1066" s="3"/>
      <c r="BC1066" s="3"/>
    </row>
    <row r="1067" spans="1:55" x14ac:dyDescent="0.25">
      <c r="A1067" s="1" t="str">
        <f>'Population Definitions'!$A$3</f>
        <v>PWID_females</v>
      </c>
      <c r="C1067" t="s">
        <v>32</v>
      </c>
      <c r="D1067" s="3"/>
      <c r="E1067" s="3">
        <v>0</v>
      </c>
      <c r="F1067" s="3"/>
      <c r="G1067" s="3"/>
      <c r="H1067" s="3"/>
      <c r="I1067" s="3"/>
      <c r="J1067" s="3"/>
      <c r="K1067" s="3"/>
      <c r="L1067" s="3"/>
      <c r="M1067" s="3"/>
      <c r="N1067" s="3"/>
      <c r="O1067" s="3"/>
      <c r="P1067" s="3"/>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c r="AV1067" s="3"/>
      <c r="AW1067" s="3"/>
      <c r="AX1067" s="3"/>
      <c r="AY1067" s="3"/>
      <c r="AZ1067" s="3"/>
      <c r="BA1067" s="3"/>
      <c r="BB1067" s="3"/>
      <c r="BC1067" s="3"/>
    </row>
    <row r="1068" spans="1:55" x14ac:dyDescent="0.25">
      <c r="A1068" s="1" t="str">
        <f>'Population Definitions'!$A$4</f>
        <v>0-9_males</v>
      </c>
      <c r="C1068" t="s">
        <v>32</v>
      </c>
      <c r="D1068" s="3"/>
      <c r="E1068" s="3">
        <v>0</v>
      </c>
      <c r="F1068" s="3"/>
      <c r="G1068" s="3"/>
      <c r="H1068" s="3"/>
      <c r="I1068" s="3"/>
      <c r="J1068" s="3"/>
      <c r="K1068" s="3"/>
      <c r="L1068" s="3"/>
      <c r="M1068" s="3"/>
      <c r="N1068" s="3"/>
      <c r="O1068" s="3"/>
      <c r="P1068" s="3"/>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c r="AV1068" s="3"/>
      <c r="AW1068" s="3"/>
      <c r="AX1068" s="3"/>
      <c r="AY1068" s="3"/>
      <c r="AZ1068" s="3"/>
      <c r="BA1068" s="3"/>
      <c r="BB1068" s="3"/>
      <c r="BC1068" s="3"/>
    </row>
    <row r="1069" spans="1:55" x14ac:dyDescent="0.25">
      <c r="A1069" s="1" t="str">
        <f>'Population Definitions'!$A$5</f>
        <v>0-9_females</v>
      </c>
      <c r="C1069" t="s">
        <v>32</v>
      </c>
      <c r="D1069" s="3"/>
      <c r="E1069" s="3">
        <v>0</v>
      </c>
      <c r="F1069" s="3"/>
      <c r="G1069" s="3"/>
      <c r="H1069" s="3"/>
      <c r="I1069" s="3"/>
      <c r="J1069" s="3"/>
      <c r="K1069" s="3"/>
      <c r="L1069" s="3"/>
      <c r="M1069" s="3"/>
      <c r="N1069" s="3"/>
      <c r="O1069" s="3"/>
      <c r="P1069" s="3"/>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c r="AV1069" s="3"/>
      <c r="AW1069" s="3"/>
      <c r="AX1069" s="3"/>
      <c r="AY1069" s="3"/>
      <c r="AZ1069" s="3"/>
      <c r="BA1069" s="3"/>
      <c r="BB1069" s="3"/>
      <c r="BC1069" s="3"/>
    </row>
    <row r="1070" spans="1:55" x14ac:dyDescent="0.25">
      <c r="A1070" s="1" t="str">
        <f>'Population Definitions'!$A$6</f>
        <v>10-17_males</v>
      </c>
      <c r="C1070" t="s">
        <v>32</v>
      </c>
      <c r="D1070" s="3"/>
      <c r="E1070" s="3">
        <v>0</v>
      </c>
      <c r="F1070" s="3"/>
      <c r="G1070" s="3"/>
      <c r="H1070" s="3"/>
      <c r="I1070" s="3"/>
      <c r="J1070" s="3"/>
      <c r="K1070" s="3"/>
      <c r="L1070" s="3"/>
      <c r="M1070" s="3"/>
      <c r="N1070" s="3"/>
      <c r="O1070" s="3"/>
      <c r="P1070" s="3"/>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c r="AV1070" s="3"/>
      <c r="AW1070" s="3"/>
      <c r="AX1070" s="3"/>
      <c r="AY1070" s="3"/>
      <c r="AZ1070" s="3"/>
      <c r="BA1070" s="3"/>
      <c r="BB1070" s="3"/>
      <c r="BC1070" s="3"/>
    </row>
    <row r="1071" spans="1:55" x14ac:dyDescent="0.25">
      <c r="A1071" s="1" t="str">
        <f>'Population Definitions'!$A$7</f>
        <v>10-17_females</v>
      </c>
      <c r="C1071" t="s">
        <v>32</v>
      </c>
      <c r="D1071" s="3"/>
      <c r="E1071" s="3">
        <v>0</v>
      </c>
      <c r="F1071" s="3"/>
      <c r="G1071" s="3"/>
      <c r="H1071" s="3"/>
      <c r="I1071" s="3"/>
      <c r="J1071" s="3"/>
      <c r="K1071" s="3"/>
      <c r="L1071" s="3"/>
      <c r="M1071" s="3"/>
      <c r="N1071" s="3"/>
      <c r="O1071" s="3"/>
      <c r="P1071" s="3"/>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c r="AV1071" s="3"/>
      <c r="AW1071" s="3"/>
      <c r="AX1071" s="3"/>
      <c r="AY1071" s="3"/>
      <c r="AZ1071" s="3"/>
      <c r="BA1071" s="3"/>
      <c r="BB1071" s="3"/>
      <c r="BC1071" s="3"/>
    </row>
    <row r="1072" spans="1:55" x14ac:dyDescent="0.25">
      <c r="A1072" s="1" t="str">
        <f>'Population Definitions'!$A$8</f>
        <v>18-64_males</v>
      </c>
      <c r="C1072" t="s">
        <v>32</v>
      </c>
      <c r="D1072" s="3"/>
      <c r="E1072" s="3">
        <v>0</v>
      </c>
      <c r="F1072" s="3"/>
      <c r="G1072" s="3"/>
      <c r="H1072" s="3"/>
      <c r="I1072" s="3"/>
      <c r="J1072" s="3"/>
      <c r="K1072" s="3"/>
      <c r="L1072" s="3"/>
      <c r="M1072" s="3"/>
      <c r="N1072" s="3"/>
      <c r="O1072" s="3"/>
      <c r="P1072" s="3"/>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c r="AV1072" s="3"/>
      <c r="AW1072" s="3"/>
      <c r="AX1072" s="3"/>
      <c r="AY1072" s="3"/>
      <c r="AZ1072" s="3"/>
      <c r="BA1072" s="3"/>
      <c r="BB1072" s="3"/>
      <c r="BC1072" s="3"/>
    </row>
    <row r="1073" spans="1:55" x14ac:dyDescent="0.25">
      <c r="A1073" s="1" t="str">
        <f>'Population Definitions'!$A$9</f>
        <v>18-64_females</v>
      </c>
      <c r="C1073" t="s">
        <v>32</v>
      </c>
      <c r="D1073" s="3"/>
      <c r="E1073" s="3">
        <v>0</v>
      </c>
      <c r="F1073" s="3"/>
      <c r="G1073" s="3"/>
      <c r="H1073" s="3"/>
      <c r="I1073" s="3"/>
      <c r="J1073" s="3"/>
      <c r="K1073" s="3"/>
      <c r="L1073" s="3"/>
      <c r="M1073" s="3"/>
      <c r="N1073" s="3"/>
      <c r="O1073" s="3"/>
      <c r="P1073" s="3"/>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c r="AV1073" s="3"/>
      <c r="AW1073" s="3"/>
      <c r="AX1073" s="3"/>
      <c r="AY1073" s="3"/>
      <c r="AZ1073" s="3"/>
      <c r="BA1073" s="3"/>
      <c r="BB1073" s="3"/>
      <c r="BC1073" s="3"/>
    </row>
    <row r="1074" spans="1:55" x14ac:dyDescent="0.25">
      <c r="A1074" s="1" t="str">
        <f>'Population Definitions'!$A$10</f>
        <v>65+_males</v>
      </c>
      <c r="C1074" t="s">
        <v>32</v>
      </c>
      <c r="D1074" s="3"/>
      <c r="E1074" s="3">
        <v>0</v>
      </c>
      <c r="F1074" s="3"/>
      <c r="G1074" s="3"/>
      <c r="H1074" s="3"/>
      <c r="I1074" s="3"/>
      <c r="J1074" s="3"/>
      <c r="K1074" s="3"/>
      <c r="L1074" s="3"/>
      <c r="M1074" s="3"/>
      <c r="N1074" s="3"/>
      <c r="O1074" s="3"/>
      <c r="P1074" s="3"/>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c r="AV1074" s="3"/>
      <c r="AW1074" s="3"/>
      <c r="AX1074" s="3"/>
      <c r="AY1074" s="3"/>
      <c r="AZ1074" s="3"/>
      <c r="BA1074" s="3"/>
      <c r="BB1074" s="3"/>
      <c r="BC1074" s="3"/>
    </row>
    <row r="1075" spans="1:55" x14ac:dyDescent="0.25">
      <c r="A1075" s="1" t="str">
        <f>'Population Definitions'!$A$11</f>
        <v>65+_females</v>
      </c>
      <c r="C1075" t="s">
        <v>32</v>
      </c>
      <c r="D1075" s="3"/>
      <c r="E1075" s="3">
        <v>0</v>
      </c>
      <c r="F1075" s="3"/>
      <c r="G1075" s="3"/>
      <c r="H1075" s="3"/>
      <c r="I1075" s="3"/>
      <c r="J1075" s="3"/>
      <c r="K1075" s="3"/>
      <c r="L1075" s="3"/>
      <c r="M1075" s="3"/>
      <c r="N1075" s="3"/>
      <c r="O1075" s="3"/>
      <c r="P1075" s="3"/>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c r="AV1075" s="3"/>
      <c r="AW1075" s="3"/>
      <c r="AX1075" s="3"/>
      <c r="AY1075" s="3"/>
      <c r="AZ1075" s="3"/>
      <c r="BA1075" s="3"/>
      <c r="BB1075" s="3"/>
      <c r="BC1075" s="3"/>
    </row>
    <row r="1076" spans="1:55" x14ac:dyDescent="0.25">
      <c r="A1076" s="1" t="str">
        <f>'Population Definitions'!$A$12</f>
        <v>Prisoners_males</v>
      </c>
      <c r="C1076" t="s">
        <v>32</v>
      </c>
      <c r="D1076" s="3"/>
      <c r="E1076" s="3">
        <v>0</v>
      </c>
      <c r="F1076" s="3"/>
      <c r="G1076" s="3"/>
      <c r="H1076" s="3"/>
      <c r="I1076" s="3"/>
      <c r="J1076" s="3"/>
      <c r="K1076" s="3"/>
      <c r="L1076" s="3"/>
      <c r="M1076" s="3"/>
      <c r="N1076" s="3"/>
      <c r="O1076" s="3"/>
      <c r="P1076" s="3"/>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c r="AV1076" s="3"/>
      <c r="AW1076" s="3"/>
      <c r="AX1076" s="3"/>
      <c r="AY1076" s="3"/>
      <c r="AZ1076" s="3"/>
      <c r="BA1076" s="3"/>
      <c r="BB1076" s="3"/>
      <c r="BC1076" s="3"/>
    </row>
    <row r="1077" spans="1:55" x14ac:dyDescent="0.25">
      <c r="A1077" s="1" t="str">
        <f>'Population Definitions'!$A$13</f>
        <v>Prisoners_females</v>
      </c>
      <c r="C1077" t="s">
        <v>32</v>
      </c>
      <c r="D1077" s="3"/>
      <c r="E1077" s="3">
        <v>0</v>
      </c>
      <c r="F1077" s="3"/>
      <c r="G1077" s="3"/>
      <c r="H1077" s="3"/>
      <c r="I1077" s="3"/>
      <c r="J1077" s="3"/>
      <c r="K1077" s="3"/>
      <c r="L1077" s="3"/>
      <c r="M1077" s="3"/>
      <c r="N1077" s="3"/>
      <c r="O1077" s="3"/>
      <c r="P1077" s="3"/>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c r="AV1077" s="3"/>
      <c r="AW1077" s="3"/>
      <c r="AX1077" s="3"/>
      <c r="AY1077" s="3"/>
      <c r="AZ1077" s="3"/>
      <c r="BA1077" s="3"/>
      <c r="BB1077" s="3"/>
      <c r="BC1077" s="3"/>
    </row>
    <row r="1079" spans="1:55" x14ac:dyDescent="0.25">
      <c r="A1079" s="1" t="s">
        <v>203</v>
      </c>
      <c r="B1079" s="1" t="s">
        <v>29</v>
      </c>
      <c r="C1079" s="1" t="s">
        <v>30</v>
      </c>
      <c r="D1079" s="1" t="s">
        <v>31</v>
      </c>
      <c r="E1079" s="1">
        <v>2000</v>
      </c>
      <c r="F1079" s="1">
        <v>2001</v>
      </c>
      <c r="G1079" s="1">
        <v>2002</v>
      </c>
      <c r="H1079" s="1">
        <v>2003</v>
      </c>
      <c r="I1079" s="1">
        <v>2004</v>
      </c>
      <c r="J1079" s="1">
        <v>2005</v>
      </c>
      <c r="K1079" s="1">
        <v>2006</v>
      </c>
      <c r="L1079" s="1">
        <v>2007</v>
      </c>
      <c r="M1079" s="1">
        <v>2008</v>
      </c>
      <c r="N1079" s="1">
        <v>2009</v>
      </c>
      <c r="O1079" s="1">
        <v>2010</v>
      </c>
      <c r="P1079" s="1">
        <v>2011</v>
      </c>
      <c r="Q1079" s="1">
        <v>2012</v>
      </c>
      <c r="R1079" s="1">
        <v>2013</v>
      </c>
      <c r="S1079" s="1">
        <v>2014</v>
      </c>
      <c r="T1079" s="1">
        <v>2015</v>
      </c>
      <c r="U1079" s="1">
        <v>2016</v>
      </c>
      <c r="V1079" s="1">
        <v>2017</v>
      </c>
      <c r="W1079" s="1">
        <v>2018</v>
      </c>
      <c r="X1079" s="1">
        <v>2019</v>
      </c>
      <c r="Y1079" s="1">
        <v>2020</v>
      </c>
      <c r="Z1079" s="1">
        <v>2021</v>
      </c>
      <c r="AA1079" s="1">
        <v>2022</v>
      </c>
      <c r="AB1079" s="1">
        <v>2023</v>
      </c>
      <c r="AC1079" s="1">
        <v>2024</v>
      </c>
      <c r="AD1079" s="1">
        <v>2025</v>
      </c>
      <c r="AE1079" s="1">
        <v>2026</v>
      </c>
      <c r="AF1079" s="1">
        <v>2027</v>
      </c>
      <c r="AG1079" s="1">
        <v>2028</v>
      </c>
      <c r="AH1079" s="1">
        <v>2029</v>
      </c>
      <c r="AI1079" s="1">
        <v>2030</v>
      </c>
      <c r="AJ1079" s="1">
        <v>2031</v>
      </c>
      <c r="AK1079" s="1">
        <v>2032</v>
      </c>
      <c r="AL1079" s="1">
        <v>2033</v>
      </c>
      <c r="AM1079" s="1">
        <v>2034</v>
      </c>
      <c r="AN1079" s="1">
        <v>2035</v>
      </c>
      <c r="AO1079" s="1">
        <v>2036</v>
      </c>
      <c r="AP1079" s="1">
        <v>2037</v>
      </c>
      <c r="AQ1079" s="1">
        <v>2038</v>
      </c>
      <c r="AR1079" s="1">
        <v>2039</v>
      </c>
      <c r="AS1079" s="1">
        <v>2040</v>
      </c>
      <c r="AT1079" s="1">
        <v>2041</v>
      </c>
      <c r="AU1079" s="1">
        <v>2042</v>
      </c>
      <c r="AV1079" s="1">
        <v>2043</v>
      </c>
      <c r="AW1079" s="1">
        <v>2044</v>
      </c>
      <c r="AX1079" s="1">
        <v>2045</v>
      </c>
      <c r="AY1079" s="1">
        <v>2046</v>
      </c>
      <c r="AZ1079" s="1">
        <v>2047</v>
      </c>
      <c r="BA1079" s="1">
        <v>2048</v>
      </c>
      <c r="BB1079" s="1">
        <v>2049</v>
      </c>
      <c r="BC1079" s="1">
        <v>2050</v>
      </c>
    </row>
    <row r="1080" spans="1:55" x14ac:dyDescent="0.25">
      <c r="A1080" s="1" t="str">
        <f>'Population Definitions'!$A$2</f>
        <v>PWID_males</v>
      </c>
      <c r="C1080" t="s">
        <v>32</v>
      </c>
      <c r="D1080" s="3"/>
      <c r="E1080" s="3">
        <v>0</v>
      </c>
      <c r="F1080" s="3"/>
      <c r="G1080" s="3"/>
      <c r="H1080" s="3"/>
      <c r="I1080" s="3"/>
      <c r="J1080" s="3"/>
      <c r="K1080" s="3"/>
      <c r="L1080" s="3"/>
      <c r="M1080" s="3"/>
      <c r="N1080" s="3"/>
      <c r="O1080" s="3"/>
      <c r="P1080" s="3"/>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c r="AV1080" s="3"/>
      <c r="AW1080" s="3"/>
      <c r="AX1080" s="3"/>
      <c r="AY1080" s="3"/>
      <c r="AZ1080" s="3"/>
      <c r="BA1080" s="3"/>
      <c r="BB1080" s="3"/>
      <c r="BC1080" s="3"/>
    </row>
    <row r="1081" spans="1:55" x14ac:dyDescent="0.25">
      <c r="A1081" s="1" t="str">
        <f>'Population Definitions'!$A$3</f>
        <v>PWID_females</v>
      </c>
      <c r="C1081" t="s">
        <v>32</v>
      </c>
      <c r="D1081" s="3"/>
      <c r="E1081" s="3">
        <v>0</v>
      </c>
      <c r="F1081" s="3"/>
      <c r="G1081" s="3"/>
      <c r="H1081" s="3"/>
      <c r="I1081" s="3"/>
      <c r="J1081" s="3"/>
      <c r="K1081" s="3"/>
      <c r="L1081" s="3"/>
      <c r="M1081" s="3"/>
      <c r="N1081" s="3"/>
      <c r="O1081" s="3"/>
      <c r="P1081" s="3"/>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c r="AV1081" s="3"/>
      <c r="AW1081" s="3"/>
      <c r="AX1081" s="3"/>
      <c r="AY1081" s="3"/>
      <c r="AZ1081" s="3"/>
      <c r="BA1081" s="3"/>
      <c r="BB1081" s="3"/>
      <c r="BC1081" s="3"/>
    </row>
    <row r="1082" spans="1:55" x14ac:dyDescent="0.25">
      <c r="A1082" s="1" t="str">
        <f>'Population Definitions'!$A$4</f>
        <v>0-9_males</v>
      </c>
      <c r="C1082" t="s">
        <v>32</v>
      </c>
      <c r="D1082" s="3"/>
      <c r="E1082" s="3">
        <v>0</v>
      </c>
      <c r="F1082" s="3"/>
      <c r="G1082" s="3"/>
      <c r="H1082" s="3"/>
      <c r="I1082" s="3"/>
      <c r="J1082" s="3"/>
      <c r="K1082" s="3"/>
      <c r="L1082" s="3"/>
      <c r="M1082" s="3"/>
      <c r="N1082" s="3"/>
      <c r="O1082" s="3"/>
      <c r="P1082" s="3"/>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c r="AV1082" s="3"/>
      <c r="AW1082" s="3"/>
      <c r="AX1082" s="3"/>
      <c r="AY1082" s="3"/>
      <c r="AZ1082" s="3"/>
      <c r="BA1082" s="3"/>
      <c r="BB1082" s="3"/>
      <c r="BC1082" s="3"/>
    </row>
    <row r="1083" spans="1:55" x14ac:dyDescent="0.25">
      <c r="A1083" s="1" t="str">
        <f>'Population Definitions'!$A$5</f>
        <v>0-9_females</v>
      </c>
      <c r="C1083" t="s">
        <v>32</v>
      </c>
      <c r="D1083" s="3"/>
      <c r="E1083" s="3">
        <v>0</v>
      </c>
      <c r="F1083" s="3"/>
      <c r="G1083" s="3"/>
      <c r="H1083" s="3"/>
      <c r="I1083" s="3"/>
      <c r="J1083" s="3"/>
      <c r="K1083" s="3"/>
      <c r="L1083" s="3"/>
      <c r="M1083" s="3"/>
      <c r="N1083" s="3"/>
      <c r="O1083" s="3"/>
      <c r="P1083" s="3"/>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c r="AV1083" s="3"/>
      <c r="AW1083" s="3"/>
      <c r="AX1083" s="3"/>
      <c r="AY1083" s="3"/>
      <c r="AZ1083" s="3"/>
      <c r="BA1083" s="3"/>
      <c r="BB1083" s="3"/>
      <c r="BC1083" s="3"/>
    </row>
    <row r="1084" spans="1:55" x14ac:dyDescent="0.25">
      <c r="A1084" s="1" t="str">
        <f>'Population Definitions'!$A$6</f>
        <v>10-17_males</v>
      </c>
      <c r="C1084" t="s">
        <v>32</v>
      </c>
      <c r="D1084" s="3"/>
      <c r="E1084" s="3">
        <v>0</v>
      </c>
      <c r="F1084" s="3"/>
      <c r="G1084" s="3"/>
      <c r="H1084" s="3"/>
      <c r="I1084" s="3"/>
      <c r="J1084" s="3"/>
      <c r="K1084" s="3"/>
      <c r="L1084" s="3"/>
      <c r="M1084" s="3"/>
      <c r="N1084" s="3"/>
      <c r="O1084" s="3"/>
      <c r="P1084" s="3"/>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c r="AV1084" s="3"/>
      <c r="AW1084" s="3"/>
      <c r="AX1084" s="3"/>
      <c r="AY1084" s="3"/>
      <c r="AZ1084" s="3"/>
      <c r="BA1084" s="3"/>
      <c r="BB1084" s="3"/>
      <c r="BC1084" s="3"/>
    </row>
    <row r="1085" spans="1:55" x14ac:dyDescent="0.25">
      <c r="A1085" s="1" t="str">
        <f>'Population Definitions'!$A$7</f>
        <v>10-17_females</v>
      </c>
      <c r="C1085" t="s">
        <v>32</v>
      </c>
      <c r="D1085" s="3"/>
      <c r="E1085" s="3">
        <v>0</v>
      </c>
      <c r="F1085" s="3"/>
      <c r="G1085" s="3"/>
      <c r="H1085" s="3"/>
      <c r="I1085" s="3"/>
      <c r="J1085" s="3"/>
      <c r="K1085" s="3"/>
      <c r="L1085" s="3"/>
      <c r="M1085" s="3"/>
      <c r="N1085" s="3"/>
      <c r="O1085" s="3"/>
      <c r="P1085" s="3"/>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c r="AV1085" s="3"/>
      <c r="AW1085" s="3"/>
      <c r="AX1085" s="3"/>
      <c r="AY1085" s="3"/>
      <c r="AZ1085" s="3"/>
      <c r="BA1085" s="3"/>
      <c r="BB1085" s="3"/>
      <c r="BC1085" s="3"/>
    </row>
    <row r="1086" spans="1:55" x14ac:dyDescent="0.25">
      <c r="A1086" s="1" t="str">
        <f>'Population Definitions'!$A$8</f>
        <v>18-64_males</v>
      </c>
      <c r="C1086" t="s">
        <v>32</v>
      </c>
      <c r="D1086" s="3"/>
      <c r="E1086" s="3">
        <v>0</v>
      </c>
      <c r="F1086" s="3"/>
      <c r="G1086" s="3"/>
      <c r="H1086" s="3"/>
      <c r="I1086" s="3"/>
      <c r="J1086" s="3"/>
      <c r="K1086" s="3"/>
      <c r="L1086" s="3"/>
      <c r="M1086" s="3"/>
      <c r="N1086" s="3"/>
      <c r="O1086" s="3"/>
      <c r="P1086" s="3"/>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c r="AV1086" s="3"/>
      <c r="AW1086" s="3"/>
      <c r="AX1086" s="3"/>
      <c r="AY1086" s="3"/>
      <c r="AZ1086" s="3"/>
      <c r="BA1086" s="3"/>
      <c r="BB1086" s="3"/>
      <c r="BC1086" s="3"/>
    </row>
    <row r="1087" spans="1:55" x14ac:dyDescent="0.25">
      <c r="A1087" s="1" t="str">
        <f>'Population Definitions'!$A$9</f>
        <v>18-64_females</v>
      </c>
      <c r="C1087" t="s">
        <v>32</v>
      </c>
      <c r="D1087" s="3"/>
      <c r="E1087" s="3">
        <v>0</v>
      </c>
      <c r="F1087" s="3"/>
      <c r="G1087" s="3"/>
      <c r="H1087" s="3"/>
      <c r="I1087" s="3"/>
      <c r="J1087" s="3"/>
      <c r="K1087" s="3"/>
      <c r="L1087" s="3"/>
      <c r="M1087" s="3"/>
      <c r="N1087" s="3"/>
      <c r="O1087" s="3"/>
      <c r="P1087" s="3"/>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c r="AV1087" s="3"/>
      <c r="AW1087" s="3"/>
      <c r="AX1087" s="3"/>
      <c r="AY1087" s="3"/>
      <c r="AZ1087" s="3"/>
      <c r="BA1087" s="3"/>
      <c r="BB1087" s="3"/>
      <c r="BC1087" s="3"/>
    </row>
    <row r="1088" spans="1:55" x14ac:dyDescent="0.25">
      <c r="A1088" s="1" t="str">
        <f>'Population Definitions'!$A$10</f>
        <v>65+_males</v>
      </c>
      <c r="C1088" t="s">
        <v>32</v>
      </c>
      <c r="D1088" s="3"/>
      <c r="E1088" s="3">
        <v>0</v>
      </c>
      <c r="F1088" s="3"/>
      <c r="G1088" s="3"/>
      <c r="H1088" s="3"/>
      <c r="I1088" s="3"/>
      <c r="J1088" s="3"/>
      <c r="K1088" s="3"/>
      <c r="L1088" s="3"/>
      <c r="M1088" s="3"/>
      <c r="N1088" s="3"/>
      <c r="O1088" s="3"/>
      <c r="P1088" s="3"/>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c r="AV1088" s="3"/>
      <c r="AW1088" s="3"/>
      <c r="AX1088" s="3"/>
      <c r="AY1088" s="3"/>
      <c r="AZ1088" s="3"/>
      <c r="BA1088" s="3"/>
      <c r="BB1088" s="3"/>
      <c r="BC1088" s="3"/>
    </row>
    <row r="1089" spans="1:55" x14ac:dyDescent="0.25">
      <c r="A1089" s="1" t="str">
        <f>'Population Definitions'!$A$11</f>
        <v>65+_females</v>
      </c>
      <c r="C1089" t="s">
        <v>32</v>
      </c>
      <c r="D1089" s="3"/>
      <c r="E1089" s="3">
        <v>0</v>
      </c>
      <c r="F1089" s="3"/>
      <c r="G1089" s="3"/>
      <c r="H1089" s="3"/>
      <c r="I1089" s="3"/>
      <c r="J1089" s="3"/>
      <c r="K1089" s="3"/>
      <c r="L1089" s="3"/>
      <c r="M1089" s="3"/>
      <c r="N1089" s="3"/>
      <c r="O1089" s="3"/>
      <c r="P1089" s="3"/>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c r="AV1089" s="3"/>
      <c r="AW1089" s="3"/>
      <c r="AX1089" s="3"/>
      <c r="AY1089" s="3"/>
      <c r="AZ1089" s="3"/>
      <c r="BA1089" s="3"/>
      <c r="BB1089" s="3"/>
      <c r="BC1089" s="3"/>
    </row>
    <row r="1090" spans="1:55" x14ac:dyDescent="0.25">
      <c r="A1090" s="1" t="str">
        <f>'Population Definitions'!$A$12</f>
        <v>Prisoners_males</v>
      </c>
      <c r="C1090" t="s">
        <v>32</v>
      </c>
      <c r="D1090" s="3"/>
      <c r="E1090" s="3">
        <v>0</v>
      </c>
      <c r="F1090" s="3"/>
      <c r="G1090" s="3"/>
      <c r="H1090" s="3"/>
      <c r="I1090" s="3"/>
      <c r="J1090" s="3"/>
      <c r="K1090" s="3"/>
      <c r="L1090" s="3"/>
      <c r="M1090" s="3"/>
      <c r="N1090" s="3"/>
      <c r="O1090" s="3"/>
      <c r="P1090" s="3"/>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c r="AV1090" s="3"/>
      <c r="AW1090" s="3"/>
      <c r="AX1090" s="3"/>
      <c r="AY1090" s="3"/>
      <c r="AZ1090" s="3"/>
      <c r="BA1090" s="3"/>
      <c r="BB1090" s="3"/>
      <c r="BC1090" s="3"/>
    </row>
    <row r="1091" spans="1:55" x14ac:dyDescent="0.25">
      <c r="A1091" s="1" t="str">
        <f>'Population Definitions'!$A$13</f>
        <v>Prisoners_females</v>
      </c>
      <c r="C1091" t="s">
        <v>32</v>
      </c>
      <c r="D1091" s="3"/>
      <c r="E1091" s="3">
        <v>0</v>
      </c>
      <c r="F1091" s="3"/>
      <c r="G1091" s="3"/>
      <c r="H1091" s="3"/>
      <c r="I1091" s="3"/>
      <c r="J1091" s="3"/>
      <c r="K1091" s="3"/>
      <c r="L1091" s="3"/>
      <c r="M1091" s="3"/>
      <c r="N1091" s="3"/>
      <c r="O1091" s="3"/>
      <c r="P1091" s="3"/>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c r="AV1091" s="3"/>
      <c r="AW1091" s="3"/>
      <c r="AX1091" s="3"/>
      <c r="AY1091" s="3"/>
      <c r="AZ1091" s="3"/>
      <c r="BA1091" s="3"/>
      <c r="BB1091" s="3"/>
      <c r="BC1091" s="3"/>
    </row>
    <row r="1093" spans="1:55" x14ac:dyDescent="0.25">
      <c r="A1093" s="1" t="s">
        <v>204</v>
      </c>
      <c r="B1093" s="1" t="s">
        <v>29</v>
      </c>
      <c r="C1093" s="1" t="s">
        <v>30</v>
      </c>
      <c r="D1093" s="1" t="s">
        <v>31</v>
      </c>
      <c r="E1093" s="1">
        <v>2000</v>
      </c>
      <c r="F1093" s="1">
        <v>2001</v>
      </c>
      <c r="G1093" s="1">
        <v>2002</v>
      </c>
      <c r="H1093" s="1">
        <v>2003</v>
      </c>
      <c r="I1093" s="1">
        <v>2004</v>
      </c>
      <c r="J1093" s="1">
        <v>2005</v>
      </c>
      <c r="K1093" s="1">
        <v>2006</v>
      </c>
      <c r="L1093" s="1">
        <v>2007</v>
      </c>
      <c r="M1093" s="1">
        <v>2008</v>
      </c>
      <c r="N1093" s="1">
        <v>2009</v>
      </c>
      <c r="O1093" s="1">
        <v>2010</v>
      </c>
      <c r="P1093" s="1">
        <v>2011</v>
      </c>
      <c r="Q1093" s="1">
        <v>2012</v>
      </c>
      <c r="R1093" s="1">
        <v>2013</v>
      </c>
      <c r="S1093" s="1">
        <v>2014</v>
      </c>
      <c r="T1093" s="1">
        <v>2015</v>
      </c>
      <c r="U1093" s="1">
        <v>2016</v>
      </c>
      <c r="V1093" s="1">
        <v>2017</v>
      </c>
      <c r="W1093" s="1">
        <v>2018</v>
      </c>
      <c r="X1093" s="1">
        <v>2019</v>
      </c>
      <c r="Y1093" s="1">
        <v>2020</v>
      </c>
      <c r="Z1093" s="1">
        <v>2021</v>
      </c>
      <c r="AA1093" s="1">
        <v>2022</v>
      </c>
      <c r="AB1093" s="1">
        <v>2023</v>
      </c>
      <c r="AC1093" s="1">
        <v>2024</v>
      </c>
      <c r="AD1093" s="1">
        <v>2025</v>
      </c>
      <c r="AE1093" s="1">
        <v>2026</v>
      </c>
      <c r="AF1093" s="1">
        <v>2027</v>
      </c>
      <c r="AG1093" s="1">
        <v>2028</v>
      </c>
      <c r="AH1093" s="1">
        <v>2029</v>
      </c>
      <c r="AI1093" s="1">
        <v>2030</v>
      </c>
      <c r="AJ1093" s="1">
        <v>2031</v>
      </c>
      <c r="AK1093" s="1">
        <v>2032</v>
      </c>
      <c r="AL1093" s="1">
        <v>2033</v>
      </c>
      <c r="AM1093" s="1">
        <v>2034</v>
      </c>
      <c r="AN1093" s="1">
        <v>2035</v>
      </c>
      <c r="AO1093" s="1">
        <v>2036</v>
      </c>
      <c r="AP1093" s="1">
        <v>2037</v>
      </c>
      <c r="AQ1093" s="1">
        <v>2038</v>
      </c>
      <c r="AR1093" s="1">
        <v>2039</v>
      </c>
      <c r="AS1093" s="1">
        <v>2040</v>
      </c>
      <c r="AT1093" s="1">
        <v>2041</v>
      </c>
      <c r="AU1093" s="1">
        <v>2042</v>
      </c>
      <c r="AV1093" s="1">
        <v>2043</v>
      </c>
      <c r="AW1093" s="1">
        <v>2044</v>
      </c>
      <c r="AX1093" s="1">
        <v>2045</v>
      </c>
      <c r="AY1093" s="1">
        <v>2046</v>
      </c>
      <c r="AZ1093" s="1">
        <v>2047</v>
      </c>
      <c r="BA1093" s="1">
        <v>2048</v>
      </c>
      <c r="BB1093" s="1">
        <v>2049</v>
      </c>
      <c r="BC1093" s="1">
        <v>2050</v>
      </c>
    </row>
    <row r="1094" spans="1:55" x14ac:dyDescent="0.25">
      <c r="A1094" s="1" t="str">
        <f>'Population Definitions'!$A$2</f>
        <v>PWID_males</v>
      </c>
      <c r="C1094" t="s">
        <v>32</v>
      </c>
      <c r="D1094" s="3"/>
      <c r="E1094" s="3">
        <v>0</v>
      </c>
      <c r="F1094" s="3"/>
      <c r="G1094" s="3"/>
      <c r="H1094" s="3"/>
      <c r="I1094" s="3"/>
      <c r="J1094" s="3"/>
      <c r="K1094" s="3"/>
      <c r="L1094" s="3"/>
      <c r="M1094" s="3"/>
      <c r="N1094" s="3"/>
      <c r="O1094" s="3"/>
      <c r="P1094" s="3"/>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c r="AV1094" s="3"/>
      <c r="AW1094" s="3"/>
      <c r="AX1094" s="3"/>
      <c r="AY1094" s="3"/>
      <c r="AZ1094" s="3"/>
      <c r="BA1094" s="3"/>
      <c r="BB1094" s="3"/>
      <c r="BC1094" s="3"/>
    </row>
    <row r="1095" spans="1:55" x14ac:dyDescent="0.25">
      <c r="A1095" s="1" t="str">
        <f>'Population Definitions'!$A$3</f>
        <v>PWID_females</v>
      </c>
      <c r="C1095" t="s">
        <v>32</v>
      </c>
      <c r="D1095" s="3"/>
      <c r="E1095" s="3">
        <v>0</v>
      </c>
      <c r="F1095" s="3"/>
      <c r="G1095" s="3"/>
      <c r="H1095" s="3"/>
      <c r="I1095" s="3"/>
      <c r="J1095" s="3"/>
      <c r="K1095" s="3"/>
      <c r="L1095" s="3"/>
      <c r="M1095" s="3"/>
      <c r="N1095" s="3"/>
      <c r="O1095" s="3"/>
      <c r="P1095" s="3"/>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c r="AV1095" s="3"/>
      <c r="AW1095" s="3"/>
      <c r="AX1095" s="3"/>
      <c r="AY1095" s="3"/>
      <c r="AZ1095" s="3"/>
      <c r="BA1095" s="3"/>
      <c r="BB1095" s="3"/>
      <c r="BC1095" s="3"/>
    </row>
    <row r="1096" spans="1:55" x14ac:dyDescent="0.25">
      <c r="A1096" s="1" t="str">
        <f>'Population Definitions'!$A$4</f>
        <v>0-9_males</v>
      </c>
      <c r="C1096" t="s">
        <v>32</v>
      </c>
      <c r="D1096" s="3"/>
      <c r="E1096" s="3">
        <v>0</v>
      </c>
      <c r="F1096" s="3"/>
      <c r="G1096" s="3"/>
      <c r="H1096" s="3"/>
      <c r="I1096" s="3"/>
      <c r="J1096" s="3"/>
      <c r="K1096" s="3"/>
      <c r="L1096" s="3"/>
      <c r="M1096" s="3"/>
      <c r="N1096" s="3"/>
      <c r="O1096" s="3"/>
      <c r="P1096" s="3"/>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c r="AV1096" s="3"/>
      <c r="AW1096" s="3"/>
      <c r="AX1096" s="3"/>
      <c r="AY1096" s="3"/>
      <c r="AZ1096" s="3"/>
      <c r="BA1096" s="3"/>
      <c r="BB1096" s="3"/>
      <c r="BC1096" s="3"/>
    </row>
    <row r="1097" spans="1:55" x14ac:dyDescent="0.25">
      <c r="A1097" s="1" t="str">
        <f>'Population Definitions'!$A$5</f>
        <v>0-9_females</v>
      </c>
      <c r="C1097" t="s">
        <v>32</v>
      </c>
      <c r="D1097" s="3"/>
      <c r="E1097" s="3">
        <v>0</v>
      </c>
      <c r="F1097" s="3"/>
      <c r="G1097" s="3"/>
      <c r="H1097" s="3"/>
      <c r="I1097" s="3"/>
      <c r="J1097" s="3"/>
      <c r="K1097" s="3"/>
      <c r="L1097" s="3"/>
      <c r="M1097" s="3"/>
      <c r="N1097" s="3"/>
      <c r="O1097" s="3"/>
      <c r="P1097" s="3"/>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c r="AV1097" s="3"/>
      <c r="AW1097" s="3"/>
      <c r="AX1097" s="3"/>
      <c r="AY1097" s="3"/>
      <c r="AZ1097" s="3"/>
      <c r="BA1097" s="3"/>
      <c r="BB1097" s="3"/>
      <c r="BC1097" s="3"/>
    </row>
    <row r="1098" spans="1:55" x14ac:dyDescent="0.25">
      <c r="A1098" s="1" t="str">
        <f>'Population Definitions'!$A$6</f>
        <v>10-17_males</v>
      </c>
      <c r="C1098" t="s">
        <v>32</v>
      </c>
      <c r="D1098" s="3"/>
      <c r="E1098" s="3">
        <v>0</v>
      </c>
      <c r="F1098" s="3"/>
      <c r="G1098" s="3"/>
      <c r="H1098" s="3"/>
      <c r="I1098" s="3"/>
      <c r="J1098" s="3"/>
      <c r="K1098" s="3"/>
      <c r="L1098" s="3"/>
      <c r="M1098" s="3"/>
      <c r="N1098" s="3"/>
      <c r="O1098" s="3"/>
      <c r="P1098" s="3"/>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c r="AV1098" s="3"/>
      <c r="AW1098" s="3"/>
      <c r="AX1098" s="3"/>
      <c r="AY1098" s="3"/>
      <c r="AZ1098" s="3"/>
      <c r="BA1098" s="3"/>
      <c r="BB1098" s="3"/>
      <c r="BC1098" s="3"/>
    </row>
    <row r="1099" spans="1:55" x14ac:dyDescent="0.25">
      <c r="A1099" s="1" t="str">
        <f>'Population Definitions'!$A$7</f>
        <v>10-17_females</v>
      </c>
      <c r="C1099" t="s">
        <v>32</v>
      </c>
      <c r="D1099" s="3"/>
      <c r="E1099" s="3">
        <v>0</v>
      </c>
      <c r="F1099" s="3"/>
      <c r="G1099" s="3"/>
      <c r="H1099" s="3"/>
      <c r="I1099" s="3"/>
      <c r="J1099" s="3"/>
      <c r="K1099" s="3"/>
      <c r="L1099" s="3"/>
      <c r="M1099" s="3"/>
      <c r="N1099" s="3"/>
      <c r="O1099" s="3"/>
      <c r="P1099" s="3"/>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c r="AV1099" s="3"/>
      <c r="AW1099" s="3"/>
      <c r="AX1099" s="3"/>
      <c r="AY1099" s="3"/>
      <c r="AZ1099" s="3"/>
      <c r="BA1099" s="3"/>
      <c r="BB1099" s="3"/>
      <c r="BC1099" s="3"/>
    </row>
    <row r="1100" spans="1:55" x14ac:dyDescent="0.25">
      <c r="A1100" s="1" t="str">
        <f>'Population Definitions'!$A$8</f>
        <v>18-64_males</v>
      </c>
      <c r="C1100" t="s">
        <v>32</v>
      </c>
      <c r="D1100" s="3"/>
      <c r="E1100" s="3">
        <v>0</v>
      </c>
      <c r="F1100" s="3"/>
      <c r="G1100" s="3"/>
      <c r="H1100" s="3"/>
      <c r="I1100" s="3"/>
      <c r="J1100" s="3"/>
      <c r="K1100" s="3"/>
      <c r="L1100" s="3"/>
      <c r="M1100" s="3"/>
      <c r="N1100" s="3"/>
      <c r="O1100" s="3"/>
      <c r="P1100" s="3"/>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c r="AV1100" s="3"/>
      <c r="AW1100" s="3"/>
      <c r="AX1100" s="3"/>
      <c r="AY1100" s="3"/>
      <c r="AZ1100" s="3"/>
      <c r="BA1100" s="3"/>
      <c r="BB1100" s="3"/>
      <c r="BC1100" s="3"/>
    </row>
    <row r="1101" spans="1:55" x14ac:dyDescent="0.25">
      <c r="A1101" s="1" t="str">
        <f>'Population Definitions'!$A$9</f>
        <v>18-64_females</v>
      </c>
      <c r="C1101" t="s">
        <v>32</v>
      </c>
      <c r="D1101" s="3"/>
      <c r="E1101" s="3">
        <v>0</v>
      </c>
      <c r="F1101" s="3"/>
      <c r="G1101" s="3"/>
      <c r="H1101" s="3"/>
      <c r="I1101" s="3"/>
      <c r="J1101" s="3"/>
      <c r="K1101" s="3"/>
      <c r="L1101" s="3"/>
      <c r="M1101" s="3"/>
      <c r="N1101" s="3"/>
      <c r="O1101" s="3"/>
      <c r="P1101" s="3"/>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c r="AV1101" s="3"/>
      <c r="AW1101" s="3"/>
      <c r="AX1101" s="3"/>
      <c r="AY1101" s="3"/>
      <c r="AZ1101" s="3"/>
      <c r="BA1101" s="3"/>
      <c r="BB1101" s="3"/>
      <c r="BC1101" s="3"/>
    </row>
    <row r="1102" spans="1:55" x14ac:dyDescent="0.25">
      <c r="A1102" s="1" t="str">
        <f>'Population Definitions'!$A$10</f>
        <v>65+_males</v>
      </c>
      <c r="C1102" t="s">
        <v>32</v>
      </c>
      <c r="D1102" s="3"/>
      <c r="E1102" s="3">
        <v>0</v>
      </c>
      <c r="F1102" s="3"/>
      <c r="G1102" s="3"/>
      <c r="H1102" s="3"/>
      <c r="I1102" s="3"/>
      <c r="J1102" s="3"/>
      <c r="K1102" s="3"/>
      <c r="L1102" s="3"/>
      <c r="M1102" s="3"/>
      <c r="N1102" s="3"/>
      <c r="O1102" s="3"/>
      <c r="P1102" s="3"/>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c r="AV1102" s="3"/>
      <c r="AW1102" s="3"/>
      <c r="AX1102" s="3"/>
      <c r="AY1102" s="3"/>
      <c r="AZ1102" s="3"/>
      <c r="BA1102" s="3"/>
      <c r="BB1102" s="3"/>
      <c r="BC1102" s="3"/>
    </row>
    <row r="1103" spans="1:55" x14ac:dyDescent="0.25">
      <c r="A1103" s="1" t="str">
        <f>'Population Definitions'!$A$11</f>
        <v>65+_females</v>
      </c>
      <c r="C1103" t="s">
        <v>32</v>
      </c>
      <c r="D1103" s="3"/>
      <c r="E1103" s="3">
        <v>0</v>
      </c>
      <c r="F1103" s="3"/>
      <c r="G1103" s="3"/>
      <c r="H1103" s="3"/>
      <c r="I1103" s="3"/>
      <c r="J1103" s="3"/>
      <c r="K1103" s="3"/>
      <c r="L1103" s="3"/>
      <c r="M1103" s="3"/>
      <c r="N1103" s="3"/>
      <c r="O1103" s="3"/>
      <c r="P1103" s="3"/>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c r="AV1103" s="3"/>
      <c r="AW1103" s="3"/>
      <c r="AX1103" s="3"/>
      <c r="AY1103" s="3"/>
      <c r="AZ1103" s="3"/>
      <c r="BA1103" s="3"/>
      <c r="BB1103" s="3"/>
      <c r="BC1103" s="3"/>
    </row>
    <row r="1104" spans="1:55" x14ac:dyDescent="0.25">
      <c r="A1104" s="1" t="str">
        <f>'Population Definitions'!$A$12</f>
        <v>Prisoners_males</v>
      </c>
      <c r="C1104" t="s">
        <v>32</v>
      </c>
      <c r="D1104" s="3"/>
      <c r="E1104" s="3">
        <v>0</v>
      </c>
      <c r="F1104" s="3"/>
      <c r="G1104" s="3"/>
      <c r="H1104" s="3"/>
      <c r="I1104" s="3"/>
      <c r="J1104" s="3"/>
      <c r="K1104" s="3"/>
      <c r="L1104" s="3"/>
      <c r="M1104" s="3"/>
      <c r="N1104" s="3"/>
      <c r="O1104" s="3"/>
      <c r="P1104" s="3"/>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c r="AV1104" s="3"/>
      <c r="AW1104" s="3"/>
      <c r="AX1104" s="3"/>
      <c r="AY1104" s="3"/>
      <c r="AZ1104" s="3"/>
      <c r="BA1104" s="3"/>
      <c r="BB1104" s="3"/>
      <c r="BC1104" s="3"/>
    </row>
    <row r="1105" spans="1:55" x14ac:dyDescent="0.25">
      <c r="A1105" s="1" t="str">
        <f>'Population Definitions'!$A$13</f>
        <v>Prisoners_females</v>
      </c>
      <c r="C1105" t="s">
        <v>32</v>
      </c>
      <c r="D1105" s="3"/>
      <c r="E1105" s="3">
        <v>0</v>
      </c>
      <c r="F1105" s="3"/>
      <c r="G1105" s="3"/>
      <c r="H1105" s="3"/>
      <c r="I1105" s="3"/>
      <c r="J1105" s="3"/>
      <c r="K1105" s="3"/>
      <c r="L1105" s="3"/>
      <c r="M1105" s="3"/>
      <c r="N1105" s="3"/>
      <c r="O1105" s="3"/>
      <c r="P1105" s="3"/>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c r="AV1105" s="3"/>
      <c r="AW1105" s="3"/>
      <c r="AX1105" s="3"/>
      <c r="AY1105" s="3"/>
      <c r="AZ1105" s="3"/>
      <c r="BA1105" s="3"/>
      <c r="BB1105" s="3"/>
      <c r="BC1105" s="3"/>
    </row>
    <row r="1107" spans="1:55" x14ac:dyDescent="0.25">
      <c r="A1107" s="1" t="s">
        <v>205</v>
      </c>
      <c r="B1107" s="1" t="s">
        <v>29</v>
      </c>
      <c r="C1107" s="1" t="s">
        <v>30</v>
      </c>
      <c r="D1107" s="1" t="s">
        <v>31</v>
      </c>
      <c r="E1107" s="1">
        <v>2000</v>
      </c>
      <c r="F1107" s="1">
        <v>2001</v>
      </c>
      <c r="G1107" s="1">
        <v>2002</v>
      </c>
      <c r="H1107" s="1">
        <v>2003</v>
      </c>
      <c r="I1107" s="1">
        <v>2004</v>
      </c>
      <c r="J1107" s="1">
        <v>2005</v>
      </c>
      <c r="K1107" s="1">
        <v>2006</v>
      </c>
      <c r="L1107" s="1">
        <v>2007</v>
      </c>
      <c r="M1107" s="1">
        <v>2008</v>
      </c>
      <c r="N1107" s="1">
        <v>2009</v>
      </c>
      <c r="O1107" s="1">
        <v>2010</v>
      </c>
      <c r="P1107" s="1">
        <v>2011</v>
      </c>
      <c r="Q1107" s="1">
        <v>2012</v>
      </c>
      <c r="R1107" s="1">
        <v>2013</v>
      </c>
      <c r="S1107" s="1">
        <v>2014</v>
      </c>
      <c r="T1107" s="1">
        <v>2015</v>
      </c>
      <c r="U1107" s="1">
        <v>2016</v>
      </c>
      <c r="V1107" s="1">
        <v>2017</v>
      </c>
      <c r="W1107" s="1">
        <v>2018</v>
      </c>
      <c r="X1107" s="1">
        <v>2019</v>
      </c>
      <c r="Y1107" s="1">
        <v>2020</v>
      </c>
      <c r="Z1107" s="1">
        <v>2021</v>
      </c>
      <c r="AA1107" s="1">
        <v>2022</v>
      </c>
      <c r="AB1107" s="1">
        <v>2023</v>
      </c>
      <c r="AC1107" s="1">
        <v>2024</v>
      </c>
      <c r="AD1107" s="1">
        <v>2025</v>
      </c>
      <c r="AE1107" s="1">
        <v>2026</v>
      </c>
      <c r="AF1107" s="1">
        <v>2027</v>
      </c>
      <c r="AG1107" s="1">
        <v>2028</v>
      </c>
      <c r="AH1107" s="1">
        <v>2029</v>
      </c>
      <c r="AI1107" s="1">
        <v>2030</v>
      </c>
      <c r="AJ1107" s="1">
        <v>2031</v>
      </c>
      <c r="AK1107" s="1">
        <v>2032</v>
      </c>
      <c r="AL1107" s="1">
        <v>2033</v>
      </c>
      <c r="AM1107" s="1">
        <v>2034</v>
      </c>
      <c r="AN1107" s="1">
        <v>2035</v>
      </c>
      <c r="AO1107" s="1">
        <v>2036</v>
      </c>
      <c r="AP1107" s="1">
        <v>2037</v>
      </c>
      <c r="AQ1107" s="1">
        <v>2038</v>
      </c>
      <c r="AR1107" s="1">
        <v>2039</v>
      </c>
      <c r="AS1107" s="1">
        <v>2040</v>
      </c>
      <c r="AT1107" s="1">
        <v>2041</v>
      </c>
      <c r="AU1107" s="1">
        <v>2042</v>
      </c>
      <c r="AV1107" s="1">
        <v>2043</v>
      </c>
      <c r="AW1107" s="1">
        <v>2044</v>
      </c>
      <c r="AX1107" s="1">
        <v>2045</v>
      </c>
      <c r="AY1107" s="1">
        <v>2046</v>
      </c>
      <c r="AZ1107" s="1">
        <v>2047</v>
      </c>
      <c r="BA1107" s="1">
        <v>2048</v>
      </c>
      <c r="BB1107" s="1">
        <v>2049</v>
      </c>
      <c r="BC1107" s="1">
        <v>2050</v>
      </c>
    </row>
    <row r="1108" spans="1:55" x14ac:dyDescent="0.25">
      <c r="A1108" s="1" t="str">
        <f>'Population Definitions'!$A$2</f>
        <v>PWID_males</v>
      </c>
      <c r="C1108" t="s">
        <v>32</v>
      </c>
      <c r="D1108" s="3"/>
      <c r="E1108" s="3">
        <v>0</v>
      </c>
      <c r="F1108" s="3"/>
      <c r="G1108" s="3"/>
      <c r="H1108" s="3"/>
      <c r="I1108" s="3"/>
      <c r="J1108" s="3"/>
      <c r="K1108" s="3"/>
      <c r="L1108" s="3"/>
      <c r="M1108" s="3"/>
      <c r="N1108" s="3"/>
      <c r="O1108" s="3"/>
      <c r="P1108" s="3"/>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c r="AV1108" s="3"/>
      <c r="AW1108" s="3"/>
      <c r="AX1108" s="3"/>
      <c r="AY1108" s="3"/>
      <c r="AZ1108" s="3"/>
      <c r="BA1108" s="3"/>
      <c r="BB1108" s="3"/>
      <c r="BC1108" s="3"/>
    </row>
    <row r="1109" spans="1:55" x14ac:dyDescent="0.25">
      <c r="A1109" s="1" t="str">
        <f>'Population Definitions'!$A$3</f>
        <v>PWID_females</v>
      </c>
      <c r="C1109" t="s">
        <v>32</v>
      </c>
      <c r="D1109" s="3"/>
      <c r="E1109" s="3">
        <v>0</v>
      </c>
      <c r="F1109" s="3"/>
      <c r="G1109" s="3"/>
      <c r="H1109" s="3"/>
      <c r="I1109" s="3"/>
      <c r="J1109" s="3"/>
      <c r="K1109" s="3"/>
      <c r="L1109" s="3"/>
      <c r="M1109" s="3"/>
      <c r="N1109" s="3"/>
      <c r="O1109" s="3"/>
      <c r="P1109" s="3"/>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c r="AV1109" s="3"/>
      <c r="AW1109" s="3"/>
      <c r="AX1109" s="3"/>
      <c r="AY1109" s="3"/>
      <c r="AZ1109" s="3"/>
      <c r="BA1109" s="3"/>
      <c r="BB1109" s="3"/>
      <c r="BC1109" s="3"/>
    </row>
    <row r="1110" spans="1:55" x14ac:dyDescent="0.25">
      <c r="A1110" s="1" t="str">
        <f>'Population Definitions'!$A$4</f>
        <v>0-9_males</v>
      </c>
      <c r="C1110" t="s">
        <v>32</v>
      </c>
      <c r="D1110" s="3"/>
      <c r="E1110" s="3">
        <v>0</v>
      </c>
      <c r="F1110" s="3"/>
      <c r="G1110" s="3"/>
      <c r="H1110" s="3"/>
      <c r="I1110" s="3"/>
      <c r="J1110" s="3"/>
      <c r="K1110" s="3"/>
      <c r="L1110" s="3"/>
      <c r="M1110" s="3"/>
      <c r="N1110" s="3"/>
      <c r="O1110" s="3"/>
      <c r="P1110" s="3"/>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c r="AV1110" s="3"/>
      <c r="AW1110" s="3"/>
      <c r="AX1110" s="3"/>
      <c r="AY1110" s="3"/>
      <c r="AZ1110" s="3"/>
      <c r="BA1110" s="3"/>
      <c r="BB1110" s="3"/>
      <c r="BC1110" s="3"/>
    </row>
    <row r="1111" spans="1:55" x14ac:dyDescent="0.25">
      <c r="A1111" s="1" t="str">
        <f>'Population Definitions'!$A$5</f>
        <v>0-9_females</v>
      </c>
      <c r="C1111" t="s">
        <v>32</v>
      </c>
      <c r="D1111" s="3"/>
      <c r="E1111" s="3">
        <v>0</v>
      </c>
      <c r="F1111" s="3"/>
      <c r="G1111" s="3"/>
      <c r="H1111" s="3"/>
      <c r="I1111" s="3"/>
      <c r="J1111" s="3"/>
      <c r="K1111" s="3"/>
      <c r="L1111" s="3"/>
      <c r="M1111" s="3"/>
      <c r="N1111" s="3"/>
      <c r="O1111" s="3"/>
      <c r="P1111" s="3"/>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c r="AV1111" s="3"/>
      <c r="AW1111" s="3"/>
      <c r="AX1111" s="3"/>
      <c r="AY1111" s="3"/>
      <c r="AZ1111" s="3"/>
      <c r="BA1111" s="3"/>
      <c r="BB1111" s="3"/>
      <c r="BC1111" s="3"/>
    </row>
    <row r="1112" spans="1:55" x14ac:dyDescent="0.25">
      <c r="A1112" s="1" t="str">
        <f>'Population Definitions'!$A$6</f>
        <v>10-17_males</v>
      </c>
      <c r="C1112" t="s">
        <v>32</v>
      </c>
      <c r="D1112" s="3"/>
      <c r="E1112" s="3">
        <v>0</v>
      </c>
      <c r="F1112" s="3"/>
      <c r="G1112" s="3"/>
      <c r="H1112" s="3"/>
      <c r="I1112" s="3"/>
      <c r="J1112" s="3"/>
      <c r="K1112" s="3"/>
      <c r="L1112" s="3"/>
      <c r="M1112" s="3"/>
      <c r="N1112" s="3"/>
      <c r="O1112" s="3"/>
      <c r="P1112" s="3"/>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c r="AV1112" s="3"/>
      <c r="AW1112" s="3"/>
      <c r="AX1112" s="3"/>
      <c r="AY1112" s="3"/>
      <c r="AZ1112" s="3"/>
      <c r="BA1112" s="3"/>
      <c r="BB1112" s="3"/>
      <c r="BC1112" s="3"/>
    </row>
    <row r="1113" spans="1:55" x14ac:dyDescent="0.25">
      <c r="A1113" s="1" t="str">
        <f>'Population Definitions'!$A$7</f>
        <v>10-17_females</v>
      </c>
      <c r="C1113" t="s">
        <v>32</v>
      </c>
      <c r="D1113" s="3"/>
      <c r="E1113" s="3">
        <v>0</v>
      </c>
      <c r="F1113" s="3"/>
      <c r="G1113" s="3"/>
      <c r="H1113" s="3"/>
      <c r="I1113" s="3"/>
      <c r="J1113" s="3"/>
      <c r="K1113" s="3"/>
      <c r="L1113" s="3"/>
      <c r="M1113" s="3"/>
      <c r="N1113" s="3"/>
      <c r="O1113" s="3"/>
      <c r="P1113" s="3"/>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c r="AV1113" s="3"/>
      <c r="AW1113" s="3"/>
      <c r="AX1113" s="3"/>
      <c r="AY1113" s="3"/>
      <c r="AZ1113" s="3"/>
      <c r="BA1113" s="3"/>
      <c r="BB1113" s="3"/>
      <c r="BC1113" s="3"/>
    </row>
    <row r="1114" spans="1:55" x14ac:dyDescent="0.25">
      <c r="A1114" s="1" t="str">
        <f>'Population Definitions'!$A$8</f>
        <v>18-64_males</v>
      </c>
      <c r="C1114" t="s">
        <v>32</v>
      </c>
      <c r="D1114" s="3"/>
      <c r="E1114" s="3">
        <v>0</v>
      </c>
      <c r="F1114" s="3"/>
      <c r="G1114" s="3"/>
      <c r="H1114" s="3"/>
      <c r="I1114" s="3"/>
      <c r="J1114" s="3"/>
      <c r="K1114" s="3"/>
      <c r="L1114" s="3"/>
      <c r="M1114" s="3"/>
      <c r="N1114" s="3"/>
      <c r="O1114" s="3"/>
      <c r="P1114" s="3"/>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c r="AV1114" s="3"/>
      <c r="AW1114" s="3"/>
      <c r="AX1114" s="3"/>
      <c r="AY1114" s="3"/>
      <c r="AZ1114" s="3"/>
      <c r="BA1114" s="3"/>
      <c r="BB1114" s="3"/>
      <c r="BC1114" s="3"/>
    </row>
    <row r="1115" spans="1:55" x14ac:dyDescent="0.25">
      <c r="A1115" s="1" t="str">
        <f>'Population Definitions'!$A$9</f>
        <v>18-64_females</v>
      </c>
      <c r="C1115" t="s">
        <v>32</v>
      </c>
      <c r="D1115" s="3"/>
      <c r="E1115" s="3">
        <v>0</v>
      </c>
      <c r="F1115" s="3"/>
      <c r="G1115" s="3"/>
      <c r="H1115" s="3"/>
      <c r="I1115" s="3"/>
      <c r="J1115" s="3"/>
      <c r="K1115" s="3"/>
      <c r="L1115" s="3"/>
      <c r="M1115" s="3"/>
      <c r="N1115" s="3"/>
      <c r="O1115" s="3"/>
      <c r="P1115" s="3"/>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c r="AV1115" s="3"/>
      <c r="AW1115" s="3"/>
      <c r="AX1115" s="3"/>
      <c r="AY1115" s="3"/>
      <c r="AZ1115" s="3"/>
      <c r="BA1115" s="3"/>
      <c r="BB1115" s="3"/>
      <c r="BC1115" s="3"/>
    </row>
    <row r="1116" spans="1:55" x14ac:dyDescent="0.25">
      <c r="A1116" s="1" t="str">
        <f>'Population Definitions'!$A$10</f>
        <v>65+_males</v>
      </c>
      <c r="C1116" t="s">
        <v>32</v>
      </c>
      <c r="D1116" s="3"/>
      <c r="E1116" s="3">
        <v>0</v>
      </c>
      <c r="F1116" s="3"/>
      <c r="G1116" s="3"/>
      <c r="H1116" s="3"/>
      <c r="I1116" s="3"/>
      <c r="J1116" s="3"/>
      <c r="K1116" s="3"/>
      <c r="L1116" s="3"/>
      <c r="M1116" s="3"/>
      <c r="N1116" s="3"/>
      <c r="O1116" s="3"/>
      <c r="P1116" s="3"/>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c r="AV1116" s="3"/>
      <c r="AW1116" s="3"/>
      <c r="AX1116" s="3"/>
      <c r="AY1116" s="3"/>
      <c r="AZ1116" s="3"/>
      <c r="BA1116" s="3"/>
      <c r="BB1116" s="3"/>
      <c r="BC1116" s="3"/>
    </row>
    <row r="1117" spans="1:55" x14ac:dyDescent="0.25">
      <c r="A1117" s="1" t="str">
        <f>'Population Definitions'!$A$11</f>
        <v>65+_females</v>
      </c>
      <c r="C1117" t="s">
        <v>32</v>
      </c>
      <c r="D1117" s="3"/>
      <c r="E1117" s="3">
        <v>0</v>
      </c>
      <c r="F1117" s="3"/>
      <c r="G1117" s="3"/>
      <c r="H1117" s="3"/>
      <c r="I1117" s="3"/>
      <c r="J1117" s="3"/>
      <c r="K1117" s="3"/>
      <c r="L1117" s="3"/>
      <c r="M1117" s="3"/>
      <c r="N1117" s="3"/>
      <c r="O1117" s="3"/>
      <c r="P1117" s="3"/>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c r="AV1117" s="3"/>
      <c r="AW1117" s="3"/>
      <c r="AX1117" s="3"/>
      <c r="AY1117" s="3"/>
      <c r="AZ1117" s="3"/>
      <c r="BA1117" s="3"/>
      <c r="BB1117" s="3"/>
      <c r="BC1117" s="3"/>
    </row>
    <row r="1118" spans="1:55" x14ac:dyDescent="0.25">
      <c r="A1118" s="1" t="str">
        <f>'Population Definitions'!$A$12</f>
        <v>Prisoners_males</v>
      </c>
      <c r="C1118" t="s">
        <v>32</v>
      </c>
      <c r="D1118" s="3"/>
      <c r="E1118" s="3">
        <v>0</v>
      </c>
      <c r="F1118" s="3"/>
      <c r="G1118" s="3"/>
      <c r="H1118" s="3"/>
      <c r="I1118" s="3"/>
      <c r="J1118" s="3"/>
      <c r="K1118" s="3"/>
      <c r="L1118" s="3"/>
      <c r="M1118" s="3"/>
      <c r="N1118" s="3"/>
      <c r="O1118" s="3"/>
      <c r="P1118" s="3"/>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c r="AV1118" s="3"/>
      <c r="AW1118" s="3"/>
      <c r="AX1118" s="3"/>
      <c r="AY1118" s="3"/>
      <c r="AZ1118" s="3"/>
      <c r="BA1118" s="3"/>
      <c r="BB1118" s="3"/>
      <c r="BC1118" s="3"/>
    </row>
    <row r="1119" spans="1:55" x14ac:dyDescent="0.25">
      <c r="A1119" s="1" t="str">
        <f>'Population Definitions'!$A$13</f>
        <v>Prisoners_females</v>
      </c>
      <c r="C1119" t="s">
        <v>32</v>
      </c>
      <c r="D1119" s="3"/>
      <c r="E1119" s="3">
        <v>0</v>
      </c>
      <c r="F1119" s="3"/>
      <c r="G1119" s="3"/>
      <c r="H1119" s="3"/>
      <c r="I1119" s="3"/>
      <c r="J1119" s="3"/>
      <c r="K1119" s="3"/>
      <c r="L1119" s="3"/>
      <c r="M1119" s="3"/>
      <c r="N1119" s="3"/>
      <c r="O1119" s="3"/>
      <c r="P1119" s="3"/>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c r="AV1119" s="3"/>
      <c r="AW1119" s="3"/>
      <c r="AX1119" s="3"/>
      <c r="AY1119" s="3"/>
      <c r="AZ1119" s="3"/>
      <c r="BA1119" s="3"/>
      <c r="BB1119" s="3"/>
      <c r="BC1119" s="3"/>
    </row>
    <row r="1121" spans="1:55" x14ac:dyDescent="0.25">
      <c r="A1121" s="1" t="s">
        <v>206</v>
      </c>
      <c r="B1121" s="1" t="s">
        <v>29</v>
      </c>
      <c r="C1121" s="1" t="s">
        <v>30</v>
      </c>
      <c r="D1121" s="1" t="s">
        <v>31</v>
      </c>
      <c r="E1121" s="1">
        <v>2000</v>
      </c>
      <c r="F1121" s="1">
        <v>2001</v>
      </c>
      <c r="G1121" s="1">
        <v>2002</v>
      </c>
      <c r="H1121" s="1">
        <v>2003</v>
      </c>
      <c r="I1121" s="1">
        <v>2004</v>
      </c>
      <c r="J1121" s="1">
        <v>2005</v>
      </c>
      <c r="K1121" s="1">
        <v>2006</v>
      </c>
      <c r="L1121" s="1">
        <v>2007</v>
      </c>
      <c r="M1121" s="1">
        <v>2008</v>
      </c>
      <c r="N1121" s="1">
        <v>2009</v>
      </c>
      <c r="O1121" s="1">
        <v>2010</v>
      </c>
      <c r="P1121" s="1">
        <v>2011</v>
      </c>
      <c r="Q1121" s="1">
        <v>2012</v>
      </c>
      <c r="R1121" s="1">
        <v>2013</v>
      </c>
      <c r="S1121" s="1">
        <v>2014</v>
      </c>
      <c r="T1121" s="1">
        <v>2015</v>
      </c>
      <c r="U1121" s="1">
        <v>2016</v>
      </c>
      <c r="V1121" s="1">
        <v>2017</v>
      </c>
      <c r="W1121" s="1">
        <v>2018</v>
      </c>
      <c r="X1121" s="1">
        <v>2019</v>
      </c>
      <c r="Y1121" s="1">
        <v>2020</v>
      </c>
      <c r="Z1121" s="1">
        <v>2021</v>
      </c>
      <c r="AA1121" s="1">
        <v>2022</v>
      </c>
      <c r="AB1121" s="1">
        <v>2023</v>
      </c>
      <c r="AC1121" s="1">
        <v>2024</v>
      </c>
      <c r="AD1121" s="1">
        <v>2025</v>
      </c>
      <c r="AE1121" s="1">
        <v>2026</v>
      </c>
      <c r="AF1121" s="1">
        <v>2027</v>
      </c>
      <c r="AG1121" s="1">
        <v>2028</v>
      </c>
      <c r="AH1121" s="1">
        <v>2029</v>
      </c>
      <c r="AI1121" s="1">
        <v>2030</v>
      </c>
      <c r="AJ1121" s="1">
        <v>2031</v>
      </c>
      <c r="AK1121" s="1">
        <v>2032</v>
      </c>
      <c r="AL1121" s="1">
        <v>2033</v>
      </c>
      <c r="AM1121" s="1">
        <v>2034</v>
      </c>
      <c r="AN1121" s="1">
        <v>2035</v>
      </c>
      <c r="AO1121" s="1">
        <v>2036</v>
      </c>
      <c r="AP1121" s="1">
        <v>2037</v>
      </c>
      <c r="AQ1121" s="1">
        <v>2038</v>
      </c>
      <c r="AR1121" s="1">
        <v>2039</v>
      </c>
      <c r="AS1121" s="1">
        <v>2040</v>
      </c>
      <c r="AT1121" s="1">
        <v>2041</v>
      </c>
      <c r="AU1121" s="1">
        <v>2042</v>
      </c>
      <c r="AV1121" s="1">
        <v>2043</v>
      </c>
      <c r="AW1121" s="1">
        <v>2044</v>
      </c>
      <c r="AX1121" s="1">
        <v>2045</v>
      </c>
      <c r="AY1121" s="1">
        <v>2046</v>
      </c>
      <c r="AZ1121" s="1">
        <v>2047</v>
      </c>
      <c r="BA1121" s="1">
        <v>2048</v>
      </c>
      <c r="BB1121" s="1">
        <v>2049</v>
      </c>
      <c r="BC1121" s="1">
        <v>2050</v>
      </c>
    </row>
    <row r="1122" spans="1:55" x14ac:dyDescent="0.25">
      <c r="A1122" s="1" t="str">
        <f>'Population Definitions'!$A$2</f>
        <v>PWID_males</v>
      </c>
      <c r="C1122" t="s">
        <v>32</v>
      </c>
      <c r="D1122" s="3"/>
      <c r="E1122" s="3">
        <v>0</v>
      </c>
      <c r="F1122" s="3"/>
      <c r="G1122" s="3"/>
      <c r="H1122" s="3"/>
      <c r="I1122" s="3"/>
      <c r="J1122" s="3"/>
      <c r="K1122" s="3"/>
      <c r="L1122" s="3"/>
      <c r="M1122" s="3"/>
      <c r="N1122" s="3"/>
      <c r="O1122" s="3"/>
      <c r="P1122" s="3"/>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c r="AV1122" s="3"/>
      <c r="AW1122" s="3"/>
      <c r="AX1122" s="3"/>
      <c r="AY1122" s="3"/>
      <c r="AZ1122" s="3"/>
      <c r="BA1122" s="3"/>
      <c r="BB1122" s="3"/>
      <c r="BC1122" s="3"/>
    </row>
    <row r="1123" spans="1:55" x14ac:dyDescent="0.25">
      <c r="A1123" s="1" t="str">
        <f>'Population Definitions'!$A$3</f>
        <v>PWID_females</v>
      </c>
      <c r="C1123" t="s">
        <v>32</v>
      </c>
      <c r="D1123" s="3"/>
      <c r="E1123" s="3">
        <v>0</v>
      </c>
      <c r="F1123" s="3"/>
      <c r="G1123" s="3"/>
      <c r="H1123" s="3"/>
      <c r="I1123" s="3"/>
      <c r="J1123" s="3"/>
      <c r="K1123" s="3"/>
      <c r="L1123" s="3"/>
      <c r="M1123" s="3"/>
      <c r="N1123" s="3"/>
      <c r="O1123" s="3"/>
      <c r="P1123" s="3"/>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c r="AV1123" s="3"/>
      <c r="AW1123" s="3"/>
      <c r="AX1123" s="3"/>
      <c r="AY1123" s="3"/>
      <c r="AZ1123" s="3"/>
      <c r="BA1123" s="3"/>
      <c r="BB1123" s="3"/>
      <c r="BC1123" s="3"/>
    </row>
    <row r="1124" spans="1:55" x14ac:dyDescent="0.25">
      <c r="A1124" s="1" t="str">
        <f>'Population Definitions'!$A$4</f>
        <v>0-9_males</v>
      </c>
      <c r="C1124" t="s">
        <v>32</v>
      </c>
      <c r="D1124" s="3"/>
      <c r="E1124" s="3">
        <v>0</v>
      </c>
      <c r="F1124" s="3"/>
      <c r="G1124" s="3"/>
      <c r="H1124" s="3"/>
      <c r="I1124" s="3"/>
      <c r="J1124" s="3"/>
      <c r="K1124" s="3"/>
      <c r="L1124" s="3"/>
      <c r="M1124" s="3"/>
      <c r="N1124" s="3"/>
      <c r="O1124" s="3"/>
      <c r="P1124" s="3"/>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c r="AV1124" s="3"/>
      <c r="AW1124" s="3"/>
      <c r="AX1124" s="3"/>
      <c r="AY1124" s="3"/>
      <c r="AZ1124" s="3"/>
      <c r="BA1124" s="3"/>
      <c r="BB1124" s="3"/>
      <c r="BC1124" s="3"/>
    </row>
    <row r="1125" spans="1:55" x14ac:dyDescent="0.25">
      <c r="A1125" s="1" t="str">
        <f>'Population Definitions'!$A$5</f>
        <v>0-9_females</v>
      </c>
      <c r="C1125" t="s">
        <v>32</v>
      </c>
      <c r="D1125" s="3"/>
      <c r="E1125" s="3">
        <v>0</v>
      </c>
      <c r="F1125" s="3"/>
      <c r="G1125" s="3"/>
      <c r="H1125" s="3"/>
      <c r="I1125" s="3"/>
      <c r="J1125" s="3"/>
      <c r="K1125" s="3"/>
      <c r="L1125" s="3"/>
      <c r="M1125" s="3"/>
      <c r="N1125" s="3"/>
      <c r="O1125" s="3"/>
      <c r="P1125" s="3"/>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c r="AV1125" s="3"/>
      <c r="AW1125" s="3"/>
      <c r="AX1125" s="3"/>
      <c r="AY1125" s="3"/>
      <c r="AZ1125" s="3"/>
      <c r="BA1125" s="3"/>
      <c r="BB1125" s="3"/>
      <c r="BC1125" s="3"/>
    </row>
    <row r="1126" spans="1:55" x14ac:dyDescent="0.25">
      <c r="A1126" s="1" t="str">
        <f>'Population Definitions'!$A$6</f>
        <v>10-17_males</v>
      </c>
      <c r="C1126" t="s">
        <v>32</v>
      </c>
      <c r="D1126" s="3"/>
      <c r="E1126" s="3">
        <v>0</v>
      </c>
      <c r="F1126" s="3"/>
      <c r="G1126" s="3"/>
      <c r="H1126" s="3"/>
      <c r="I1126" s="3"/>
      <c r="J1126" s="3"/>
      <c r="K1126" s="3"/>
      <c r="L1126" s="3"/>
      <c r="M1126" s="3"/>
      <c r="N1126" s="3"/>
      <c r="O1126" s="3"/>
      <c r="P1126" s="3"/>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c r="AV1126" s="3"/>
      <c r="AW1126" s="3"/>
      <c r="AX1126" s="3"/>
      <c r="AY1126" s="3"/>
      <c r="AZ1126" s="3"/>
      <c r="BA1126" s="3"/>
      <c r="BB1126" s="3"/>
      <c r="BC1126" s="3"/>
    </row>
    <row r="1127" spans="1:55" x14ac:dyDescent="0.25">
      <c r="A1127" s="1" t="str">
        <f>'Population Definitions'!$A$7</f>
        <v>10-17_females</v>
      </c>
      <c r="C1127" t="s">
        <v>32</v>
      </c>
      <c r="D1127" s="3"/>
      <c r="E1127" s="3">
        <v>0</v>
      </c>
      <c r="F1127" s="3"/>
      <c r="G1127" s="3"/>
      <c r="H1127" s="3"/>
      <c r="I1127" s="3"/>
      <c r="J1127" s="3"/>
      <c r="K1127" s="3"/>
      <c r="L1127" s="3"/>
      <c r="M1127" s="3"/>
      <c r="N1127" s="3"/>
      <c r="O1127" s="3"/>
      <c r="P1127" s="3"/>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c r="AV1127" s="3"/>
      <c r="AW1127" s="3"/>
      <c r="AX1127" s="3"/>
      <c r="AY1127" s="3"/>
      <c r="AZ1127" s="3"/>
      <c r="BA1127" s="3"/>
      <c r="BB1127" s="3"/>
      <c r="BC1127" s="3"/>
    </row>
    <row r="1128" spans="1:55" x14ac:dyDescent="0.25">
      <c r="A1128" s="1" t="str">
        <f>'Population Definitions'!$A$8</f>
        <v>18-64_males</v>
      </c>
      <c r="C1128" t="s">
        <v>32</v>
      </c>
      <c r="D1128" s="3"/>
      <c r="E1128" s="3">
        <v>0</v>
      </c>
      <c r="F1128" s="3"/>
      <c r="G1128" s="3"/>
      <c r="H1128" s="3"/>
      <c r="I1128" s="3"/>
      <c r="J1128" s="3"/>
      <c r="K1128" s="3"/>
      <c r="L1128" s="3"/>
      <c r="M1128" s="3"/>
      <c r="N1128" s="3"/>
      <c r="O1128" s="3"/>
      <c r="P1128" s="3"/>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c r="AV1128" s="3"/>
      <c r="AW1128" s="3"/>
      <c r="AX1128" s="3"/>
      <c r="AY1128" s="3"/>
      <c r="AZ1128" s="3"/>
      <c r="BA1128" s="3"/>
      <c r="BB1128" s="3"/>
      <c r="BC1128" s="3"/>
    </row>
    <row r="1129" spans="1:55" x14ac:dyDescent="0.25">
      <c r="A1129" s="1" t="str">
        <f>'Population Definitions'!$A$9</f>
        <v>18-64_females</v>
      </c>
      <c r="C1129" t="s">
        <v>32</v>
      </c>
      <c r="D1129" s="3"/>
      <c r="E1129" s="3">
        <v>0</v>
      </c>
      <c r="F1129" s="3"/>
      <c r="G1129" s="3"/>
      <c r="H1129" s="3"/>
      <c r="I1129" s="3"/>
      <c r="J1129" s="3"/>
      <c r="K1129" s="3"/>
      <c r="L1129" s="3"/>
      <c r="M1129" s="3"/>
      <c r="N1129" s="3"/>
      <c r="O1129" s="3"/>
      <c r="P1129" s="3"/>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c r="AV1129" s="3"/>
      <c r="AW1129" s="3"/>
      <c r="AX1129" s="3"/>
      <c r="AY1129" s="3"/>
      <c r="AZ1129" s="3"/>
      <c r="BA1129" s="3"/>
      <c r="BB1129" s="3"/>
      <c r="BC1129" s="3"/>
    </row>
    <row r="1130" spans="1:55" x14ac:dyDescent="0.25">
      <c r="A1130" s="1" t="str">
        <f>'Population Definitions'!$A$10</f>
        <v>65+_males</v>
      </c>
      <c r="C1130" t="s">
        <v>32</v>
      </c>
      <c r="D1130" s="3"/>
      <c r="E1130" s="3">
        <v>0</v>
      </c>
      <c r="F1130" s="3"/>
      <c r="G1130" s="3"/>
      <c r="H1130" s="3"/>
      <c r="I1130" s="3"/>
      <c r="J1130" s="3"/>
      <c r="K1130" s="3"/>
      <c r="L1130" s="3"/>
      <c r="M1130" s="3"/>
      <c r="N1130" s="3"/>
      <c r="O1130" s="3"/>
      <c r="P1130" s="3"/>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c r="AV1130" s="3"/>
      <c r="AW1130" s="3"/>
      <c r="AX1130" s="3"/>
      <c r="AY1130" s="3"/>
      <c r="AZ1130" s="3"/>
      <c r="BA1130" s="3"/>
      <c r="BB1130" s="3"/>
      <c r="BC1130" s="3"/>
    </row>
    <row r="1131" spans="1:55" x14ac:dyDescent="0.25">
      <c r="A1131" s="1" t="str">
        <f>'Population Definitions'!$A$11</f>
        <v>65+_females</v>
      </c>
      <c r="C1131" t="s">
        <v>32</v>
      </c>
      <c r="D1131" s="3"/>
      <c r="E1131" s="3">
        <v>0</v>
      </c>
      <c r="F1131" s="3"/>
      <c r="G1131" s="3"/>
      <c r="H1131" s="3"/>
      <c r="I1131" s="3"/>
      <c r="J1131" s="3"/>
      <c r="K1131" s="3"/>
      <c r="L1131" s="3"/>
      <c r="M1131" s="3"/>
      <c r="N1131" s="3"/>
      <c r="O1131" s="3"/>
      <c r="P1131" s="3"/>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c r="AV1131" s="3"/>
      <c r="AW1131" s="3"/>
      <c r="AX1131" s="3"/>
      <c r="AY1131" s="3"/>
      <c r="AZ1131" s="3"/>
      <c r="BA1131" s="3"/>
      <c r="BB1131" s="3"/>
      <c r="BC1131" s="3"/>
    </row>
    <row r="1132" spans="1:55" x14ac:dyDescent="0.25">
      <c r="A1132" s="1" t="str">
        <f>'Population Definitions'!$A$12</f>
        <v>Prisoners_males</v>
      </c>
      <c r="C1132" t="s">
        <v>32</v>
      </c>
      <c r="D1132" s="3"/>
      <c r="E1132" s="3">
        <v>0</v>
      </c>
      <c r="F1132" s="3"/>
      <c r="G1132" s="3"/>
      <c r="H1132" s="3"/>
      <c r="I1132" s="3"/>
      <c r="J1132" s="3"/>
      <c r="K1132" s="3"/>
      <c r="L1132" s="3"/>
      <c r="M1132" s="3"/>
      <c r="N1132" s="3"/>
      <c r="O1132" s="3"/>
      <c r="P1132" s="3"/>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c r="AV1132" s="3"/>
      <c r="AW1132" s="3"/>
      <c r="AX1132" s="3"/>
      <c r="AY1132" s="3"/>
      <c r="AZ1132" s="3"/>
      <c r="BA1132" s="3"/>
      <c r="BB1132" s="3"/>
      <c r="BC1132" s="3"/>
    </row>
    <row r="1133" spans="1:55" x14ac:dyDescent="0.25">
      <c r="A1133" s="1" t="str">
        <f>'Population Definitions'!$A$13</f>
        <v>Prisoners_females</v>
      </c>
      <c r="C1133" t="s">
        <v>32</v>
      </c>
      <c r="D1133" s="3"/>
      <c r="E1133" s="3">
        <v>0</v>
      </c>
      <c r="F1133" s="3"/>
      <c r="G1133" s="3"/>
      <c r="H1133" s="3"/>
      <c r="I1133" s="3"/>
      <c r="J1133" s="3"/>
      <c r="K1133" s="3"/>
      <c r="L1133" s="3"/>
      <c r="M1133" s="3"/>
      <c r="N1133" s="3"/>
      <c r="O1133" s="3"/>
      <c r="P1133" s="3"/>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c r="AV1133" s="3"/>
      <c r="AW1133" s="3"/>
      <c r="AX1133" s="3"/>
      <c r="AY1133" s="3"/>
      <c r="AZ1133" s="3"/>
      <c r="BA1133" s="3"/>
      <c r="BB1133" s="3"/>
      <c r="BC1133" s="3"/>
    </row>
    <row r="1135" spans="1:55" x14ac:dyDescent="0.25">
      <c r="A1135" s="1" t="s">
        <v>207</v>
      </c>
      <c r="B1135" s="1" t="s">
        <v>29</v>
      </c>
      <c r="C1135" s="1" t="s">
        <v>30</v>
      </c>
      <c r="D1135" s="1" t="s">
        <v>31</v>
      </c>
      <c r="E1135" s="1">
        <v>2000</v>
      </c>
      <c r="F1135" s="1">
        <v>2001</v>
      </c>
      <c r="G1135" s="1">
        <v>2002</v>
      </c>
      <c r="H1135" s="1">
        <v>2003</v>
      </c>
      <c r="I1135" s="1">
        <v>2004</v>
      </c>
      <c r="J1135" s="1">
        <v>2005</v>
      </c>
      <c r="K1135" s="1">
        <v>2006</v>
      </c>
      <c r="L1135" s="1">
        <v>2007</v>
      </c>
      <c r="M1135" s="1">
        <v>2008</v>
      </c>
      <c r="N1135" s="1">
        <v>2009</v>
      </c>
      <c r="O1135" s="1">
        <v>2010</v>
      </c>
      <c r="P1135" s="1">
        <v>2011</v>
      </c>
      <c r="Q1135" s="1">
        <v>2012</v>
      </c>
      <c r="R1135" s="1">
        <v>2013</v>
      </c>
      <c r="S1135" s="1">
        <v>2014</v>
      </c>
      <c r="T1135" s="1">
        <v>2015</v>
      </c>
      <c r="U1135" s="1">
        <v>2016</v>
      </c>
      <c r="V1135" s="1">
        <v>2017</v>
      </c>
      <c r="W1135" s="1">
        <v>2018</v>
      </c>
      <c r="X1135" s="1">
        <v>2019</v>
      </c>
      <c r="Y1135" s="1">
        <v>2020</v>
      </c>
      <c r="Z1135" s="1">
        <v>2021</v>
      </c>
      <c r="AA1135" s="1">
        <v>2022</v>
      </c>
      <c r="AB1135" s="1">
        <v>2023</v>
      </c>
      <c r="AC1135" s="1">
        <v>2024</v>
      </c>
      <c r="AD1135" s="1">
        <v>2025</v>
      </c>
      <c r="AE1135" s="1">
        <v>2026</v>
      </c>
      <c r="AF1135" s="1">
        <v>2027</v>
      </c>
      <c r="AG1135" s="1">
        <v>2028</v>
      </c>
      <c r="AH1135" s="1">
        <v>2029</v>
      </c>
      <c r="AI1135" s="1">
        <v>2030</v>
      </c>
      <c r="AJ1135" s="1">
        <v>2031</v>
      </c>
      <c r="AK1135" s="1">
        <v>2032</v>
      </c>
      <c r="AL1135" s="1">
        <v>2033</v>
      </c>
      <c r="AM1135" s="1">
        <v>2034</v>
      </c>
      <c r="AN1135" s="1">
        <v>2035</v>
      </c>
      <c r="AO1135" s="1">
        <v>2036</v>
      </c>
      <c r="AP1135" s="1">
        <v>2037</v>
      </c>
      <c r="AQ1135" s="1">
        <v>2038</v>
      </c>
      <c r="AR1135" s="1">
        <v>2039</v>
      </c>
      <c r="AS1135" s="1">
        <v>2040</v>
      </c>
      <c r="AT1135" s="1">
        <v>2041</v>
      </c>
      <c r="AU1135" s="1">
        <v>2042</v>
      </c>
      <c r="AV1135" s="1">
        <v>2043</v>
      </c>
      <c r="AW1135" s="1">
        <v>2044</v>
      </c>
      <c r="AX1135" s="1">
        <v>2045</v>
      </c>
      <c r="AY1135" s="1">
        <v>2046</v>
      </c>
      <c r="AZ1135" s="1">
        <v>2047</v>
      </c>
      <c r="BA1135" s="1">
        <v>2048</v>
      </c>
      <c r="BB1135" s="1">
        <v>2049</v>
      </c>
      <c r="BC1135" s="1">
        <v>2050</v>
      </c>
    </row>
    <row r="1136" spans="1:55" x14ac:dyDescent="0.25">
      <c r="A1136" s="1" t="str">
        <f>'Population Definitions'!$A$2</f>
        <v>PWID_males</v>
      </c>
      <c r="C1136" t="s">
        <v>32</v>
      </c>
      <c r="D1136" s="3"/>
      <c r="E1136" s="3">
        <v>0</v>
      </c>
      <c r="F1136" s="3"/>
      <c r="G1136" s="3"/>
      <c r="H1136" s="3"/>
      <c r="I1136" s="3"/>
      <c r="J1136" s="3"/>
      <c r="K1136" s="3"/>
      <c r="L1136" s="3"/>
      <c r="M1136" s="3"/>
      <c r="N1136" s="3"/>
      <c r="O1136" s="3"/>
      <c r="P1136" s="3"/>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c r="AV1136" s="3"/>
      <c r="AW1136" s="3"/>
      <c r="AX1136" s="3"/>
      <c r="AY1136" s="3"/>
      <c r="AZ1136" s="3"/>
      <c r="BA1136" s="3"/>
      <c r="BB1136" s="3"/>
      <c r="BC1136" s="3"/>
    </row>
    <row r="1137" spans="1:55" x14ac:dyDescent="0.25">
      <c r="A1137" s="1" t="str">
        <f>'Population Definitions'!$A$3</f>
        <v>PWID_females</v>
      </c>
      <c r="C1137" t="s">
        <v>32</v>
      </c>
      <c r="D1137" s="3"/>
      <c r="E1137" s="3">
        <v>0</v>
      </c>
      <c r="F1137" s="3"/>
      <c r="G1137" s="3"/>
      <c r="H1137" s="3"/>
      <c r="I1137" s="3"/>
      <c r="J1137" s="3"/>
      <c r="K1137" s="3"/>
      <c r="L1137" s="3"/>
      <c r="M1137" s="3"/>
      <c r="N1137" s="3"/>
      <c r="O1137" s="3"/>
      <c r="P1137" s="3"/>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c r="AV1137" s="3"/>
      <c r="AW1137" s="3"/>
      <c r="AX1137" s="3"/>
      <c r="AY1137" s="3"/>
      <c r="AZ1137" s="3"/>
      <c r="BA1137" s="3"/>
      <c r="BB1137" s="3"/>
      <c r="BC1137" s="3"/>
    </row>
    <row r="1138" spans="1:55" x14ac:dyDescent="0.25">
      <c r="A1138" s="1" t="str">
        <f>'Population Definitions'!$A$4</f>
        <v>0-9_males</v>
      </c>
      <c r="C1138" t="s">
        <v>32</v>
      </c>
      <c r="D1138" s="3"/>
      <c r="E1138" s="3">
        <v>0</v>
      </c>
      <c r="F1138" s="3"/>
      <c r="G1138" s="3"/>
      <c r="H1138" s="3"/>
      <c r="I1138" s="3"/>
      <c r="J1138" s="3"/>
      <c r="K1138" s="3"/>
      <c r="L1138" s="3"/>
      <c r="M1138" s="3"/>
      <c r="N1138" s="3"/>
      <c r="O1138" s="3"/>
      <c r="P1138" s="3"/>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c r="AV1138" s="3"/>
      <c r="AW1138" s="3"/>
      <c r="AX1138" s="3"/>
      <c r="AY1138" s="3"/>
      <c r="AZ1138" s="3"/>
      <c r="BA1138" s="3"/>
      <c r="BB1138" s="3"/>
      <c r="BC1138" s="3"/>
    </row>
    <row r="1139" spans="1:55" x14ac:dyDescent="0.25">
      <c r="A1139" s="1" t="str">
        <f>'Population Definitions'!$A$5</f>
        <v>0-9_females</v>
      </c>
      <c r="C1139" t="s">
        <v>32</v>
      </c>
      <c r="D1139" s="3"/>
      <c r="E1139" s="3">
        <v>0</v>
      </c>
      <c r="F1139" s="3"/>
      <c r="G1139" s="3"/>
      <c r="H1139" s="3"/>
      <c r="I1139" s="3"/>
      <c r="J1139" s="3"/>
      <c r="K1139" s="3"/>
      <c r="L1139" s="3"/>
      <c r="M1139" s="3"/>
      <c r="N1139" s="3"/>
      <c r="O1139" s="3"/>
      <c r="P1139" s="3"/>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c r="AV1139" s="3"/>
      <c r="AW1139" s="3"/>
      <c r="AX1139" s="3"/>
      <c r="AY1139" s="3"/>
      <c r="AZ1139" s="3"/>
      <c r="BA1139" s="3"/>
      <c r="BB1139" s="3"/>
      <c r="BC1139" s="3"/>
    </row>
    <row r="1140" spans="1:55" x14ac:dyDescent="0.25">
      <c r="A1140" s="1" t="str">
        <f>'Population Definitions'!$A$6</f>
        <v>10-17_males</v>
      </c>
      <c r="C1140" t="s">
        <v>32</v>
      </c>
      <c r="D1140" s="3"/>
      <c r="E1140" s="3">
        <v>0</v>
      </c>
      <c r="F1140" s="3"/>
      <c r="G1140" s="3"/>
      <c r="H1140" s="3"/>
      <c r="I1140" s="3"/>
      <c r="J1140" s="3"/>
      <c r="K1140" s="3"/>
      <c r="L1140" s="3"/>
      <c r="M1140" s="3"/>
      <c r="N1140" s="3"/>
      <c r="O1140" s="3"/>
      <c r="P1140" s="3"/>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c r="AV1140" s="3"/>
      <c r="AW1140" s="3"/>
      <c r="AX1140" s="3"/>
      <c r="AY1140" s="3"/>
      <c r="AZ1140" s="3"/>
      <c r="BA1140" s="3"/>
      <c r="BB1140" s="3"/>
      <c r="BC1140" s="3"/>
    </row>
    <row r="1141" spans="1:55" x14ac:dyDescent="0.25">
      <c r="A1141" s="1" t="str">
        <f>'Population Definitions'!$A$7</f>
        <v>10-17_females</v>
      </c>
      <c r="C1141" t="s">
        <v>32</v>
      </c>
      <c r="D1141" s="3"/>
      <c r="E1141" s="3">
        <v>0</v>
      </c>
      <c r="F1141" s="3"/>
      <c r="G1141" s="3"/>
      <c r="H1141" s="3"/>
      <c r="I1141" s="3"/>
      <c r="J1141" s="3"/>
      <c r="K1141" s="3"/>
      <c r="L1141" s="3"/>
      <c r="M1141" s="3"/>
      <c r="N1141" s="3"/>
      <c r="O1141" s="3"/>
      <c r="P1141" s="3"/>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c r="AV1141" s="3"/>
      <c r="AW1141" s="3"/>
      <c r="AX1141" s="3"/>
      <c r="AY1141" s="3"/>
      <c r="AZ1141" s="3"/>
      <c r="BA1141" s="3"/>
      <c r="BB1141" s="3"/>
      <c r="BC1141" s="3"/>
    </row>
    <row r="1142" spans="1:55" x14ac:dyDescent="0.25">
      <c r="A1142" s="1" t="str">
        <f>'Population Definitions'!$A$8</f>
        <v>18-64_males</v>
      </c>
      <c r="C1142" t="s">
        <v>32</v>
      </c>
      <c r="D1142" s="3"/>
      <c r="E1142" s="3">
        <v>0</v>
      </c>
      <c r="F1142" s="3"/>
      <c r="G1142" s="3"/>
      <c r="H1142" s="3"/>
      <c r="I1142" s="3"/>
      <c r="J1142" s="3"/>
      <c r="K1142" s="3"/>
      <c r="L1142" s="3"/>
      <c r="M1142" s="3"/>
      <c r="N1142" s="3"/>
      <c r="O1142" s="3"/>
      <c r="P1142" s="3"/>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c r="AV1142" s="3"/>
      <c r="AW1142" s="3"/>
      <c r="AX1142" s="3"/>
      <c r="AY1142" s="3"/>
      <c r="AZ1142" s="3"/>
      <c r="BA1142" s="3"/>
      <c r="BB1142" s="3"/>
      <c r="BC1142" s="3"/>
    </row>
    <row r="1143" spans="1:55" x14ac:dyDescent="0.25">
      <c r="A1143" s="1" t="str">
        <f>'Population Definitions'!$A$9</f>
        <v>18-64_females</v>
      </c>
      <c r="C1143" t="s">
        <v>32</v>
      </c>
      <c r="D1143" s="3"/>
      <c r="E1143" s="3">
        <v>0</v>
      </c>
      <c r="F1143" s="3"/>
      <c r="G1143" s="3"/>
      <c r="H1143" s="3"/>
      <c r="I1143" s="3"/>
      <c r="J1143" s="3"/>
      <c r="K1143" s="3"/>
      <c r="L1143" s="3"/>
      <c r="M1143" s="3"/>
      <c r="N1143" s="3"/>
      <c r="O1143" s="3"/>
      <c r="P1143" s="3"/>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c r="AV1143" s="3"/>
      <c r="AW1143" s="3"/>
      <c r="AX1143" s="3"/>
      <c r="AY1143" s="3"/>
      <c r="AZ1143" s="3"/>
      <c r="BA1143" s="3"/>
      <c r="BB1143" s="3"/>
      <c r="BC1143" s="3"/>
    </row>
    <row r="1144" spans="1:55" x14ac:dyDescent="0.25">
      <c r="A1144" s="1" t="str">
        <f>'Population Definitions'!$A$10</f>
        <v>65+_males</v>
      </c>
      <c r="C1144" t="s">
        <v>32</v>
      </c>
      <c r="D1144" s="3"/>
      <c r="E1144" s="3">
        <v>0</v>
      </c>
      <c r="F1144" s="3"/>
      <c r="G1144" s="3"/>
      <c r="H1144" s="3"/>
      <c r="I1144" s="3"/>
      <c r="J1144" s="3"/>
      <c r="K1144" s="3"/>
      <c r="L1144" s="3"/>
      <c r="M1144" s="3"/>
      <c r="N1144" s="3"/>
      <c r="O1144" s="3"/>
      <c r="P1144" s="3"/>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c r="AV1144" s="3"/>
      <c r="AW1144" s="3"/>
      <c r="AX1144" s="3"/>
      <c r="AY1144" s="3"/>
      <c r="AZ1144" s="3"/>
      <c r="BA1144" s="3"/>
      <c r="BB1144" s="3"/>
      <c r="BC1144" s="3"/>
    </row>
    <row r="1145" spans="1:55" x14ac:dyDescent="0.25">
      <c r="A1145" s="1" t="str">
        <f>'Population Definitions'!$A$11</f>
        <v>65+_females</v>
      </c>
      <c r="C1145" t="s">
        <v>32</v>
      </c>
      <c r="D1145" s="3"/>
      <c r="E1145" s="3">
        <v>0</v>
      </c>
      <c r="F1145" s="3"/>
      <c r="G1145" s="3"/>
      <c r="H1145" s="3"/>
      <c r="I1145" s="3"/>
      <c r="J1145" s="3"/>
      <c r="K1145" s="3"/>
      <c r="L1145" s="3"/>
      <c r="M1145" s="3"/>
      <c r="N1145" s="3"/>
      <c r="O1145" s="3"/>
      <c r="P1145" s="3"/>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c r="AV1145" s="3"/>
      <c r="AW1145" s="3"/>
      <c r="AX1145" s="3"/>
      <c r="AY1145" s="3"/>
      <c r="AZ1145" s="3"/>
      <c r="BA1145" s="3"/>
      <c r="BB1145" s="3"/>
      <c r="BC1145" s="3"/>
    </row>
    <row r="1146" spans="1:55" x14ac:dyDescent="0.25">
      <c r="A1146" s="1" t="str">
        <f>'Population Definitions'!$A$12</f>
        <v>Prisoners_males</v>
      </c>
      <c r="C1146" t="s">
        <v>32</v>
      </c>
      <c r="D1146" s="3"/>
      <c r="E1146" s="3">
        <v>0</v>
      </c>
      <c r="F1146" s="3"/>
      <c r="G1146" s="3"/>
      <c r="H1146" s="3"/>
      <c r="I1146" s="3"/>
      <c r="J1146" s="3"/>
      <c r="K1146" s="3"/>
      <c r="L1146" s="3"/>
      <c r="M1146" s="3"/>
      <c r="N1146" s="3"/>
      <c r="O1146" s="3"/>
      <c r="P1146" s="3"/>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c r="AV1146" s="3"/>
      <c r="AW1146" s="3"/>
      <c r="AX1146" s="3"/>
      <c r="AY1146" s="3"/>
      <c r="AZ1146" s="3"/>
      <c r="BA1146" s="3"/>
      <c r="BB1146" s="3"/>
      <c r="BC1146" s="3"/>
    </row>
    <row r="1147" spans="1:55" x14ac:dyDescent="0.25">
      <c r="A1147" s="1" t="str">
        <f>'Population Definitions'!$A$13</f>
        <v>Prisoners_females</v>
      </c>
      <c r="C1147" t="s">
        <v>32</v>
      </c>
      <c r="D1147" s="3"/>
      <c r="E1147" s="3">
        <v>0</v>
      </c>
      <c r="F1147" s="3"/>
      <c r="G1147" s="3"/>
      <c r="H1147" s="3"/>
      <c r="I1147" s="3"/>
      <c r="J1147" s="3"/>
      <c r="K1147" s="3"/>
      <c r="L1147" s="3"/>
      <c r="M1147" s="3"/>
      <c r="N1147" s="3"/>
      <c r="O1147" s="3"/>
      <c r="P1147" s="3"/>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c r="AV1147" s="3"/>
      <c r="AW1147" s="3"/>
      <c r="AX1147" s="3"/>
      <c r="AY1147" s="3"/>
      <c r="AZ1147" s="3"/>
      <c r="BA1147" s="3"/>
      <c r="BB1147" s="3"/>
      <c r="BC1147" s="3"/>
    </row>
    <row r="1149" spans="1:55" x14ac:dyDescent="0.25">
      <c r="A1149" s="1" t="s">
        <v>208</v>
      </c>
      <c r="B1149" s="1" t="s">
        <v>29</v>
      </c>
      <c r="C1149" s="1" t="s">
        <v>30</v>
      </c>
      <c r="D1149" s="1" t="s">
        <v>31</v>
      </c>
      <c r="E1149" s="1">
        <v>2000</v>
      </c>
      <c r="F1149" s="1">
        <v>2001</v>
      </c>
      <c r="G1149" s="1">
        <v>2002</v>
      </c>
      <c r="H1149" s="1">
        <v>2003</v>
      </c>
      <c r="I1149" s="1">
        <v>2004</v>
      </c>
      <c r="J1149" s="1">
        <v>2005</v>
      </c>
      <c r="K1149" s="1">
        <v>2006</v>
      </c>
      <c r="L1149" s="1">
        <v>2007</v>
      </c>
      <c r="M1149" s="1">
        <v>2008</v>
      </c>
      <c r="N1149" s="1">
        <v>2009</v>
      </c>
      <c r="O1149" s="1">
        <v>2010</v>
      </c>
      <c r="P1149" s="1">
        <v>2011</v>
      </c>
      <c r="Q1149" s="1">
        <v>2012</v>
      </c>
      <c r="R1149" s="1">
        <v>2013</v>
      </c>
      <c r="S1149" s="1">
        <v>2014</v>
      </c>
      <c r="T1149" s="1">
        <v>2015</v>
      </c>
      <c r="U1149" s="1">
        <v>2016</v>
      </c>
      <c r="V1149" s="1">
        <v>2017</v>
      </c>
      <c r="W1149" s="1">
        <v>2018</v>
      </c>
      <c r="X1149" s="1">
        <v>2019</v>
      </c>
      <c r="Y1149" s="1">
        <v>2020</v>
      </c>
      <c r="Z1149" s="1">
        <v>2021</v>
      </c>
      <c r="AA1149" s="1">
        <v>2022</v>
      </c>
      <c r="AB1149" s="1">
        <v>2023</v>
      </c>
      <c r="AC1149" s="1">
        <v>2024</v>
      </c>
      <c r="AD1149" s="1">
        <v>2025</v>
      </c>
      <c r="AE1149" s="1">
        <v>2026</v>
      </c>
      <c r="AF1149" s="1">
        <v>2027</v>
      </c>
      <c r="AG1149" s="1">
        <v>2028</v>
      </c>
      <c r="AH1149" s="1">
        <v>2029</v>
      </c>
      <c r="AI1149" s="1">
        <v>2030</v>
      </c>
      <c r="AJ1149" s="1">
        <v>2031</v>
      </c>
      <c r="AK1149" s="1">
        <v>2032</v>
      </c>
      <c r="AL1149" s="1">
        <v>2033</v>
      </c>
      <c r="AM1149" s="1">
        <v>2034</v>
      </c>
      <c r="AN1149" s="1">
        <v>2035</v>
      </c>
      <c r="AO1149" s="1">
        <v>2036</v>
      </c>
      <c r="AP1149" s="1">
        <v>2037</v>
      </c>
      <c r="AQ1149" s="1">
        <v>2038</v>
      </c>
      <c r="AR1149" s="1">
        <v>2039</v>
      </c>
      <c r="AS1149" s="1">
        <v>2040</v>
      </c>
      <c r="AT1149" s="1">
        <v>2041</v>
      </c>
      <c r="AU1149" s="1">
        <v>2042</v>
      </c>
      <c r="AV1149" s="1">
        <v>2043</v>
      </c>
      <c r="AW1149" s="1">
        <v>2044</v>
      </c>
      <c r="AX1149" s="1">
        <v>2045</v>
      </c>
      <c r="AY1149" s="1">
        <v>2046</v>
      </c>
      <c r="AZ1149" s="1">
        <v>2047</v>
      </c>
      <c r="BA1149" s="1">
        <v>2048</v>
      </c>
      <c r="BB1149" s="1">
        <v>2049</v>
      </c>
      <c r="BC1149" s="1">
        <v>2050</v>
      </c>
    </row>
    <row r="1150" spans="1:55" x14ac:dyDescent="0.25">
      <c r="A1150" s="1" t="str">
        <f>'Population Definitions'!$A$2</f>
        <v>PWID_males</v>
      </c>
      <c r="C1150" t="s">
        <v>32</v>
      </c>
      <c r="D1150" s="3"/>
      <c r="E1150" s="3">
        <v>0</v>
      </c>
      <c r="F1150" s="3"/>
      <c r="G1150" s="3"/>
      <c r="H1150" s="3"/>
      <c r="I1150" s="3"/>
      <c r="J1150" s="3"/>
      <c r="K1150" s="3"/>
      <c r="L1150" s="3"/>
      <c r="M1150" s="3"/>
      <c r="N1150" s="3"/>
      <c r="O1150" s="3"/>
      <c r="P1150" s="3"/>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c r="AV1150" s="3"/>
      <c r="AW1150" s="3"/>
      <c r="AX1150" s="3"/>
      <c r="AY1150" s="3"/>
      <c r="AZ1150" s="3"/>
      <c r="BA1150" s="3"/>
      <c r="BB1150" s="3"/>
      <c r="BC1150" s="3"/>
    </row>
    <row r="1151" spans="1:55" x14ac:dyDescent="0.25">
      <c r="A1151" s="1" t="str">
        <f>'Population Definitions'!$A$3</f>
        <v>PWID_females</v>
      </c>
      <c r="C1151" t="s">
        <v>32</v>
      </c>
      <c r="D1151" s="3"/>
      <c r="E1151" s="3">
        <v>0</v>
      </c>
      <c r="F1151" s="3"/>
      <c r="G1151" s="3"/>
      <c r="H1151" s="3"/>
      <c r="I1151" s="3"/>
      <c r="J1151" s="3"/>
      <c r="K1151" s="3"/>
      <c r="L1151" s="3"/>
      <c r="M1151" s="3"/>
      <c r="N1151" s="3"/>
      <c r="O1151" s="3"/>
      <c r="P1151" s="3"/>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c r="AV1151" s="3"/>
      <c r="AW1151" s="3"/>
      <c r="AX1151" s="3"/>
      <c r="AY1151" s="3"/>
      <c r="AZ1151" s="3"/>
      <c r="BA1151" s="3"/>
      <c r="BB1151" s="3"/>
      <c r="BC1151" s="3"/>
    </row>
    <row r="1152" spans="1:55" x14ac:dyDescent="0.25">
      <c r="A1152" s="1" t="str">
        <f>'Population Definitions'!$A$4</f>
        <v>0-9_males</v>
      </c>
      <c r="C1152" t="s">
        <v>32</v>
      </c>
      <c r="D1152" s="3"/>
      <c r="E1152" s="3">
        <v>0</v>
      </c>
      <c r="F1152" s="3"/>
      <c r="G1152" s="3"/>
      <c r="H1152" s="3"/>
      <c r="I1152" s="3"/>
      <c r="J1152" s="3"/>
      <c r="K1152" s="3"/>
      <c r="L1152" s="3"/>
      <c r="M1152" s="3"/>
      <c r="N1152" s="3"/>
      <c r="O1152" s="3"/>
      <c r="P1152" s="3"/>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c r="AV1152" s="3"/>
      <c r="AW1152" s="3"/>
      <c r="AX1152" s="3"/>
      <c r="AY1152" s="3"/>
      <c r="AZ1152" s="3"/>
      <c r="BA1152" s="3"/>
      <c r="BB1152" s="3"/>
      <c r="BC1152" s="3"/>
    </row>
    <row r="1153" spans="1:55" x14ac:dyDescent="0.25">
      <c r="A1153" s="1" t="str">
        <f>'Population Definitions'!$A$5</f>
        <v>0-9_females</v>
      </c>
      <c r="C1153" t="s">
        <v>32</v>
      </c>
      <c r="D1153" s="3"/>
      <c r="E1153" s="3">
        <v>0</v>
      </c>
      <c r="F1153" s="3"/>
      <c r="G1153" s="3"/>
      <c r="H1153" s="3"/>
      <c r="I1153" s="3"/>
      <c r="J1153" s="3"/>
      <c r="K1153" s="3"/>
      <c r="L1153" s="3"/>
      <c r="M1153" s="3"/>
      <c r="N1153" s="3"/>
      <c r="O1153" s="3"/>
      <c r="P1153" s="3"/>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c r="AV1153" s="3"/>
      <c r="AW1153" s="3"/>
      <c r="AX1153" s="3"/>
      <c r="AY1153" s="3"/>
      <c r="AZ1153" s="3"/>
      <c r="BA1153" s="3"/>
      <c r="BB1153" s="3"/>
      <c r="BC1153" s="3"/>
    </row>
    <row r="1154" spans="1:55" x14ac:dyDescent="0.25">
      <c r="A1154" s="1" t="str">
        <f>'Population Definitions'!$A$6</f>
        <v>10-17_males</v>
      </c>
      <c r="C1154" t="s">
        <v>32</v>
      </c>
      <c r="D1154" s="3"/>
      <c r="E1154" s="3">
        <v>0</v>
      </c>
      <c r="F1154" s="3"/>
      <c r="G1154" s="3"/>
      <c r="H1154" s="3"/>
      <c r="I1154" s="3"/>
      <c r="J1154" s="3"/>
      <c r="K1154" s="3"/>
      <c r="L1154" s="3"/>
      <c r="M1154" s="3"/>
      <c r="N1154" s="3"/>
      <c r="O1154" s="3"/>
      <c r="P1154" s="3"/>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c r="AV1154" s="3"/>
      <c r="AW1154" s="3"/>
      <c r="AX1154" s="3"/>
      <c r="AY1154" s="3"/>
      <c r="AZ1154" s="3"/>
      <c r="BA1154" s="3"/>
      <c r="BB1154" s="3"/>
      <c r="BC1154" s="3"/>
    </row>
    <row r="1155" spans="1:55" x14ac:dyDescent="0.25">
      <c r="A1155" s="1" t="str">
        <f>'Population Definitions'!$A$7</f>
        <v>10-17_females</v>
      </c>
      <c r="C1155" t="s">
        <v>32</v>
      </c>
      <c r="D1155" s="3"/>
      <c r="E1155" s="3">
        <v>0</v>
      </c>
      <c r="F1155" s="3"/>
      <c r="G1155" s="3"/>
      <c r="H1155" s="3"/>
      <c r="I1155" s="3"/>
      <c r="J1155" s="3"/>
      <c r="K1155" s="3"/>
      <c r="L1155" s="3"/>
      <c r="M1155" s="3"/>
      <c r="N1155" s="3"/>
      <c r="O1155" s="3"/>
      <c r="P1155" s="3"/>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c r="AV1155" s="3"/>
      <c r="AW1155" s="3"/>
      <c r="AX1155" s="3"/>
      <c r="AY1155" s="3"/>
      <c r="AZ1155" s="3"/>
      <c r="BA1155" s="3"/>
      <c r="BB1155" s="3"/>
      <c r="BC1155" s="3"/>
    </row>
    <row r="1156" spans="1:55" x14ac:dyDescent="0.25">
      <c r="A1156" s="1" t="str">
        <f>'Population Definitions'!$A$8</f>
        <v>18-64_males</v>
      </c>
      <c r="C1156" t="s">
        <v>32</v>
      </c>
      <c r="D1156" s="3"/>
      <c r="E1156" s="3">
        <v>0</v>
      </c>
      <c r="F1156" s="3"/>
      <c r="G1156" s="3"/>
      <c r="H1156" s="3"/>
      <c r="I1156" s="3"/>
      <c r="J1156" s="3"/>
      <c r="K1156" s="3"/>
      <c r="L1156" s="3"/>
      <c r="M1156" s="3"/>
      <c r="N1156" s="3"/>
      <c r="O1156" s="3"/>
      <c r="P1156" s="3"/>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c r="AV1156" s="3"/>
      <c r="AW1156" s="3"/>
      <c r="AX1156" s="3"/>
      <c r="AY1156" s="3"/>
      <c r="AZ1156" s="3"/>
      <c r="BA1156" s="3"/>
      <c r="BB1156" s="3"/>
      <c r="BC1156" s="3"/>
    </row>
    <row r="1157" spans="1:55" x14ac:dyDescent="0.25">
      <c r="A1157" s="1" t="str">
        <f>'Population Definitions'!$A$9</f>
        <v>18-64_females</v>
      </c>
      <c r="C1157" t="s">
        <v>32</v>
      </c>
      <c r="D1157" s="3"/>
      <c r="E1157" s="3">
        <v>0</v>
      </c>
      <c r="F1157" s="3"/>
      <c r="G1157" s="3"/>
      <c r="H1157" s="3"/>
      <c r="I1157" s="3"/>
      <c r="J1157" s="3"/>
      <c r="K1157" s="3"/>
      <c r="L1157" s="3"/>
      <c r="M1157" s="3"/>
      <c r="N1157" s="3"/>
      <c r="O1157" s="3"/>
      <c r="P1157" s="3"/>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c r="AV1157" s="3"/>
      <c r="AW1157" s="3"/>
      <c r="AX1157" s="3"/>
      <c r="AY1157" s="3"/>
      <c r="AZ1157" s="3"/>
      <c r="BA1157" s="3"/>
      <c r="BB1157" s="3"/>
      <c r="BC1157" s="3"/>
    </row>
    <row r="1158" spans="1:55" x14ac:dyDescent="0.25">
      <c r="A1158" s="1" t="str">
        <f>'Population Definitions'!$A$10</f>
        <v>65+_males</v>
      </c>
      <c r="C1158" t="s">
        <v>32</v>
      </c>
      <c r="D1158" s="3"/>
      <c r="E1158" s="3">
        <v>0</v>
      </c>
      <c r="F1158" s="3"/>
      <c r="G1158" s="3"/>
      <c r="H1158" s="3"/>
      <c r="I1158" s="3"/>
      <c r="J1158" s="3"/>
      <c r="K1158" s="3"/>
      <c r="L1158" s="3"/>
      <c r="M1158" s="3"/>
      <c r="N1158" s="3"/>
      <c r="O1158" s="3"/>
      <c r="P1158" s="3"/>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c r="AV1158" s="3"/>
      <c r="AW1158" s="3"/>
      <c r="AX1158" s="3"/>
      <c r="AY1158" s="3"/>
      <c r="AZ1158" s="3"/>
      <c r="BA1158" s="3"/>
      <c r="BB1158" s="3"/>
      <c r="BC1158" s="3"/>
    </row>
    <row r="1159" spans="1:55" x14ac:dyDescent="0.25">
      <c r="A1159" s="1" t="str">
        <f>'Population Definitions'!$A$11</f>
        <v>65+_females</v>
      </c>
      <c r="C1159" t="s">
        <v>32</v>
      </c>
      <c r="D1159" s="3"/>
      <c r="E1159" s="3">
        <v>0</v>
      </c>
      <c r="F1159" s="3"/>
      <c r="G1159" s="3"/>
      <c r="H1159" s="3"/>
      <c r="I1159" s="3"/>
      <c r="J1159" s="3"/>
      <c r="K1159" s="3"/>
      <c r="L1159" s="3"/>
      <c r="M1159" s="3"/>
      <c r="N1159" s="3"/>
      <c r="O1159" s="3"/>
      <c r="P1159" s="3"/>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c r="AV1159" s="3"/>
      <c r="AW1159" s="3"/>
      <c r="AX1159" s="3"/>
      <c r="AY1159" s="3"/>
      <c r="AZ1159" s="3"/>
      <c r="BA1159" s="3"/>
      <c r="BB1159" s="3"/>
      <c r="BC1159" s="3"/>
    </row>
    <row r="1160" spans="1:55" x14ac:dyDescent="0.25">
      <c r="A1160" s="1" t="str">
        <f>'Population Definitions'!$A$12</f>
        <v>Prisoners_males</v>
      </c>
      <c r="C1160" t="s">
        <v>32</v>
      </c>
      <c r="D1160" s="3"/>
      <c r="E1160" s="3">
        <v>0</v>
      </c>
      <c r="F1160" s="3"/>
      <c r="G1160" s="3"/>
      <c r="H1160" s="3"/>
      <c r="I1160" s="3"/>
      <c r="J1160" s="3"/>
      <c r="K1160" s="3"/>
      <c r="L1160" s="3"/>
      <c r="M1160" s="3"/>
      <c r="N1160" s="3"/>
      <c r="O1160" s="3"/>
      <c r="P1160" s="3"/>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c r="AV1160" s="3"/>
      <c r="AW1160" s="3"/>
      <c r="AX1160" s="3"/>
      <c r="AY1160" s="3"/>
      <c r="AZ1160" s="3"/>
      <c r="BA1160" s="3"/>
      <c r="BB1160" s="3"/>
      <c r="BC1160" s="3"/>
    </row>
    <row r="1161" spans="1:55" x14ac:dyDescent="0.25">
      <c r="A1161" s="1" t="str">
        <f>'Population Definitions'!$A$13</f>
        <v>Prisoners_females</v>
      </c>
      <c r="C1161" t="s">
        <v>32</v>
      </c>
      <c r="D1161" s="3"/>
      <c r="E1161" s="3">
        <v>0</v>
      </c>
      <c r="F1161" s="3"/>
      <c r="G1161" s="3"/>
      <c r="H1161" s="3"/>
      <c r="I1161" s="3"/>
      <c r="J1161" s="3"/>
      <c r="K1161" s="3"/>
      <c r="L1161" s="3"/>
      <c r="M1161" s="3"/>
      <c r="N1161" s="3"/>
      <c r="O1161" s="3"/>
      <c r="P1161" s="3"/>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c r="AV1161" s="3"/>
      <c r="AW1161" s="3"/>
      <c r="AX1161" s="3"/>
      <c r="AY1161" s="3"/>
      <c r="AZ1161" s="3"/>
      <c r="BA1161" s="3"/>
      <c r="BB1161" s="3"/>
      <c r="BC1161" s="3"/>
    </row>
  </sheetData>
  <conditionalFormatting sqref="E16:E27">
    <cfRule type="expression" dxfId="777" priority="1">
      <formula>COUNTIF(G16:BE16,"&lt;&gt;" &amp; "")&gt;0</formula>
    </cfRule>
    <cfRule type="expression" dxfId="776" priority="2">
      <formula>AND(COUNTIF(G16:BE16,"&lt;&gt;" &amp; "")&gt;0,NOT(ISBLANK(E16)))</formula>
    </cfRule>
  </conditionalFormatting>
  <conditionalFormatting sqref="E30:E41">
    <cfRule type="expression" dxfId="775" priority="25">
      <formula>COUNTIF(G30:BE30,"&lt;&gt;" &amp; "")&gt;0</formula>
    </cfRule>
    <cfRule type="expression" dxfId="774" priority="26">
      <formula>AND(COUNTIF(G30:BE30,"&lt;&gt;" &amp; "")&gt;0,NOT(ISBLANK(E30)))</formula>
    </cfRule>
  </conditionalFormatting>
  <conditionalFormatting sqref="E44:E55">
    <cfRule type="expression" dxfId="773" priority="49">
      <formula>COUNTIF(G44:BE44,"&lt;&gt;" &amp; "")&gt;0</formula>
    </cfRule>
    <cfRule type="expression" dxfId="772" priority="50">
      <formula>AND(COUNTIF(G44:BE44,"&lt;&gt;" &amp; "")&gt;0,NOT(ISBLANK(E44)))</formula>
    </cfRule>
  </conditionalFormatting>
  <conditionalFormatting sqref="E58:E69">
    <cfRule type="expression" dxfId="771" priority="73">
      <formula>COUNTIF(G58:BE58,"&lt;&gt;" &amp; "")&gt;0</formula>
    </cfRule>
    <cfRule type="expression" dxfId="770" priority="74">
      <formula>AND(COUNTIF(G58:BE58,"&lt;&gt;" &amp; "")&gt;0,NOT(ISBLANK(E58)))</formula>
    </cfRule>
  </conditionalFormatting>
  <conditionalFormatting sqref="E72:E83">
    <cfRule type="expression" dxfId="769" priority="97">
      <formula>COUNTIF(G72:BE72,"&lt;&gt;" &amp; "")&gt;0</formula>
    </cfRule>
    <cfRule type="expression" dxfId="768" priority="98">
      <formula>AND(COUNTIF(G72:BE72,"&lt;&gt;" &amp; "")&gt;0,NOT(ISBLANK(E72)))</formula>
    </cfRule>
  </conditionalFormatting>
  <conditionalFormatting sqref="E86:E97">
    <cfRule type="expression" dxfId="767" priority="121">
      <formula>COUNTIF(G86:BE86,"&lt;&gt;" &amp; "")&gt;0</formula>
    </cfRule>
    <cfRule type="expression" dxfId="766" priority="122">
      <formula>AND(COUNTIF(G86:BE86,"&lt;&gt;" &amp; "")&gt;0,NOT(ISBLANK(E86)))</formula>
    </cfRule>
  </conditionalFormatting>
  <conditionalFormatting sqref="E100:E111">
    <cfRule type="expression" dxfId="765" priority="145">
      <formula>COUNTIF(G100:BE100,"&lt;&gt;" &amp; "")&gt;0</formula>
    </cfRule>
    <cfRule type="expression" dxfId="764" priority="146">
      <formula>AND(COUNTIF(G100:BE100,"&lt;&gt;" &amp; "")&gt;0,NOT(ISBLANK(E100)))</formula>
    </cfRule>
  </conditionalFormatting>
  <conditionalFormatting sqref="E114:E125">
    <cfRule type="expression" dxfId="763" priority="169">
      <formula>COUNTIF(G114:BE114,"&lt;&gt;" &amp; "")&gt;0</formula>
    </cfRule>
    <cfRule type="expression" dxfId="762" priority="170">
      <formula>AND(COUNTIF(G114:BE114,"&lt;&gt;" &amp; "")&gt;0,NOT(ISBLANK(E114)))</formula>
    </cfRule>
  </conditionalFormatting>
  <conditionalFormatting sqref="E128:E139">
    <cfRule type="expression" dxfId="761" priority="193">
      <formula>COUNTIF(G128:BE128,"&lt;&gt;" &amp; "")&gt;0</formula>
    </cfRule>
    <cfRule type="expression" dxfId="760" priority="194">
      <formula>AND(COUNTIF(G128:BE128,"&lt;&gt;" &amp; "")&gt;0,NOT(ISBLANK(E128)))</formula>
    </cfRule>
  </conditionalFormatting>
  <conditionalFormatting sqref="E142:E153">
    <cfRule type="expression" dxfId="759" priority="217">
      <formula>COUNTIF(G142:BE142,"&lt;&gt;" &amp; "")&gt;0</formula>
    </cfRule>
    <cfRule type="expression" dxfId="758" priority="218">
      <formula>AND(COUNTIF(G142:BE142,"&lt;&gt;" &amp; "")&gt;0,NOT(ISBLANK(E142)))</formula>
    </cfRule>
  </conditionalFormatting>
  <conditionalFormatting sqref="E156:E167">
    <cfRule type="expression" dxfId="757" priority="241">
      <formula>COUNTIF(G156:BE156,"&lt;&gt;" &amp; "")&gt;0</formula>
    </cfRule>
    <cfRule type="expression" dxfId="756" priority="242">
      <formula>AND(COUNTIF(G156:BE156,"&lt;&gt;" &amp; "")&gt;0,NOT(ISBLANK(E156)))</formula>
    </cfRule>
  </conditionalFormatting>
  <conditionalFormatting sqref="E170:E181">
    <cfRule type="expression" dxfId="755" priority="265">
      <formula>COUNTIF(G170:BE170,"&lt;&gt;" &amp; "")&gt;0</formula>
    </cfRule>
    <cfRule type="expression" dxfId="754" priority="266">
      <formula>AND(COUNTIF(G170:BE170,"&lt;&gt;" &amp; "")&gt;0,NOT(ISBLANK(E170)))</formula>
    </cfRule>
  </conditionalFormatting>
  <conditionalFormatting sqref="E184:E195">
    <cfRule type="expression" dxfId="753" priority="289">
      <formula>COUNTIF(G184:BE184,"&lt;&gt;" &amp; "")&gt;0</formula>
    </cfRule>
    <cfRule type="expression" dxfId="752" priority="290">
      <formula>AND(COUNTIF(G184:BE184,"&lt;&gt;" &amp; "")&gt;0,NOT(ISBLANK(E184)))</formula>
    </cfRule>
  </conditionalFormatting>
  <conditionalFormatting sqref="E198:E209">
    <cfRule type="expression" dxfId="751" priority="313">
      <formula>COUNTIF(G198:BE198,"&lt;&gt;" &amp; "")&gt;0</formula>
    </cfRule>
    <cfRule type="expression" dxfId="750" priority="314">
      <formula>AND(COUNTIF(G198:BE198,"&lt;&gt;" &amp; "")&gt;0,NOT(ISBLANK(E198)))</formula>
    </cfRule>
  </conditionalFormatting>
  <conditionalFormatting sqref="E212:E223">
    <cfRule type="expression" dxfId="749" priority="337">
      <formula>COUNTIF(G212:BE212,"&lt;&gt;" &amp; "")&gt;0</formula>
    </cfRule>
    <cfRule type="expression" dxfId="748" priority="338">
      <formula>AND(COUNTIF(G212:BE212,"&lt;&gt;" &amp; "")&gt;0,NOT(ISBLANK(E212)))</formula>
    </cfRule>
  </conditionalFormatting>
  <conditionalFormatting sqref="E226:E237">
    <cfRule type="expression" dxfId="747" priority="361">
      <formula>COUNTIF(G226:BE226,"&lt;&gt;" &amp; "")&gt;0</formula>
    </cfRule>
    <cfRule type="expression" dxfId="746" priority="362">
      <formula>AND(COUNTIF(G226:BE226,"&lt;&gt;" &amp; "")&gt;0,NOT(ISBLANK(E226)))</formula>
    </cfRule>
  </conditionalFormatting>
  <conditionalFormatting sqref="E240:E251">
    <cfRule type="expression" dxfId="745" priority="385">
      <formula>COUNTIF(G240:BE240,"&lt;&gt;" &amp; "")&gt;0</formula>
    </cfRule>
    <cfRule type="expression" dxfId="744" priority="386">
      <formula>AND(COUNTIF(G240:BE240,"&lt;&gt;" &amp; "")&gt;0,NOT(ISBLANK(E240)))</formula>
    </cfRule>
  </conditionalFormatting>
  <conditionalFormatting sqref="E562:E573">
    <cfRule type="expression" dxfId="743" priority="409">
      <formula>COUNTIF(G562:BE562,"&lt;&gt;" &amp; "")&gt;0</formula>
    </cfRule>
    <cfRule type="expression" dxfId="742" priority="410">
      <formula>AND(COUNTIF(G562:BE562,"&lt;&gt;" &amp; "")&gt;0,NOT(ISBLANK(E562)))</formula>
    </cfRule>
  </conditionalFormatting>
  <dataValidations count="1">
    <dataValidation type="list" allowBlank="1" showInputMessage="1" showErrorMessage="1" sqref="C1150:C1161 C1136:C1147 C1122:C1133 C1108:C1119 C1094:C1105 C1080:C1091 C1066:C1077 C1052:C1063 C1038:C1049 C1024:C1035 C1010:C1021 C996:C1007 C982:C993 C968:C979 C954:C965 C940:C951 C926:C937 C912:C923 C898:C909 C884:C895 C870:C881 C856:C867 C842:C853 C828:C839 C814:C825 C800:C811 C786:C797 C772:C783 C758:C769 C744:C755 C730:C741 C716:C727 C702:C713 C688:C699 C674:C685 C660:C671 C646:C657 C632:C643 C618:C629 C604:C615 C590:C601 C576:C587 C562:C573 C548:C559 C534:C545 C520:C531 C506:C517 C492:C503 C478:C489 C464:C475 C450:C461 C436:C447 C422:C433 C408:C419 C394:C405 C380:C391 C366:C377 C352:C363 C338:C349 C324:C335 C310:C321 C296:C307 C282:C293 C268:C279 C254:C265 C240:C251 C226:C237 C212:C223 C198:C209 C184:C195 C170:C181 C156:C167 C142:C153 C128:C139 C114:C125 C100:C111 C86:C97 C72:C83 C58:C69 C44:C55 C30:C41 C16:C27 C2:C13" xr:uid="{00000000-0002-0000-0B00-000000000000}">
      <formula1>"Number"</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808080"/>
  </sheetPr>
  <dimension ref="A1"/>
  <sheetViews>
    <sheetView workbookViewId="0"/>
  </sheetViews>
  <sheetFormatPr defaultRowHeight="15" x14ac:dyDescent="0.25"/>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808080"/>
  </sheetPr>
  <dimension ref="A1:BE83"/>
  <sheetViews>
    <sheetView workbookViewId="0"/>
  </sheetViews>
  <sheetFormatPr defaultRowHeight="15" x14ac:dyDescent="0.25"/>
  <cols>
    <col min="1" max="1" width="85.28515625" customWidth="1"/>
    <col min="2" max="2" width="30.28515625" customWidth="1"/>
    <col min="3" max="3" width="20.42578125" customWidth="1"/>
    <col min="4" max="4" width="13.85546875" customWidth="1"/>
    <col min="5" max="5" width="10.5703125" customWidth="1"/>
    <col min="6" max="6" width="3.85546875" customWidth="1"/>
    <col min="7" max="57" width="9.42578125" customWidth="1"/>
  </cols>
  <sheetData>
    <row r="1" spans="1:57" x14ac:dyDescent="0.25">
      <c r="A1" s="1" t="s">
        <v>209</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B2" t="s">
        <v>61</v>
      </c>
      <c r="C2" t="s">
        <v>56</v>
      </c>
      <c r="D2" s="3"/>
      <c r="E2" s="3">
        <v>1</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B3" t="s">
        <v>61</v>
      </c>
      <c r="C3" t="s">
        <v>56</v>
      </c>
      <c r="D3" s="3"/>
      <c r="E3" s="3">
        <v>1</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B4" t="s">
        <v>61</v>
      </c>
      <c r="C4" t="s">
        <v>56</v>
      </c>
      <c r="D4" s="3"/>
      <c r="E4" s="3">
        <v>1</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B5" t="s">
        <v>61</v>
      </c>
      <c r="C5" t="s">
        <v>56</v>
      </c>
      <c r="D5" s="3"/>
      <c r="E5" s="3">
        <v>1</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B6" t="s">
        <v>61</v>
      </c>
      <c r="C6" t="s">
        <v>56</v>
      </c>
      <c r="D6" s="3"/>
      <c r="E6" s="3">
        <v>1</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B7" t="s">
        <v>61</v>
      </c>
      <c r="C7" t="s">
        <v>56</v>
      </c>
      <c r="D7" s="3"/>
      <c r="E7" s="3">
        <v>1</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B8" t="s">
        <v>61</v>
      </c>
      <c r="C8" t="s">
        <v>56</v>
      </c>
      <c r="D8" s="3"/>
      <c r="E8" s="3">
        <v>1</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B9" t="s">
        <v>61</v>
      </c>
      <c r="C9" t="s">
        <v>56</v>
      </c>
      <c r="D9" s="3"/>
      <c r="E9" s="3">
        <v>1</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B10" t="s">
        <v>61</v>
      </c>
      <c r="C10" t="s">
        <v>56</v>
      </c>
      <c r="D10" s="3"/>
      <c r="E10" s="3">
        <v>1</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B11" t="s">
        <v>61</v>
      </c>
      <c r="C11" t="s">
        <v>56</v>
      </c>
      <c r="D11" s="3"/>
      <c r="E11" s="3">
        <v>1</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B12" t="s">
        <v>61</v>
      </c>
      <c r="C12" t="s">
        <v>56</v>
      </c>
      <c r="D12" s="3"/>
      <c r="E12" s="3">
        <v>1</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B13" t="s">
        <v>61</v>
      </c>
      <c r="C13" t="s">
        <v>56</v>
      </c>
      <c r="D13" s="3"/>
      <c r="E13" s="3">
        <v>1</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210</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B16" t="s">
        <v>61</v>
      </c>
      <c r="C16" t="s">
        <v>56</v>
      </c>
      <c r="D16" s="3"/>
      <c r="E16" s="3">
        <v>1</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B17" t="s">
        <v>61</v>
      </c>
      <c r="C17" t="s">
        <v>56</v>
      </c>
      <c r="D17" s="3"/>
      <c r="E17" s="3">
        <v>1</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B18" t="s">
        <v>61</v>
      </c>
      <c r="C18" t="s">
        <v>56</v>
      </c>
      <c r="D18" s="3"/>
      <c r="E18" s="3">
        <v>1</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B19" t="s">
        <v>61</v>
      </c>
      <c r="C19" t="s">
        <v>56</v>
      </c>
      <c r="D19" s="3"/>
      <c r="E19" s="3">
        <v>1</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B20" t="s">
        <v>61</v>
      </c>
      <c r="C20" t="s">
        <v>56</v>
      </c>
      <c r="D20" s="3"/>
      <c r="E20" s="3">
        <v>1</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B21" t="s">
        <v>61</v>
      </c>
      <c r="C21" t="s">
        <v>56</v>
      </c>
      <c r="D21" s="3"/>
      <c r="E21" s="3">
        <v>1</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B22" t="s">
        <v>61</v>
      </c>
      <c r="C22" t="s">
        <v>56</v>
      </c>
      <c r="D22" s="3"/>
      <c r="E22" s="3">
        <v>1</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B23" t="s">
        <v>61</v>
      </c>
      <c r="C23" t="s">
        <v>56</v>
      </c>
      <c r="D23" s="3"/>
      <c r="E23" s="3">
        <v>1</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B24" t="s">
        <v>61</v>
      </c>
      <c r="C24" t="s">
        <v>56</v>
      </c>
      <c r="D24" s="3"/>
      <c r="E24" s="3">
        <v>1</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B25" t="s">
        <v>61</v>
      </c>
      <c r="C25" t="s">
        <v>56</v>
      </c>
      <c r="D25" s="3"/>
      <c r="E25" s="3">
        <v>1</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B26" t="s">
        <v>61</v>
      </c>
      <c r="C26" t="s">
        <v>56</v>
      </c>
      <c r="D26" s="3"/>
      <c r="E26" s="3">
        <v>1</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B27" t="s">
        <v>61</v>
      </c>
      <c r="C27" t="s">
        <v>56</v>
      </c>
      <c r="D27" s="3"/>
      <c r="E27" s="3">
        <v>1</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211</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56</v>
      </c>
      <c r="D30" s="3"/>
      <c r="E30" s="3">
        <v>0</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56</v>
      </c>
      <c r="D31" s="3"/>
      <c r="E31" s="3">
        <v>0</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56</v>
      </c>
      <c r="D32" s="3"/>
      <c r="E32" s="3">
        <v>1</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C33" t="s">
        <v>56</v>
      </c>
      <c r="D33" s="3"/>
      <c r="E33" s="3">
        <v>1</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C34" t="s">
        <v>56</v>
      </c>
      <c r="D34" s="3"/>
      <c r="E34" s="3">
        <v>1</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C35" t="s">
        <v>56</v>
      </c>
      <c r="D35" s="3"/>
      <c r="E35" s="3">
        <v>1</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C36" t="s">
        <v>56</v>
      </c>
      <c r="D36" s="3"/>
      <c r="E36" s="3">
        <v>1</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C37" t="s">
        <v>56</v>
      </c>
      <c r="D37" s="3"/>
      <c r="E37" s="3">
        <v>1</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C38" t="s">
        <v>56</v>
      </c>
      <c r="D38" s="3"/>
      <c r="E38" s="3">
        <v>1</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C39" t="s">
        <v>56</v>
      </c>
      <c r="D39" s="3"/>
      <c r="E39" s="3">
        <v>1</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C40" t="s">
        <v>56</v>
      </c>
      <c r="D40" s="3"/>
      <c r="E40" s="3">
        <v>0</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56</v>
      </c>
      <c r="D41" s="3"/>
      <c r="E41" s="3">
        <v>0</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212</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C44" t="s">
        <v>56</v>
      </c>
      <c r="D44" s="3"/>
      <c r="E44" s="3">
        <v>1</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C45" t="s">
        <v>56</v>
      </c>
      <c r="D45" s="3"/>
      <c r="E45" s="3">
        <v>1</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C46" t="s">
        <v>56</v>
      </c>
      <c r="D46" s="3"/>
      <c r="E46" s="3">
        <v>0</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C47" t="s">
        <v>56</v>
      </c>
      <c r="D47" s="3"/>
      <c r="E47" s="3">
        <v>0</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C48" t="s">
        <v>56</v>
      </c>
      <c r="D48" s="3"/>
      <c r="E48" s="3">
        <v>0</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C49" t="s">
        <v>56</v>
      </c>
      <c r="D49" s="3"/>
      <c r="E49" s="3">
        <v>0</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C50" t="s">
        <v>56</v>
      </c>
      <c r="D50" s="3"/>
      <c r="E50" s="3">
        <v>0</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C51" t="s">
        <v>56</v>
      </c>
      <c r="D51" s="3"/>
      <c r="E51" s="3">
        <v>0</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C52" t="s">
        <v>56</v>
      </c>
      <c r="D52" s="3"/>
      <c r="E52" s="3">
        <v>0</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C53" t="s">
        <v>56</v>
      </c>
      <c r="D53" s="3"/>
      <c r="E53" s="3">
        <v>0</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C54" t="s">
        <v>56</v>
      </c>
      <c r="D54" s="3"/>
      <c r="E54" s="3">
        <v>1</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C55" t="s">
        <v>56</v>
      </c>
      <c r="D55" s="3"/>
      <c r="E55" s="3">
        <v>1</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213</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C58" t="s">
        <v>51</v>
      </c>
      <c r="D58" s="3">
        <v>187.10894872758939</v>
      </c>
      <c r="E58" s="3"/>
      <c r="F58" s="4" t="s">
        <v>37</v>
      </c>
      <c r="G58" s="3">
        <v>76032.333333333328</v>
      </c>
      <c r="H58" s="3"/>
      <c r="I58" s="3"/>
      <c r="J58" s="3"/>
      <c r="K58" s="3"/>
      <c r="L58" s="3"/>
      <c r="M58" s="3"/>
      <c r="N58" s="3"/>
      <c r="O58" s="3"/>
      <c r="P58" s="3"/>
      <c r="Q58" s="3"/>
      <c r="R58" s="3"/>
      <c r="S58" s="3"/>
      <c r="T58" s="3"/>
      <c r="U58" s="3">
        <v>76032.333333333328</v>
      </c>
      <c r="V58" s="3">
        <v>228097</v>
      </c>
      <c r="W58" s="3">
        <v>359500</v>
      </c>
      <c r="X58" s="3">
        <v>348901</v>
      </c>
      <c r="Y58" s="3">
        <v>353695</v>
      </c>
      <c r="Z58" s="3">
        <v>324021</v>
      </c>
      <c r="AA58" s="3">
        <v>154276</v>
      </c>
      <c r="AB58" s="3">
        <v>143141</v>
      </c>
      <c r="AC58" s="3">
        <v>175580</v>
      </c>
      <c r="AD58" s="3">
        <v>194445</v>
      </c>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C59" t="s">
        <v>51</v>
      </c>
      <c r="D59" s="3">
        <v>0.94024597350547579</v>
      </c>
      <c r="E59" s="3"/>
      <c r="F59" s="4" t="s">
        <v>37</v>
      </c>
      <c r="G59" s="3">
        <v>76032.333333333328</v>
      </c>
      <c r="H59" s="3"/>
      <c r="I59" s="3"/>
      <c r="J59" s="3"/>
      <c r="K59" s="3"/>
      <c r="L59" s="3"/>
      <c r="M59" s="3"/>
      <c r="N59" s="3"/>
      <c r="O59" s="3"/>
      <c r="P59" s="3"/>
      <c r="Q59" s="3"/>
      <c r="R59" s="3"/>
      <c r="S59" s="3"/>
      <c r="T59" s="3"/>
      <c r="U59" s="3">
        <v>76032.333333333328</v>
      </c>
      <c r="V59" s="3">
        <v>228097</v>
      </c>
      <c r="W59" s="3">
        <v>359500</v>
      </c>
      <c r="X59" s="3">
        <v>348901</v>
      </c>
      <c r="Y59" s="3">
        <v>353695</v>
      </c>
      <c r="Z59" s="3">
        <v>324021</v>
      </c>
      <c r="AA59" s="3">
        <v>154276</v>
      </c>
      <c r="AB59" s="3">
        <v>143141</v>
      </c>
      <c r="AC59" s="3">
        <v>175580</v>
      </c>
      <c r="AD59" s="3">
        <v>194445</v>
      </c>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C60" t="s">
        <v>51</v>
      </c>
      <c r="D60" s="3">
        <v>0</v>
      </c>
      <c r="E60" s="3"/>
      <c r="F60" s="4" t="s">
        <v>37</v>
      </c>
      <c r="G60" s="3">
        <v>76032.333333333328</v>
      </c>
      <c r="H60" s="3"/>
      <c r="I60" s="3"/>
      <c r="J60" s="3"/>
      <c r="K60" s="3"/>
      <c r="L60" s="3"/>
      <c r="M60" s="3"/>
      <c r="N60" s="3"/>
      <c r="O60" s="3"/>
      <c r="P60" s="3"/>
      <c r="Q60" s="3"/>
      <c r="R60" s="3"/>
      <c r="S60" s="3"/>
      <c r="T60" s="3"/>
      <c r="U60" s="3">
        <v>76032.333333333328</v>
      </c>
      <c r="V60" s="3">
        <v>228097</v>
      </c>
      <c r="W60" s="3">
        <v>359500</v>
      </c>
      <c r="X60" s="3">
        <v>348901</v>
      </c>
      <c r="Y60" s="3">
        <v>353695</v>
      </c>
      <c r="Z60" s="3">
        <v>324021</v>
      </c>
      <c r="AA60" s="3">
        <v>154276</v>
      </c>
      <c r="AB60" s="3">
        <v>143141</v>
      </c>
      <c r="AC60" s="3">
        <v>175580</v>
      </c>
      <c r="AD60" s="3">
        <v>194445</v>
      </c>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C61" t="s">
        <v>51</v>
      </c>
      <c r="D61" s="3">
        <v>0</v>
      </c>
      <c r="E61" s="3"/>
      <c r="F61" s="4" t="s">
        <v>37</v>
      </c>
      <c r="G61" s="3">
        <v>76032.333333333328</v>
      </c>
      <c r="H61" s="3"/>
      <c r="I61" s="3"/>
      <c r="J61" s="3"/>
      <c r="K61" s="3"/>
      <c r="L61" s="3"/>
      <c r="M61" s="3"/>
      <c r="N61" s="3"/>
      <c r="O61" s="3"/>
      <c r="P61" s="3"/>
      <c r="Q61" s="3"/>
      <c r="R61" s="3"/>
      <c r="S61" s="3"/>
      <c r="T61" s="3"/>
      <c r="U61" s="3">
        <v>76032.333333333328</v>
      </c>
      <c r="V61" s="3">
        <v>228097</v>
      </c>
      <c r="W61" s="3">
        <v>359500</v>
      </c>
      <c r="X61" s="3">
        <v>348901</v>
      </c>
      <c r="Y61" s="3">
        <v>353695</v>
      </c>
      <c r="Z61" s="3">
        <v>324021</v>
      </c>
      <c r="AA61" s="3">
        <v>154276</v>
      </c>
      <c r="AB61" s="3">
        <v>143141</v>
      </c>
      <c r="AC61" s="3">
        <v>175580</v>
      </c>
      <c r="AD61" s="3">
        <v>194445</v>
      </c>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C62" t="s">
        <v>51</v>
      </c>
      <c r="D62" s="3">
        <v>0</v>
      </c>
      <c r="E62" s="3"/>
      <c r="F62" s="4" t="s">
        <v>37</v>
      </c>
      <c r="G62" s="3">
        <v>76032.333333333328</v>
      </c>
      <c r="H62" s="3"/>
      <c r="I62" s="3"/>
      <c r="J62" s="3"/>
      <c r="K62" s="3"/>
      <c r="L62" s="3"/>
      <c r="M62" s="3"/>
      <c r="N62" s="3"/>
      <c r="O62" s="3"/>
      <c r="P62" s="3"/>
      <c r="Q62" s="3"/>
      <c r="R62" s="3"/>
      <c r="S62" s="3"/>
      <c r="T62" s="3"/>
      <c r="U62" s="3">
        <v>76032.333333333328</v>
      </c>
      <c r="V62" s="3">
        <v>228097</v>
      </c>
      <c r="W62" s="3">
        <v>359500</v>
      </c>
      <c r="X62" s="3">
        <v>348901</v>
      </c>
      <c r="Y62" s="3">
        <v>353695</v>
      </c>
      <c r="Z62" s="3">
        <v>324021</v>
      </c>
      <c r="AA62" s="3">
        <v>154276</v>
      </c>
      <c r="AB62" s="3">
        <v>143141</v>
      </c>
      <c r="AC62" s="3">
        <v>175580</v>
      </c>
      <c r="AD62" s="3">
        <v>194445</v>
      </c>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C63" t="s">
        <v>51</v>
      </c>
      <c r="D63" s="3">
        <v>0</v>
      </c>
      <c r="E63" s="3"/>
      <c r="F63" s="4" t="s">
        <v>37</v>
      </c>
      <c r="G63" s="3">
        <v>76032.333333333328</v>
      </c>
      <c r="H63" s="3"/>
      <c r="I63" s="3"/>
      <c r="J63" s="3"/>
      <c r="K63" s="3"/>
      <c r="L63" s="3"/>
      <c r="M63" s="3"/>
      <c r="N63" s="3"/>
      <c r="O63" s="3"/>
      <c r="P63" s="3"/>
      <c r="Q63" s="3"/>
      <c r="R63" s="3"/>
      <c r="S63" s="3"/>
      <c r="T63" s="3"/>
      <c r="U63" s="3">
        <v>76032.333333333328</v>
      </c>
      <c r="V63" s="3">
        <v>228097</v>
      </c>
      <c r="W63" s="3">
        <v>359500</v>
      </c>
      <c r="X63" s="3">
        <v>348901</v>
      </c>
      <c r="Y63" s="3">
        <v>353695</v>
      </c>
      <c r="Z63" s="3">
        <v>324021</v>
      </c>
      <c r="AA63" s="3">
        <v>154276</v>
      </c>
      <c r="AB63" s="3">
        <v>143141</v>
      </c>
      <c r="AC63" s="3">
        <v>175580</v>
      </c>
      <c r="AD63" s="3">
        <v>194445</v>
      </c>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C64" t="s">
        <v>51</v>
      </c>
      <c r="D64" s="3">
        <v>9686.9827883093458</v>
      </c>
      <c r="E64" s="3"/>
      <c r="F64" s="4" t="s">
        <v>37</v>
      </c>
      <c r="G64" s="3">
        <v>76032.333333333328</v>
      </c>
      <c r="H64" s="3"/>
      <c r="I64" s="3"/>
      <c r="J64" s="3"/>
      <c r="K64" s="3"/>
      <c r="L64" s="3"/>
      <c r="M64" s="3"/>
      <c r="N64" s="3"/>
      <c r="O64" s="3"/>
      <c r="P64" s="3"/>
      <c r="Q64" s="3"/>
      <c r="R64" s="3"/>
      <c r="S64" s="3"/>
      <c r="T64" s="3"/>
      <c r="U64" s="3">
        <v>76032.333333333328</v>
      </c>
      <c r="V64" s="3">
        <v>228097</v>
      </c>
      <c r="W64" s="3">
        <v>359500</v>
      </c>
      <c r="X64" s="3">
        <v>348901</v>
      </c>
      <c r="Y64" s="3">
        <v>353695</v>
      </c>
      <c r="Z64" s="3">
        <v>324021</v>
      </c>
      <c r="AA64" s="3">
        <v>154276</v>
      </c>
      <c r="AB64" s="3">
        <v>143141</v>
      </c>
      <c r="AC64" s="3">
        <v>175580</v>
      </c>
      <c r="AD64" s="3">
        <v>194445</v>
      </c>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C65" t="s">
        <v>51</v>
      </c>
      <c r="D65" s="3">
        <v>9206.6677037088648</v>
      </c>
      <c r="E65" s="3"/>
      <c r="F65" s="4" t="s">
        <v>37</v>
      </c>
      <c r="G65" s="3">
        <v>76032.333333333328</v>
      </c>
      <c r="H65" s="3"/>
      <c r="I65" s="3"/>
      <c r="J65" s="3"/>
      <c r="K65" s="3"/>
      <c r="L65" s="3"/>
      <c r="M65" s="3"/>
      <c r="N65" s="3"/>
      <c r="O65" s="3"/>
      <c r="P65" s="3"/>
      <c r="Q65" s="3"/>
      <c r="R65" s="3"/>
      <c r="S65" s="3"/>
      <c r="T65" s="3"/>
      <c r="U65" s="3">
        <v>76032.333333333328</v>
      </c>
      <c r="V65" s="3">
        <v>228097</v>
      </c>
      <c r="W65" s="3">
        <v>359500</v>
      </c>
      <c r="X65" s="3">
        <v>348901</v>
      </c>
      <c r="Y65" s="3">
        <v>353695</v>
      </c>
      <c r="Z65" s="3">
        <v>324021</v>
      </c>
      <c r="AA65" s="3">
        <v>154276</v>
      </c>
      <c r="AB65" s="3">
        <v>143141</v>
      </c>
      <c r="AC65" s="3">
        <v>175580</v>
      </c>
      <c r="AD65" s="3">
        <v>194445</v>
      </c>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C66" t="s">
        <v>51</v>
      </c>
      <c r="D66" s="3">
        <v>758.48142535582849</v>
      </c>
      <c r="E66" s="3"/>
      <c r="F66" s="4" t="s">
        <v>37</v>
      </c>
      <c r="G66" s="3">
        <v>76032.333333333328</v>
      </c>
      <c r="H66" s="3"/>
      <c r="I66" s="3"/>
      <c r="J66" s="3"/>
      <c r="K66" s="3"/>
      <c r="L66" s="3"/>
      <c r="M66" s="3"/>
      <c r="N66" s="3"/>
      <c r="O66" s="3"/>
      <c r="P66" s="3"/>
      <c r="Q66" s="3"/>
      <c r="R66" s="3"/>
      <c r="S66" s="3"/>
      <c r="T66" s="3"/>
      <c r="U66" s="3">
        <v>76032.333333333328</v>
      </c>
      <c r="V66" s="3">
        <v>228097</v>
      </c>
      <c r="W66" s="3">
        <v>359500</v>
      </c>
      <c r="X66" s="3">
        <v>348901</v>
      </c>
      <c r="Y66" s="3">
        <v>353695</v>
      </c>
      <c r="Z66" s="3">
        <v>324021</v>
      </c>
      <c r="AA66" s="3">
        <v>154276</v>
      </c>
      <c r="AB66" s="3">
        <v>143141</v>
      </c>
      <c r="AC66" s="3">
        <v>175580</v>
      </c>
      <c r="AD66" s="3">
        <v>194445</v>
      </c>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C67" t="s">
        <v>51</v>
      </c>
      <c r="D67" s="3">
        <v>663.33761425679529</v>
      </c>
      <c r="E67" s="3"/>
      <c r="F67" s="4" t="s">
        <v>37</v>
      </c>
      <c r="G67" s="3">
        <v>76032.333333333328</v>
      </c>
      <c r="H67" s="3"/>
      <c r="I67" s="3"/>
      <c r="J67" s="3"/>
      <c r="K67" s="3"/>
      <c r="L67" s="3"/>
      <c r="M67" s="3"/>
      <c r="N67" s="3"/>
      <c r="O67" s="3"/>
      <c r="P67" s="3"/>
      <c r="Q67" s="3"/>
      <c r="R67" s="3"/>
      <c r="S67" s="3"/>
      <c r="T67" s="3"/>
      <c r="U67" s="3">
        <v>76032.333333333328</v>
      </c>
      <c r="V67" s="3">
        <v>228097</v>
      </c>
      <c r="W67" s="3">
        <v>359500</v>
      </c>
      <c r="X67" s="3">
        <v>348901</v>
      </c>
      <c r="Y67" s="3">
        <v>353695</v>
      </c>
      <c r="Z67" s="3">
        <v>324021</v>
      </c>
      <c r="AA67" s="3">
        <v>154276</v>
      </c>
      <c r="AB67" s="3">
        <v>143141</v>
      </c>
      <c r="AC67" s="3">
        <v>175580</v>
      </c>
      <c r="AD67" s="3">
        <v>194445</v>
      </c>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C68" t="s">
        <v>51</v>
      </c>
      <c r="D68" s="3">
        <v>0</v>
      </c>
      <c r="E68" s="3"/>
      <c r="F68" s="4" t="s">
        <v>37</v>
      </c>
      <c r="G68" s="3">
        <v>76032.333333333328</v>
      </c>
      <c r="H68" s="3"/>
      <c r="I68" s="3"/>
      <c r="J68" s="3"/>
      <c r="K68" s="3"/>
      <c r="L68" s="3"/>
      <c r="M68" s="3"/>
      <c r="N68" s="3"/>
      <c r="O68" s="3"/>
      <c r="P68" s="3"/>
      <c r="Q68" s="3"/>
      <c r="R68" s="3"/>
      <c r="S68" s="3"/>
      <c r="T68" s="3"/>
      <c r="U68" s="3">
        <v>76032.333333333328</v>
      </c>
      <c r="V68" s="3">
        <v>228097</v>
      </c>
      <c r="W68" s="3">
        <v>359500</v>
      </c>
      <c r="X68" s="3">
        <v>348901</v>
      </c>
      <c r="Y68" s="3">
        <v>353695</v>
      </c>
      <c r="Z68" s="3">
        <v>324021</v>
      </c>
      <c r="AA68" s="3">
        <v>154276</v>
      </c>
      <c r="AB68" s="3">
        <v>143141</v>
      </c>
      <c r="AC68" s="3">
        <v>175580</v>
      </c>
      <c r="AD68" s="3">
        <v>194445</v>
      </c>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C69" t="s">
        <v>51</v>
      </c>
      <c r="D69" s="3">
        <v>0</v>
      </c>
      <c r="E69" s="3"/>
      <c r="F69" s="4" t="s">
        <v>37</v>
      </c>
      <c r="G69" s="3">
        <v>76032.333333333328</v>
      </c>
      <c r="H69" s="3"/>
      <c r="I69" s="3"/>
      <c r="J69" s="3"/>
      <c r="K69" s="3"/>
      <c r="L69" s="3"/>
      <c r="M69" s="3"/>
      <c r="N69" s="3"/>
      <c r="O69" s="3"/>
      <c r="P69" s="3"/>
      <c r="Q69" s="3"/>
      <c r="R69" s="3"/>
      <c r="S69" s="3"/>
      <c r="T69" s="3"/>
      <c r="U69" s="3">
        <v>76032.333333333328</v>
      </c>
      <c r="V69" s="3">
        <v>228097</v>
      </c>
      <c r="W69" s="3">
        <v>359500</v>
      </c>
      <c r="X69" s="3">
        <v>348901</v>
      </c>
      <c r="Y69" s="3">
        <v>353695</v>
      </c>
      <c r="Z69" s="3">
        <v>324021</v>
      </c>
      <c r="AA69" s="3">
        <v>154276</v>
      </c>
      <c r="AB69" s="3">
        <v>143141</v>
      </c>
      <c r="AC69" s="3">
        <v>175580</v>
      </c>
      <c r="AD69" s="3">
        <v>194445</v>
      </c>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214</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C72" t="s">
        <v>51</v>
      </c>
      <c r="D72" s="3"/>
      <c r="E72" s="3"/>
      <c r="F72" s="4" t="s">
        <v>37</v>
      </c>
      <c r="G72" s="3">
        <v>0.30199999999999999</v>
      </c>
      <c r="H72" s="3"/>
      <c r="I72" s="3"/>
      <c r="J72" s="3"/>
      <c r="K72" s="3"/>
      <c r="L72" s="3"/>
      <c r="M72" s="3"/>
      <c r="N72" s="3"/>
      <c r="O72" s="3"/>
      <c r="P72" s="3"/>
      <c r="Q72" s="3">
        <v>0.30199999999999999</v>
      </c>
      <c r="R72" s="3"/>
      <c r="S72" s="3"/>
      <c r="T72" s="3"/>
      <c r="U72" s="3"/>
      <c r="V72" s="3">
        <v>0.30199999999999999</v>
      </c>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C73" t="s">
        <v>51</v>
      </c>
      <c r="D73" s="3"/>
      <c r="E73" s="3"/>
      <c r="F73" s="4" t="s">
        <v>37</v>
      </c>
      <c r="G73" s="3">
        <v>0.30199999999999999</v>
      </c>
      <c r="H73" s="3"/>
      <c r="I73" s="3"/>
      <c r="J73" s="3"/>
      <c r="K73" s="3"/>
      <c r="L73" s="3"/>
      <c r="M73" s="3"/>
      <c r="N73" s="3"/>
      <c r="O73" s="3"/>
      <c r="P73" s="3"/>
      <c r="Q73" s="3">
        <v>0.30199999999999999</v>
      </c>
      <c r="R73" s="3"/>
      <c r="S73" s="3"/>
      <c r="T73" s="3"/>
      <c r="U73" s="3"/>
      <c r="V73" s="3">
        <v>0.30199999999999999</v>
      </c>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C74" t="s">
        <v>51</v>
      </c>
      <c r="D74" s="3"/>
      <c r="E74" s="3"/>
      <c r="F74" s="4" t="s">
        <v>37</v>
      </c>
      <c r="G74" s="3">
        <v>0</v>
      </c>
      <c r="H74" s="3"/>
      <c r="I74" s="3"/>
      <c r="J74" s="3"/>
      <c r="K74" s="3"/>
      <c r="L74" s="3"/>
      <c r="M74" s="3"/>
      <c r="N74" s="3"/>
      <c r="O74" s="3"/>
      <c r="P74" s="3"/>
      <c r="Q74" s="3">
        <v>0</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C75" t="s">
        <v>51</v>
      </c>
      <c r="D75" s="3"/>
      <c r="E75" s="3"/>
      <c r="F75" s="4" t="s">
        <v>37</v>
      </c>
      <c r="G75" s="3">
        <v>0</v>
      </c>
      <c r="H75" s="3"/>
      <c r="I75" s="3"/>
      <c r="J75" s="3"/>
      <c r="K75" s="3"/>
      <c r="L75" s="3"/>
      <c r="M75" s="3"/>
      <c r="N75" s="3"/>
      <c r="O75" s="3"/>
      <c r="P75" s="3"/>
      <c r="Q75" s="3">
        <v>0</v>
      </c>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C76" t="s">
        <v>51</v>
      </c>
      <c r="D76" s="3"/>
      <c r="E76" s="3"/>
      <c r="F76" s="4" t="s">
        <v>37</v>
      </c>
      <c r="G76" s="3">
        <v>0</v>
      </c>
      <c r="H76" s="3"/>
      <c r="I76" s="3"/>
      <c r="J76" s="3"/>
      <c r="K76" s="3"/>
      <c r="L76" s="3"/>
      <c r="M76" s="3"/>
      <c r="N76" s="3"/>
      <c r="O76" s="3"/>
      <c r="P76" s="3"/>
      <c r="Q76" s="3">
        <v>0</v>
      </c>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C77" t="s">
        <v>51</v>
      </c>
      <c r="D77" s="3"/>
      <c r="E77" s="3"/>
      <c r="F77" s="4" t="s">
        <v>37</v>
      </c>
      <c r="G77" s="3">
        <v>0</v>
      </c>
      <c r="H77" s="3"/>
      <c r="I77" s="3"/>
      <c r="J77" s="3"/>
      <c r="K77" s="3"/>
      <c r="L77" s="3"/>
      <c r="M77" s="3"/>
      <c r="N77" s="3"/>
      <c r="O77" s="3"/>
      <c r="P77" s="3"/>
      <c r="Q77" s="3">
        <v>0</v>
      </c>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C78" t="s">
        <v>51</v>
      </c>
      <c r="D78" s="3"/>
      <c r="E78" s="3"/>
      <c r="F78" s="4" t="s">
        <v>37</v>
      </c>
      <c r="G78" s="3">
        <v>0.1522176782859665</v>
      </c>
      <c r="H78" s="3"/>
      <c r="I78" s="3"/>
      <c r="J78" s="3"/>
      <c r="K78" s="3"/>
      <c r="L78" s="3"/>
      <c r="M78" s="3"/>
      <c r="N78" s="3"/>
      <c r="O78" s="3"/>
      <c r="P78" s="3"/>
      <c r="Q78" s="3">
        <v>0</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C79" t="s">
        <v>51</v>
      </c>
      <c r="D79" s="3"/>
      <c r="E79" s="3"/>
      <c r="F79" s="4" t="s">
        <v>37</v>
      </c>
      <c r="G79" s="3">
        <v>0.1522176782859665</v>
      </c>
      <c r="H79" s="3"/>
      <c r="I79" s="3"/>
      <c r="J79" s="3"/>
      <c r="K79" s="3"/>
      <c r="L79" s="3"/>
      <c r="M79" s="3"/>
      <c r="N79" s="3"/>
      <c r="O79" s="3"/>
      <c r="P79" s="3"/>
      <c r="Q79" s="3">
        <v>0</v>
      </c>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C80" t="s">
        <v>51</v>
      </c>
      <c r="D80" s="3"/>
      <c r="E80" s="3"/>
      <c r="F80" s="4" t="s">
        <v>37</v>
      </c>
      <c r="G80" s="3">
        <v>0.1522176782859665</v>
      </c>
      <c r="H80" s="3"/>
      <c r="I80" s="3"/>
      <c r="J80" s="3"/>
      <c r="K80" s="3"/>
      <c r="L80" s="3"/>
      <c r="M80" s="3"/>
      <c r="N80" s="3"/>
      <c r="O80" s="3"/>
      <c r="P80" s="3"/>
      <c r="Q80" s="3">
        <v>0</v>
      </c>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C81" t="s">
        <v>51</v>
      </c>
      <c r="D81" s="3"/>
      <c r="E81" s="3"/>
      <c r="F81" s="4" t="s">
        <v>37</v>
      </c>
      <c r="G81" s="3">
        <v>0.1522176782859665</v>
      </c>
      <c r="H81" s="3"/>
      <c r="I81" s="3"/>
      <c r="J81" s="3"/>
      <c r="K81" s="3"/>
      <c r="L81" s="3"/>
      <c r="M81" s="3"/>
      <c r="N81" s="3"/>
      <c r="O81" s="3"/>
      <c r="P81" s="3"/>
      <c r="Q81" s="3">
        <v>0</v>
      </c>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C82" t="s">
        <v>51</v>
      </c>
      <c r="D82" s="3"/>
      <c r="E82" s="3"/>
      <c r="F82" s="4" t="s">
        <v>37</v>
      </c>
      <c r="G82" s="3">
        <v>0.2169160109356256</v>
      </c>
      <c r="H82" s="3"/>
      <c r="I82" s="3"/>
      <c r="J82" s="3"/>
      <c r="K82" s="3"/>
      <c r="L82" s="3"/>
      <c r="M82" s="3"/>
      <c r="N82" s="3"/>
      <c r="O82" s="3"/>
      <c r="P82" s="3"/>
      <c r="Q82" s="3">
        <v>0.2169160109356256</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C83" t="s">
        <v>51</v>
      </c>
      <c r="D83" s="3"/>
      <c r="E83" s="3"/>
      <c r="F83" s="4" t="s">
        <v>37</v>
      </c>
      <c r="G83" s="3">
        <v>0.1161902141714282</v>
      </c>
      <c r="H83" s="3"/>
      <c r="I83" s="3"/>
      <c r="J83" s="3"/>
      <c r="K83" s="3"/>
      <c r="L83" s="3"/>
      <c r="M83" s="3"/>
      <c r="N83" s="3"/>
      <c r="O83" s="3"/>
      <c r="P83" s="3"/>
      <c r="Q83" s="3">
        <v>0.1161902141714282</v>
      </c>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sheetData>
  <conditionalFormatting sqref="E2:E13">
    <cfRule type="expression" dxfId="741" priority="1">
      <formula>COUNTIF(G2:BE2,"&lt;&gt;" &amp; "")&gt;0</formula>
    </cfRule>
    <cfRule type="expression" dxfId="740" priority="2">
      <formula>AND(COUNTIF(G2:BE2,"&lt;&gt;" &amp; "")&gt;0,NOT(ISBLANK(E2)))</formula>
    </cfRule>
  </conditionalFormatting>
  <conditionalFormatting sqref="E16:E27">
    <cfRule type="expression" dxfId="739" priority="25">
      <formula>COUNTIF(G16:BE16,"&lt;&gt;" &amp; "")&gt;0</formula>
    </cfRule>
    <cfRule type="expression" dxfId="738" priority="26">
      <formula>AND(COUNTIF(G16:BE16,"&lt;&gt;" &amp; "")&gt;0,NOT(ISBLANK(E16)))</formula>
    </cfRule>
  </conditionalFormatting>
  <conditionalFormatting sqref="E30:E41">
    <cfRule type="expression" dxfId="737" priority="49">
      <formula>COUNTIF(G30:BE30,"&lt;&gt;" &amp; "")&gt;0</formula>
    </cfRule>
    <cfRule type="expression" dxfId="736" priority="50">
      <formula>AND(COUNTIF(G30:BE30,"&lt;&gt;" &amp; "")&gt;0,NOT(ISBLANK(E30)))</formula>
    </cfRule>
  </conditionalFormatting>
  <conditionalFormatting sqref="E44:E55">
    <cfRule type="expression" dxfId="735" priority="73">
      <formula>COUNTIF(G44:BE44,"&lt;&gt;" &amp; "")&gt;0</formula>
    </cfRule>
    <cfRule type="expression" dxfId="734" priority="74">
      <formula>AND(COUNTIF(G44:BE44,"&lt;&gt;" &amp; "")&gt;0,NOT(ISBLANK(E44)))</formula>
    </cfRule>
  </conditionalFormatting>
  <conditionalFormatting sqref="E58:E69">
    <cfRule type="expression" dxfId="733" priority="97">
      <formula>COUNTIF(G58:BE58,"&lt;&gt;" &amp; "")&gt;0</formula>
    </cfRule>
    <cfRule type="expression" dxfId="732" priority="98">
      <formula>AND(COUNTIF(G58:BE58,"&lt;&gt;" &amp; "")&gt;0,NOT(ISBLANK(E58)))</formula>
    </cfRule>
  </conditionalFormatting>
  <conditionalFormatting sqref="E72:E83">
    <cfRule type="expression" dxfId="731" priority="121">
      <formula>COUNTIF(G72:BE72,"&lt;&gt;" &amp; "")&gt;0</formula>
    </cfRule>
    <cfRule type="expression" dxfId="730" priority="122">
      <formula>AND(COUNTIF(G72:BE72,"&lt;&gt;" &amp; "")&gt;0,NOT(ISBLANK(E72)))</formula>
    </cfRule>
  </conditionalFormatting>
  <dataValidations count="2">
    <dataValidation type="list" allowBlank="1" showInputMessage="1" showErrorMessage="1" sqref="C44:C55 C30:C41 C16:C27 C2:C13" xr:uid="{00000000-0002-0000-0D00-000000000000}">
      <formula1>"N.A."</formula1>
    </dataValidation>
    <dataValidation type="list" allowBlank="1" showInputMessage="1" showErrorMessage="1" sqref="C72:C83 C58:C69" xr:uid="{00000000-0002-0000-0D00-000030000000}">
      <formula1>"Number (per year)"</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08080"/>
  </sheetPr>
  <dimension ref="A1:BE83"/>
  <sheetViews>
    <sheetView workbookViewId="0"/>
  </sheetViews>
  <sheetFormatPr defaultRowHeight="15" x14ac:dyDescent="0.25"/>
  <cols>
    <col min="1" max="1" width="67.7109375" customWidth="1"/>
    <col min="2" max="2" width="30.28515625" customWidth="1"/>
    <col min="3" max="3" width="25.85546875" customWidth="1"/>
    <col min="4" max="4" width="13.85546875" customWidth="1"/>
    <col min="5" max="5" width="10.5703125" customWidth="1"/>
    <col min="6" max="6" width="3.85546875" customWidth="1"/>
    <col min="7" max="57" width="9.42578125" customWidth="1"/>
  </cols>
  <sheetData>
    <row r="1" spans="1:57" x14ac:dyDescent="0.25">
      <c r="A1" s="1" t="s">
        <v>215</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B2" t="s">
        <v>61</v>
      </c>
      <c r="C2" t="s">
        <v>58</v>
      </c>
      <c r="D2" s="3"/>
      <c r="E2" s="3">
        <v>0</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B3" t="s">
        <v>61</v>
      </c>
      <c r="C3" t="s">
        <v>58</v>
      </c>
      <c r="D3" s="3"/>
      <c r="E3" s="3">
        <v>0</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B4" t="s">
        <v>61</v>
      </c>
      <c r="C4" t="s">
        <v>58</v>
      </c>
      <c r="D4" s="3"/>
      <c r="E4" s="3">
        <v>0</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B5" t="s">
        <v>61</v>
      </c>
      <c r="C5" t="s">
        <v>58</v>
      </c>
      <c r="D5" s="3"/>
      <c r="E5" s="3">
        <v>0</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B6" t="s">
        <v>61</v>
      </c>
      <c r="C6" t="s">
        <v>58</v>
      </c>
      <c r="D6" s="3"/>
      <c r="E6" s="3">
        <v>0</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B7" t="s">
        <v>61</v>
      </c>
      <c r="C7" t="s">
        <v>58</v>
      </c>
      <c r="D7" s="3"/>
      <c r="E7" s="3">
        <v>0</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B8" t="s">
        <v>61</v>
      </c>
      <c r="C8" t="s">
        <v>58</v>
      </c>
      <c r="D8" s="3"/>
      <c r="E8" s="3">
        <v>0</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B9" t="s">
        <v>61</v>
      </c>
      <c r="C9" t="s">
        <v>58</v>
      </c>
      <c r="D9" s="3"/>
      <c r="E9" s="3">
        <v>0</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B10" t="s">
        <v>61</v>
      </c>
      <c r="C10" t="s">
        <v>58</v>
      </c>
      <c r="D10" s="3"/>
      <c r="E10" s="3">
        <v>0</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B11" t="s">
        <v>61</v>
      </c>
      <c r="C11" t="s">
        <v>58</v>
      </c>
      <c r="D11" s="3"/>
      <c r="E11" s="3">
        <v>0</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B12" t="s">
        <v>61</v>
      </c>
      <c r="C12" t="s">
        <v>58</v>
      </c>
      <c r="D12" s="3"/>
      <c r="E12" s="3">
        <v>0</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B13" t="s">
        <v>61</v>
      </c>
      <c r="C13" t="s">
        <v>58</v>
      </c>
      <c r="D13" s="3"/>
      <c r="E13" s="3">
        <v>0</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216</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B16" t="s">
        <v>61</v>
      </c>
      <c r="C16" t="s">
        <v>62</v>
      </c>
      <c r="D16" s="3"/>
      <c r="E16" s="3">
        <v>5</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B17" t="s">
        <v>61</v>
      </c>
      <c r="C17" t="s">
        <v>62</v>
      </c>
      <c r="D17" s="3"/>
      <c r="E17" s="3">
        <v>5</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B18" t="s">
        <v>61</v>
      </c>
      <c r="C18" t="s">
        <v>62</v>
      </c>
      <c r="D18" s="3"/>
      <c r="E18" s="3">
        <v>5</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B19" t="s">
        <v>61</v>
      </c>
      <c r="C19" t="s">
        <v>62</v>
      </c>
      <c r="D19" s="3"/>
      <c r="E19" s="3">
        <v>5</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B20" t="s">
        <v>61</v>
      </c>
      <c r="C20" t="s">
        <v>62</v>
      </c>
      <c r="D20" s="3"/>
      <c r="E20" s="3">
        <v>5</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B21" t="s">
        <v>61</v>
      </c>
      <c r="C21" t="s">
        <v>62</v>
      </c>
      <c r="D21" s="3"/>
      <c r="E21" s="3">
        <v>5</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B22" t="s">
        <v>61</v>
      </c>
      <c r="C22" t="s">
        <v>62</v>
      </c>
      <c r="D22" s="3"/>
      <c r="E22" s="3">
        <v>5</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B23" t="s">
        <v>61</v>
      </c>
      <c r="C23" t="s">
        <v>62</v>
      </c>
      <c r="D23" s="3"/>
      <c r="E23" s="3">
        <v>5</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B24" t="s">
        <v>61</v>
      </c>
      <c r="C24" t="s">
        <v>62</v>
      </c>
      <c r="D24" s="3"/>
      <c r="E24" s="3">
        <v>5</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B25" t="s">
        <v>61</v>
      </c>
      <c r="C25" t="s">
        <v>62</v>
      </c>
      <c r="D25" s="3"/>
      <c r="E25" s="3">
        <v>5</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B26" t="s">
        <v>61</v>
      </c>
      <c r="C26" t="s">
        <v>62</v>
      </c>
      <c r="D26" s="3"/>
      <c r="E26" s="3">
        <v>5</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B27" t="s">
        <v>61</v>
      </c>
      <c r="C27" t="s">
        <v>62</v>
      </c>
      <c r="D27" s="3"/>
      <c r="E27" s="3">
        <v>5</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217</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B30" t="s">
        <v>61</v>
      </c>
      <c r="C30" t="s">
        <v>48</v>
      </c>
      <c r="D30" s="3"/>
      <c r="E30" s="3">
        <v>0.8</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B31" t="s">
        <v>61</v>
      </c>
      <c r="C31" t="s">
        <v>48</v>
      </c>
      <c r="D31" s="3"/>
      <c r="E31" s="3">
        <v>0.8</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B32" t="s">
        <v>61</v>
      </c>
      <c r="C32" t="s">
        <v>48</v>
      </c>
      <c r="D32" s="3"/>
      <c r="E32" s="3">
        <v>0.8</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B33" t="s">
        <v>61</v>
      </c>
      <c r="C33" t="s">
        <v>48</v>
      </c>
      <c r="D33" s="3"/>
      <c r="E33" s="3">
        <v>0.8</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B34" t="s">
        <v>61</v>
      </c>
      <c r="C34" t="s">
        <v>48</v>
      </c>
      <c r="D34" s="3"/>
      <c r="E34" s="3">
        <v>0.8</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B35" t="s">
        <v>61</v>
      </c>
      <c r="C35" t="s">
        <v>48</v>
      </c>
      <c r="D35" s="3"/>
      <c r="E35" s="3">
        <v>0.8</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B36" t="s">
        <v>61</v>
      </c>
      <c r="C36" t="s">
        <v>48</v>
      </c>
      <c r="D36" s="3"/>
      <c r="E36" s="3">
        <v>0.8</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B37" t="s">
        <v>61</v>
      </c>
      <c r="C37" t="s">
        <v>48</v>
      </c>
      <c r="D37" s="3"/>
      <c r="E37" s="3">
        <v>0.8</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B38" t="s">
        <v>61</v>
      </c>
      <c r="C38" t="s">
        <v>48</v>
      </c>
      <c r="D38" s="3"/>
      <c r="E38" s="3">
        <v>0.8</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B39" t="s">
        <v>61</v>
      </c>
      <c r="C39" t="s">
        <v>48</v>
      </c>
      <c r="D39" s="3"/>
      <c r="E39" s="3">
        <v>0.8</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B40" t="s">
        <v>61</v>
      </c>
      <c r="C40" t="s">
        <v>48</v>
      </c>
      <c r="D40" s="3"/>
      <c r="E40" s="3">
        <v>0.8</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B41" t="s">
        <v>61</v>
      </c>
      <c r="C41" t="s">
        <v>48</v>
      </c>
      <c r="D41" s="3"/>
      <c r="E41" s="3">
        <v>0.8</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218</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B44" t="s">
        <v>61</v>
      </c>
      <c r="C44" t="s">
        <v>62</v>
      </c>
      <c r="D44" s="3"/>
      <c r="E44" s="3">
        <v>1</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B45" t="s">
        <v>61</v>
      </c>
      <c r="C45" t="s">
        <v>62</v>
      </c>
      <c r="D45" s="3"/>
      <c r="E45" s="3">
        <v>1</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B46" t="s">
        <v>61</v>
      </c>
      <c r="C46" t="s">
        <v>62</v>
      </c>
      <c r="D46" s="3"/>
      <c r="E46" s="3">
        <v>1</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B47" t="s">
        <v>61</v>
      </c>
      <c r="C47" t="s">
        <v>62</v>
      </c>
      <c r="D47" s="3"/>
      <c r="E47" s="3">
        <v>1</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B48" t="s">
        <v>61</v>
      </c>
      <c r="C48" t="s">
        <v>62</v>
      </c>
      <c r="D48" s="3"/>
      <c r="E48" s="3">
        <v>1</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B49" t="s">
        <v>61</v>
      </c>
      <c r="C49" t="s">
        <v>62</v>
      </c>
      <c r="D49" s="3"/>
      <c r="E49" s="3">
        <v>1</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B50" t="s">
        <v>61</v>
      </c>
      <c r="C50" t="s">
        <v>62</v>
      </c>
      <c r="D50" s="3"/>
      <c r="E50" s="3">
        <v>1</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B51" t="s">
        <v>61</v>
      </c>
      <c r="C51" t="s">
        <v>62</v>
      </c>
      <c r="D51" s="3"/>
      <c r="E51" s="3">
        <v>1</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B52" t="s">
        <v>61</v>
      </c>
      <c r="C52" t="s">
        <v>62</v>
      </c>
      <c r="D52" s="3"/>
      <c r="E52" s="3">
        <v>1</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B53" t="s">
        <v>61</v>
      </c>
      <c r="C53" t="s">
        <v>62</v>
      </c>
      <c r="D53" s="3"/>
      <c r="E53" s="3">
        <v>1</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B54" t="s">
        <v>61</v>
      </c>
      <c r="C54" t="s">
        <v>62</v>
      </c>
      <c r="D54" s="3"/>
      <c r="E54" s="3">
        <v>1</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B55" t="s">
        <v>61</v>
      </c>
      <c r="C55" t="s">
        <v>62</v>
      </c>
      <c r="D55" s="3"/>
      <c r="E55" s="3">
        <v>1</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219</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B58" t="s">
        <v>61</v>
      </c>
      <c r="C58" t="s">
        <v>56</v>
      </c>
      <c r="D58" s="3"/>
      <c r="E58" s="3">
        <v>1</v>
      </c>
      <c r="F58" s="4" t="s">
        <v>37</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B59" t="s">
        <v>61</v>
      </c>
      <c r="C59" t="s">
        <v>56</v>
      </c>
      <c r="D59" s="3"/>
      <c r="E59" s="3">
        <v>1</v>
      </c>
      <c r="F59" s="4" t="s">
        <v>37</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B60" t="s">
        <v>61</v>
      </c>
      <c r="C60" t="s">
        <v>56</v>
      </c>
      <c r="D60" s="3"/>
      <c r="E60" s="3">
        <v>1</v>
      </c>
      <c r="F60" s="4" t="s">
        <v>37</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B61" t="s">
        <v>61</v>
      </c>
      <c r="C61" t="s">
        <v>56</v>
      </c>
      <c r="D61" s="3"/>
      <c r="E61" s="3">
        <v>1</v>
      </c>
      <c r="F61" s="4" t="s">
        <v>37</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B62" t="s">
        <v>61</v>
      </c>
      <c r="C62" t="s">
        <v>56</v>
      </c>
      <c r="D62" s="3"/>
      <c r="E62" s="3">
        <v>1</v>
      </c>
      <c r="F62" s="4" t="s">
        <v>37</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B63" t="s">
        <v>61</v>
      </c>
      <c r="C63" t="s">
        <v>56</v>
      </c>
      <c r="D63" s="3"/>
      <c r="E63" s="3">
        <v>1</v>
      </c>
      <c r="F63" s="4" t="s">
        <v>37</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B64" t="s">
        <v>61</v>
      </c>
      <c r="C64" t="s">
        <v>56</v>
      </c>
      <c r="D64" s="3"/>
      <c r="E64" s="3">
        <v>1</v>
      </c>
      <c r="F64" s="4" t="s">
        <v>37</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B65" t="s">
        <v>61</v>
      </c>
      <c r="C65" t="s">
        <v>56</v>
      </c>
      <c r="D65" s="3"/>
      <c r="E65" s="3">
        <v>1</v>
      </c>
      <c r="F65" s="4" t="s">
        <v>37</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B66" t="s">
        <v>61</v>
      </c>
      <c r="C66" t="s">
        <v>56</v>
      </c>
      <c r="D66" s="3"/>
      <c r="E66" s="3">
        <v>1</v>
      </c>
      <c r="F66" s="4" t="s">
        <v>37</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B67" t="s">
        <v>61</v>
      </c>
      <c r="C67" t="s">
        <v>56</v>
      </c>
      <c r="D67" s="3"/>
      <c r="E67" s="3">
        <v>1</v>
      </c>
      <c r="F67" s="4" t="s">
        <v>37</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B68" t="s">
        <v>61</v>
      </c>
      <c r="C68" t="s">
        <v>56</v>
      </c>
      <c r="D68" s="3"/>
      <c r="E68" s="3">
        <v>1</v>
      </c>
      <c r="F68" s="4" t="s">
        <v>37</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B69" t="s">
        <v>61</v>
      </c>
      <c r="C69" t="s">
        <v>56</v>
      </c>
      <c r="D69" s="3"/>
      <c r="E69" s="3">
        <v>1</v>
      </c>
      <c r="F69" s="4" t="s">
        <v>37</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220</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B72" t="s">
        <v>61</v>
      </c>
      <c r="C72" t="s">
        <v>56</v>
      </c>
      <c r="D72" s="3"/>
      <c r="E72" s="3">
        <v>1</v>
      </c>
      <c r="F72" s="4" t="s">
        <v>37</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B73" t="s">
        <v>61</v>
      </c>
      <c r="C73" t="s">
        <v>56</v>
      </c>
      <c r="D73" s="3"/>
      <c r="E73" s="3">
        <v>1</v>
      </c>
      <c r="F73" s="4" t="s">
        <v>37</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B74" t="s">
        <v>61</v>
      </c>
      <c r="C74" t="s">
        <v>56</v>
      </c>
      <c r="D74" s="3"/>
      <c r="E74" s="3">
        <v>1</v>
      </c>
      <c r="F74" s="4" t="s">
        <v>37</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B75" t="s">
        <v>61</v>
      </c>
      <c r="C75" t="s">
        <v>56</v>
      </c>
      <c r="D75" s="3"/>
      <c r="E75" s="3">
        <v>1</v>
      </c>
      <c r="F75" s="4" t="s">
        <v>37</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B76" t="s">
        <v>61</v>
      </c>
      <c r="C76" t="s">
        <v>56</v>
      </c>
      <c r="D76" s="3"/>
      <c r="E76" s="3">
        <v>1</v>
      </c>
      <c r="F76" s="4" t="s">
        <v>37</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B77" t="s">
        <v>61</v>
      </c>
      <c r="C77" t="s">
        <v>56</v>
      </c>
      <c r="D77" s="3"/>
      <c r="E77" s="3">
        <v>1</v>
      </c>
      <c r="F77" s="4" t="s">
        <v>37</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B78" t="s">
        <v>61</v>
      </c>
      <c r="C78" t="s">
        <v>56</v>
      </c>
      <c r="D78" s="3"/>
      <c r="E78" s="3">
        <v>1</v>
      </c>
      <c r="F78" s="4" t="s">
        <v>37</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B79" t="s">
        <v>61</v>
      </c>
      <c r="C79" t="s">
        <v>56</v>
      </c>
      <c r="D79" s="3"/>
      <c r="E79" s="3">
        <v>1</v>
      </c>
      <c r="F79" s="4" t="s">
        <v>37</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B80" t="s">
        <v>61</v>
      </c>
      <c r="C80" t="s">
        <v>56</v>
      </c>
      <c r="D80" s="3"/>
      <c r="E80" s="3">
        <v>1</v>
      </c>
      <c r="F80" s="4" t="s">
        <v>37</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B81" t="s">
        <v>61</v>
      </c>
      <c r="C81" t="s">
        <v>56</v>
      </c>
      <c r="D81" s="3"/>
      <c r="E81" s="3">
        <v>1</v>
      </c>
      <c r="F81" s="4" t="s">
        <v>37</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B82" t="s">
        <v>61</v>
      </c>
      <c r="C82" t="s">
        <v>56</v>
      </c>
      <c r="D82" s="3"/>
      <c r="E82" s="3">
        <v>1</v>
      </c>
      <c r="F82" s="4" t="s">
        <v>37</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B83" t="s">
        <v>61</v>
      </c>
      <c r="C83" t="s">
        <v>56</v>
      </c>
      <c r="D83" s="3"/>
      <c r="E83" s="3">
        <v>1</v>
      </c>
      <c r="F83" s="4" t="s">
        <v>37</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sheetData>
  <conditionalFormatting sqref="E2:E13">
    <cfRule type="expression" dxfId="729" priority="1">
      <formula>COUNTIF(G2:BE2,"&lt;&gt;" &amp; "")&gt;0</formula>
    </cfRule>
    <cfRule type="expression" dxfId="728" priority="2">
      <formula>AND(COUNTIF(G2:BE2,"&lt;&gt;" &amp; "")&gt;0,NOT(ISBLANK(E2)))</formula>
    </cfRule>
  </conditionalFormatting>
  <conditionalFormatting sqref="E16:E27">
    <cfRule type="expression" dxfId="727" priority="25">
      <formula>COUNTIF(G16:BE16,"&lt;&gt;" &amp; "")&gt;0</formula>
    </cfRule>
    <cfRule type="expression" dxfId="726" priority="26">
      <formula>AND(COUNTIF(G16:BE16,"&lt;&gt;" &amp; "")&gt;0,NOT(ISBLANK(E16)))</formula>
    </cfRule>
  </conditionalFormatting>
  <conditionalFormatting sqref="E30:E41">
    <cfRule type="expression" dxfId="725" priority="49">
      <formula>COUNTIF(G30:BE30,"&lt;&gt;" &amp; "")&gt;0</formula>
    </cfRule>
    <cfRule type="expression" dxfId="724" priority="50">
      <formula>AND(COUNTIF(G30:BE30,"&lt;&gt;" &amp; "")&gt;0,NOT(ISBLANK(E30)))</formula>
    </cfRule>
  </conditionalFormatting>
  <conditionalFormatting sqref="E44:E55">
    <cfRule type="expression" dxfId="723" priority="73">
      <formula>COUNTIF(G44:BE44,"&lt;&gt;" &amp; "")&gt;0</formula>
    </cfRule>
    <cfRule type="expression" dxfId="722" priority="74">
      <formula>AND(COUNTIF(G44:BE44,"&lt;&gt;" &amp; "")&gt;0,NOT(ISBLANK(E44)))</formula>
    </cfRule>
  </conditionalFormatting>
  <conditionalFormatting sqref="E58:E69">
    <cfRule type="expression" dxfId="721" priority="97">
      <formula>COUNTIF(G58:BE58,"&lt;&gt;" &amp; "")&gt;0</formula>
    </cfRule>
    <cfRule type="expression" dxfId="720" priority="98">
      <formula>AND(COUNTIF(G58:BE58,"&lt;&gt;" &amp; "")&gt;0,NOT(ISBLANK(E58)))</formula>
    </cfRule>
  </conditionalFormatting>
  <conditionalFormatting sqref="E72:E83">
    <cfRule type="expression" dxfId="719" priority="121">
      <formula>COUNTIF(G72:BE72,"&lt;&gt;" &amp; "")&gt;0</formula>
    </cfRule>
    <cfRule type="expression" dxfId="718" priority="122">
      <formula>AND(COUNTIF(G72:BE72,"&lt;&gt;" &amp; "")&gt;0,NOT(ISBLANK(E72)))</formula>
    </cfRule>
  </conditionalFormatting>
  <dataValidations count="4">
    <dataValidation type="list" allowBlank="1" showInputMessage="1" showErrorMessage="1" sqref="C2:C13" xr:uid="{00000000-0002-0000-0E00-000000000000}">
      <formula1>"Probability (per year)"</formula1>
    </dataValidation>
    <dataValidation type="list" allowBlank="1" showInputMessage="1" showErrorMessage="1" sqref="C44:C55 C16:C27" xr:uid="{00000000-0002-0000-0E00-00000C000000}">
      <formula1>"Duration (years)"</formula1>
    </dataValidation>
    <dataValidation type="list" allowBlank="1" showInputMessage="1" showErrorMessage="1" sqref="C30:C41" xr:uid="{00000000-0002-0000-0E00-000018000000}">
      <formula1>"Proportion"</formula1>
    </dataValidation>
    <dataValidation type="list" allowBlank="1" showInputMessage="1" showErrorMessage="1" sqref="C72:C83 C58:C69" xr:uid="{00000000-0002-0000-0E00-000030000000}">
      <formula1>"N.A."</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08080"/>
  </sheetPr>
  <dimension ref="A1:BG162"/>
  <sheetViews>
    <sheetView workbookViewId="0"/>
  </sheetViews>
  <sheetFormatPr defaultRowHeight="15" x14ac:dyDescent="0.25"/>
  <cols>
    <col min="1" max="1" width="20.42578125" customWidth="1"/>
    <col min="2" max="2" width="35.85546875" customWidth="1"/>
    <col min="3" max="3" width="23.7109375" customWidth="1"/>
    <col min="4" max="4" width="30.28515625" customWidth="1"/>
    <col min="5" max="6" width="13.85546875" customWidth="1"/>
    <col min="7" max="7" width="16" customWidth="1"/>
    <col min="8" max="8" width="13.85546875" customWidth="1"/>
    <col min="9" max="9" width="16" customWidth="1"/>
    <col min="10" max="10" width="11.5703125" customWidth="1"/>
    <col min="11" max="11" width="13.85546875" customWidth="1"/>
    <col min="12" max="12" width="18.28515625" customWidth="1"/>
    <col min="13" max="13" width="20.42578125" customWidth="1"/>
    <col min="14" max="59" width="9.42578125" customWidth="1"/>
  </cols>
  <sheetData>
    <row r="1" spans="1:13" x14ac:dyDescent="0.25">
      <c r="A1" s="1" t="s">
        <v>0</v>
      </c>
      <c r="B1" s="1" t="s">
        <v>1</v>
      </c>
      <c r="C1" s="1" t="s">
        <v>223</v>
      </c>
      <c r="D1" s="1" t="s">
        <v>224</v>
      </c>
    </row>
    <row r="2" spans="1:13" x14ac:dyDescent="0.25">
      <c r="A2" t="s">
        <v>221</v>
      </c>
      <c r="B2" t="s">
        <v>222</v>
      </c>
      <c r="C2" t="s">
        <v>5</v>
      </c>
      <c r="D2" t="s">
        <v>5</v>
      </c>
    </row>
    <row r="4" spans="1:13" x14ac:dyDescent="0.25">
      <c r="B4" s="1" t="str">
        <f>'Population Definitions'!$A$2</f>
        <v>PWID_males</v>
      </c>
      <c r="C4" s="1" t="str">
        <f>'Population Definitions'!$A$3</f>
        <v>PWID_females</v>
      </c>
      <c r="D4" s="1" t="str">
        <f>'Population Definitions'!$A$4</f>
        <v>0-9_males</v>
      </c>
      <c r="E4" s="1" t="str">
        <f>'Population Definitions'!$A$5</f>
        <v>0-9_females</v>
      </c>
      <c r="F4" s="1" t="str">
        <f>'Population Definitions'!$A$6</f>
        <v>10-17_males</v>
      </c>
      <c r="G4" s="1" t="str">
        <f>'Population Definitions'!$A$7</f>
        <v>10-17_females</v>
      </c>
      <c r="H4" s="1" t="str">
        <f>'Population Definitions'!$A$8</f>
        <v>18-64_males</v>
      </c>
      <c r="I4" s="1" t="str">
        <f>'Population Definitions'!$A$9</f>
        <v>18-64_females</v>
      </c>
      <c r="J4" s="1" t="str">
        <f>'Population Definitions'!$A$10</f>
        <v>65+_males</v>
      </c>
      <c r="K4" s="1" t="str">
        <f>'Population Definitions'!$A$11</f>
        <v>65+_females</v>
      </c>
      <c r="L4" s="1" t="str">
        <f>'Population Definitions'!$A$12</f>
        <v>Prisoners_males</v>
      </c>
      <c r="M4" s="1" t="str">
        <f>'Population Definitions'!$A$13</f>
        <v>Prisoners_females</v>
      </c>
    </row>
    <row r="5" spans="1:13" x14ac:dyDescent="0.25">
      <c r="A5" s="1" t="str">
        <f>'Population Definitions'!$A$2</f>
        <v>PWID_males</v>
      </c>
      <c r="B5" s="5" t="s">
        <v>225</v>
      </c>
      <c r="C5" s="5" t="s">
        <v>225</v>
      </c>
      <c r="D5" s="5" t="s">
        <v>226</v>
      </c>
      <c r="E5" s="5" t="s">
        <v>226</v>
      </c>
      <c r="F5" s="5" t="s">
        <v>226</v>
      </c>
      <c r="G5" s="5" t="s">
        <v>226</v>
      </c>
      <c r="H5" s="5" t="s">
        <v>226</v>
      </c>
      <c r="I5" s="5" t="s">
        <v>226</v>
      </c>
      <c r="J5" s="5" t="s">
        <v>226</v>
      </c>
      <c r="K5" s="5" t="s">
        <v>226</v>
      </c>
      <c r="L5" s="5" t="s">
        <v>226</v>
      </c>
      <c r="M5" s="5" t="s">
        <v>226</v>
      </c>
    </row>
    <row r="6" spans="1:13" x14ac:dyDescent="0.25">
      <c r="A6" s="1" t="str">
        <f>'Population Definitions'!$A$3</f>
        <v>PWID_females</v>
      </c>
      <c r="B6" s="5" t="s">
        <v>225</v>
      </c>
      <c r="C6" s="5" t="s">
        <v>225</v>
      </c>
      <c r="D6" s="5" t="s">
        <v>226</v>
      </c>
      <c r="E6" s="5" t="s">
        <v>226</v>
      </c>
      <c r="F6" s="5" t="s">
        <v>226</v>
      </c>
      <c r="G6" s="5" t="s">
        <v>226</v>
      </c>
      <c r="H6" s="5" t="s">
        <v>226</v>
      </c>
      <c r="I6" s="5" t="s">
        <v>226</v>
      </c>
      <c r="J6" s="5" t="s">
        <v>226</v>
      </c>
      <c r="K6" s="5" t="s">
        <v>226</v>
      </c>
      <c r="L6" s="5" t="s">
        <v>226</v>
      </c>
      <c r="M6" s="5" t="s">
        <v>226</v>
      </c>
    </row>
    <row r="7" spans="1:13" x14ac:dyDescent="0.25">
      <c r="A7" s="1" t="str">
        <f>'Population Definitions'!$A$4</f>
        <v>0-9_males</v>
      </c>
      <c r="B7" s="5" t="s">
        <v>226</v>
      </c>
      <c r="C7" s="5" t="s">
        <v>226</v>
      </c>
      <c r="D7" s="5" t="s">
        <v>226</v>
      </c>
      <c r="E7" s="5" t="s">
        <v>226</v>
      </c>
      <c r="F7" s="5" t="s">
        <v>226</v>
      </c>
      <c r="G7" s="5" t="s">
        <v>226</v>
      </c>
      <c r="H7" s="5" t="s">
        <v>226</v>
      </c>
      <c r="I7" s="5" t="s">
        <v>226</v>
      </c>
      <c r="J7" s="5" t="s">
        <v>226</v>
      </c>
      <c r="K7" s="5" t="s">
        <v>226</v>
      </c>
      <c r="L7" s="5" t="s">
        <v>226</v>
      </c>
      <c r="M7" s="5" t="s">
        <v>226</v>
      </c>
    </row>
    <row r="8" spans="1:13" x14ac:dyDescent="0.25">
      <c r="A8" s="1" t="str">
        <f>'Population Definitions'!$A$5</f>
        <v>0-9_females</v>
      </c>
      <c r="B8" s="5" t="s">
        <v>226</v>
      </c>
      <c r="C8" s="5" t="s">
        <v>226</v>
      </c>
      <c r="D8" s="5" t="s">
        <v>226</v>
      </c>
      <c r="E8" s="5" t="s">
        <v>226</v>
      </c>
      <c r="F8" s="5" t="s">
        <v>226</v>
      </c>
      <c r="G8" s="5" t="s">
        <v>226</v>
      </c>
      <c r="H8" s="5" t="s">
        <v>226</v>
      </c>
      <c r="I8" s="5" t="s">
        <v>226</v>
      </c>
      <c r="J8" s="5" t="s">
        <v>226</v>
      </c>
      <c r="K8" s="5" t="s">
        <v>226</v>
      </c>
      <c r="L8" s="5" t="s">
        <v>226</v>
      </c>
      <c r="M8" s="5" t="s">
        <v>226</v>
      </c>
    </row>
    <row r="9" spans="1:13" x14ac:dyDescent="0.25">
      <c r="A9" s="1" t="str">
        <f>'Population Definitions'!$A$6</f>
        <v>10-17_males</v>
      </c>
      <c r="B9" s="5" t="s">
        <v>226</v>
      </c>
      <c r="C9" s="5" t="s">
        <v>226</v>
      </c>
      <c r="D9" s="5" t="s">
        <v>226</v>
      </c>
      <c r="E9" s="5" t="s">
        <v>226</v>
      </c>
      <c r="F9" s="5" t="s">
        <v>226</v>
      </c>
      <c r="G9" s="5" t="s">
        <v>226</v>
      </c>
      <c r="H9" s="5" t="s">
        <v>226</v>
      </c>
      <c r="I9" s="5" t="s">
        <v>226</v>
      </c>
      <c r="J9" s="5" t="s">
        <v>226</v>
      </c>
      <c r="K9" s="5" t="s">
        <v>226</v>
      </c>
      <c r="L9" s="5" t="s">
        <v>226</v>
      </c>
      <c r="M9" s="5" t="s">
        <v>226</v>
      </c>
    </row>
    <row r="10" spans="1:13" x14ac:dyDescent="0.25">
      <c r="A10" s="1" t="str">
        <f>'Population Definitions'!$A$7</f>
        <v>10-17_females</v>
      </c>
      <c r="B10" s="5" t="s">
        <v>226</v>
      </c>
      <c r="C10" s="5" t="s">
        <v>226</v>
      </c>
      <c r="D10" s="5" t="s">
        <v>226</v>
      </c>
      <c r="E10" s="5" t="s">
        <v>226</v>
      </c>
      <c r="F10" s="5" t="s">
        <v>226</v>
      </c>
      <c r="G10" s="5" t="s">
        <v>226</v>
      </c>
      <c r="H10" s="5" t="s">
        <v>226</v>
      </c>
      <c r="I10" s="5" t="s">
        <v>226</v>
      </c>
      <c r="J10" s="5" t="s">
        <v>226</v>
      </c>
      <c r="K10" s="5" t="s">
        <v>226</v>
      </c>
      <c r="L10" s="5" t="s">
        <v>226</v>
      </c>
      <c r="M10" s="5" t="s">
        <v>226</v>
      </c>
    </row>
    <row r="11" spans="1:13" x14ac:dyDescent="0.25">
      <c r="A11" s="1" t="str">
        <f>'Population Definitions'!$A$8</f>
        <v>18-64_males</v>
      </c>
      <c r="B11" s="5" t="s">
        <v>226</v>
      </c>
      <c r="C11" s="5" t="s">
        <v>226</v>
      </c>
      <c r="D11" s="5" t="s">
        <v>226</v>
      </c>
      <c r="E11" s="5" t="s">
        <v>226</v>
      </c>
      <c r="F11" s="5" t="s">
        <v>226</v>
      </c>
      <c r="G11" s="5" t="s">
        <v>226</v>
      </c>
      <c r="H11" s="5" t="s">
        <v>226</v>
      </c>
      <c r="I11" s="5" t="s">
        <v>226</v>
      </c>
      <c r="J11" s="5" t="s">
        <v>226</v>
      </c>
      <c r="K11" s="5" t="s">
        <v>226</v>
      </c>
      <c r="L11" s="5" t="s">
        <v>226</v>
      </c>
      <c r="M11" s="5" t="s">
        <v>226</v>
      </c>
    </row>
    <row r="12" spans="1:13" x14ac:dyDescent="0.25">
      <c r="A12" s="1" t="str">
        <f>'Population Definitions'!$A$9</f>
        <v>18-64_females</v>
      </c>
      <c r="B12" s="5" t="s">
        <v>226</v>
      </c>
      <c r="C12" s="5" t="s">
        <v>226</v>
      </c>
      <c r="D12" s="5" t="s">
        <v>226</v>
      </c>
      <c r="E12" s="5" t="s">
        <v>226</v>
      </c>
      <c r="F12" s="5" t="s">
        <v>226</v>
      </c>
      <c r="G12" s="5" t="s">
        <v>226</v>
      </c>
      <c r="H12" s="5" t="s">
        <v>226</v>
      </c>
      <c r="I12" s="5" t="s">
        <v>226</v>
      </c>
      <c r="J12" s="5" t="s">
        <v>226</v>
      </c>
      <c r="K12" s="5" t="s">
        <v>226</v>
      </c>
      <c r="L12" s="5" t="s">
        <v>226</v>
      </c>
      <c r="M12" s="5" t="s">
        <v>226</v>
      </c>
    </row>
    <row r="13" spans="1:13" x14ac:dyDescent="0.25">
      <c r="A13" s="1" t="str">
        <f>'Population Definitions'!$A$10</f>
        <v>65+_males</v>
      </c>
      <c r="B13" s="5" t="s">
        <v>226</v>
      </c>
      <c r="C13" s="5" t="s">
        <v>226</v>
      </c>
      <c r="D13" s="5" t="s">
        <v>226</v>
      </c>
      <c r="E13" s="5" t="s">
        <v>226</v>
      </c>
      <c r="F13" s="5" t="s">
        <v>226</v>
      </c>
      <c r="G13" s="5" t="s">
        <v>226</v>
      </c>
      <c r="H13" s="5" t="s">
        <v>226</v>
      </c>
      <c r="I13" s="5" t="s">
        <v>226</v>
      </c>
      <c r="J13" s="5" t="s">
        <v>226</v>
      </c>
      <c r="K13" s="5" t="s">
        <v>226</v>
      </c>
      <c r="L13" s="5" t="s">
        <v>226</v>
      </c>
      <c r="M13" s="5" t="s">
        <v>226</v>
      </c>
    </row>
    <row r="14" spans="1:13" x14ac:dyDescent="0.25">
      <c r="A14" s="1" t="str">
        <f>'Population Definitions'!$A$11</f>
        <v>65+_females</v>
      </c>
      <c r="B14" s="5" t="s">
        <v>226</v>
      </c>
      <c r="C14" s="5" t="s">
        <v>226</v>
      </c>
      <c r="D14" s="5" t="s">
        <v>226</v>
      </c>
      <c r="E14" s="5" t="s">
        <v>226</v>
      </c>
      <c r="F14" s="5" t="s">
        <v>226</v>
      </c>
      <c r="G14" s="5" t="s">
        <v>226</v>
      </c>
      <c r="H14" s="5" t="s">
        <v>226</v>
      </c>
      <c r="I14" s="5" t="s">
        <v>226</v>
      </c>
      <c r="J14" s="5" t="s">
        <v>226</v>
      </c>
      <c r="K14" s="5" t="s">
        <v>226</v>
      </c>
      <c r="L14" s="5" t="s">
        <v>226</v>
      </c>
      <c r="M14" s="5" t="s">
        <v>226</v>
      </c>
    </row>
    <row r="15" spans="1:13" x14ac:dyDescent="0.25">
      <c r="A15" s="1" t="str">
        <f>'Population Definitions'!$A$12</f>
        <v>Prisoners_males</v>
      </c>
      <c r="B15" s="5" t="s">
        <v>226</v>
      </c>
      <c r="C15" s="5" t="s">
        <v>226</v>
      </c>
      <c r="D15" s="5" t="s">
        <v>226</v>
      </c>
      <c r="E15" s="5" t="s">
        <v>226</v>
      </c>
      <c r="F15" s="5" t="s">
        <v>226</v>
      </c>
      <c r="G15" s="5" t="s">
        <v>226</v>
      </c>
      <c r="H15" s="5" t="s">
        <v>226</v>
      </c>
      <c r="I15" s="5" t="s">
        <v>226</v>
      </c>
      <c r="J15" s="5" t="s">
        <v>226</v>
      </c>
      <c r="K15" s="5" t="s">
        <v>226</v>
      </c>
      <c r="L15" s="5" t="s">
        <v>225</v>
      </c>
      <c r="M15" s="5" t="s">
        <v>226</v>
      </c>
    </row>
    <row r="16" spans="1:13" x14ac:dyDescent="0.25">
      <c r="A16" s="1" t="str">
        <f>'Population Definitions'!$A$13</f>
        <v>Prisoners_females</v>
      </c>
      <c r="B16" s="5" t="s">
        <v>226</v>
      </c>
      <c r="C16" s="5" t="s">
        <v>226</v>
      </c>
      <c r="D16" s="5" t="s">
        <v>226</v>
      </c>
      <c r="E16" s="5" t="s">
        <v>226</v>
      </c>
      <c r="F16" s="5" t="s">
        <v>226</v>
      </c>
      <c r="G16" s="5" t="s">
        <v>226</v>
      </c>
      <c r="H16" s="5" t="s">
        <v>226</v>
      </c>
      <c r="I16" s="5" t="s">
        <v>226</v>
      </c>
      <c r="J16" s="5" t="s">
        <v>226</v>
      </c>
      <c r="K16" s="5" t="s">
        <v>226</v>
      </c>
      <c r="L16" s="5" t="s">
        <v>226</v>
      </c>
      <c r="M16" s="5" t="s">
        <v>225</v>
      </c>
    </row>
    <row r="18" spans="1:59" x14ac:dyDescent="0.25">
      <c r="A18" s="1" t="s">
        <v>227</v>
      </c>
      <c r="B18" s="1"/>
      <c r="C18" s="1" t="s">
        <v>228</v>
      </c>
      <c r="D18" s="1" t="s">
        <v>29</v>
      </c>
      <c r="E18" s="1" t="s">
        <v>30</v>
      </c>
      <c r="F18" s="1" t="s">
        <v>31</v>
      </c>
      <c r="G18" s="1" t="s">
        <v>36</v>
      </c>
      <c r="H18" s="1"/>
      <c r="I18" s="1">
        <v>2000</v>
      </c>
      <c r="J18" s="1">
        <v>2001</v>
      </c>
      <c r="K18" s="1">
        <v>2002</v>
      </c>
      <c r="L18" s="1">
        <v>2003</v>
      </c>
      <c r="M18" s="1">
        <v>2004</v>
      </c>
      <c r="N18" s="1">
        <v>2005</v>
      </c>
      <c r="O18" s="1">
        <v>2006</v>
      </c>
      <c r="P18" s="1">
        <v>2007</v>
      </c>
      <c r="Q18" s="1">
        <v>2008</v>
      </c>
      <c r="R18" s="1">
        <v>2009</v>
      </c>
      <c r="S18" s="1">
        <v>2010</v>
      </c>
      <c r="T18" s="1">
        <v>2011</v>
      </c>
      <c r="U18" s="1">
        <v>2012</v>
      </c>
      <c r="V18" s="1">
        <v>2013</v>
      </c>
      <c r="W18" s="1">
        <v>2014</v>
      </c>
      <c r="X18" s="1">
        <v>2015</v>
      </c>
      <c r="Y18" s="1">
        <v>2016</v>
      </c>
      <c r="Z18" s="1">
        <v>2017</v>
      </c>
      <c r="AA18" s="1">
        <v>2018</v>
      </c>
      <c r="AB18" s="1">
        <v>2019</v>
      </c>
      <c r="AC18" s="1">
        <v>2020</v>
      </c>
      <c r="AD18" s="1">
        <v>2021</v>
      </c>
      <c r="AE18" s="1">
        <v>2022</v>
      </c>
      <c r="AF18" s="1">
        <v>2023</v>
      </c>
      <c r="AG18" s="1">
        <v>2024</v>
      </c>
      <c r="AH18" s="1">
        <v>2025</v>
      </c>
      <c r="AI18" s="1">
        <v>2026</v>
      </c>
      <c r="AJ18" s="1">
        <v>2027</v>
      </c>
      <c r="AK18" s="1">
        <v>2028</v>
      </c>
      <c r="AL18" s="1">
        <v>2029</v>
      </c>
      <c r="AM18" s="1">
        <v>2030</v>
      </c>
      <c r="AN18" s="1">
        <v>2031</v>
      </c>
      <c r="AO18" s="1">
        <v>2032</v>
      </c>
      <c r="AP18" s="1">
        <v>2033</v>
      </c>
      <c r="AQ18" s="1">
        <v>2034</v>
      </c>
      <c r="AR18" s="1">
        <v>2035</v>
      </c>
      <c r="AS18" s="1">
        <v>2036</v>
      </c>
      <c r="AT18" s="1">
        <v>2037</v>
      </c>
      <c r="AU18" s="1">
        <v>2038</v>
      </c>
      <c r="AV18" s="1">
        <v>2039</v>
      </c>
      <c r="AW18" s="1">
        <v>2040</v>
      </c>
      <c r="AX18" s="1">
        <v>2041</v>
      </c>
      <c r="AY18" s="1">
        <v>2042</v>
      </c>
      <c r="AZ18" s="1">
        <v>2043</v>
      </c>
      <c r="BA18" s="1">
        <v>2044</v>
      </c>
      <c r="BB18" s="1">
        <v>2045</v>
      </c>
      <c r="BC18" s="1">
        <v>2046</v>
      </c>
      <c r="BD18" s="1">
        <v>2047</v>
      </c>
      <c r="BE18" s="1">
        <v>2048</v>
      </c>
      <c r="BF18" s="1">
        <v>2049</v>
      </c>
      <c r="BG18" s="1">
        <v>2050</v>
      </c>
    </row>
    <row r="19" spans="1:59" x14ac:dyDescent="0.25">
      <c r="A19" s="1" t="str">
        <f>IF($B$5="Y",'Population Definitions'!$A$2,"...")</f>
        <v>PWID_males</v>
      </c>
      <c r="B19" s="4" t="str">
        <f>IF($B$5="Y","---&gt;","...")</f>
        <v>---&gt;</v>
      </c>
      <c r="C19" s="1" t="str">
        <f>IF($B$5="Y",'Population Definitions'!$A$2,"...")</f>
        <v>PWID_males</v>
      </c>
      <c r="D19" t="s">
        <v>61</v>
      </c>
      <c r="E19" s="3" t="s">
        <v>56</v>
      </c>
      <c r="F19" s="3"/>
      <c r="G19" s="3">
        <v>1</v>
      </c>
      <c r="H19" s="4" t="str">
        <f>IF($B$5="Y","OR","...")</f>
        <v>OR</v>
      </c>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row>
    <row r="20" spans="1:59" x14ac:dyDescent="0.25">
      <c r="A20" s="1" t="str">
        <f>IF($C$5="Y",'Population Definitions'!$A$2,"...")</f>
        <v>PWID_males</v>
      </c>
      <c r="B20" s="4" t="str">
        <f>IF($C$5="Y","---&gt;","...")</f>
        <v>---&gt;</v>
      </c>
      <c r="C20" s="1" t="str">
        <f>IF($C$5="Y",'Population Definitions'!$A$3,"...")</f>
        <v>PWID_females</v>
      </c>
      <c r="D20" t="s">
        <v>61</v>
      </c>
      <c r="E20" s="3" t="s">
        <v>56</v>
      </c>
      <c r="F20" s="3"/>
      <c r="G20" s="3">
        <v>1</v>
      </c>
      <c r="H20" s="4" t="str">
        <f>IF($C$5="Y","OR","...")</f>
        <v>OR</v>
      </c>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row>
    <row r="21" spans="1:59" x14ac:dyDescent="0.25">
      <c r="A21" s="1" t="str">
        <f>IF($D$5="Y",'Population Definitions'!$A$2,"...")</f>
        <v>...</v>
      </c>
      <c r="B21" s="4" t="str">
        <f>IF($D$5="Y","---&gt;","...")</f>
        <v>...</v>
      </c>
      <c r="C21" s="1" t="str">
        <f>IF($D$5="Y",'Population Definitions'!$A$4,"...")</f>
        <v>...</v>
      </c>
      <c r="E21" s="2"/>
      <c r="F21" s="3"/>
      <c r="G21" s="2"/>
      <c r="H21" s="4" t="str">
        <f>IF($D$5="Y","OR","...")</f>
        <v>...</v>
      </c>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row>
    <row r="22" spans="1:59" x14ac:dyDescent="0.25">
      <c r="A22" s="1" t="str">
        <f>IF($E$5="Y",'Population Definitions'!$A$2,"...")</f>
        <v>...</v>
      </c>
      <c r="B22" s="4" t="str">
        <f>IF($E$5="Y","---&gt;","...")</f>
        <v>...</v>
      </c>
      <c r="C22" s="1" t="str">
        <f>IF($E$5="Y",'Population Definitions'!$A$5,"...")</f>
        <v>...</v>
      </c>
      <c r="E22" s="2"/>
      <c r="F22" s="3"/>
      <c r="G22" s="2"/>
      <c r="H22" s="4" t="str">
        <f>IF($E$5="Y","OR","...")</f>
        <v>...</v>
      </c>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row>
    <row r="23" spans="1:59" x14ac:dyDescent="0.25">
      <c r="A23" s="1" t="str">
        <f>IF($F$5="Y",'Population Definitions'!$A$2,"...")</f>
        <v>...</v>
      </c>
      <c r="B23" s="4" t="str">
        <f>IF($F$5="Y","---&gt;","...")</f>
        <v>...</v>
      </c>
      <c r="C23" s="1" t="str">
        <f>IF($F$5="Y",'Population Definitions'!$A$6,"...")</f>
        <v>...</v>
      </c>
      <c r="E23" s="2"/>
      <c r="F23" s="3"/>
      <c r="G23" s="2"/>
      <c r="H23" s="4" t="str">
        <f>IF($F$5="Y","OR","...")</f>
        <v>...</v>
      </c>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row>
    <row r="24" spans="1:59" x14ac:dyDescent="0.25">
      <c r="A24" s="1" t="str">
        <f>IF($G$5="Y",'Population Definitions'!$A$2,"...")</f>
        <v>...</v>
      </c>
      <c r="B24" s="4" t="str">
        <f>IF($G$5="Y","---&gt;","...")</f>
        <v>...</v>
      </c>
      <c r="C24" s="1" t="str">
        <f>IF($G$5="Y",'Population Definitions'!$A$7,"...")</f>
        <v>...</v>
      </c>
      <c r="E24" s="2"/>
      <c r="F24" s="3"/>
      <c r="G24" s="2"/>
      <c r="H24" s="4" t="str">
        <f>IF($G$5="Y","OR","...")</f>
        <v>...</v>
      </c>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row>
    <row r="25" spans="1:59" x14ac:dyDescent="0.25">
      <c r="A25" s="1" t="str">
        <f>IF($H$5="Y",'Population Definitions'!$A$2,"...")</f>
        <v>...</v>
      </c>
      <c r="B25" s="4" t="str">
        <f>IF($H$5="Y","---&gt;","...")</f>
        <v>...</v>
      </c>
      <c r="C25" s="1" t="str">
        <f>IF($H$5="Y",'Population Definitions'!$A$8,"...")</f>
        <v>...</v>
      </c>
      <c r="E25" s="2"/>
      <c r="F25" s="3"/>
      <c r="G25" s="2"/>
      <c r="H25" s="4" t="str">
        <f>IF($H$5="Y","OR","...")</f>
        <v>...</v>
      </c>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row>
    <row r="26" spans="1:59" x14ac:dyDescent="0.25">
      <c r="A26" s="1" t="str">
        <f>IF($I$5="Y",'Population Definitions'!$A$2,"...")</f>
        <v>...</v>
      </c>
      <c r="B26" s="4" t="str">
        <f>IF($I$5="Y","---&gt;","...")</f>
        <v>...</v>
      </c>
      <c r="C26" s="1" t="str">
        <f>IF($I$5="Y",'Population Definitions'!$A$9,"...")</f>
        <v>...</v>
      </c>
      <c r="E26" s="2"/>
      <c r="F26" s="3"/>
      <c r="G26" s="2"/>
      <c r="H26" s="4" t="str">
        <f>IF($I$5="Y","OR","...")</f>
        <v>...</v>
      </c>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row>
    <row r="27" spans="1:59" x14ac:dyDescent="0.25">
      <c r="A27" s="1" t="str">
        <f>IF($J$5="Y",'Population Definitions'!$A$2,"...")</f>
        <v>...</v>
      </c>
      <c r="B27" s="4" t="str">
        <f>IF($J$5="Y","---&gt;","...")</f>
        <v>...</v>
      </c>
      <c r="C27" s="1" t="str">
        <f>IF($J$5="Y",'Population Definitions'!$A$10,"...")</f>
        <v>...</v>
      </c>
      <c r="E27" s="2"/>
      <c r="F27" s="3"/>
      <c r="G27" s="2"/>
      <c r="H27" s="4" t="str">
        <f>IF($J$5="Y","OR","...")</f>
        <v>...</v>
      </c>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row>
    <row r="28" spans="1:59" x14ac:dyDescent="0.25">
      <c r="A28" s="1" t="str">
        <f>IF($K$5="Y",'Population Definitions'!$A$2,"...")</f>
        <v>...</v>
      </c>
      <c r="B28" s="4" t="str">
        <f>IF($K$5="Y","---&gt;","...")</f>
        <v>...</v>
      </c>
      <c r="C28" s="1" t="str">
        <f>IF($K$5="Y",'Population Definitions'!$A$11,"...")</f>
        <v>...</v>
      </c>
      <c r="E28" s="2"/>
      <c r="F28" s="3"/>
      <c r="G28" s="2"/>
      <c r="H28" s="4" t="str">
        <f>IF($K$5="Y","OR","...")</f>
        <v>...</v>
      </c>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row>
    <row r="29" spans="1:59" x14ac:dyDescent="0.25">
      <c r="A29" s="1" t="str">
        <f>IF($L$5="Y",'Population Definitions'!$A$2,"...")</f>
        <v>...</v>
      </c>
      <c r="B29" s="4" t="str">
        <f>IF($L$5="Y","---&gt;","...")</f>
        <v>...</v>
      </c>
      <c r="C29" s="1" t="str">
        <f>IF($L$5="Y",'Population Definitions'!$A$12,"...")</f>
        <v>...</v>
      </c>
      <c r="E29" s="2"/>
      <c r="F29" s="3"/>
      <c r="G29" s="2"/>
      <c r="H29" s="4" t="str">
        <f>IF($L$5="Y","OR","...")</f>
        <v>...</v>
      </c>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row>
    <row r="30" spans="1:59" x14ac:dyDescent="0.25">
      <c r="A30" s="1" t="str">
        <f>IF($M$5="Y",'Population Definitions'!$A$2,"...")</f>
        <v>...</v>
      </c>
      <c r="B30" s="4" t="str">
        <f>IF($M$5="Y","---&gt;","...")</f>
        <v>...</v>
      </c>
      <c r="C30" s="1" t="str">
        <f>IF($M$5="Y",'Population Definitions'!$A$13,"...")</f>
        <v>...</v>
      </c>
      <c r="E30" s="2"/>
      <c r="F30" s="3"/>
      <c r="G30" s="2"/>
      <c r="H30" s="4" t="str">
        <f>IF($M$5="Y","OR","...")</f>
        <v>...</v>
      </c>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row>
    <row r="31" spans="1:59" x14ac:dyDescent="0.25">
      <c r="A31" s="1" t="str">
        <f>IF($B$6="Y",'Population Definitions'!$A$3,"...")</f>
        <v>PWID_females</v>
      </c>
      <c r="B31" s="4" t="str">
        <f>IF($B$6="Y","---&gt;","...")</f>
        <v>---&gt;</v>
      </c>
      <c r="C31" s="1" t="str">
        <f>IF($B$6="Y",'Population Definitions'!$A$2,"...")</f>
        <v>PWID_males</v>
      </c>
      <c r="D31" t="s">
        <v>61</v>
      </c>
      <c r="E31" s="3" t="s">
        <v>56</v>
      </c>
      <c r="F31" s="3"/>
      <c r="G31" s="3">
        <v>1</v>
      </c>
      <c r="H31" s="4" t="str">
        <f>IF($B$6="Y","OR","...")</f>
        <v>OR</v>
      </c>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row>
    <row r="32" spans="1:59" x14ac:dyDescent="0.25">
      <c r="A32" s="1" t="str">
        <f>IF($C$6="Y",'Population Definitions'!$A$3,"...")</f>
        <v>PWID_females</v>
      </c>
      <c r="B32" s="4" t="str">
        <f>IF($C$6="Y","---&gt;","...")</f>
        <v>---&gt;</v>
      </c>
      <c r="C32" s="1" t="str">
        <f>IF($C$6="Y",'Population Definitions'!$A$3,"...")</f>
        <v>PWID_females</v>
      </c>
      <c r="D32" t="s">
        <v>61</v>
      </c>
      <c r="E32" s="3" t="s">
        <v>56</v>
      </c>
      <c r="F32" s="3"/>
      <c r="G32" s="3">
        <v>1</v>
      </c>
      <c r="H32" s="4" t="str">
        <f>IF($C$6="Y","OR","...")</f>
        <v>OR</v>
      </c>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row>
    <row r="33" spans="1:59" x14ac:dyDescent="0.25">
      <c r="A33" s="1" t="str">
        <f>IF($D$6="Y",'Population Definitions'!$A$3,"...")</f>
        <v>...</v>
      </c>
      <c r="B33" s="4" t="str">
        <f>IF($D$6="Y","---&gt;","...")</f>
        <v>...</v>
      </c>
      <c r="C33" s="1" t="str">
        <f>IF($D$6="Y",'Population Definitions'!$A$4,"...")</f>
        <v>...</v>
      </c>
      <c r="E33" s="2"/>
      <c r="F33" s="3"/>
      <c r="G33" s="2"/>
      <c r="H33" s="4" t="str">
        <f>IF($D$6="Y","OR","...")</f>
        <v>...</v>
      </c>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row>
    <row r="34" spans="1:59" x14ac:dyDescent="0.25">
      <c r="A34" s="1" t="str">
        <f>IF($E$6="Y",'Population Definitions'!$A$3,"...")</f>
        <v>...</v>
      </c>
      <c r="B34" s="4" t="str">
        <f>IF($E$6="Y","---&gt;","...")</f>
        <v>...</v>
      </c>
      <c r="C34" s="1" t="str">
        <f>IF($E$6="Y",'Population Definitions'!$A$5,"...")</f>
        <v>...</v>
      </c>
      <c r="E34" s="2"/>
      <c r="F34" s="3"/>
      <c r="G34" s="2"/>
      <c r="H34" s="4" t="str">
        <f>IF($E$6="Y","OR","...")</f>
        <v>...</v>
      </c>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row>
    <row r="35" spans="1:59" x14ac:dyDescent="0.25">
      <c r="A35" s="1" t="str">
        <f>IF($F$6="Y",'Population Definitions'!$A$3,"...")</f>
        <v>...</v>
      </c>
      <c r="B35" s="4" t="str">
        <f>IF($F$6="Y","---&gt;","...")</f>
        <v>...</v>
      </c>
      <c r="C35" s="1" t="str">
        <f>IF($F$6="Y",'Population Definitions'!$A$6,"...")</f>
        <v>...</v>
      </c>
      <c r="E35" s="2"/>
      <c r="F35" s="3"/>
      <c r="G35" s="2"/>
      <c r="H35" s="4" t="str">
        <f>IF($F$6="Y","OR","...")</f>
        <v>...</v>
      </c>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row>
    <row r="36" spans="1:59" x14ac:dyDescent="0.25">
      <c r="A36" s="1" t="str">
        <f>IF($G$6="Y",'Population Definitions'!$A$3,"...")</f>
        <v>...</v>
      </c>
      <c r="B36" s="4" t="str">
        <f>IF($G$6="Y","---&gt;","...")</f>
        <v>...</v>
      </c>
      <c r="C36" s="1" t="str">
        <f>IF($G$6="Y",'Population Definitions'!$A$7,"...")</f>
        <v>...</v>
      </c>
      <c r="E36" s="2"/>
      <c r="F36" s="3"/>
      <c r="G36" s="2"/>
      <c r="H36" s="4" t="str">
        <f>IF($G$6="Y","OR","...")</f>
        <v>...</v>
      </c>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row>
    <row r="37" spans="1:59" x14ac:dyDescent="0.25">
      <c r="A37" s="1" t="str">
        <f>IF($H$6="Y",'Population Definitions'!$A$3,"...")</f>
        <v>...</v>
      </c>
      <c r="B37" s="4" t="str">
        <f>IF($H$6="Y","---&gt;","...")</f>
        <v>...</v>
      </c>
      <c r="C37" s="1" t="str">
        <f>IF($H$6="Y",'Population Definitions'!$A$8,"...")</f>
        <v>...</v>
      </c>
      <c r="E37" s="2"/>
      <c r="F37" s="3"/>
      <c r="G37" s="2"/>
      <c r="H37" s="4" t="str">
        <f>IF($H$6="Y","OR","...")</f>
        <v>...</v>
      </c>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row>
    <row r="38" spans="1:59" x14ac:dyDescent="0.25">
      <c r="A38" s="1" t="str">
        <f>IF($I$6="Y",'Population Definitions'!$A$3,"...")</f>
        <v>...</v>
      </c>
      <c r="B38" s="4" t="str">
        <f>IF($I$6="Y","---&gt;","...")</f>
        <v>...</v>
      </c>
      <c r="C38" s="1" t="str">
        <f>IF($I$6="Y",'Population Definitions'!$A$9,"...")</f>
        <v>...</v>
      </c>
      <c r="E38" s="2"/>
      <c r="F38" s="3"/>
      <c r="G38" s="2"/>
      <c r="H38" s="4" t="str">
        <f>IF($I$6="Y","OR","...")</f>
        <v>...</v>
      </c>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row>
    <row r="39" spans="1:59" x14ac:dyDescent="0.25">
      <c r="A39" s="1" t="str">
        <f>IF($J$6="Y",'Population Definitions'!$A$3,"...")</f>
        <v>...</v>
      </c>
      <c r="B39" s="4" t="str">
        <f>IF($J$6="Y","---&gt;","...")</f>
        <v>...</v>
      </c>
      <c r="C39" s="1" t="str">
        <f>IF($J$6="Y",'Population Definitions'!$A$10,"...")</f>
        <v>...</v>
      </c>
      <c r="E39" s="2"/>
      <c r="F39" s="3"/>
      <c r="G39" s="2"/>
      <c r="H39" s="4" t="str">
        <f>IF($J$6="Y","OR","...")</f>
        <v>...</v>
      </c>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row>
    <row r="40" spans="1:59" x14ac:dyDescent="0.25">
      <c r="A40" s="1" t="str">
        <f>IF($K$6="Y",'Population Definitions'!$A$3,"...")</f>
        <v>...</v>
      </c>
      <c r="B40" s="4" t="str">
        <f>IF($K$6="Y","---&gt;","...")</f>
        <v>...</v>
      </c>
      <c r="C40" s="1" t="str">
        <f>IF($K$6="Y",'Population Definitions'!$A$11,"...")</f>
        <v>...</v>
      </c>
      <c r="E40" s="2"/>
      <c r="F40" s="3"/>
      <c r="G40" s="2"/>
      <c r="H40" s="4" t="str">
        <f>IF($K$6="Y","OR","...")</f>
        <v>...</v>
      </c>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row>
    <row r="41" spans="1:59" x14ac:dyDescent="0.25">
      <c r="A41" s="1" t="str">
        <f>IF($L$6="Y",'Population Definitions'!$A$3,"...")</f>
        <v>...</v>
      </c>
      <c r="B41" s="4" t="str">
        <f>IF($L$6="Y","---&gt;","...")</f>
        <v>...</v>
      </c>
      <c r="C41" s="1" t="str">
        <f>IF($L$6="Y",'Population Definitions'!$A$12,"...")</f>
        <v>...</v>
      </c>
      <c r="E41" s="2"/>
      <c r="F41" s="3"/>
      <c r="G41" s="2"/>
      <c r="H41" s="4" t="str">
        <f>IF($L$6="Y","OR","...")</f>
        <v>...</v>
      </c>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row>
    <row r="42" spans="1:59" x14ac:dyDescent="0.25">
      <c r="A42" s="1" t="str">
        <f>IF($M$6="Y",'Population Definitions'!$A$3,"...")</f>
        <v>...</v>
      </c>
      <c r="B42" s="4" t="str">
        <f>IF($M$6="Y","---&gt;","...")</f>
        <v>...</v>
      </c>
      <c r="C42" s="1" t="str">
        <f>IF($M$6="Y",'Population Definitions'!$A$13,"...")</f>
        <v>...</v>
      </c>
      <c r="E42" s="2"/>
      <c r="F42" s="3"/>
      <c r="G42" s="2"/>
      <c r="H42" s="4" t="str">
        <f>IF($M$6="Y","OR","...")</f>
        <v>...</v>
      </c>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row>
    <row r="43" spans="1:59" x14ac:dyDescent="0.25">
      <c r="A43" s="1" t="str">
        <f>IF($B$7="Y",'Population Definitions'!$A$4,"...")</f>
        <v>...</v>
      </c>
      <c r="B43" s="4" t="str">
        <f>IF($B$7="Y","---&gt;","...")</f>
        <v>...</v>
      </c>
      <c r="C43" s="1" t="str">
        <f>IF($B$7="Y",'Population Definitions'!$A$2,"...")</f>
        <v>...</v>
      </c>
      <c r="E43" s="2"/>
      <c r="F43" s="3"/>
      <c r="G43" s="2"/>
      <c r="H43" s="4" t="str">
        <f>IF($B$7="Y","OR","...")</f>
        <v>...</v>
      </c>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row>
    <row r="44" spans="1:59" x14ac:dyDescent="0.25">
      <c r="A44" s="1" t="str">
        <f>IF($C$7="Y",'Population Definitions'!$A$4,"...")</f>
        <v>...</v>
      </c>
      <c r="B44" s="4" t="str">
        <f>IF($C$7="Y","---&gt;","...")</f>
        <v>...</v>
      </c>
      <c r="C44" s="1" t="str">
        <f>IF($C$7="Y",'Population Definitions'!$A$3,"...")</f>
        <v>...</v>
      </c>
      <c r="E44" s="2"/>
      <c r="F44" s="3"/>
      <c r="G44" s="2"/>
      <c r="H44" s="4" t="str">
        <f>IF($C$7="Y","OR","...")</f>
        <v>...</v>
      </c>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row>
    <row r="45" spans="1:59" x14ac:dyDescent="0.25">
      <c r="A45" s="1" t="str">
        <f>IF($D$7="Y",'Population Definitions'!$A$4,"...")</f>
        <v>...</v>
      </c>
      <c r="B45" s="4" t="str">
        <f>IF($D$7="Y","---&gt;","...")</f>
        <v>...</v>
      </c>
      <c r="C45" s="1" t="str">
        <f>IF($D$7="Y",'Population Definitions'!$A$4,"...")</f>
        <v>...</v>
      </c>
      <c r="E45" s="2"/>
      <c r="F45" s="3"/>
      <c r="G45" s="2"/>
      <c r="H45" s="4" t="str">
        <f>IF($D$7="Y","OR","...")</f>
        <v>...</v>
      </c>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row>
    <row r="46" spans="1:59" x14ac:dyDescent="0.25">
      <c r="A46" s="1" t="str">
        <f>IF($E$7="Y",'Population Definitions'!$A$4,"...")</f>
        <v>...</v>
      </c>
      <c r="B46" s="4" t="str">
        <f>IF($E$7="Y","---&gt;","...")</f>
        <v>...</v>
      </c>
      <c r="C46" s="1" t="str">
        <f>IF($E$7="Y",'Population Definitions'!$A$5,"...")</f>
        <v>...</v>
      </c>
      <c r="E46" s="2"/>
      <c r="F46" s="3"/>
      <c r="G46" s="2"/>
      <c r="H46" s="4" t="str">
        <f>IF($E$7="Y","OR","...")</f>
        <v>...</v>
      </c>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row>
    <row r="47" spans="1:59" x14ac:dyDescent="0.25">
      <c r="A47" s="1" t="str">
        <f>IF($F$7="Y",'Population Definitions'!$A$4,"...")</f>
        <v>...</v>
      </c>
      <c r="B47" s="4" t="str">
        <f>IF($F$7="Y","---&gt;","...")</f>
        <v>...</v>
      </c>
      <c r="C47" s="1" t="str">
        <f>IF($F$7="Y",'Population Definitions'!$A$6,"...")</f>
        <v>...</v>
      </c>
      <c r="E47" s="2"/>
      <c r="F47" s="3"/>
      <c r="G47" s="2"/>
      <c r="H47" s="4" t="str">
        <f>IF($F$7="Y","OR","...")</f>
        <v>...</v>
      </c>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row>
    <row r="48" spans="1:59" x14ac:dyDescent="0.25">
      <c r="A48" s="1" t="str">
        <f>IF($G$7="Y",'Population Definitions'!$A$4,"...")</f>
        <v>...</v>
      </c>
      <c r="B48" s="4" t="str">
        <f>IF($G$7="Y","---&gt;","...")</f>
        <v>...</v>
      </c>
      <c r="C48" s="1" t="str">
        <f>IF($G$7="Y",'Population Definitions'!$A$7,"...")</f>
        <v>...</v>
      </c>
      <c r="E48" s="2"/>
      <c r="F48" s="3"/>
      <c r="G48" s="2"/>
      <c r="H48" s="4" t="str">
        <f>IF($G$7="Y","OR","...")</f>
        <v>...</v>
      </c>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row>
    <row r="49" spans="1:59" x14ac:dyDescent="0.25">
      <c r="A49" s="1" t="str">
        <f>IF($H$7="Y",'Population Definitions'!$A$4,"...")</f>
        <v>...</v>
      </c>
      <c r="B49" s="4" t="str">
        <f>IF($H$7="Y","---&gt;","...")</f>
        <v>...</v>
      </c>
      <c r="C49" s="1" t="str">
        <f>IF($H$7="Y",'Population Definitions'!$A$8,"...")</f>
        <v>...</v>
      </c>
      <c r="E49" s="2"/>
      <c r="F49" s="3"/>
      <c r="G49" s="2"/>
      <c r="H49" s="4" t="str">
        <f>IF($H$7="Y","OR","...")</f>
        <v>...</v>
      </c>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row>
    <row r="50" spans="1:59" x14ac:dyDescent="0.25">
      <c r="A50" s="1" t="str">
        <f>IF($I$7="Y",'Population Definitions'!$A$4,"...")</f>
        <v>...</v>
      </c>
      <c r="B50" s="4" t="str">
        <f>IF($I$7="Y","---&gt;","...")</f>
        <v>...</v>
      </c>
      <c r="C50" s="1" t="str">
        <f>IF($I$7="Y",'Population Definitions'!$A$9,"...")</f>
        <v>...</v>
      </c>
      <c r="E50" s="2"/>
      <c r="F50" s="3"/>
      <c r="G50" s="2"/>
      <c r="H50" s="4" t="str">
        <f>IF($I$7="Y","OR","...")</f>
        <v>...</v>
      </c>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row>
    <row r="51" spans="1:59" x14ac:dyDescent="0.25">
      <c r="A51" s="1" t="str">
        <f>IF($J$7="Y",'Population Definitions'!$A$4,"...")</f>
        <v>...</v>
      </c>
      <c r="B51" s="4" t="str">
        <f>IF($J$7="Y","---&gt;","...")</f>
        <v>...</v>
      </c>
      <c r="C51" s="1" t="str">
        <f>IF($J$7="Y",'Population Definitions'!$A$10,"...")</f>
        <v>...</v>
      </c>
      <c r="E51" s="2"/>
      <c r="F51" s="3"/>
      <c r="G51" s="2"/>
      <c r="H51" s="4" t="str">
        <f>IF($J$7="Y","OR","...")</f>
        <v>...</v>
      </c>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row>
    <row r="52" spans="1:59" x14ac:dyDescent="0.25">
      <c r="A52" s="1" t="str">
        <f>IF($K$7="Y",'Population Definitions'!$A$4,"...")</f>
        <v>...</v>
      </c>
      <c r="B52" s="4" t="str">
        <f>IF($K$7="Y","---&gt;","...")</f>
        <v>...</v>
      </c>
      <c r="C52" s="1" t="str">
        <f>IF($K$7="Y",'Population Definitions'!$A$11,"...")</f>
        <v>...</v>
      </c>
      <c r="E52" s="2"/>
      <c r="F52" s="3"/>
      <c r="G52" s="2"/>
      <c r="H52" s="4" t="str">
        <f>IF($K$7="Y","OR","...")</f>
        <v>...</v>
      </c>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row>
    <row r="53" spans="1:59" x14ac:dyDescent="0.25">
      <c r="A53" s="1" t="str">
        <f>IF($L$7="Y",'Population Definitions'!$A$4,"...")</f>
        <v>...</v>
      </c>
      <c r="B53" s="4" t="str">
        <f>IF($L$7="Y","---&gt;","...")</f>
        <v>...</v>
      </c>
      <c r="C53" s="1" t="str">
        <f>IF($L$7="Y",'Population Definitions'!$A$12,"...")</f>
        <v>...</v>
      </c>
      <c r="E53" s="2"/>
      <c r="F53" s="3"/>
      <c r="G53" s="2"/>
      <c r="H53" s="4" t="str">
        <f>IF($L$7="Y","OR","...")</f>
        <v>...</v>
      </c>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row>
    <row r="54" spans="1:59" x14ac:dyDescent="0.25">
      <c r="A54" s="1" t="str">
        <f>IF($M$7="Y",'Population Definitions'!$A$4,"...")</f>
        <v>...</v>
      </c>
      <c r="B54" s="4" t="str">
        <f>IF($M$7="Y","---&gt;","...")</f>
        <v>...</v>
      </c>
      <c r="C54" s="1" t="str">
        <f>IF($M$7="Y",'Population Definitions'!$A$13,"...")</f>
        <v>...</v>
      </c>
      <c r="E54" s="2"/>
      <c r="F54" s="3"/>
      <c r="G54" s="2"/>
      <c r="H54" s="4" t="str">
        <f>IF($M$7="Y","OR","...")</f>
        <v>...</v>
      </c>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row>
    <row r="55" spans="1:59" x14ac:dyDescent="0.25">
      <c r="A55" s="1" t="str">
        <f>IF($B$8="Y",'Population Definitions'!$A$5,"...")</f>
        <v>...</v>
      </c>
      <c r="B55" s="4" t="str">
        <f>IF($B$8="Y","---&gt;","...")</f>
        <v>...</v>
      </c>
      <c r="C55" s="1" t="str">
        <f>IF($B$8="Y",'Population Definitions'!$A$2,"...")</f>
        <v>...</v>
      </c>
      <c r="E55" s="2"/>
      <c r="F55" s="3"/>
      <c r="G55" s="2"/>
      <c r="H55" s="4" t="str">
        <f>IF($B$8="Y","OR","...")</f>
        <v>...</v>
      </c>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row>
    <row r="56" spans="1:59" x14ac:dyDescent="0.25">
      <c r="A56" s="1" t="str">
        <f>IF($C$8="Y",'Population Definitions'!$A$5,"...")</f>
        <v>...</v>
      </c>
      <c r="B56" s="4" t="str">
        <f>IF($C$8="Y","---&gt;","...")</f>
        <v>...</v>
      </c>
      <c r="C56" s="1" t="str">
        <f>IF($C$8="Y",'Population Definitions'!$A$3,"...")</f>
        <v>...</v>
      </c>
      <c r="E56" s="2"/>
      <c r="F56" s="3"/>
      <c r="G56" s="2"/>
      <c r="H56" s="4" t="str">
        <f>IF($C$8="Y","OR","...")</f>
        <v>...</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row>
    <row r="57" spans="1:59" x14ac:dyDescent="0.25">
      <c r="A57" s="1" t="str">
        <f>IF($D$8="Y",'Population Definitions'!$A$5,"...")</f>
        <v>...</v>
      </c>
      <c r="B57" s="4" t="str">
        <f>IF($D$8="Y","---&gt;","...")</f>
        <v>...</v>
      </c>
      <c r="C57" s="1" t="str">
        <f>IF($D$8="Y",'Population Definitions'!$A$4,"...")</f>
        <v>...</v>
      </c>
      <c r="E57" s="2"/>
      <c r="F57" s="3"/>
      <c r="G57" s="2"/>
      <c r="H57" s="4" t="str">
        <f>IF($D$8="Y","OR","...")</f>
        <v>...</v>
      </c>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row>
    <row r="58" spans="1:59" x14ac:dyDescent="0.25">
      <c r="A58" s="1" t="str">
        <f>IF($E$8="Y",'Population Definitions'!$A$5,"...")</f>
        <v>...</v>
      </c>
      <c r="B58" s="4" t="str">
        <f>IF($E$8="Y","---&gt;","...")</f>
        <v>...</v>
      </c>
      <c r="C58" s="1" t="str">
        <f>IF($E$8="Y",'Population Definitions'!$A$5,"...")</f>
        <v>...</v>
      </c>
      <c r="E58" s="2"/>
      <c r="F58" s="3"/>
      <c r="G58" s="2"/>
      <c r="H58" s="4" t="str">
        <f>IF($E$8="Y","OR","...")</f>
        <v>...</v>
      </c>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row>
    <row r="59" spans="1:59" x14ac:dyDescent="0.25">
      <c r="A59" s="1" t="str">
        <f>IF($F$8="Y",'Population Definitions'!$A$5,"...")</f>
        <v>...</v>
      </c>
      <c r="B59" s="4" t="str">
        <f>IF($F$8="Y","---&gt;","...")</f>
        <v>...</v>
      </c>
      <c r="C59" s="1" t="str">
        <f>IF($F$8="Y",'Population Definitions'!$A$6,"...")</f>
        <v>...</v>
      </c>
      <c r="E59" s="2"/>
      <c r="F59" s="3"/>
      <c r="G59" s="2"/>
      <c r="H59" s="4" t="str">
        <f>IF($F$8="Y","OR","...")</f>
        <v>...</v>
      </c>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row>
    <row r="60" spans="1:59" x14ac:dyDescent="0.25">
      <c r="A60" s="1" t="str">
        <f>IF($G$8="Y",'Population Definitions'!$A$5,"...")</f>
        <v>...</v>
      </c>
      <c r="B60" s="4" t="str">
        <f>IF($G$8="Y","---&gt;","...")</f>
        <v>...</v>
      </c>
      <c r="C60" s="1" t="str">
        <f>IF($G$8="Y",'Population Definitions'!$A$7,"...")</f>
        <v>...</v>
      </c>
      <c r="E60" s="2"/>
      <c r="F60" s="3"/>
      <c r="G60" s="2"/>
      <c r="H60" s="4" t="str">
        <f>IF($G$8="Y","OR","...")</f>
        <v>...</v>
      </c>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row>
    <row r="61" spans="1:59" x14ac:dyDescent="0.25">
      <c r="A61" s="1" t="str">
        <f>IF($H$8="Y",'Population Definitions'!$A$5,"...")</f>
        <v>...</v>
      </c>
      <c r="B61" s="4" t="str">
        <f>IF($H$8="Y","---&gt;","...")</f>
        <v>...</v>
      </c>
      <c r="C61" s="1" t="str">
        <f>IF($H$8="Y",'Population Definitions'!$A$8,"...")</f>
        <v>...</v>
      </c>
      <c r="E61" s="2"/>
      <c r="F61" s="3"/>
      <c r="G61" s="2"/>
      <c r="H61" s="4" t="str">
        <f>IF($H$8="Y","OR","...")</f>
        <v>...</v>
      </c>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row>
    <row r="62" spans="1:59" x14ac:dyDescent="0.25">
      <c r="A62" s="1" t="str">
        <f>IF($I$8="Y",'Population Definitions'!$A$5,"...")</f>
        <v>...</v>
      </c>
      <c r="B62" s="4" t="str">
        <f>IF($I$8="Y","---&gt;","...")</f>
        <v>...</v>
      </c>
      <c r="C62" s="1" t="str">
        <f>IF($I$8="Y",'Population Definitions'!$A$9,"...")</f>
        <v>...</v>
      </c>
      <c r="E62" s="2"/>
      <c r="F62" s="3"/>
      <c r="G62" s="2"/>
      <c r="H62" s="4" t="str">
        <f>IF($I$8="Y","OR","...")</f>
        <v>...</v>
      </c>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row>
    <row r="63" spans="1:59" x14ac:dyDescent="0.25">
      <c r="A63" s="1" t="str">
        <f>IF($J$8="Y",'Population Definitions'!$A$5,"...")</f>
        <v>...</v>
      </c>
      <c r="B63" s="4" t="str">
        <f>IF($J$8="Y","---&gt;","...")</f>
        <v>...</v>
      </c>
      <c r="C63" s="1" t="str">
        <f>IF($J$8="Y",'Population Definitions'!$A$10,"...")</f>
        <v>...</v>
      </c>
      <c r="E63" s="2"/>
      <c r="F63" s="3"/>
      <c r="G63" s="2"/>
      <c r="H63" s="4" t="str">
        <f>IF($J$8="Y","OR","...")</f>
        <v>...</v>
      </c>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row>
    <row r="64" spans="1:59" x14ac:dyDescent="0.25">
      <c r="A64" s="1" t="str">
        <f>IF($K$8="Y",'Population Definitions'!$A$5,"...")</f>
        <v>...</v>
      </c>
      <c r="B64" s="4" t="str">
        <f>IF($K$8="Y","---&gt;","...")</f>
        <v>...</v>
      </c>
      <c r="C64" s="1" t="str">
        <f>IF($K$8="Y",'Population Definitions'!$A$11,"...")</f>
        <v>...</v>
      </c>
      <c r="E64" s="2"/>
      <c r="F64" s="3"/>
      <c r="G64" s="2"/>
      <c r="H64" s="4" t="str">
        <f>IF($K$8="Y","OR","...")</f>
        <v>...</v>
      </c>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row>
    <row r="65" spans="1:59" x14ac:dyDescent="0.25">
      <c r="A65" s="1" t="str">
        <f>IF($L$8="Y",'Population Definitions'!$A$5,"...")</f>
        <v>...</v>
      </c>
      <c r="B65" s="4" t="str">
        <f>IF($L$8="Y","---&gt;","...")</f>
        <v>...</v>
      </c>
      <c r="C65" s="1" t="str">
        <f>IF($L$8="Y",'Population Definitions'!$A$12,"...")</f>
        <v>...</v>
      </c>
      <c r="E65" s="2"/>
      <c r="F65" s="3"/>
      <c r="G65" s="2"/>
      <c r="H65" s="4" t="str">
        <f>IF($L$8="Y","OR","...")</f>
        <v>...</v>
      </c>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row>
    <row r="66" spans="1:59" x14ac:dyDescent="0.25">
      <c r="A66" s="1" t="str">
        <f>IF($M$8="Y",'Population Definitions'!$A$5,"...")</f>
        <v>...</v>
      </c>
      <c r="B66" s="4" t="str">
        <f>IF($M$8="Y","---&gt;","...")</f>
        <v>...</v>
      </c>
      <c r="C66" s="1" t="str">
        <f>IF($M$8="Y",'Population Definitions'!$A$13,"...")</f>
        <v>...</v>
      </c>
      <c r="E66" s="2"/>
      <c r="F66" s="3"/>
      <c r="G66" s="2"/>
      <c r="H66" s="4" t="str">
        <f>IF($M$8="Y","OR","...")</f>
        <v>...</v>
      </c>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row>
    <row r="67" spans="1:59" x14ac:dyDescent="0.25">
      <c r="A67" s="1" t="str">
        <f>IF($B$9="Y",'Population Definitions'!$A$6,"...")</f>
        <v>...</v>
      </c>
      <c r="B67" s="4" t="str">
        <f>IF($B$9="Y","---&gt;","...")</f>
        <v>...</v>
      </c>
      <c r="C67" s="1" t="str">
        <f>IF($B$9="Y",'Population Definitions'!$A$2,"...")</f>
        <v>...</v>
      </c>
      <c r="E67" s="2"/>
      <c r="F67" s="3"/>
      <c r="G67" s="2"/>
      <c r="H67" s="4" t="str">
        <f>IF($B$9="Y","OR","...")</f>
        <v>...</v>
      </c>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row>
    <row r="68" spans="1:59" x14ac:dyDescent="0.25">
      <c r="A68" s="1" t="str">
        <f>IF($C$9="Y",'Population Definitions'!$A$6,"...")</f>
        <v>...</v>
      </c>
      <c r="B68" s="4" t="str">
        <f>IF($C$9="Y","---&gt;","...")</f>
        <v>...</v>
      </c>
      <c r="C68" s="1" t="str">
        <f>IF($C$9="Y",'Population Definitions'!$A$3,"...")</f>
        <v>...</v>
      </c>
      <c r="E68" s="2"/>
      <c r="F68" s="3"/>
      <c r="G68" s="2"/>
      <c r="H68" s="4" t="str">
        <f>IF($C$9="Y","OR","...")</f>
        <v>...</v>
      </c>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row>
    <row r="69" spans="1:59" x14ac:dyDescent="0.25">
      <c r="A69" s="1" t="str">
        <f>IF($D$9="Y",'Population Definitions'!$A$6,"...")</f>
        <v>...</v>
      </c>
      <c r="B69" s="4" t="str">
        <f>IF($D$9="Y","---&gt;","...")</f>
        <v>...</v>
      </c>
      <c r="C69" s="1" t="str">
        <f>IF($D$9="Y",'Population Definitions'!$A$4,"...")</f>
        <v>...</v>
      </c>
      <c r="E69" s="2"/>
      <c r="F69" s="3"/>
      <c r="G69" s="2"/>
      <c r="H69" s="4" t="str">
        <f>IF($D$9="Y","OR","...")</f>
        <v>...</v>
      </c>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row>
    <row r="70" spans="1:59" x14ac:dyDescent="0.25">
      <c r="A70" s="1" t="str">
        <f>IF($E$9="Y",'Population Definitions'!$A$6,"...")</f>
        <v>...</v>
      </c>
      <c r="B70" s="4" t="str">
        <f>IF($E$9="Y","---&gt;","...")</f>
        <v>...</v>
      </c>
      <c r="C70" s="1" t="str">
        <f>IF($E$9="Y",'Population Definitions'!$A$5,"...")</f>
        <v>...</v>
      </c>
      <c r="E70" s="2"/>
      <c r="F70" s="3"/>
      <c r="G70" s="2"/>
      <c r="H70" s="4" t="str">
        <f>IF($E$9="Y","OR","...")</f>
        <v>...</v>
      </c>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row>
    <row r="71" spans="1:59" x14ac:dyDescent="0.25">
      <c r="A71" s="1" t="str">
        <f>IF($F$9="Y",'Population Definitions'!$A$6,"...")</f>
        <v>...</v>
      </c>
      <c r="B71" s="4" t="str">
        <f>IF($F$9="Y","---&gt;","...")</f>
        <v>...</v>
      </c>
      <c r="C71" s="1" t="str">
        <f>IF($F$9="Y",'Population Definitions'!$A$6,"...")</f>
        <v>...</v>
      </c>
      <c r="E71" s="2"/>
      <c r="F71" s="3"/>
      <c r="G71" s="2"/>
      <c r="H71" s="4" t="str">
        <f>IF($F$9="Y","OR","...")</f>
        <v>...</v>
      </c>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row>
    <row r="72" spans="1:59" x14ac:dyDescent="0.25">
      <c r="A72" s="1" t="str">
        <f>IF($G$9="Y",'Population Definitions'!$A$6,"...")</f>
        <v>...</v>
      </c>
      <c r="B72" s="4" t="str">
        <f>IF($G$9="Y","---&gt;","...")</f>
        <v>...</v>
      </c>
      <c r="C72" s="1" t="str">
        <f>IF($G$9="Y",'Population Definitions'!$A$7,"...")</f>
        <v>...</v>
      </c>
      <c r="E72" s="2"/>
      <c r="F72" s="3"/>
      <c r="G72" s="2"/>
      <c r="H72" s="4" t="str">
        <f>IF($G$9="Y","OR","...")</f>
        <v>...</v>
      </c>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row>
    <row r="73" spans="1:59" x14ac:dyDescent="0.25">
      <c r="A73" s="1" t="str">
        <f>IF($H$9="Y",'Population Definitions'!$A$6,"...")</f>
        <v>...</v>
      </c>
      <c r="B73" s="4" t="str">
        <f>IF($H$9="Y","---&gt;","...")</f>
        <v>...</v>
      </c>
      <c r="C73" s="1" t="str">
        <f>IF($H$9="Y",'Population Definitions'!$A$8,"...")</f>
        <v>...</v>
      </c>
      <c r="E73" s="2"/>
      <c r="F73" s="3"/>
      <c r="G73" s="2"/>
      <c r="H73" s="4" t="str">
        <f>IF($H$9="Y","OR","...")</f>
        <v>...</v>
      </c>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row>
    <row r="74" spans="1:59" x14ac:dyDescent="0.25">
      <c r="A74" s="1" t="str">
        <f>IF($I$9="Y",'Population Definitions'!$A$6,"...")</f>
        <v>...</v>
      </c>
      <c r="B74" s="4" t="str">
        <f>IF($I$9="Y","---&gt;","...")</f>
        <v>...</v>
      </c>
      <c r="C74" s="1" t="str">
        <f>IF($I$9="Y",'Population Definitions'!$A$9,"...")</f>
        <v>...</v>
      </c>
      <c r="E74" s="2"/>
      <c r="F74" s="3"/>
      <c r="G74" s="2"/>
      <c r="H74" s="4" t="str">
        <f>IF($I$9="Y","OR","...")</f>
        <v>...</v>
      </c>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row>
    <row r="75" spans="1:59" x14ac:dyDescent="0.25">
      <c r="A75" s="1" t="str">
        <f>IF($J$9="Y",'Population Definitions'!$A$6,"...")</f>
        <v>...</v>
      </c>
      <c r="B75" s="4" t="str">
        <f>IF($J$9="Y","---&gt;","...")</f>
        <v>...</v>
      </c>
      <c r="C75" s="1" t="str">
        <f>IF($J$9="Y",'Population Definitions'!$A$10,"...")</f>
        <v>...</v>
      </c>
      <c r="E75" s="2"/>
      <c r="F75" s="3"/>
      <c r="G75" s="2"/>
      <c r="H75" s="4" t="str">
        <f>IF($J$9="Y","OR","...")</f>
        <v>...</v>
      </c>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row>
    <row r="76" spans="1:59" x14ac:dyDescent="0.25">
      <c r="A76" s="1" t="str">
        <f>IF($K$9="Y",'Population Definitions'!$A$6,"...")</f>
        <v>...</v>
      </c>
      <c r="B76" s="4" t="str">
        <f>IF($K$9="Y","---&gt;","...")</f>
        <v>...</v>
      </c>
      <c r="C76" s="1" t="str">
        <f>IF($K$9="Y",'Population Definitions'!$A$11,"...")</f>
        <v>...</v>
      </c>
      <c r="E76" s="2"/>
      <c r="F76" s="3"/>
      <c r="G76" s="2"/>
      <c r="H76" s="4" t="str">
        <f>IF($K$9="Y","OR","...")</f>
        <v>...</v>
      </c>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row>
    <row r="77" spans="1:59" x14ac:dyDescent="0.25">
      <c r="A77" s="1" t="str">
        <f>IF($L$9="Y",'Population Definitions'!$A$6,"...")</f>
        <v>...</v>
      </c>
      <c r="B77" s="4" t="str">
        <f>IF($L$9="Y","---&gt;","...")</f>
        <v>...</v>
      </c>
      <c r="C77" s="1" t="str">
        <f>IF($L$9="Y",'Population Definitions'!$A$12,"...")</f>
        <v>...</v>
      </c>
      <c r="E77" s="2"/>
      <c r="F77" s="3"/>
      <c r="G77" s="2"/>
      <c r="H77" s="4" t="str">
        <f>IF($L$9="Y","OR","...")</f>
        <v>...</v>
      </c>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row>
    <row r="78" spans="1:59" x14ac:dyDescent="0.25">
      <c r="A78" s="1" t="str">
        <f>IF($M$9="Y",'Population Definitions'!$A$6,"...")</f>
        <v>...</v>
      </c>
      <c r="B78" s="4" t="str">
        <f>IF($M$9="Y","---&gt;","...")</f>
        <v>...</v>
      </c>
      <c r="C78" s="1" t="str">
        <f>IF($M$9="Y",'Population Definitions'!$A$13,"...")</f>
        <v>...</v>
      </c>
      <c r="E78" s="2"/>
      <c r="F78" s="3"/>
      <c r="G78" s="2"/>
      <c r="H78" s="4" t="str">
        <f>IF($M$9="Y","OR","...")</f>
        <v>...</v>
      </c>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row>
    <row r="79" spans="1:59" x14ac:dyDescent="0.25">
      <c r="A79" s="1" t="str">
        <f>IF($B$10="Y",'Population Definitions'!$A$7,"...")</f>
        <v>...</v>
      </c>
      <c r="B79" s="4" t="str">
        <f>IF($B$10="Y","---&gt;","...")</f>
        <v>...</v>
      </c>
      <c r="C79" s="1" t="str">
        <f>IF($B$10="Y",'Population Definitions'!$A$2,"...")</f>
        <v>...</v>
      </c>
      <c r="E79" s="2"/>
      <c r="F79" s="3"/>
      <c r="G79" s="2"/>
      <c r="H79" s="4" t="str">
        <f>IF($B$10="Y","OR","...")</f>
        <v>...</v>
      </c>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row>
    <row r="80" spans="1:59" x14ac:dyDescent="0.25">
      <c r="A80" s="1" t="str">
        <f>IF($C$10="Y",'Population Definitions'!$A$7,"...")</f>
        <v>...</v>
      </c>
      <c r="B80" s="4" t="str">
        <f>IF($C$10="Y","---&gt;","...")</f>
        <v>...</v>
      </c>
      <c r="C80" s="1" t="str">
        <f>IF($C$10="Y",'Population Definitions'!$A$3,"...")</f>
        <v>...</v>
      </c>
      <c r="E80" s="2"/>
      <c r="F80" s="3"/>
      <c r="G80" s="2"/>
      <c r="H80" s="4" t="str">
        <f>IF($C$10="Y","OR","...")</f>
        <v>...</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row>
    <row r="81" spans="1:59" x14ac:dyDescent="0.25">
      <c r="A81" s="1" t="str">
        <f>IF($D$10="Y",'Population Definitions'!$A$7,"...")</f>
        <v>...</v>
      </c>
      <c r="B81" s="4" t="str">
        <f>IF($D$10="Y","---&gt;","...")</f>
        <v>...</v>
      </c>
      <c r="C81" s="1" t="str">
        <f>IF($D$10="Y",'Population Definitions'!$A$4,"...")</f>
        <v>...</v>
      </c>
      <c r="E81" s="2"/>
      <c r="F81" s="3"/>
      <c r="G81" s="2"/>
      <c r="H81" s="4" t="str">
        <f>IF($D$10="Y","OR","...")</f>
        <v>...</v>
      </c>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row>
    <row r="82" spans="1:59" x14ac:dyDescent="0.25">
      <c r="A82" s="1" t="str">
        <f>IF($E$10="Y",'Population Definitions'!$A$7,"...")</f>
        <v>...</v>
      </c>
      <c r="B82" s="4" t="str">
        <f>IF($E$10="Y","---&gt;","...")</f>
        <v>...</v>
      </c>
      <c r="C82" s="1" t="str">
        <f>IF($E$10="Y",'Population Definitions'!$A$5,"...")</f>
        <v>...</v>
      </c>
      <c r="E82" s="2"/>
      <c r="F82" s="3"/>
      <c r="G82" s="2"/>
      <c r="H82" s="4" t="str">
        <f>IF($E$10="Y","OR","...")</f>
        <v>...</v>
      </c>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row>
    <row r="83" spans="1:59" x14ac:dyDescent="0.25">
      <c r="A83" s="1" t="str">
        <f>IF($F$10="Y",'Population Definitions'!$A$7,"...")</f>
        <v>...</v>
      </c>
      <c r="B83" s="4" t="str">
        <f>IF($F$10="Y","---&gt;","...")</f>
        <v>...</v>
      </c>
      <c r="C83" s="1" t="str">
        <f>IF($F$10="Y",'Population Definitions'!$A$6,"...")</f>
        <v>...</v>
      </c>
      <c r="E83" s="2"/>
      <c r="F83" s="3"/>
      <c r="G83" s="2"/>
      <c r="H83" s="4" t="str">
        <f>IF($F$10="Y","OR","...")</f>
        <v>...</v>
      </c>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row>
    <row r="84" spans="1:59" x14ac:dyDescent="0.25">
      <c r="A84" s="1" t="str">
        <f>IF($G$10="Y",'Population Definitions'!$A$7,"...")</f>
        <v>...</v>
      </c>
      <c r="B84" s="4" t="str">
        <f>IF($G$10="Y","---&gt;","...")</f>
        <v>...</v>
      </c>
      <c r="C84" s="1" t="str">
        <f>IF($G$10="Y",'Population Definitions'!$A$7,"...")</f>
        <v>...</v>
      </c>
      <c r="E84" s="2"/>
      <c r="F84" s="3"/>
      <c r="G84" s="2"/>
      <c r="H84" s="4" t="str">
        <f>IF($G$10="Y","OR","...")</f>
        <v>...</v>
      </c>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row>
    <row r="85" spans="1:59" x14ac:dyDescent="0.25">
      <c r="A85" s="1" t="str">
        <f>IF($H$10="Y",'Population Definitions'!$A$7,"...")</f>
        <v>...</v>
      </c>
      <c r="B85" s="4" t="str">
        <f>IF($H$10="Y","---&gt;","...")</f>
        <v>...</v>
      </c>
      <c r="C85" s="1" t="str">
        <f>IF($H$10="Y",'Population Definitions'!$A$8,"...")</f>
        <v>...</v>
      </c>
      <c r="E85" s="2"/>
      <c r="F85" s="3"/>
      <c r="G85" s="2"/>
      <c r="H85" s="4" t="str">
        <f>IF($H$10="Y","OR","...")</f>
        <v>...</v>
      </c>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row>
    <row r="86" spans="1:59" x14ac:dyDescent="0.25">
      <c r="A86" s="1" t="str">
        <f>IF($I$10="Y",'Population Definitions'!$A$7,"...")</f>
        <v>...</v>
      </c>
      <c r="B86" s="4" t="str">
        <f>IF($I$10="Y","---&gt;","...")</f>
        <v>...</v>
      </c>
      <c r="C86" s="1" t="str">
        <f>IF($I$10="Y",'Population Definitions'!$A$9,"...")</f>
        <v>...</v>
      </c>
      <c r="E86" s="2"/>
      <c r="F86" s="3"/>
      <c r="G86" s="2"/>
      <c r="H86" s="4" t="str">
        <f>IF($I$10="Y","OR","...")</f>
        <v>...</v>
      </c>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row>
    <row r="87" spans="1:59" x14ac:dyDescent="0.25">
      <c r="A87" s="1" t="str">
        <f>IF($J$10="Y",'Population Definitions'!$A$7,"...")</f>
        <v>...</v>
      </c>
      <c r="B87" s="4" t="str">
        <f>IF($J$10="Y","---&gt;","...")</f>
        <v>...</v>
      </c>
      <c r="C87" s="1" t="str">
        <f>IF($J$10="Y",'Population Definitions'!$A$10,"...")</f>
        <v>...</v>
      </c>
      <c r="E87" s="2"/>
      <c r="F87" s="3"/>
      <c r="G87" s="2"/>
      <c r="H87" s="4" t="str">
        <f>IF($J$10="Y","OR","...")</f>
        <v>...</v>
      </c>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row>
    <row r="88" spans="1:59" x14ac:dyDescent="0.25">
      <c r="A88" s="1" t="str">
        <f>IF($K$10="Y",'Population Definitions'!$A$7,"...")</f>
        <v>...</v>
      </c>
      <c r="B88" s="4" t="str">
        <f>IF($K$10="Y","---&gt;","...")</f>
        <v>...</v>
      </c>
      <c r="C88" s="1" t="str">
        <f>IF($K$10="Y",'Population Definitions'!$A$11,"...")</f>
        <v>...</v>
      </c>
      <c r="E88" s="2"/>
      <c r="F88" s="3"/>
      <c r="G88" s="2"/>
      <c r="H88" s="4" t="str">
        <f>IF($K$10="Y","OR","...")</f>
        <v>...</v>
      </c>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row>
    <row r="89" spans="1:59" x14ac:dyDescent="0.25">
      <c r="A89" s="1" t="str">
        <f>IF($L$10="Y",'Population Definitions'!$A$7,"...")</f>
        <v>...</v>
      </c>
      <c r="B89" s="4" t="str">
        <f>IF($L$10="Y","---&gt;","...")</f>
        <v>...</v>
      </c>
      <c r="C89" s="1" t="str">
        <f>IF($L$10="Y",'Population Definitions'!$A$12,"...")</f>
        <v>...</v>
      </c>
      <c r="E89" s="2"/>
      <c r="F89" s="3"/>
      <c r="G89" s="2"/>
      <c r="H89" s="4" t="str">
        <f>IF($L$10="Y","OR","...")</f>
        <v>...</v>
      </c>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row>
    <row r="90" spans="1:59" x14ac:dyDescent="0.25">
      <c r="A90" s="1" t="str">
        <f>IF($M$10="Y",'Population Definitions'!$A$7,"...")</f>
        <v>...</v>
      </c>
      <c r="B90" s="4" t="str">
        <f>IF($M$10="Y","---&gt;","...")</f>
        <v>...</v>
      </c>
      <c r="C90" s="1" t="str">
        <f>IF($M$10="Y",'Population Definitions'!$A$13,"...")</f>
        <v>...</v>
      </c>
      <c r="E90" s="2"/>
      <c r="F90" s="3"/>
      <c r="G90" s="2"/>
      <c r="H90" s="4" t="str">
        <f>IF($M$10="Y","OR","...")</f>
        <v>...</v>
      </c>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row>
    <row r="91" spans="1:59" x14ac:dyDescent="0.25">
      <c r="A91" s="1" t="str">
        <f>IF($B$11="Y",'Population Definitions'!$A$8,"...")</f>
        <v>...</v>
      </c>
      <c r="B91" s="4" t="str">
        <f>IF($B$11="Y","---&gt;","...")</f>
        <v>...</v>
      </c>
      <c r="C91" s="1" t="str">
        <f>IF($B$11="Y",'Population Definitions'!$A$2,"...")</f>
        <v>...</v>
      </c>
      <c r="E91" s="2"/>
      <c r="F91" s="3"/>
      <c r="G91" s="2"/>
      <c r="H91" s="4" t="str">
        <f>IF($B$11="Y","OR","...")</f>
        <v>...</v>
      </c>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row>
    <row r="92" spans="1:59" x14ac:dyDescent="0.25">
      <c r="A92" s="1" t="str">
        <f>IF($C$11="Y",'Population Definitions'!$A$8,"...")</f>
        <v>...</v>
      </c>
      <c r="B92" s="4" t="str">
        <f>IF($C$11="Y","---&gt;","...")</f>
        <v>...</v>
      </c>
      <c r="C92" s="1" t="str">
        <f>IF($C$11="Y",'Population Definitions'!$A$3,"...")</f>
        <v>...</v>
      </c>
      <c r="E92" s="2"/>
      <c r="F92" s="3"/>
      <c r="G92" s="2"/>
      <c r="H92" s="4" t="str">
        <f>IF($C$11="Y","OR","...")</f>
        <v>...</v>
      </c>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row>
    <row r="93" spans="1:59" x14ac:dyDescent="0.25">
      <c r="A93" s="1" t="str">
        <f>IF($D$11="Y",'Population Definitions'!$A$8,"...")</f>
        <v>...</v>
      </c>
      <c r="B93" s="4" t="str">
        <f>IF($D$11="Y","---&gt;","...")</f>
        <v>...</v>
      </c>
      <c r="C93" s="1" t="str">
        <f>IF($D$11="Y",'Population Definitions'!$A$4,"...")</f>
        <v>...</v>
      </c>
      <c r="E93" s="2"/>
      <c r="F93" s="3"/>
      <c r="G93" s="2"/>
      <c r="H93" s="4" t="str">
        <f>IF($D$11="Y","OR","...")</f>
        <v>...</v>
      </c>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row>
    <row r="94" spans="1:59" x14ac:dyDescent="0.25">
      <c r="A94" s="1" t="str">
        <f>IF($E$11="Y",'Population Definitions'!$A$8,"...")</f>
        <v>...</v>
      </c>
      <c r="B94" s="4" t="str">
        <f>IF($E$11="Y","---&gt;","...")</f>
        <v>...</v>
      </c>
      <c r="C94" s="1" t="str">
        <f>IF($E$11="Y",'Population Definitions'!$A$5,"...")</f>
        <v>...</v>
      </c>
      <c r="E94" s="2"/>
      <c r="F94" s="3"/>
      <c r="G94" s="2"/>
      <c r="H94" s="4" t="str">
        <f>IF($E$11="Y","OR","...")</f>
        <v>...</v>
      </c>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row>
    <row r="95" spans="1:59" x14ac:dyDescent="0.25">
      <c r="A95" s="1" t="str">
        <f>IF($F$11="Y",'Population Definitions'!$A$8,"...")</f>
        <v>...</v>
      </c>
      <c r="B95" s="4" t="str">
        <f>IF($F$11="Y","---&gt;","...")</f>
        <v>...</v>
      </c>
      <c r="C95" s="1" t="str">
        <f>IF($F$11="Y",'Population Definitions'!$A$6,"...")</f>
        <v>...</v>
      </c>
      <c r="E95" s="2"/>
      <c r="F95" s="3"/>
      <c r="G95" s="2"/>
      <c r="H95" s="4" t="str">
        <f>IF($F$11="Y","OR","...")</f>
        <v>...</v>
      </c>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row>
    <row r="96" spans="1:59" x14ac:dyDescent="0.25">
      <c r="A96" s="1" t="str">
        <f>IF($G$11="Y",'Population Definitions'!$A$8,"...")</f>
        <v>...</v>
      </c>
      <c r="B96" s="4" t="str">
        <f>IF($G$11="Y","---&gt;","...")</f>
        <v>...</v>
      </c>
      <c r="C96" s="1" t="str">
        <f>IF($G$11="Y",'Population Definitions'!$A$7,"...")</f>
        <v>...</v>
      </c>
      <c r="E96" s="2"/>
      <c r="F96" s="3"/>
      <c r="G96" s="2"/>
      <c r="H96" s="4" t="str">
        <f>IF($G$11="Y","OR","...")</f>
        <v>...</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row>
    <row r="97" spans="1:59" x14ac:dyDescent="0.25">
      <c r="A97" s="1" t="str">
        <f>IF($H$11="Y",'Population Definitions'!$A$8,"...")</f>
        <v>...</v>
      </c>
      <c r="B97" s="4" t="str">
        <f>IF($H$11="Y","---&gt;","...")</f>
        <v>...</v>
      </c>
      <c r="C97" s="1" t="str">
        <f>IF($H$11="Y",'Population Definitions'!$A$8,"...")</f>
        <v>...</v>
      </c>
      <c r="E97" s="2"/>
      <c r="F97" s="3"/>
      <c r="G97" s="2"/>
      <c r="H97" s="4" t="str">
        <f>IF($H$11="Y","OR","...")</f>
        <v>...</v>
      </c>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row>
    <row r="98" spans="1:59" x14ac:dyDescent="0.25">
      <c r="A98" s="1" t="str">
        <f>IF($I$11="Y",'Population Definitions'!$A$8,"...")</f>
        <v>...</v>
      </c>
      <c r="B98" s="4" t="str">
        <f>IF($I$11="Y","---&gt;","...")</f>
        <v>...</v>
      </c>
      <c r="C98" s="1" t="str">
        <f>IF($I$11="Y",'Population Definitions'!$A$9,"...")</f>
        <v>...</v>
      </c>
      <c r="E98" s="2"/>
      <c r="F98" s="3"/>
      <c r="G98" s="2"/>
      <c r="H98" s="4" t="str">
        <f>IF($I$11="Y","OR","...")</f>
        <v>...</v>
      </c>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row>
    <row r="99" spans="1:59" x14ac:dyDescent="0.25">
      <c r="A99" s="1" t="str">
        <f>IF($J$11="Y",'Population Definitions'!$A$8,"...")</f>
        <v>...</v>
      </c>
      <c r="B99" s="4" t="str">
        <f>IF($J$11="Y","---&gt;","...")</f>
        <v>...</v>
      </c>
      <c r="C99" s="1" t="str">
        <f>IF($J$11="Y",'Population Definitions'!$A$10,"...")</f>
        <v>...</v>
      </c>
      <c r="E99" s="2"/>
      <c r="F99" s="3"/>
      <c r="G99" s="2"/>
      <c r="H99" s="4" t="str">
        <f>IF($J$11="Y","OR","...")</f>
        <v>...</v>
      </c>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row>
    <row r="100" spans="1:59" x14ac:dyDescent="0.25">
      <c r="A100" s="1" t="str">
        <f>IF($K$11="Y",'Population Definitions'!$A$8,"...")</f>
        <v>...</v>
      </c>
      <c r="B100" s="4" t="str">
        <f>IF($K$11="Y","---&gt;","...")</f>
        <v>...</v>
      </c>
      <c r="C100" s="1" t="str">
        <f>IF($K$11="Y",'Population Definitions'!$A$11,"...")</f>
        <v>...</v>
      </c>
      <c r="E100" s="2"/>
      <c r="F100" s="3"/>
      <c r="G100" s="2"/>
      <c r="H100" s="4" t="str">
        <f>IF($K$11="Y","OR","...")</f>
        <v>...</v>
      </c>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row>
    <row r="101" spans="1:59" x14ac:dyDescent="0.25">
      <c r="A101" s="1" t="str">
        <f>IF($L$11="Y",'Population Definitions'!$A$8,"...")</f>
        <v>...</v>
      </c>
      <c r="B101" s="4" t="str">
        <f>IF($L$11="Y","---&gt;","...")</f>
        <v>...</v>
      </c>
      <c r="C101" s="1" t="str">
        <f>IF($L$11="Y",'Population Definitions'!$A$12,"...")</f>
        <v>...</v>
      </c>
      <c r="E101" s="2"/>
      <c r="F101" s="3"/>
      <c r="G101" s="2"/>
      <c r="H101" s="4" t="str">
        <f>IF($L$11="Y","OR","...")</f>
        <v>...</v>
      </c>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row>
    <row r="102" spans="1:59" x14ac:dyDescent="0.25">
      <c r="A102" s="1" t="str">
        <f>IF($M$11="Y",'Population Definitions'!$A$8,"...")</f>
        <v>...</v>
      </c>
      <c r="B102" s="4" t="str">
        <f>IF($M$11="Y","---&gt;","...")</f>
        <v>...</v>
      </c>
      <c r="C102" s="1" t="str">
        <f>IF($M$11="Y",'Population Definitions'!$A$13,"...")</f>
        <v>...</v>
      </c>
      <c r="E102" s="2"/>
      <c r="F102" s="3"/>
      <c r="G102" s="2"/>
      <c r="H102" s="4" t="str">
        <f>IF($M$11="Y","OR","...")</f>
        <v>...</v>
      </c>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row>
    <row r="103" spans="1:59" x14ac:dyDescent="0.25">
      <c r="A103" s="1" t="str">
        <f>IF($B$12="Y",'Population Definitions'!$A$9,"...")</f>
        <v>...</v>
      </c>
      <c r="B103" s="4" t="str">
        <f>IF($B$12="Y","---&gt;","...")</f>
        <v>...</v>
      </c>
      <c r="C103" s="1" t="str">
        <f>IF($B$12="Y",'Population Definitions'!$A$2,"...")</f>
        <v>...</v>
      </c>
      <c r="E103" s="2"/>
      <c r="F103" s="3"/>
      <c r="G103" s="2"/>
      <c r="H103" s="4" t="str">
        <f>IF($B$12="Y","OR","...")</f>
        <v>...</v>
      </c>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row>
    <row r="104" spans="1:59" x14ac:dyDescent="0.25">
      <c r="A104" s="1" t="str">
        <f>IF($C$12="Y",'Population Definitions'!$A$9,"...")</f>
        <v>...</v>
      </c>
      <c r="B104" s="4" t="str">
        <f>IF($C$12="Y","---&gt;","...")</f>
        <v>...</v>
      </c>
      <c r="C104" s="1" t="str">
        <f>IF($C$12="Y",'Population Definitions'!$A$3,"...")</f>
        <v>...</v>
      </c>
      <c r="E104" s="2"/>
      <c r="F104" s="3"/>
      <c r="G104" s="2"/>
      <c r="H104" s="4" t="str">
        <f>IF($C$12="Y","OR","...")</f>
        <v>...</v>
      </c>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row>
    <row r="105" spans="1:59" x14ac:dyDescent="0.25">
      <c r="A105" s="1" t="str">
        <f>IF($D$12="Y",'Population Definitions'!$A$9,"...")</f>
        <v>...</v>
      </c>
      <c r="B105" s="4" t="str">
        <f>IF($D$12="Y","---&gt;","...")</f>
        <v>...</v>
      </c>
      <c r="C105" s="1" t="str">
        <f>IF($D$12="Y",'Population Definitions'!$A$4,"...")</f>
        <v>...</v>
      </c>
      <c r="E105" s="2"/>
      <c r="F105" s="3"/>
      <c r="G105" s="2"/>
      <c r="H105" s="4" t="str">
        <f>IF($D$12="Y","OR","...")</f>
        <v>...</v>
      </c>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row>
    <row r="106" spans="1:59" x14ac:dyDescent="0.25">
      <c r="A106" s="1" t="str">
        <f>IF($E$12="Y",'Population Definitions'!$A$9,"...")</f>
        <v>...</v>
      </c>
      <c r="B106" s="4" t="str">
        <f>IF($E$12="Y","---&gt;","...")</f>
        <v>...</v>
      </c>
      <c r="C106" s="1" t="str">
        <f>IF($E$12="Y",'Population Definitions'!$A$5,"...")</f>
        <v>...</v>
      </c>
      <c r="E106" s="2"/>
      <c r="F106" s="3"/>
      <c r="G106" s="2"/>
      <c r="H106" s="4" t="str">
        <f>IF($E$12="Y","OR","...")</f>
        <v>...</v>
      </c>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row>
    <row r="107" spans="1:59" x14ac:dyDescent="0.25">
      <c r="A107" s="1" t="str">
        <f>IF($F$12="Y",'Population Definitions'!$A$9,"...")</f>
        <v>...</v>
      </c>
      <c r="B107" s="4" t="str">
        <f>IF($F$12="Y","---&gt;","...")</f>
        <v>...</v>
      </c>
      <c r="C107" s="1" t="str">
        <f>IF($F$12="Y",'Population Definitions'!$A$6,"...")</f>
        <v>...</v>
      </c>
      <c r="E107" s="2"/>
      <c r="F107" s="3"/>
      <c r="G107" s="2"/>
      <c r="H107" s="4" t="str">
        <f>IF($F$12="Y","OR","...")</f>
        <v>...</v>
      </c>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row>
    <row r="108" spans="1:59" x14ac:dyDescent="0.25">
      <c r="A108" s="1" t="str">
        <f>IF($G$12="Y",'Population Definitions'!$A$9,"...")</f>
        <v>...</v>
      </c>
      <c r="B108" s="4" t="str">
        <f>IF($G$12="Y","---&gt;","...")</f>
        <v>...</v>
      </c>
      <c r="C108" s="1" t="str">
        <f>IF($G$12="Y",'Population Definitions'!$A$7,"...")</f>
        <v>...</v>
      </c>
      <c r="E108" s="2"/>
      <c r="F108" s="3"/>
      <c r="G108" s="2"/>
      <c r="H108" s="4" t="str">
        <f>IF($G$12="Y","OR","...")</f>
        <v>...</v>
      </c>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row>
    <row r="109" spans="1:59" x14ac:dyDescent="0.25">
      <c r="A109" s="1" t="str">
        <f>IF($H$12="Y",'Population Definitions'!$A$9,"...")</f>
        <v>...</v>
      </c>
      <c r="B109" s="4" t="str">
        <f>IF($H$12="Y","---&gt;","...")</f>
        <v>...</v>
      </c>
      <c r="C109" s="1" t="str">
        <f>IF($H$12="Y",'Population Definitions'!$A$8,"...")</f>
        <v>...</v>
      </c>
      <c r="E109" s="2"/>
      <c r="F109" s="3"/>
      <c r="G109" s="2"/>
      <c r="H109" s="4" t="str">
        <f>IF($H$12="Y","OR","...")</f>
        <v>...</v>
      </c>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row>
    <row r="110" spans="1:59" x14ac:dyDescent="0.25">
      <c r="A110" s="1" t="str">
        <f>IF($I$12="Y",'Population Definitions'!$A$9,"...")</f>
        <v>...</v>
      </c>
      <c r="B110" s="4" t="str">
        <f>IF($I$12="Y","---&gt;","...")</f>
        <v>...</v>
      </c>
      <c r="C110" s="1" t="str">
        <f>IF($I$12="Y",'Population Definitions'!$A$9,"...")</f>
        <v>...</v>
      </c>
      <c r="E110" s="2"/>
      <c r="F110" s="3"/>
      <c r="G110" s="2"/>
      <c r="H110" s="4" t="str">
        <f>IF($I$12="Y","OR","...")</f>
        <v>...</v>
      </c>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row>
    <row r="111" spans="1:59" x14ac:dyDescent="0.25">
      <c r="A111" s="1" t="str">
        <f>IF($J$12="Y",'Population Definitions'!$A$9,"...")</f>
        <v>...</v>
      </c>
      <c r="B111" s="4" t="str">
        <f>IF($J$12="Y","---&gt;","...")</f>
        <v>...</v>
      </c>
      <c r="C111" s="1" t="str">
        <f>IF($J$12="Y",'Population Definitions'!$A$10,"...")</f>
        <v>...</v>
      </c>
      <c r="E111" s="2"/>
      <c r="F111" s="3"/>
      <c r="G111" s="2"/>
      <c r="H111" s="4" t="str">
        <f>IF($J$12="Y","OR","...")</f>
        <v>...</v>
      </c>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row>
    <row r="112" spans="1:59" x14ac:dyDescent="0.25">
      <c r="A112" s="1" t="str">
        <f>IF($K$12="Y",'Population Definitions'!$A$9,"...")</f>
        <v>...</v>
      </c>
      <c r="B112" s="4" t="str">
        <f>IF($K$12="Y","---&gt;","...")</f>
        <v>...</v>
      </c>
      <c r="C112" s="1" t="str">
        <f>IF($K$12="Y",'Population Definitions'!$A$11,"...")</f>
        <v>...</v>
      </c>
      <c r="E112" s="2"/>
      <c r="F112" s="3"/>
      <c r="G112" s="2"/>
      <c r="H112" s="4" t="str">
        <f>IF($K$12="Y","OR","...")</f>
        <v>...</v>
      </c>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row>
    <row r="113" spans="1:59" x14ac:dyDescent="0.25">
      <c r="A113" s="1" t="str">
        <f>IF($L$12="Y",'Population Definitions'!$A$9,"...")</f>
        <v>...</v>
      </c>
      <c r="B113" s="4" t="str">
        <f>IF($L$12="Y","---&gt;","...")</f>
        <v>...</v>
      </c>
      <c r="C113" s="1" t="str">
        <f>IF($L$12="Y",'Population Definitions'!$A$12,"...")</f>
        <v>...</v>
      </c>
      <c r="E113" s="2"/>
      <c r="F113" s="3"/>
      <c r="G113" s="2"/>
      <c r="H113" s="4" t="str">
        <f>IF($L$12="Y","OR","...")</f>
        <v>...</v>
      </c>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row>
    <row r="114" spans="1:59" x14ac:dyDescent="0.25">
      <c r="A114" s="1" t="str">
        <f>IF($M$12="Y",'Population Definitions'!$A$9,"...")</f>
        <v>...</v>
      </c>
      <c r="B114" s="4" t="str">
        <f>IF($M$12="Y","---&gt;","...")</f>
        <v>...</v>
      </c>
      <c r="C114" s="1" t="str">
        <f>IF($M$12="Y",'Population Definitions'!$A$13,"...")</f>
        <v>...</v>
      </c>
      <c r="E114" s="2"/>
      <c r="F114" s="3"/>
      <c r="G114" s="2"/>
      <c r="H114" s="4" t="str">
        <f>IF($M$12="Y","OR","...")</f>
        <v>...</v>
      </c>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row>
    <row r="115" spans="1:59" x14ac:dyDescent="0.25">
      <c r="A115" s="1" t="str">
        <f>IF($B$13="Y",'Population Definitions'!$A$10,"...")</f>
        <v>...</v>
      </c>
      <c r="B115" s="4" t="str">
        <f>IF($B$13="Y","---&gt;","...")</f>
        <v>...</v>
      </c>
      <c r="C115" s="1" t="str">
        <f>IF($B$13="Y",'Population Definitions'!$A$2,"...")</f>
        <v>...</v>
      </c>
      <c r="E115" s="2"/>
      <c r="F115" s="3"/>
      <c r="G115" s="2"/>
      <c r="H115" s="4" t="str">
        <f>IF($B$13="Y","OR","...")</f>
        <v>...</v>
      </c>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row>
    <row r="116" spans="1:59" x14ac:dyDescent="0.25">
      <c r="A116" s="1" t="str">
        <f>IF($C$13="Y",'Population Definitions'!$A$10,"...")</f>
        <v>...</v>
      </c>
      <c r="B116" s="4" t="str">
        <f>IF($C$13="Y","---&gt;","...")</f>
        <v>...</v>
      </c>
      <c r="C116" s="1" t="str">
        <f>IF($C$13="Y",'Population Definitions'!$A$3,"...")</f>
        <v>...</v>
      </c>
      <c r="E116" s="2"/>
      <c r="F116" s="3"/>
      <c r="G116" s="2"/>
      <c r="H116" s="4" t="str">
        <f>IF($C$13="Y","OR","...")</f>
        <v>...</v>
      </c>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row>
    <row r="117" spans="1:59" x14ac:dyDescent="0.25">
      <c r="A117" s="1" t="str">
        <f>IF($D$13="Y",'Population Definitions'!$A$10,"...")</f>
        <v>...</v>
      </c>
      <c r="B117" s="4" t="str">
        <f>IF($D$13="Y","---&gt;","...")</f>
        <v>...</v>
      </c>
      <c r="C117" s="1" t="str">
        <f>IF($D$13="Y",'Population Definitions'!$A$4,"...")</f>
        <v>...</v>
      </c>
      <c r="E117" s="2"/>
      <c r="F117" s="3"/>
      <c r="G117" s="2"/>
      <c r="H117" s="4" t="str">
        <f>IF($D$13="Y","OR","...")</f>
        <v>...</v>
      </c>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row>
    <row r="118" spans="1:59" x14ac:dyDescent="0.25">
      <c r="A118" s="1" t="str">
        <f>IF($E$13="Y",'Population Definitions'!$A$10,"...")</f>
        <v>...</v>
      </c>
      <c r="B118" s="4" t="str">
        <f>IF($E$13="Y","---&gt;","...")</f>
        <v>...</v>
      </c>
      <c r="C118" s="1" t="str">
        <f>IF($E$13="Y",'Population Definitions'!$A$5,"...")</f>
        <v>...</v>
      </c>
      <c r="E118" s="2"/>
      <c r="F118" s="3"/>
      <c r="G118" s="2"/>
      <c r="H118" s="4" t="str">
        <f>IF($E$13="Y","OR","...")</f>
        <v>...</v>
      </c>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row>
    <row r="119" spans="1:59" x14ac:dyDescent="0.25">
      <c r="A119" s="1" t="str">
        <f>IF($F$13="Y",'Population Definitions'!$A$10,"...")</f>
        <v>...</v>
      </c>
      <c r="B119" s="4" t="str">
        <f>IF($F$13="Y","---&gt;","...")</f>
        <v>...</v>
      </c>
      <c r="C119" s="1" t="str">
        <f>IF($F$13="Y",'Population Definitions'!$A$6,"...")</f>
        <v>...</v>
      </c>
      <c r="E119" s="2"/>
      <c r="F119" s="3"/>
      <c r="G119" s="2"/>
      <c r="H119" s="4" t="str">
        <f>IF($F$13="Y","OR","...")</f>
        <v>...</v>
      </c>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row>
    <row r="120" spans="1:59" x14ac:dyDescent="0.25">
      <c r="A120" s="1" t="str">
        <f>IF($G$13="Y",'Population Definitions'!$A$10,"...")</f>
        <v>...</v>
      </c>
      <c r="B120" s="4" t="str">
        <f>IF($G$13="Y","---&gt;","...")</f>
        <v>...</v>
      </c>
      <c r="C120" s="1" t="str">
        <f>IF($G$13="Y",'Population Definitions'!$A$7,"...")</f>
        <v>...</v>
      </c>
      <c r="E120" s="2"/>
      <c r="F120" s="3"/>
      <c r="G120" s="2"/>
      <c r="H120" s="4" t="str">
        <f>IF($G$13="Y","OR","...")</f>
        <v>...</v>
      </c>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row>
    <row r="121" spans="1:59" x14ac:dyDescent="0.25">
      <c r="A121" s="1" t="str">
        <f>IF($H$13="Y",'Population Definitions'!$A$10,"...")</f>
        <v>...</v>
      </c>
      <c r="B121" s="4" t="str">
        <f>IF($H$13="Y","---&gt;","...")</f>
        <v>...</v>
      </c>
      <c r="C121" s="1" t="str">
        <f>IF($H$13="Y",'Population Definitions'!$A$8,"...")</f>
        <v>...</v>
      </c>
      <c r="E121" s="2"/>
      <c r="F121" s="3"/>
      <c r="G121" s="2"/>
      <c r="H121" s="4" t="str">
        <f>IF($H$13="Y","OR","...")</f>
        <v>...</v>
      </c>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row>
    <row r="122" spans="1:59" x14ac:dyDescent="0.25">
      <c r="A122" s="1" t="str">
        <f>IF($I$13="Y",'Population Definitions'!$A$10,"...")</f>
        <v>...</v>
      </c>
      <c r="B122" s="4" t="str">
        <f>IF($I$13="Y","---&gt;","...")</f>
        <v>...</v>
      </c>
      <c r="C122" s="1" t="str">
        <f>IF($I$13="Y",'Population Definitions'!$A$9,"...")</f>
        <v>...</v>
      </c>
      <c r="E122" s="2"/>
      <c r="F122" s="3"/>
      <c r="G122" s="2"/>
      <c r="H122" s="4" t="str">
        <f>IF($I$13="Y","OR","...")</f>
        <v>...</v>
      </c>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row>
    <row r="123" spans="1:59" x14ac:dyDescent="0.25">
      <c r="A123" s="1" t="str">
        <f>IF($J$13="Y",'Population Definitions'!$A$10,"...")</f>
        <v>...</v>
      </c>
      <c r="B123" s="4" t="str">
        <f>IF($J$13="Y","---&gt;","...")</f>
        <v>...</v>
      </c>
      <c r="C123" s="1" t="str">
        <f>IF($J$13="Y",'Population Definitions'!$A$10,"...")</f>
        <v>...</v>
      </c>
      <c r="E123" s="2"/>
      <c r="F123" s="3"/>
      <c r="G123" s="2"/>
      <c r="H123" s="4" t="str">
        <f>IF($J$13="Y","OR","...")</f>
        <v>...</v>
      </c>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row>
    <row r="124" spans="1:59" x14ac:dyDescent="0.25">
      <c r="A124" s="1" t="str">
        <f>IF($K$13="Y",'Population Definitions'!$A$10,"...")</f>
        <v>...</v>
      </c>
      <c r="B124" s="4" t="str">
        <f>IF($K$13="Y","---&gt;","...")</f>
        <v>...</v>
      </c>
      <c r="C124" s="1" t="str">
        <f>IF($K$13="Y",'Population Definitions'!$A$11,"...")</f>
        <v>...</v>
      </c>
      <c r="E124" s="2"/>
      <c r="F124" s="3"/>
      <c r="G124" s="2"/>
      <c r="H124" s="4" t="str">
        <f>IF($K$13="Y","OR","...")</f>
        <v>...</v>
      </c>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row>
    <row r="125" spans="1:59" x14ac:dyDescent="0.25">
      <c r="A125" s="1" t="str">
        <f>IF($L$13="Y",'Population Definitions'!$A$10,"...")</f>
        <v>...</v>
      </c>
      <c r="B125" s="4" t="str">
        <f>IF($L$13="Y","---&gt;","...")</f>
        <v>...</v>
      </c>
      <c r="C125" s="1" t="str">
        <f>IF($L$13="Y",'Population Definitions'!$A$12,"...")</f>
        <v>...</v>
      </c>
      <c r="E125" s="2"/>
      <c r="F125" s="3"/>
      <c r="G125" s="2"/>
      <c r="H125" s="4" t="str">
        <f>IF($L$13="Y","OR","...")</f>
        <v>...</v>
      </c>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row>
    <row r="126" spans="1:59" x14ac:dyDescent="0.25">
      <c r="A126" s="1" t="str">
        <f>IF($M$13="Y",'Population Definitions'!$A$10,"...")</f>
        <v>...</v>
      </c>
      <c r="B126" s="4" t="str">
        <f>IF($M$13="Y","---&gt;","...")</f>
        <v>...</v>
      </c>
      <c r="C126" s="1" t="str">
        <f>IF($M$13="Y",'Population Definitions'!$A$13,"...")</f>
        <v>...</v>
      </c>
      <c r="E126" s="2"/>
      <c r="F126" s="3"/>
      <c r="G126" s="2"/>
      <c r="H126" s="4" t="str">
        <f>IF($M$13="Y","OR","...")</f>
        <v>...</v>
      </c>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row>
    <row r="127" spans="1:59" x14ac:dyDescent="0.25">
      <c r="A127" s="1" t="str">
        <f>IF($B$14="Y",'Population Definitions'!$A$11,"...")</f>
        <v>...</v>
      </c>
      <c r="B127" s="4" t="str">
        <f>IF($B$14="Y","---&gt;","...")</f>
        <v>...</v>
      </c>
      <c r="C127" s="1" t="str">
        <f>IF($B$14="Y",'Population Definitions'!$A$2,"...")</f>
        <v>...</v>
      </c>
      <c r="E127" s="2"/>
      <c r="F127" s="3"/>
      <c r="G127" s="2"/>
      <c r="H127" s="4" t="str">
        <f>IF($B$14="Y","OR","...")</f>
        <v>...</v>
      </c>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row>
    <row r="128" spans="1:59" x14ac:dyDescent="0.25">
      <c r="A128" s="1" t="str">
        <f>IF($C$14="Y",'Population Definitions'!$A$11,"...")</f>
        <v>...</v>
      </c>
      <c r="B128" s="4" t="str">
        <f>IF($C$14="Y","---&gt;","...")</f>
        <v>...</v>
      </c>
      <c r="C128" s="1" t="str">
        <f>IF($C$14="Y",'Population Definitions'!$A$3,"...")</f>
        <v>...</v>
      </c>
      <c r="E128" s="2"/>
      <c r="F128" s="3"/>
      <c r="G128" s="2"/>
      <c r="H128" s="4" t="str">
        <f>IF($C$14="Y","OR","...")</f>
        <v>...</v>
      </c>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row>
    <row r="129" spans="1:59" x14ac:dyDescent="0.25">
      <c r="A129" s="1" t="str">
        <f>IF($D$14="Y",'Population Definitions'!$A$11,"...")</f>
        <v>...</v>
      </c>
      <c r="B129" s="4" t="str">
        <f>IF($D$14="Y","---&gt;","...")</f>
        <v>...</v>
      </c>
      <c r="C129" s="1" t="str">
        <f>IF($D$14="Y",'Population Definitions'!$A$4,"...")</f>
        <v>...</v>
      </c>
      <c r="E129" s="2"/>
      <c r="F129" s="3"/>
      <c r="G129" s="2"/>
      <c r="H129" s="4" t="str">
        <f>IF($D$14="Y","OR","...")</f>
        <v>...</v>
      </c>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row>
    <row r="130" spans="1:59" x14ac:dyDescent="0.25">
      <c r="A130" s="1" t="str">
        <f>IF($E$14="Y",'Population Definitions'!$A$11,"...")</f>
        <v>...</v>
      </c>
      <c r="B130" s="4" t="str">
        <f>IF($E$14="Y","---&gt;","...")</f>
        <v>...</v>
      </c>
      <c r="C130" s="1" t="str">
        <f>IF($E$14="Y",'Population Definitions'!$A$5,"...")</f>
        <v>...</v>
      </c>
      <c r="E130" s="2"/>
      <c r="F130" s="3"/>
      <c r="G130" s="2"/>
      <c r="H130" s="4" t="str">
        <f>IF($E$14="Y","OR","...")</f>
        <v>...</v>
      </c>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row>
    <row r="131" spans="1:59" x14ac:dyDescent="0.25">
      <c r="A131" s="1" t="str">
        <f>IF($F$14="Y",'Population Definitions'!$A$11,"...")</f>
        <v>...</v>
      </c>
      <c r="B131" s="4" t="str">
        <f>IF($F$14="Y","---&gt;","...")</f>
        <v>...</v>
      </c>
      <c r="C131" s="1" t="str">
        <f>IF($F$14="Y",'Population Definitions'!$A$6,"...")</f>
        <v>...</v>
      </c>
      <c r="E131" s="2"/>
      <c r="F131" s="3"/>
      <c r="G131" s="2"/>
      <c r="H131" s="4" t="str">
        <f>IF($F$14="Y","OR","...")</f>
        <v>...</v>
      </c>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row>
    <row r="132" spans="1:59" x14ac:dyDescent="0.25">
      <c r="A132" s="1" t="str">
        <f>IF($G$14="Y",'Population Definitions'!$A$11,"...")</f>
        <v>...</v>
      </c>
      <c r="B132" s="4" t="str">
        <f>IF($G$14="Y","---&gt;","...")</f>
        <v>...</v>
      </c>
      <c r="C132" s="1" t="str">
        <f>IF($G$14="Y",'Population Definitions'!$A$7,"...")</f>
        <v>...</v>
      </c>
      <c r="E132" s="2"/>
      <c r="F132" s="3"/>
      <c r="G132" s="2"/>
      <c r="H132" s="4" t="str">
        <f>IF($G$14="Y","OR","...")</f>
        <v>...</v>
      </c>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row>
    <row r="133" spans="1:59" x14ac:dyDescent="0.25">
      <c r="A133" s="1" t="str">
        <f>IF($H$14="Y",'Population Definitions'!$A$11,"...")</f>
        <v>...</v>
      </c>
      <c r="B133" s="4" t="str">
        <f>IF($H$14="Y","---&gt;","...")</f>
        <v>...</v>
      </c>
      <c r="C133" s="1" t="str">
        <f>IF($H$14="Y",'Population Definitions'!$A$8,"...")</f>
        <v>...</v>
      </c>
      <c r="E133" s="2"/>
      <c r="F133" s="3"/>
      <c r="G133" s="2"/>
      <c r="H133" s="4" t="str">
        <f>IF($H$14="Y","OR","...")</f>
        <v>...</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row>
    <row r="134" spans="1:59" x14ac:dyDescent="0.25">
      <c r="A134" s="1" t="str">
        <f>IF($I$14="Y",'Population Definitions'!$A$11,"...")</f>
        <v>...</v>
      </c>
      <c r="B134" s="4" t="str">
        <f>IF($I$14="Y","---&gt;","...")</f>
        <v>...</v>
      </c>
      <c r="C134" s="1" t="str">
        <f>IF($I$14="Y",'Population Definitions'!$A$9,"...")</f>
        <v>...</v>
      </c>
      <c r="E134" s="2"/>
      <c r="F134" s="3"/>
      <c r="G134" s="2"/>
      <c r="H134" s="4" t="str">
        <f>IF($I$14="Y","OR","...")</f>
        <v>...</v>
      </c>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row>
    <row r="135" spans="1:59" x14ac:dyDescent="0.25">
      <c r="A135" s="1" t="str">
        <f>IF($J$14="Y",'Population Definitions'!$A$11,"...")</f>
        <v>...</v>
      </c>
      <c r="B135" s="4" t="str">
        <f>IF($J$14="Y","---&gt;","...")</f>
        <v>...</v>
      </c>
      <c r="C135" s="1" t="str">
        <f>IF($J$14="Y",'Population Definitions'!$A$10,"...")</f>
        <v>...</v>
      </c>
      <c r="E135" s="2"/>
      <c r="F135" s="3"/>
      <c r="G135" s="2"/>
      <c r="H135" s="4" t="str">
        <f>IF($J$14="Y","OR","...")</f>
        <v>...</v>
      </c>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row>
    <row r="136" spans="1:59" x14ac:dyDescent="0.25">
      <c r="A136" s="1" t="str">
        <f>IF($K$14="Y",'Population Definitions'!$A$11,"...")</f>
        <v>...</v>
      </c>
      <c r="B136" s="4" t="str">
        <f>IF($K$14="Y","---&gt;","...")</f>
        <v>...</v>
      </c>
      <c r="C136" s="1" t="str">
        <f>IF($K$14="Y",'Population Definitions'!$A$11,"...")</f>
        <v>...</v>
      </c>
      <c r="E136" s="2"/>
      <c r="F136" s="3"/>
      <c r="G136" s="2"/>
      <c r="H136" s="4" t="str">
        <f>IF($K$14="Y","OR","...")</f>
        <v>...</v>
      </c>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row>
    <row r="137" spans="1:59" x14ac:dyDescent="0.25">
      <c r="A137" s="1" t="str">
        <f>IF($L$14="Y",'Population Definitions'!$A$11,"...")</f>
        <v>...</v>
      </c>
      <c r="B137" s="4" t="str">
        <f>IF($L$14="Y","---&gt;","...")</f>
        <v>...</v>
      </c>
      <c r="C137" s="1" t="str">
        <f>IF($L$14="Y",'Population Definitions'!$A$12,"...")</f>
        <v>...</v>
      </c>
      <c r="E137" s="2"/>
      <c r="F137" s="3"/>
      <c r="G137" s="2"/>
      <c r="H137" s="4" t="str">
        <f>IF($L$14="Y","OR","...")</f>
        <v>...</v>
      </c>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row>
    <row r="138" spans="1:59" x14ac:dyDescent="0.25">
      <c r="A138" s="1" t="str">
        <f>IF($M$14="Y",'Population Definitions'!$A$11,"...")</f>
        <v>...</v>
      </c>
      <c r="B138" s="4" t="str">
        <f>IF($M$14="Y","---&gt;","...")</f>
        <v>...</v>
      </c>
      <c r="C138" s="1" t="str">
        <f>IF($M$14="Y",'Population Definitions'!$A$13,"...")</f>
        <v>...</v>
      </c>
      <c r="E138" s="2"/>
      <c r="F138" s="3"/>
      <c r="G138" s="2"/>
      <c r="H138" s="4" t="str">
        <f>IF($M$14="Y","OR","...")</f>
        <v>...</v>
      </c>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row>
    <row r="139" spans="1:59" x14ac:dyDescent="0.25">
      <c r="A139" s="1" t="str">
        <f>IF($B$15="Y",'Population Definitions'!$A$12,"...")</f>
        <v>...</v>
      </c>
      <c r="B139" s="4" t="str">
        <f>IF($B$15="Y","---&gt;","...")</f>
        <v>...</v>
      </c>
      <c r="C139" s="1" t="str">
        <f>IF($B$15="Y",'Population Definitions'!$A$2,"...")</f>
        <v>...</v>
      </c>
      <c r="E139" s="2"/>
      <c r="F139" s="3"/>
      <c r="G139" s="2"/>
      <c r="H139" s="4" t="str">
        <f>IF($B$15="Y","OR","...")</f>
        <v>...</v>
      </c>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row>
    <row r="140" spans="1:59" x14ac:dyDescent="0.25">
      <c r="A140" s="1" t="str">
        <f>IF($C$15="Y",'Population Definitions'!$A$12,"...")</f>
        <v>...</v>
      </c>
      <c r="B140" s="4" t="str">
        <f>IF($C$15="Y","---&gt;","...")</f>
        <v>...</v>
      </c>
      <c r="C140" s="1" t="str">
        <f>IF($C$15="Y",'Population Definitions'!$A$3,"...")</f>
        <v>...</v>
      </c>
      <c r="E140" s="2"/>
      <c r="F140" s="3"/>
      <c r="G140" s="2"/>
      <c r="H140" s="4" t="str">
        <f>IF($C$15="Y","OR","...")</f>
        <v>...</v>
      </c>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row>
    <row r="141" spans="1:59" x14ac:dyDescent="0.25">
      <c r="A141" s="1" t="str">
        <f>IF($D$15="Y",'Population Definitions'!$A$12,"...")</f>
        <v>...</v>
      </c>
      <c r="B141" s="4" t="str">
        <f>IF($D$15="Y","---&gt;","...")</f>
        <v>...</v>
      </c>
      <c r="C141" s="1" t="str">
        <f>IF($D$15="Y",'Population Definitions'!$A$4,"...")</f>
        <v>...</v>
      </c>
      <c r="E141" s="2"/>
      <c r="F141" s="3"/>
      <c r="G141" s="2"/>
      <c r="H141" s="4" t="str">
        <f>IF($D$15="Y","OR","...")</f>
        <v>...</v>
      </c>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row>
    <row r="142" spans="1:59" x14ac:dyDescent="0.25">
      <c r="A142" s="1" t="str">
        <f>IF($E$15="Y",'Population Definitions'!$A$12,"...")</f>
        <v>...</v>
      </c>
      <c r="B142" s="4" t="str">
        <f>IF($E$15="Y","---&gt;","...")</f>
        <v>...</v>
      </c>
      <c r="C142" s="1" t="str">
        <f>IF($E$15="Y",'Population Definitions'!$A$5,"...")</f>
        <v>...</v>
      </c>
      <c r="E142" s="2"/>
      <c r="F142" s="3"/>
      <c r="G142" s="2"/>
      <c r="H142" s="4" t="str">
        <f>IF($E$15="Y","OR","...")</f>
        <v>...</v>
      </c>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row>
    <row r="143" spans="1:59" x14ac:dyDescent="0.25">
      <c r="A143" s="1" t="str">
        <f>IF($F$15="Y",'Population Definitions'!$A$12,"...")</f>
        <v>...</v>
      </c>
      <c r="B143" s="4" t="str">
        <f>IF($F$15="Y","---&gt;","...")</f>
        <v>...</v>
      </c>
      <c r="C143" s="1" t="str">
        <f>IF($F$15="Y",'Population Definitions'!$A$6,"...")</f>
        <v>...</v>
      </c>
      <c r="E143" s="2"/>
      <c r="F143" s="3"/>
      <c r="G143" s="2"/>
      <c r="H143" s="4" t="str">
        <f>IF($F$15="Y","OR","...")</f>
        <v>...</v>
      </c>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row>
    <row r="144" spans="1:59" x14ac:dyDescent="0.25">
      <c r="A144" s="1" t="str">
        <f>IF($G$15="Y",'Population Definitions'!$A$12,"...")</f>
        <v>...</v>
      </c>
      <c r="B144" s="4" t="str">
        <f>IF($G$15="Y","---&gt;","...")</f>
        <v>...</v>
      </c>
      <c r="C144" s="1" t="str">
        <f>IF($G$15="Y",'Population Definitions'!$A$7,"...")</f>
        <v>...</v>
      </c>
      <c r="E144" s="2"/>
      <c r="F144" s="3"/>
      <c r="G144" s="2"/>
      <c r="H144" s="4" t="str">
        <f>IF($G$15="Y","OR","...")</f>
        <v>...</v>
      </c>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row>
    <row r="145" spans="1:59" x14ac:dyDescent="0.25">
      <c r="A145" s="1" t="str">
        <f>IF($H$15="Y",'Population Definitions'!$A$12,"...")</f>
        <v>...</v>
      </c>
      <c r="B145" s="4" t="str">
        <f>IF($H$15="Y","---&gt;","...")</f>
        <v>...</v>
      </c>
      <c r="C145" s="1" t="str">
        <f>IF($H$15="Y",'Population Definitions'!$A$8,"...")</f>
        <v>...</v>
      </c>
      <c r="E145" s="2"/>
      <c r="F145" s="3"/>
      <c r="G145" s="2"/>
      <c r="H145" s="4" t="str">
        <f>IF($H$15="Y","OR","...")</f>
        <v>...</v>
      </c>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row>
    <row r="146" spans="1:59" x14ac:dyDescent="0.25">
      <c r="A146" s="1" t="str">
        <f>IF($I$15="Y",'Population Definitions'!$A$12,"...")</f>
        <v>...</v>
      </c>
      <c r="B146" s="4" t="str">
        <f>IF($I$15="Y","---&gt;","...")</f>
        <v>...</v>
      </c>
      <c r="C146" s="1" t="str">
        <f>IF($I$15="Y",'Population Definitions'!$A$9,"...")</f>
        <v>...</v>
      </c>
      <c r="E146" s="2"/>
      <c r="F146" s="3"/>
      <c r="G146" s="2"/>
      <c r="H146" s="4" t="str">
        <f>IF($I$15="Y","OR","...")</f>
        <v>...</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row>
    <row r="147" spans="1:59" x14ac:dyDescent="0.25">
      <c r="A147" s="1" t="str">
        <f>IF($J$15="Y",'Population Definitions'!$A$12,"...")</f>
        <v>...</v>
      </c>
      <c r="B147" s="4" t="str">
        <f>IF($J$15="Y","---&gt;","...")</f>
        <v>...</v>
      </c>
      <c r="C147" s="1" t="str">
        <f>IF($J$15="Y",'Population Definitions'!$A$10,"...")</f>
        <v>...</v>
      </c>
      <c r="E147" s="2"/>
      <c r="F147" s="3"/>
      <c r="G147" s="2"/>
      <c r="H147" s="4" t="str">
        <f>IF($J$15="Y","OR","...")</f>
        <v>...</v>
      </c>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row>
    <row r="148" spans="1:59" x14ac:dyDescent="0.25">
      <c r="A148" s="1" t="str">
        <f>IF($K$15="Y",'Population Definitions'!$A$12,"...")</f>
        <v>...</v>
      </c>
      <c r="B148" s="4" t="str">
        <f>IF($K$15="Y","---&gt;","...")</f>
        <v>...</v>
      </c>
      <c r="C148" s="1" t="str">
        <f>IF($K$15="Y",'Population Definitions'!$A$11,"...")</f>
        <v>...</v>
      </c>
      <c r="E148" s="2"/>
      <c r="F148" s="3"/>
      <c r="G148" s="2"/>
      <c r="H148" s="4" t="str">
        <f>IF($K$15="Y","OR","...")</f>
        <v>...</v>
      </c>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row>
    <row r="149" spans="1:59" x14ac:dyDescent="0.25">
      <c r="A149" s="1" t="str">
        <f>IF($L$15="Y",'Population Definitions'!$A$12,"...")</f>
        <v>Prisoners_males</v>
      </c>
      <c r="B149" s="4" t="str">
        <f>IF($L$15="Y","---&gt;","...")</f>
        <v>---&gt;</v>
      </c>
      <c r="C149" s="1" t="str">
        <f>IF($L$15="Y",'Population Definitions'!$A$12,"...")</f>
        <v>Prisoners_males</v>
      </c>
      <c r="D149" t="s">
        <v>61</v>
      </c>
      <c r="E149" s="3" t="s">
        <v>56</v>
      </c>
      <c r="F149" s="3"/>
      <c r="G149" s="3">
        <v>1</v>
      </c>
      <c r="H149" s="4" t="str">
        <f>IF($L$15="Y","OR","...")</f>
        <v>OR</v>
      </c>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row>
    <row r="150" spans="1:59" x14ac:dyDescent="0.25">
      <c r="A150" s="1" t="str">
        <f>IF($M$15="Y",'Population Definitions'!$A$12,"...")</f>
        <v>...</v>
      </c>
      <c r="B150" s="4" t="str">
        <f>IF($M$15="Y","---&gt;","...")</f>
        <v>...</v>
      </c>
      <c r="C150" s="1" t="str">
        <f>IF($M$15="Y",'Population Definitions'!$A$13,"...")</f>
        <v>...</v>
      </c>
      <c r="E150" s="2"/>
      <c r="F150" s="3"/>
      <c r="G150" s="2"/>
      <c r="H150" s="4" t="str">
        <f>IF($M$15="Y","OR","...")</f>
        <v>...</v>
      </c>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row>
    <row r="151" spans="1:59" x14ac:dyDescent="0.25">
      <c r="A151" s="1" t="str">
        <f>IF($B$16="Y",'Population Definitions'!$A$13,"...")</f>
        <v>...</v>
      </c>
      <c r="B151" s="4" t="str">
        <f>IF($B$16="Y","---&gt;","...")</f>
        <v>...</v>
      </c>
      <c r="C151" s="1" t="str">
        <f>IF($B$16="Y",'Population Definitions'!$A$2,"...")</f>
        <v>...</v>
      </c>
      <c r="E151" s="2"/>
      <c r="F151" s="3"/>
      <c r="G151" s="2"/>
      <c r="H151" s="4" t="str">
        <f>IF($B$16="Y","OR","...")</f>
        <v>...</v>
      </c>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row>
    <row r="152" spans="1:59" x14ac:dyDescent="0.25">
      <c r="A152" s="1" t="str">
        <f>IF($C$16="Y",'Population Definitions'!$A$13,"...")</f>
        <v>...</v>
      </c>
      <c r="B152" s="4" t="str">
        <f>IF($C$16="Y","---&gt;","...")</f>
        <v>...</v>
      </c>
      <c r="C152" s="1" t="str">
        <f>IF($C$16="Y",'Population Definitions'!$A$3,"...")</f>
        <v>...</v>
      </c>
      <c r="E152" s="2"/>
      <c r="F152" s="3"/>
      <c r="G152" s="2"/>
      <c r="H152" s="4" t="str">
        <f>IF($C$16="Y","OR","...")</f>
        <v>...</v>
      </c>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row>
    <row r="153" spans="1:59" x14ac:dyDescent="0.25">
      <c r="A153" s="1" t="str">
        <f>IF($D$16="Y",'Population Definitions'!$A$13,"...")</f>
        <v>...</v>
      </c>
      <c r="B153" s="4" t="str">
        <f>IF($D$16="Y","---&gt;","...")</f>
        <v>...</v>
      </c>
      <c r="C153" s="1" t="str">
        <f>IF($D$16="Y",'Population Definitions'!$A$4,"...")</f>
        <v>...</v>
      </c>
      <c r="E153" s="2"/>
      <c r="F153" s="3"/>
      <c r="G153" s="2"/>
      <c r="H153" s="4" t="str">
        <f>IF($D$16="Y","OR","...")</f>
        <v>...</v>
      </c>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row>
    <row r="154" spans="1:59" x14ac:dyDescent="0.25">
      <c r="A154" s="1" t="str">
        <f>IF($E$16="Y",'Population Definitions'!$A$13,"...")</f>
        <v>...</v>
      </c>
      <c r="B154" s="4" t="str">
        <f>IF($E$16="Y","---&gt;","...")</f>
        <v>...</v>
      </c>
      <c r="C154" s="1" t="str">
        <f>IF($E$16="Y",'Population Definitions'!$A$5,"...")</f>
        <v>...</v>
      </c>
      <c r="E154" s="2"/>
      <c r="F154" s="3"/>
      <c r="G154" s="2"/>
      <c r="H154" s="4" t="str">
        <f>IF($E$16="Y","OR","...")</f>
        <v>...</v>
      </c>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row>
    <row r="155" spans="1:59" x14ac:dyDescent="0.25">
      <c r="A155" s="1" t="str">
        <f>IF($F$16="Y",'Population Definitions'!$A$13,"...")</f>
        <v>...</v>
      </c>
      <c r="B155" s="4" t="str">
        <f>IF($F$16="Y","---&gt;","...")</f>
        <v>...</v>
      </c>
      <c r="C155" s="1" t="str">
        <f>IF($F$16="Y",'Population Definitions'!$A$6,"...")</f>
        <v>...</v>
      </c>
      <c r="E155" s="2"/>
      <c r="F155" s="3"/>
      <c r="G155" s="2"/>
      <c r="H155" s="4" t="str">
        <f>IF($F$16="Y","OR","...")</f>
        <v>...</v>
      </c>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row>
    <row r="156" spans="1:59" x14ac:dyDescent="0.25">
      <c r="A156" s="1" t="str">
        <f>IF($G$16="Y",'Population Definitions'!$A$13,"...")</f>
        <v>...</v>
      </c>
      <c r="B156" s="4" t="str">
        <f>IF($G$16="Y","---&gt;","...")</f>
        <v>...</v>
      </c>
      <c r="C156" s="1" t="str">
        <f>IF($G$16="Y",'Population Definitions'!$A$7,"...")</f>
        <v>...</v>
      </c>
      <c r="E156" s="2"/>
      <c r="F156" s="3"/>
      <c r="G156" s="2"/>
      <c r="H156" s="4" t="str">
        <f>IF($G$16="Y","OR","...")</f>
        <v>...</v>
      </c>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row>
    <row r="157" spans="1:59" x14ac:dyDescent="0.25">
      <c r="A157" s="1" t="str">
        <f>IF($H$16="Y",'Population Definitions'!$A$13,"...")</f>
        <v>...</v>
      </c>
      <c r="B157" s="4" t="str">
        <f>IF($H$16="Y","---&gt;","...")</f>
        <v>...</v>
      </c>
      <c r="C157" s="1" t="str">
        <f>IF($H$16="Y",'Population Definitions'!$A$8,"...")</f>
        <v>...</v>
      </c>
      <c r="E157" s="2"/>
      <c r="F157" s="3"/>
      <c r="G157" s="2"/>
      <c r="H157" s="4" t="str">
        <f>IF($H$16="Y","OR","...")</f>
        <v>...</v>
      </c>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row>
    <row r="158" spans="1:59" x14ac:dyDescent="0.25">
      <c r="A158" s="1" t="str">
        <f>IF($I$16="Y",'Population Definitions'!$A$13,"...")</f>
        <v>...</v>
      </c>
      <c r="B158" s="4" t="str">
        <f>IF($I$16="Y","---&gt;","...")</f>
        <v>...</v>
      </c>
      <c r="C158" s="1" t="str">
        <f>IF($I$16="Y",'Population Definitions'!$A$9,"...")</f>
        <v>...</v>
      </c>
      <c r="E158" s="2"/>
      <c r="F158" s="3"/>
      <c r="G158" s="2"/>
      <c r="H158" s="4" t="str">
        <f>IF($I$16="Y","OR","...")</f>
        <v>...</v>
      </c>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row>
    <row r="159" spans="1:59" x14ac:dyDescent="0.25">
      <c r="A159" s="1" t="str">
        <f>IF($J$16="Y",'Population Definitions'!$A$13,"...")</f>
        <v>...</v>
      </c>
      <c r="B159" s="4" t="str">
        <f>IF($J$16="Y","---&gt;","...")</f>
        <v>...</v>
      </c>
      <c r="C159" s="1" t="str">
        <f>IF($J$16="Y",'Population Definitions'!$A$10,"...")</f>
        <v>...</v>
      </c>
      <c r="E159" s="2"/>
      <c r="F159" s="3"/>
      <c r="G159" s="2"/>
      <c r="H159" s="4" t="str">
        <f>IF($J$16="Y","OR","...")</f>
        <v>...</v>
      </c>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row>
    <row r="160" spans="1:59" x14ac:dyDescent="0.25">
      <c r="A160" s="1" t="str">
        <f>IF($K$16="Y",'Population Definitions'!$A$13,"...")</f>
        <v>...</v>
      </c>
      <c r="B160" s="4" t="str">
        <f>IF($K$16="Y","---&gt;","...")</f>
        <v>...</v>
      </c>
      <c r="C160" s="1" t="str">
        <f>IF($K$16="Y",'Population Definitions'!$A$11,"...")</f>
        <v>...</v>
      </c>
      <c r="E160" s="2"/>
      <c r="F160" s="3"/>
      <c r="G160" s="2"/>
      <c r="H160" s="4" t="str">
        <f>IF($K$16="Y","OR","...")</f>
        <v>...</v>
      </c>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row>
    <row r="161" spans="1:59" x14ac:dyDescent="0.25">
      <c r="A161" s="1" t="str">
        <f>IF($L$16="Y",'Population Definitions'!$A$13,"...")</f>
        <v>...</v>
      </c>
      <c r="B161" s="4" t="str">
        <f>IF($L$16="Y","---&gt;","...")</f>
        <v>...</v>
      </c>
      <c r="C161" s="1" t="str">
        <f>IF($L$16="Y",'Population Definitions'!$A$12,"...")</f>
        <v>...</v>
      </c>
      <c r="E161" s="2"/>
      <c r="F161" s="3"/>
      <c r="G161" s="2"/>
      <c r="H161" s="4" t="str">
        <f>IF($L$16="Y","OR","...")</f>
        <v>...</v>
      </c>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row>
    <row r="162" spans="1:59" x14ac:dyDescent="0.25">
      <c r="A162" s="1" t="str">
        <f>IF($M$16="Y",'Population Definitions'!$A$13,"...")</f>
        <v>Prisoners_females</v>
      </c>
      <c r="B162" s="4" t="str">
        <f>IF($M$16="Y","---&gt;","...")</f>
        <v>---&gt;</v>
      </c>
      <c r="C162" s="1" t="str">
        <f>IF($M$16="Y",'Population Definitions'!$A$13,"...")</f>
        <v>Prisoners_females</v>
      </c>
      <c r="D162" t="s">
        <v>61</v>
      </c>
      <c r="E162" s="3" t="s">
        <v>56</v>
      </c>
      <c r="F162" s="3"/>
      <c r="G162" s="3">
        <v>1</v>
      </c>
      <c r="H162" s="4" t="str">
        <f>IF($M$16="Y","OR","...")</f>
        <v>OR</v>
      </c>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row>
  </sheetData>
  <conditionalFormatting sqref="B5:M16">
    <cfRule type="cellIs" dxfId="717" priority="1" operator="equal">
      <formula>"Y"</formula>
    </cfRule>
    <cfRule type="cellIs" dxfId="716" priority="2" operator="equal">
      <formula>"N"</formula>
    </cfRule>
  </conditionalFormatting>
  <conditionalFormatting sqref="D19:BG19">
    <cfRule type="expression" dxfId="715" priority="291">
      <formula>$B$5&lt;&gt;"Y"</formula>
    </cfRule>
  </conditionalFormatting>
  <conditionalFormatting sqref="D20:BG20">
    <cfRule type="expression" dxfId="714" priority="294">
      <formula>$C$5&lt;&gt;"Y"</formula>
    </cfRule>
  </conditionalFormatting>
  <conditionalFormatting sqref="D21:BG21">
    <cfRule type="expression" dxfId="713" priority="297">
      <formula>$D$5&lt;&gt;"Y"</formula>
    </cfRule>
  </conditionalFormatting>
  <conditionalFormatting sqref="D22:BG22">
    <cfRule type="expression" dxfId="712" priority="300">
      <formula>$E$5&lt;&gt;"Y"</formula>
    </cfRule>
  </conditionalFormatting>
  <conditionalFormatting sqref="D23:BG23">
    <cfRule type="expression" dxfId="711" priority="303">
      <formula>$F$5&lt;&gt;"Y"</formula>
    </cfRule>
  </conditionalFormatting>
  <conditionalFormatting sqref="D24:BG24">
    <cfRule type="expression" dxfId="710" priority="306">
      <formula>$G$5&lt;&gt;"Y"</formula>
    </cfRule>
  </conditionalFormatting>
  <conditionalFormatting sqref="D25:BG25">
    <cfRule type="expression" dxfId="709" priority="309">
      <formula>$H$5&lt;&gt;"Y"</formula>
    </cfRule>
  </conditionalFormatting>
  <conditionalFormatting sqref="D26:BG26">
    <cfRule type="expression" dxfId="708" priority="312">
      <formula>$I$5&lt;&gt;"Y"</formula>
    </cfRule>
  </conditionalFormatting>
  <conditionalFormatting sqref="D27:BG27">
    <cfRule type="expression" dxfId="707" priority="315">
      <formula>$J$5&lt;&gt;"Y"</formula>
    </cfRule>
  </conditionalFormatting>
  <conditionalFormatting sqref="D28:BG28">
    <cfRule type="expression" dxfId="706" priority="318">
      <formula>$K$5&lt;&gt;"Y"</formula>
    </cfRule>
  </conditionalFormatting>
  <conditionalFormatting sqref="D29:BG29">
    <cfRule type="expression" dxfId="705" priority="321">
      <formula>$L$5&lt;&gt;"Y"</formula>
    </cfRule>
  </conditionalFormatting>
  <conditionalFormatting sqref="D30:BG30">
    <cfRule type="expression" dxfId="704" priority="324">
      <formula>$M$5&lt;&gt;"Y"</formula>
    </cfRule>
  </conditionalFormatting>
  <conditionalFormatting sqref="D31:BG31">
    <cfRule type="expression" dxfId="703" priority="327">
      <formula>$B$6&lt;&gt;"Y"</formula>
    </cfRule>
  </conditionalFormatting>
  <conditionalFormatting sqref="D32:BG32">
    <cfRule type="expression" dxfId="702" priority="330">
      <formula>$C$6&lt;&gt;"Y"</formula>
    </cfRule>
  </conditionalFormatting>
  <conditionalFormatting sqref="D33:BG33">
    <cfRule type="expression" dxfId="701" priority="333">
      <formula>$D$6&lt;&gt;"Y"</formula>
    </cfRule>
  </conditionalFormatting>
  <conditionalFormatting sqref="D34:BG34">
    <cfRule type="expression" dxfId="700" priority="336">
      <formula>$E$6&lt;&gt;"Y"</formula>
    </cfRule>
  </conditionalFormatting>
  <conditionalFormatting sqref="D35:BG35">
    <cfRule type="expression" dxfId="699" priority="339">
      <formula>$F$6&lt;&gt;"Y"</formula>
    </cfRule>
  </conditionalFormatting>
  <conditionalFormatting sqref="D36:BG36">
    <cfRule type="expression" dxfId="698" priority="342">
      <formula>$G$6&lt;&gt;"Y"</formula>
    </cfRule>
  </conditionalFormatting>
  <conditionalFormatting sqref="D37:BG37">
    <cfRule type="expression" dxfId="697" priority="345">
      <formula>$H$6&lt;&gt;"Y"</formula>
    </cfRule>
  </conditionalFormatting>
  <conditionalFormatting sqref="D38:BG38">
    <cfRule type="expression" dxfId="696" priority="348">
      <formula>$I$6&lt;&gt;"Y"</formula>
    </cfRule>
  </conditionalFormatting>
  <conditionalFormatting sqref="D39:BG39">
    <cfRule type="expression" dxfId="695" priority="351">
      <formula>$J$6&lt;&gt;"Y"</formula>
    </cfRule>
  </conditionalFormatting>
  <conditionalFormatting sqref="D40:BG40">
    <cfRule type="expression" dxfId="694" priority="354">
      <formula>$K$6&lt;&gt;"Y"</formula>
    </cfRule>
  </conditionalFormatting>
  <conditionalFormatting sqref="D41:BG41">
    <cfRule type="expression" dxfId="693" priority="357">
      <formula>$L$6&lt;&gt;"Y"</formula>
    </cfRule>
  </conditionalFormatting>
  <conditionalFormatting sqref="D42:BG42">
    <cfRule type="expression" dxfId="692" priority="360">
      <formula>$M$6&lt;&gt;"Y"</formula>
    </cfRule>
  </conditionalFormatting>
  <conditionalFormatting sqref="D43:BG43">
    <cfRule type="expression" dxfId="691" priority="363">
      <formula>$B$7&lt;&gt;"Y"</formula>
    </cfRule>
  </conditionalFormatting>
  <conditionalFormatting sqref="D44:BG44">
    <cfRule type="expression" dxfId="690" priority="366">
      <formula>$C$7&lt;&gt;"Y"</formula>
    </cfRule>
  </conditionalFormatting>
  <conditionalFormatting sqref="D45:BG45">
    <cfRule type="expression" dxfId="689" priority="369">
      <formula>$D$7&lt;&gt;"Y"</formula>
    </cfRule>
  </conditionalFormatting>
  <conditionalFormatting sqref="D46:BG46">
    <cfRule type="expression" dxfId="688" priority="372">
      <formula>$E$7&lt;&gt;"Y"</formula>
    </cfRule>
  </conditionalFormatting>
  <conditionalFormatting sqref="D47:BG47">
    <cfRule type="expression" dxfId="687" priority="375">
      <formula>$F$7&lt;&gt;"Y"</formula>
    </cfRule>
  </conditionalFormatting>
  <conditionalFormatting sqref="D48:BG48">
    <cfRule type="expression" dxfId="686" priority="378">
      <formula>$G$7&lt;&gt;"Y"</formula>
    </cfRule>
  </conditionalFormatting>
  <conditionalFormatting sqref="D49:BG49">
    <cfRule type="expression" dxfId="685" priority="381">
      <formula>$H$7&lt;&gt;"Y"</formula>
    </cfRule>
  </conditionalFormatting>
  <conditionalFormatting sqref="D50:BG50">
    <cfRule type="expression" dxfId="684" priority="384">
      <formula>$I$7&lt;&gt;"Y"</formula>
    </cfRule>
  </conditionalFormatting>
  <conditionalFormatting sqref="D51:BG51">
    <cfRule type="expression" dxfId="683" priority="387">
      <formula>$J$7&lt;&gt;"Y"</formula>
    </cfRule>
  </conditionalFormatting>
  <conditionalFormatting sqref="D52:BG52">
    <cfRule type="expression" dxfId="682" priority="390">
      <formula>$K$7&lt;&gt;"Y"</formula>
    </cfRule>
  </conditionalFormatting>
  <conditionalFormatting sqref="D53:BG53">
    <cfRule type="expression" dxfId="681" priority="393">
      <formula>$L$7&lt;&gt;"Y"</formula>
    </cfRule>
  </conditionalFormatting>
  <conditionalFormatting sqref="D54:BG54">
    <cfRule type="expression" dxfId="680" priority="396">
      <formula>$M$7&lt;&gt;"Y"</formula>
    </cfRule>
  </conditionalFormatting>
  <conditionalFormatting sqref="D55:BG55">
    <cfRule type="expression" dxfId="679" priority="399">
      <formula>$B$8&lt;&gt;"Y"</formula>
    </cfRule>
  </conditionalFormatting>
  <conditionalFormatting sqref="D56:BG56">
    <cfRule type="expression" dxfId="678" priority="402">
      <formula>$C$8&lt;&gt;"Y"</formula>
    </cfRule>
  </conditionalFormatting>
  <conditionalFormatting sqref="D57:BG57">
    <cfRule type="expression" dxfId="677" priority="405">
      <formula>$D$8&lt;&gt;"Y"</formula>
    </cfRule>
  </conditionalFormatting>
  <conditionalFormatting sqref="D58:BG58">
    <cfRule type="expression" dxfId="676" priority="408">
      <formula>$E$8&lt;&gt;"Y"</formula>
    </cfRule>
  </conditionalFormatting>
  <conditionalFormatting sqref="D59:BG59">
    <cfRule type="expression" dxfId="675" priority="411">
      <formula>$F$8&lt;&gt;"Y"</formula>
    </cfRule>
  </conditionalFormatting>
  <conditionalFormatting sqref="D60:BG60">
    <cfRule type="expression" dxfId="674" priority="414">
      <formula>$G$8&lt;&gt;"Y"</formula>
    </cfRule>
  </conditionalFormatting>
  <conditionalFormatting sqref="D61:BG61">
    <cfRule type="expression" dxfId="673" priority="417">
      <formula>$H$8&lt;&gt;"Y"</formula>
    </cfRule>
  </conditionalFormatting>
  <conditionalFormatting sqref="D62:BG62">
    <cfRule type="expression" dxfId="672" priority="420">
      <formula>$I$8&lt;&gt;"Y"</formula>
    </cfRule>
  </conditionalFormatting>
  <conditionalFormatting sqref="D63:BG63">
    <cfRule type="expression" dxfId="671" priority="423">
      <formula>$J$8&lt;&gt;"Y"</formula>
    </cfRule>
  </conditionalFormatting>
  <conditionalFormatting sqref="D64:BG64">
    <cfRule type="expression" dxfId="670" priority="426">
      <formula>$K$8&lt;&gt;"Y"</formula>
    </cfRule>
  </conditionalFormatting>
  <conditionalFormatting sqref="D65:BG65">
    <cfRule type="expression" dxfId="669" priority="429">
      <formula>$L$8&lt;&gt;"Y"</formula>
    </cfRule>
  </conditionalFormatting>
  <conditionalFormatting sqref="D66:BG66">
    <cfRule type="expression" dxfId="668" priority="432">
      <formula>$M$8&lt;&gt;"Y"</formula>
    </cfRule>
  </conditionalFormatting>
  <conditionalFormatting sqref="D67:BG67">
    <cfRule type="expression" dxfId="667" priority="435">
      <formula>$B$9&lt;&gt;"Y"</formula>
    </cfRule>
  </conditionalFormatting>
  <conditionalFormatting sqref="D68:BG68">
    <cfRule type="expression" dxfId="666" priority="438">
      <formula>$C$9&lt;&gt;"Y"</formula>
    </cfRule>
  </conditionalFormatting>
  <conditionalFormatting sqref="D69:BG69">
    <cfRule type="expression" dxfId="665" priority="441">
      <formula>$D$9&lt;&gt;"Y"</formula>
    </cfRule>
  </conditionalFormatting>
  <conditionalFormatting sqref="D70:BG70">
    <cfRule type="expression" dxfId="664" priority="444">
      <formula>$E$9&lt;&gt;"Y"</formula>
    </cfRule>
  </conditionalFormatting>
  <conditionalFormatting sqref="D71:BG71">
    <cfRule type="expression" dxfId="663" priority="447">
      <formula>$F$9&lt;&gt;"Y"</formula>
    </cfRule>
  </conditionalFormatting>
  <conditionalFormatting sqref="D72:BG72">
    <cfRule type="expression" dxfId="662" priority="450">
      <formula>$G$9&lt;&gt;"Y"</formula>
    </cfRule>
  </conditionalFormatting>
  <conditionalFormatting sqref="D73:BG73">
    <cfRule type="expression" dxfId="661" priority="453">
      <formula>$H$9&lt;&gt;"Y"</formula>
    </cfRule>
  </conditionalFormatting>
  <conditionalFormatting sqref="D74:BG74">
    <cfRule type="expression" dxfId="660" priority="456">
      <formula>$I$9&lt;&gt;"Y"</formula>
    </cfRule>
  </conditionalFormatting>
  <conditionalFormatting sqref="D75:BG75">
    <cfRule type="expression" dxfId="659" priority="459">
      <formula>$J$9&lt;&gt;"Y"</formula>
    </cfRule>
  </conditionalFormatting>
  <conditionalFormatting sqref="D76:BG76">
    <cfRule type="expression" dxfId="658" priority="462">
      <formula>$K$9&lt;&gt;"Y"</formula>
    </cfRule>
  </conditionalFormatting>
  <conditionalFormatting sqref="D77:BG77">
    <cfRule type="expression" dxfId="657" priority="465">
      <formula>$L$9&lt;&gt;"Y"</formula>
    </cfRule>
  </conditionalFormatting>
  <conditionalFormatting sqref="D78:BG78">
    <cfRule type="expression" dxfId="656" priority="468">
      <formula>$M$9&lt;&gt;"Y"</formula>
    </cfRule>
  </conditionalFormatting>
  <conditionalFormatting sqref="D79:BG79">
    <cfRule type="expression" dxfId="655" priority="471">
      <formula>$B$10&lt;&gt;"Y"</formula>
    </cfRule>
  </conditionalFormatting>
  <conditionalFormatting sqref="D80:BG80">
    <cfRule type="expression" dxfId="654" priority="474">
      <formula>$C$10&lt;&gt;"Y"</formula>
    </cfRule>
  </conditionalFormatting>
  <conditionalFormatting sqref="D81:BG81">
    <cfRule type="expression" dxfId="653" priority="477">
      <formula>$D$10&lt;&gt;"Y"</formula>
    </cfRule>
  </conditionalFormatting>
  <conditionalFormatting sqref="D82:BG82">
    <cfRule type="expression" dxfId="652" priority="480">
      <formula>$E$10&lt;&gt;"Y"</formula>
    </cfRule>
  </conditionalFormatting>
  <conditionalFormatting sqref="D83:BG83">
    <cfRule type="expression" dxfId="651" priority="483">
      <formula>$F$10&lt;&gt;"Y"</formula>
    </cfRule>
  </conditionalFormatting>
  <conditionalFormatting sqref="D84:BG84">
    <cfRule type="expression" dxfId="650" priority="486">
      <formula>$G$10&lt;&gt;"Y"</formula>
    </cfRule>
  </conditionalFormatting>
  <conditionalFormatting sqref="D85:BG85">
    <cfRule type="expression" dxfId="649" priority="489">
      <formula>$H$10&lt;&gt;"Y"</formula>
    </cfRule>
  </conditionalFormatting>
  <conditionalFormatting sqref="D86:BG86">
    <cfRule type="expression" dxfId="648" priority="492">
      <formula>$I$10&lt;&gt;"Y"</formula>
    </cfRule>
  </conditionalFormatting>
  <conditionalFormatting sqref="D87:BG87">
    <cfRule type="expression" dxfId="647" priority="495">
      <formula>$J$10&lt;&gt;"Y"</formula>
    </cfRule>
  </conditionalFormatting>
  <conditionalFormatting sqref="D88:BG88">
    <cfRule type="expression" dxfId="646" priority="498">
      <formula>$K$10&lt;&gt;"Y"</formula>
    </cfRule>
  </conditionalFormatting>
  <conditionalFormatting sqref="D89:BG89">
    <cfRule type="expression" dxfId="645" priority="501">
      <formula>$L$10&lt;&gt;"Y"</formula>
    </cfRule>
  </conditionalFormatting>
  <conditionalFormatting sqref="D90:BG90">
    <cfRule type="expression" dxfId="644" priority="504">
      <formula>$M$10&lt;&gt;"Y"</formula>
    </cfRule>
  </conditionalFormatting>
  <conditionalFormatting sqref="D91:BG91">
    <cfRule type="expression" dxfId="643" priority="507">
      <formula>$B$11&lt;&gt;"Y"</formula>
    </cfRule>
  </conditionalFormatting>
  <conditionalFormatting sqref="D92:BG92">
    <cfRule type="expression" dxfId="642" priority="510">
      <formula>$C$11&lt;&gt;"Y"</formula>
    </cfRule>
  </conditionalFormatting>
  <conditionalFormatting sqref="D93:BG93">
    <cfRule type="expression" dxfId="641" priority="513">
      <formula>$D$11&lt;&gt;"Y"</formula>
    </cfRule>
  </conditionalFormatting>
  <conditionalFormatting sqref="D94:BG94">
    <cfRule type="expression" dxfId="640" priority="516">
      <formula>$E$11&lt;&gt;"Y"</formula>
    </cfRule>
  </conditionalFormatting>
  <conditionalFormatting sqref="D95:BG95">
    <cfRule type="expression" dxfId="639" priority="519">
      <formula>$F$11&lt;&gt;"Y"</formula>
    </cfRule>
  </conditionalFormatting>
  <conditionalFormatting sqref="D96:BG96">
    <cfRule type="expression" dxfId="638" priority="522">
      <formula>$G$11&lt;&gt;"Y"</formula>
    </cfRule>
  </conditionalFormatting>
  <conditionalFormatting sqref="D97:BG97">
    <cfRule type="expression" dxfId="637" priority="525">
      <formula>$H$11&lt;&gt;"Y"</formula>
    </cfRule>
  </conditionalFormatting>
  <conditionalFormatting sqref="D98:BG98">
    <cfRule type="expression" dxfId="636" priority="528">
      <formula>$I$11&lt;&gt;"Y"</formula>
    </cfRule>
  </conditionalFormatting>
  <conditionalFormatting sqref="D99:BG99">
    <cfRule type="expression" dxfId="635" priority="531">
      <formula>$J$11&lt;&gt;"Y"</formula>
    </cfRule>
  </conditionalFormatting>
  <conditionalFormatting sqref="D100:BG100">
    <cfRule type="expression" dxfId="634" priority="534">
      <formula>$K$11&lt;&gt;"Y"</formula>
    </cfRule>
  </conditionalFormatting>
  <conditionalFormatting sqref="D101:BG101">
    <cfRule type="expression" dxfId="633" priority="537">
      <formula>$L$11&lt;&gt;"Y"</formula>
    </cfRule>
  </conditionalFormatting>
  <conditionalFormatting sqref="D102:BG102">
    <cfRule type="expression" dxfId="632" priority="540">
      <formula>$M$11&lt;&gt;"Y"</formula>
    </cfRule>
  </conditionalFormatting>
  <conditionalFormatting sqref="D103:BG103">
    <cfRule type="expression" dxfId="631" priority="543">
      <formula>$B$12&lt;&gt;"Y"</formula>
    </cfRule>
  </conditionalFormatting>
  <conditionalFormatting sqref="D104:BG104">
    <cfRule type="expression" dxfId="630" priority="546">
      <formula>$C$12&lt;&gt;"Y"</formula>
    </cfRule>
  </conditionalFormatting>
  <conditionalFormatting sqref="D105:BG105">
    <cfRule type="expression" dxfId="629" priority="549">
      <formula>$D$12&lt;&gt;"Y"</formula>
    </cfRule>
  </conditionalFormatting>
  <conditionalFormatting sqref="D106:BG106">
    <cfRule type="expression" dxfId="628" priority="552">
      <formula>$E$12&lt;&gt;"Y"</formula>
    </cfRule>
  </conditionalFormatting>
  <conditionalFormatting sqref="D107:BG107">
    <cfRule type="expression" dxfId="627" priority="555">
      <formula>$F$12&lt;&gt;"Y"</formula>
    </cfRule>
  </conditionalFormatting>
  <conditionalFormatting sqref="D108:BG108">
    <cfRule type="expression" dxfId="626" priority="558">
      <formula>$G$12&lt;&gt;"Y"</formula>
    </cfRule>
  </conditionalFormatting>
  <conditionalFormatting sqref="D109:BG109">
    <cfRule type="expression" dxfId="625" priority="561">
      <formula>$H$12&lt;&gt;"Y"</formula>
    </cfRule>
  </conditionalFormatting>
  <conditionalFormatting sqref="D110:BG110">
    <cfRule type="expression" dxfId="624" priority="564">
      <formula>$I$12&lt;&gt;"Y"</formula>
    </cfRule>
  </conditionalFormatting>
  <conditionalFormatting sqref="D111:BG111">
    <cfRule type="expression" dxfId="623" priority="567">
      <formula>$J$12&lt;&gt;"Y"</formula>
    </cfRule>
  </conditionalFormatting>
  <conditionalFormatting sqref="D112:BG112">
    <cfRule type="expression" dxfId="622" priority="570">
      <formula>$K$12&lt;&gt;"Y"</formula>
    </cfRule>
  </conditionalFormatting>
  <conditionalFormatting sqref="D113:BG113">
    <cfRule type="expression" dxfId="621" priority="573">
      <formula>$L$12&lt;&gt;"Y"</formula>
    </cfRule>
  </conditionalFormatting>
  <conditionalFormatting sqref="D114:BG114">
    <cfRule type="expression" dxfId="620" priority="576">
      <formula>$M$12&lt;&gt;"Y"</formula>
    </cfRule>
  </conditionalFormatting>
  <conditionalFormatting sqref="D115:BG115">
    <cfRule type="expression" dxfId="619" priority="579">
      <formula>$B$13&lt;&gt;"Y"</formula>
    </cfRule>
  </conditionalFormatting>
  <conditionalFormatting sqref="D116:BG116">
    <cfRule type="expression" dxfId="618" priority="582">
      <formula>$C$13&lt;&gt;"Y"</formula>
    </cfRule>
  </conditionalFormatting>
  <conditionalFormatting sqref="D117:BG117">
    <cfRule type="expression" dxfId="617" priority="585">
      <formula>$D$13&lt;&gt;"Y"</formula>
    </cfRule>
  </conditionalFormatting>
  <conditionalFormatting sqref="D118:BG118">
    <cfRule type="expression" dxfId="616" priority="588">
      <formula>$E$13&lt;&gt;"Y"</formula>
    </cfRule>
  </conditionalFormatting>
  <conditionalFormatting sqref="D119:BG119">
    <cfRule type="expression" dxfId="615" priority="591">
      <formula>$F$13&lt;&gt;"Y"</formula>
    </cfRule>
  </conditionalFormatting>
  <conditionalFormatting sqref="D120:BG120">
    <cfRule type="expression" dxfId="614" priority="594">
      <formula>$G$13&lt;&gt;"Y"</formula>
    </cfRule>
  </conditionalFormatting>
  <conditionalFormatting sqref="D121:BG121">
    <cfRule type="expression" dxfId="613" priority="597">
      <formula>$H$13&lt;&gt;"Y"</formula>
    </cfRule>
  </conditionalFormatting>
  <conditionalFormatting sqref="D122:BG122">
    <cfRule type="expression" dxfId="612" priority="600">
      <formula>$I$13&lt;&gt;"Y"</formula>
    </cfRule>
  </conditionalFormatting>
  <conditionalFormatting sqref="D123:BG123">
    <cfRule type="expression" dxfId="611" priority="603">
      <formula>$J$13&lt;&gt;"Y"</formula>
    </cfRule>
  </conditionalFormatting>
  <conditionalFormatting sqref="D124:BG124">
    <cfRule type="expression" dxfId="610" priority="606">
      <formula>$K$13&lt;&gt;"Y"</formula>
    </cfRule>
  </conditionalFormatting>
  <conditionalFormatting sqref="D125:BG125">
    <cfRule type="expression" dxfId="609" priority="609">
      <formula>$L$13&lt;&gt;"Y"</formula>
    </cfRule>
  </conditionalFormatting>
  <conditionalFormatting sqref="D126:BG126">
    <cfRule type="expression" dxfId="608" priority="612">
      <formula>$M$13&lt;&gt;"Y"</formula>
    </cfRule>
  </conditionalFormatting>
  <conditionalFormatting sqref="D127:BG127">
    <cfRule type="expression" dxfId="607" priority="615">
      <formula>$B$14&lt;&gt;"Y"</formula>
    </cfRule>
  </conditionalFormatting>
  <conditionalFormatting sqref="D128:BG128">
    <cfRule type="expression" dxfId="606" priority="618">
      <formula>$C$14&lt;&gt;"Y"</formula>
    </cfRule>
  </conditionalFormatting>
  <conditionalFormatting sqref="D129:BG129">
    <cfRule type="expression" dxfId="605" priority="621">
      <formula>$D$14&lt;&gt;"Y"</formula>
    </cfRule>
  </conditionalFormatting>
  <conditionalFormatting sqref="D130:BG130">
    <cfRule type="expression" dxfId="604" priority="624">
      <formula>$E$14&lt;&gt;"Y"</formula>
    </cfRule>
  </conditionalFormatting>
  <conditionalFormatting sqref="D131:BG131">
    <cfRule type="expression" dxfId="603" priority="627">
      <formula>$F$14&lt;&gt;"Y"</formula>
    </cfRule>
  </conditionalFormatting>
  <conditionalFormatting sqref="D132:BG132">
    <cfRule type="expression" dxfId="602" priority="630">
      <formula>$G$14&lt;&gt;"Y"</formula>
    </cfRule>
  </conditionalFormatting>
  <conditionalFormatting sqref="D133:BG133">
    <cfRule type="expression" dxfId="601" priority="633">
      <formula>$H$14&lt;&gt;"Y"</formula>
    </cfRule>
  </conditionalFormatting>
  <conditionalFormatting sqref="D134:BG134">
    <cfRule type="expression" dxfId="600" priority="636">
      <formula>$I$14&lt;&gt;"Y"</formula>
    </cfRule>
  </conditionalFormatting>
  <conditionalFormatting sqref="D135:BG135">
    <cfRule type="expression" dxfId="599" priority="639">
      <formula>$J$14&lt;&gt;"Y"</formula>
    </cfRule>
  </conditionalFormatting>
  <conditionalFormatting sqref="D136:BG136">
    <cfRule type="expression" dxfId="598" priority="642">
      <formula>$K$14&lt;&gt;"Y"</formula>
    </cfRule>
  </conditionalFormatting>
  <conditionalFormatting sqref="D137:BG137">
    <cfRule type="expression" dxfId="597" priority="645">
      <formula>$L$14&lt;&gt;"Y"</formula>
    </cfRule>
  </conditionalFormatting>
  <conditionalFormatting sqref="D138:BG138">
    <cfRule type="expression" dxfId="596" priority="648">
      <formula>$M$14&lt;&gt;"Y"</formula>
    </cfRule>
  </conditionalFormatting>
  <conditionalFormatting sqref="D139:BG139">
    <cfRule type="expression" dxfId="595" priority="651">
      <formula>$B$15&lt;&gt;"Y"</formula>
    </cfRule>
  </conditionalFormatting>
  <conditionalFormatting sqref="D140:BG140">
    <cfRule type="expression" dxfId="594" priority="654">
      <formula>$C$15&lt;&gt;"Y"</formula>
    </cfRule>
  </conditionalFormatting>
  <conditionalFormatting sqref="D141:BG141">
    <cfRule type="expression" dxfId="593" priority="657">
      <formula>$D$15&lt;&gt;"Y"</formula>
    </cfRule>
  </conditionalFormatting>
  <conditionalFormatting sqref="D142:BG142">
    <cfRule type="expression" dxfId="592" priority="660">
      <formula>$E$15&lt;&gt;"Y"</formula>
    </cfRule>
  </conditionalFormatting>
  <conditionalFormatting sqref="D143:BG143">
    <cfRule type="expression" dxfId="591" priority="663">
      <formula>$F$15&lt;&gt;"Y"</formula>
    </cfRule>
  </conditionalFormatting>
  <conditionalFormatting sqref="D144:BG144">
    <cfRule type="expression" dxfId="590" priority="666">
      <formula>$G$15&lt;&gt;"Y"</formula>
    </cfRule>
  </conditionalFormatting>
  <conditionalFormatting sqref="D145:BG145">
    <cfRule type="expression" dxfId="589" priority="669">
      <formula>$H$15&lt;&gt;"Y"</formula>
    </cfRule>
  </conditionalFormatting>
  <conditionalFormatting sqref="D146:BG146">
    <cfRule type="expression" dxfId="588" priority="672">
      <formula>$I$15&lt;&gt;"Y"</formula>
    </cfRule>
  </conditionalFormatting>
  <conditionalFormatting sqref="D147:BG147">
    <cfRule type="expression" dxfId="587" priority="675">
      <formula>$J$15&lt;&gt;"Y"</formula>
    </cfRule>
  </conditionalFormatting>
  <conditionalFormatting sqref="D148:BG148">
    <cfRule type="expression" dxfId="586" priority="678">
      <formula>$K$15&lt;&gt;"Y"</formula>
    </cfRule>
  </conditionalFormatting>
  <conditionalFormatting sqref="D149:BG149">
    <cfRule type="expression" dxfId="585" priority="681">
      <formula>$L$15&lt;&gt;"Y"</formula>
    </cfRule>
  </conditionalFormatting>
  <conditionalFormatting sqref="D150:BG150">
    <cfRule type="expression" dxfId="584" priority="684">
      <formula>$M$15&lt;&gt;"Y"</formula>
    </cfRule>
  </conditionalFormatting>
  <conditionalFormatting sqref="D151:BG151">
    <cfRule type="expression" dxfId="583" priority="687">
      <formula>$B$16&lt;&gt;"Y"</formula>
    </cfRule>
  </conditionalFormatting>
  <conditionalFormatting sqref="D152:BG152">
    <cfRule type="expression" dxfId="582" priority="690">
      <formula>$C$16&lt;&gt;"Y"</formula>
    </cfRule>
  </conditionalFormatting>
  <conditionalFormatting sqref="D153:BG153">
    <cfRule type="expression" dxfId="581" priority="693">
      <formula>$D$16&lt;&gt;"Y"</formula>
    </cfRule>
  </conditionalFormatting>
  <conditionalFormatting sqref="D154:BG154">
    <cfRule type="expression" dxfId="580" priority="696">
      <formula>$E$16&lt;&gt;"Y"</formula>
    </cfRule>
  </conditionalFormatting>
  <conditionalFormatting sqref="D155:BG155">
    <cfRule type="expression" dxfId="579" priority="699">
      <formula>$F$16&lt;&gt;"Y"</formula>
    </cfRule>
  </conditionalFormatting>
  <conditionalFormatting sqref="D156:BG156">
    <cfRule type="expression" dxfId="578" priority="702">
      <formula>$G$16&lt;&gt;"Y"</formula>
    </cfRule>
  </conditionalFormatting>
  <conditionalFormatting sqref="D157:BG157">
    <cfRule type="expression" dxfId="577" priority="705">
      <formula>$H$16&lt;&gt;"Y"</formula>
    </cfRule>
  </conditionalFormatting>
  <conditionalFormatting sqref="D158:BG158">
    <cfRule type="expression" dxfId="576" priority="708">
      <formula>$I$16&lt;&gt;"Y"</formula>
    </cfRule>
  </conditionalFormatting>
  <conditionalFormatting sqref="D159:BG159">
    <cfRule type="expression" dxfId="575" priority="711">
      <formula>$J$16&lt;&gt;"Y"</formula>
    </cfRule>
  </conditionalFormatting>
  <conditionalFormatting sqref="D160:BG160">
    <cfRule type="expression" dxfId="574" priority="714">
      <formula>$K$16&lt;&gt;"Y"</formula>
    </cfRule>
  </conditionalFormatting>
  <conditionalFormatting sqref="D161:BG161">
    <cfRule type="expression" dxfId="573" priority="717">
      <formula>$L$16&lt;&gt;"Y"</formula>
    </cfRule>
  </conditionalFormatting>
  <conditionalFormatting sqref="D162:BG162">
    <cfRule type="expression" dxfId="572" priority="720">
      <formula>$M$16&lt;&gt;"Y"</formula>
    </cfRule>
  </conditionalFormatting>
  <conditionalFormatting sqref="G19:G162">
    <cfRule type="expression" dxfId="571" priority="289">
      <formula>COUNTIF(I19:BG19,"&lt;&gt;" &amp; "")&gt;0</formula>
    </cfRule>
    <cfRule type="expression" dxfId="570" priority="290">
      <formula>AND(COUNTIF(I19:BG19,"&lt;&gt;" &amp; "")&gt;0,NOT(ISBLANK(G19)))</formula>
    </cfRule>
  </conditionalFormatting>
  <dataValidations count="2">
    <dataValidation type="list" allowBlank="1" showInputMessage="1" showErrorMessage="1" sqref="B5:M16" xr:uid="{00000000-0002-0000-0F00-000000000000}">
      <formula1>"Y,N"</formula1>
    </dataValidation>
    <dataValidation type="list" allowBlank="1" showInputMessage="1" showErrorMessage="1" sqref="E19:E162" xr:uid="{00000000-0002-0000-0F00-000090000000}">
      <formula1>"N.A."</formula1>
    </dataValidation>
  </dataValidations>
  <hyperlinks>
    <hyperlink ref="B5" location="Interactions!B19" display="Y" xr:uid="{00000000-0004-0000-0F00-000000000000}"/>
    <hyperlink ref="C5" location="Interactions!B20" display="Y" xr:uid="{00000000-0004-0000-0F00-000001000000}"/>
    <hyperlink ref="D5" location="Interactions!B21" display="N" xr:uid="{00000000-0004-0000-0F00-000002000000}"/>
    <hyperlink ref="E5" location="Interactions!B22" display="N" xr:uid="{00000000-0004-0000-0F00-000003000000}"/>
    <hyperlink ref="F5" location="Interactions!B23" display="N" xr:uid="{00000000-0004-0000-0F00-000004000000}"/>
    <hyperlink ref="G5" location="Interactions!B24" display="N" xr:uid="{00000000-0004-0000-0F00-000005000000}"/>
    <hyperlink ref="H5" location="Interactions!B25" display="N" xr:uid="{00000000-0004-0000-0F00-000006000000}"/>
    <hyperlink ref="I5" location="Interactions!B26" display="N" xr:uid="{00000000-0004-0000-0F00-000007000000}"/>
    <hyperlink ref="J5" location="Interactions!B27" display="N" xr:uid="{00000000-0004-0000-0F00-000008000000}"/>
    <hyperlink ref="K5" location="Interactions!B28" display="N" xr:uid="{00000000-0004-0000-0F00-000009000000}"/>
    <hyperlink ref="L5" location="Interactions!B29" display="N" xr:uid="{00000000-0004-0000-0F00-00000A000000}"/>
    <hyperlink ref="M5" location="Interactions!B30" display="N" xr:uid="{00000000-0004-0000-0F00-00000B000000}"/>
    <hyperlink ref="B6" location="Interactions!B31" display="Y" xr:uid="{00000000-0004-0000-0F00-00000C000000}"/>
    <hyperlink ref="C6" location="Interactions!B32" display="Y" xr:uid="{00000000-0004-0000-0F00-00000D000000}"/>
    <hyperlink ref="D6" location="Interactions!B33" display="N" xr:uid="{00000000-0004-0000-0F00-00000E000000}"/>
    <hyperlink ref="E6" location="Interactions!B34" display="N" xr:uid="{00000000-0004-0000-0F00-00000F000000}"/>
    <hyperlink ref="F6" location="Interactions!B35" display="N" xr:uid="{00000000-0004-0000-0F00-000010000000}"/>
    <hyperlink ref="G6" location="Interactions!B36" display="N" xr:uid="{00000000-0004-0000-0F00-000011000000}"/>
    <hyperlink ref="H6" location="Interactions!B37" display="N" xr:uid="{00000000-0004-0000-0F00-000012000000}"/>
    <hyperlink ref="I6" location="Interactions!B38" display="N" xr:uid="{00000000-0004-0000-0F00-000013000000}"/>
    <hyperlink ref="J6" location="Interactions!B39" display="N" xr:uid="{00000000-0004-0000-0F00-000014000000}"/>
    <hyperlink ref="K6" location="Interactions!B40" display="N" xr:uid="{00000000-0004-0000-0F00-000015000000}"/>
    <hyperlink ref="L6" location="Interactions!B41" display="N" xr:uid="{00000000-0004-0000-0F00-000016000000}"/>
    <hyperlink ref="M6" location="Interactions!B42" display="N" xr:uid="{00000000-0004-0000-0F00-000017000000}"/>
    <hyperlink ref="B7" location="Interactions!B43" display="N" xr:uid="{00000000-0004-0000-0F00-000018000000}"/>
    <hyperlink ref="C7" location="Interactions!B44" display="N" xr:uid="{00000000-0004-0000-0F00-000019000000}"/>
    <hyperlink ref="D7" location="Interactions!B45" display="N" xr:uid="{00000000-0004-0000-0F00-00001A000000}"/>
    <hyperlink ref="E7" location="Interactions!B46" display="N" xr:uid="{00000000-0004-0000-0F00-00001B000000}"/>
    <hyperlink ref="F7" location="Interactions!B47" display="N" xr:uid="{00000000-0004-0000-0F00-00001C000000}"/>
    <hyperlink ref="G7" location="Interactions!B48" display="N" xr:uid="{00000000-0004-0000-0F00-00001D000000}"/>
    <hyperlink ref="H7" location="Interactions!B49" display="N" xr:uid="{00000000-0004-0000-0F00-00001E000000}"/>
    <hyperlink ref="I7" location="Interactions!B50" display="N" xr:uid="{00000000-0004-0000-0F00-00001F000000}"/>
    <hyperlink ref="J7" location="Interactions!B51" display="N" xr:uid="{00000000-0004-0000-0F00-000020000000}"/>
    <hyperlink ref="K7" location="Interactions!B52" display="N" xr:uid="{00000000-0004-0000-0F00-000021000000}"/>
    <hyperlink ref="L7" location="Interactions!B53" display="N" xr:uid="{00000000-0004-0000-0F00-000022000000}"/>
    <hyperlink ref="M7" location="Interactions!B54" display="N" xr:uid="{00000000-0004-0000-0F00-000023000000}"/>
    <hyperlink ref="B8" location="Interactions!B55" display="N" xr:uid="{00000000-0004-0000-0F00-000024000000}"/>
    <hyperlink ref="C8" location="Interactions!B56" display="N" xr:uid="{00000000-0004-0000-0F00-000025000000}"/>
    <hyperlink ref="D8" location="Interactions!B57" display="N" xr:uid="{00000000-0004-0000-0F00-000026000000}"/>
    <hyperlink ref="E8" location="Interactions!B58" display="N" xr:uid="{00000000-0004-0000-0F00-000027000000}"/>
    <hyperlink ref="F8" location="Interactions!B59" display="N" xr:uid="{00000000-0004-0000-0F00-000028000000}"/>
    <hyperlink ref="G8" location="Interactions!B60" display="N" xr:uid="{00000000-0004-0000-0F00-000029000000}"/>
    <hyperlink ref="H8" location="Interactions!B61" display="N" xr:uid="{00000000-0004-0000-0F00-00002A000000}"/>
    <hyperlink ref="I8" location="Interactions!B62" display="N" xr:uid="{00000000-0004-0000-0F00-00002B000000}"/>
    <hyperlink ref="J8" location="Interactions!B63" display="N" xr:uid="{00000000-0004-0000-0F00-00002C000000}"/>
    <hyperlink ref="K8" location="Interactions!B64" display="N" xr:uid="{00000000-0004-0000-0F00-00002D000000}"/>
    <hyperlink ref="L8" location="Interactions!B65" display="N" xr:uid="{00000000-0004-0000-0F00-00002E000000}"/>
    <hyperlink ref="M8" location="Interactions!B66" display="N" xr:uid="{00000000-0004-0000-0F00-00002F000000}"/>
    <hyperlink ref="B9" location="Interactions!B67" display="N" xr:uid="{00000000-0004-0000-0F00-000030000000}"/>
    <hyperlink ref="C9" location="Interactions!B68" display="N" xr:uid="{00000000-0004-0000-0F00-000031000000}"/>
    <hyperlink ref="D9" location="Interactions!B69" display="N" xr:uid="{00000000-0004-0000-0F00-000032000000}"/>
    <hyperlink ref="E9" location="Interactions!B70" display="N" xr:uid="{00000000-0004-0000-0F00-000033000000}"/>
    <hyperlink ref="F9" location="Interactions!B71" display="N" xr:uid="{00000000-0004-0000-0F00-000034000000}"/>
    <hyperlink ref="G9" location="Interactions!B72" display="N" xr:uid="{00000000-0004-0000-0F00-000035000000}"/>
    <hyperlink ref="H9" location="Interactions!B73" display="N" xr:uid="{00000000-0004-0000-0F00-000036000000}"/>
    <hyperlink ref="I9" location="Interactions!B74" display="N" xr:uid="{00000000-0004-0000-0F00-000037000000}"/>
    <hyperlink ref="J9" location="Interactions!B75" display="N" xr:uid="{00000000-0004-0000-0F00-000038000000}"/>
    <hyperlink ref="K9" location="Interactions!B76" display="N" xr:uid="{00000000-0004-0000-0F00-000039000000}"/>
    <hyperlink ref="L9" location="Interactions!B77" display="N" xr:uid="{00000000-0004-0000-0F00-00003A000000}"/>
    <hyperlink ref="M9" location="Interactions!B78" display="N" xr:uid="{00000000-0004-0000-0F00-00003B000000}"/>
    <hyperlink ref="B10" location="Interactions!B79" display="N" xr:uid="{00000000-0004-0000-0F00-00003C000000}"/>
    <hyperlink ref="C10" location="Interactions!B80" display="N" xr:uid="{00000000-0004-0000-0F00-00003D000000}"/>
    <hyperlink ref="D10" location="Interactions!B81" display="N" xr:uid="{00000000-0004-0000-0F00-00003E000000}"/>
    <hyperlink ref="E10" location="Interactions!B82" display="N" xr:uid="{00000000-0004-0000-0F00-00003F000000}"/>
    <hyperlink ref="F10" location="Interactions!B83" display="N" xr:uid="{00000000-0004-0000-0F00-000040000000}"/>
    <hyperlink ref="G10" location="Interactions!B84" display="N" xr:uid="{00000000-0004-0000-0F00-000041000000}"/>
    <hyperlink ref="H10" location="Interactions!B85" display="N" xr:uid="{00000000-0004-0000-0F00-000042000000}"/>
    <hyperlink ref="I10" location="Interactions!B86" display="N" xr:uid="{00000000-0004-0000-0F00-000043000000}"/>
    <hyperlink ref="J10" location="Interactions!B87" display="N" xr:uid="{00000000-0004-0000-0F00-000044000000}"/>
    <hyperlink ref="K10" location="Interactions!B88" display="N" xr:uid="{00000000-0004-0000-0F00-000045000000}"/>
    <hyperlink ref="L10" location="Interactions!B89" display="N" xr:uid="{00000000-0004-0000-0F00-000046000000}"/>
    <hyperlink ref="M10" location="Interactions!B90" display="N" xr:uid="{00000000-0004-0000-0F00-000047000000}"/>
    <hyperlink ref="B11" location="Interactions!B91" display="N" xr:uid="{00000000-0004-0000-0F00-000048000000}"/>
    <hyperlink ref="C11" location="Interactions!B92" display="N" xr:uid="{00000000-0004-0000-0F00-000049000000}"/>
    <hyperlink ref="D11" location="Interactions!B93" display="N" xr:uid="{00000000-0004-0000-0F00-00004A000000}"/>
    <hyperlink ref="E11" location="Interactions!B94" display="N" xr:uid="{00000000-0004-0000-0F00-00004B000000}"/>
    <hyperlink ref="F11" location="Interactions!B95" display="N" xr:uid="{00000000-0004-0000-0F00-00004C000000}"/>
    <hyperlink ref="G11" location="Interactions!B96" display="N" xr:uid="{00000000-0004-0000-0F00-00004D000000}"/>
    <hyperlink ref="H11" location="Interactions!B97" display="N" xr:uid="{00000000-0004-0000-0F00-00004E000000}"/>
    <hyperlink ref="I11" location="Interactions!B98" display="N" xr:uid="{00000000-0004-0000-0F00-00004F000000}"/>
    <hyperlink ref="J11" location="Interactions!B99" display="N" xr:uid="{00000000-0004-0000-0F00-000050000000}"/>
    <hyperlink ref="K11" location="Interactions!B100" display="N" xr:uid="{00000000-0004-0000-0F00-000051000000}"/>
    <hyperlink ref="L11" location="Interactions!B101" display="N" xr:uid="{00000000-0004-0000-0F00-000052000000}"/>
    <hyperlink ref="M11" location="Interactions!B102" display="N" xr:uid="{00000000-0004-0000-0F00-000053000000}"/>
    <hyperlink ref="B12" location="Interactions!B103" display="N" xr:uid="{00000000-0004-0000-0F00-000054000000}"/>
    <hyperlink ref="C12" location="Interactions!B104" display="N" xr:uid="{00000000-0004-0000-0F00-000055000000}"/>
    <hyperlink ref="D12" location="Interactions!B105" display="N" xr:uid="{00000000-0004-0000-0F00-000056000000}"/>
    <hyperlink ref="E12" location="Interactions!B106" display="N" xr:uid="{00000000-0004-0000-0F00-000057000000}"/>
    <hyperlink ref="F12" location="Interactions!B107" display="N" xr:uid="{00000000-0004-0000-0F00-000058000000}"/>
    <hyperlink ref="G12" location="Interactions!B108" display="N" xr:uid="{00000000-0004-0000-0F00-000059000000}"/>
    <hyperlink ref="H12" location="Interactions!B109" display="N" xr:uid="{00000000-0004-0000-0F00-00005A000000}"/>
    <hyperlink ref="I12" location="Interactions!B110" display="N" xr:uid="{00000000-0004-0000-0F00-00005B000000}"/>
    <hyperlink ref="J12" location="Interactions!B111" display="N" xr:uid="{00000000-0004-0000-0F00-00005C000000}"/>
    <hyperlink ref="K12" location="Interactions!B112" display="N" xr:uid="{00000000-0004-0000-0F00-00005D000000}"/>
    <hyperlink ref="L12" location="Interactions!B113" display="N" xr:uid="{00000000-0004-0000-0F00-00005E000000}"/>
    <hyperlink ref="M12" location="Interactions!B114" display="N" xr:uid="{00000000-0004-0000-0F00-00005F000000}"/>
    <hyperlink ref="B13" location="Interactions!B115" display="N" xr:uid="{00000000-0004-0000-0F00-000060000000}"/>
    <hyperlink ref="C13" location="Interactions!B116" display="N" xr:uid="{00000000-0004-0000-0F00-000061000000}"/>
    <hyperlink ref="D13" location="Interactions!B117" display="N" xr:uid="{00000000-0004-0000-0F00-000062000000}"/>
    <hyperlink ref="E13" location="Interactions!B118" display="N" xr:uid="{00000000-0004-0000-0F00-000063000000}"/>
    <hyperlink ref="F13" location="Interactions!B119" display="N" xr:uid="{00000000-0004-0000-0F00-000064000000}"/>
    <hyperlink ref="G13" location="Interactions!B120" display="N" xr:uid="{00000000-0004-0000-0F00-000065000000}"/>
    <hyperlink ref="H13" location="Interactions!B121" display="N" xr:uid="{00000000-0004-0000-0F00-000066000000}"/>
    <hyperlink ref="I13" location="Interactions!B122" display="N" xr:uid="{00000000-0004-0000-0F00-000067000000}"/>
    <hyperlink ref="J13" location="Interactions!B123" display="N" xr:uid="{00000000-0004-0000-0F00-000068000000}"/>
    <hyperlink ref="K13" location="Interactions!B124" display="N" xr:uid="{00000000-0004-0000-0F00-000069000000}"/>
    <hyperlink ref="L13" location="Interactions!B125" display="N" xr:uid="{00000000-0004-0000-0F00-00006A000000}"/>
    <hyperlink ref="M13" location="Interactions!B126" display="N" xr:uid="{00000000-0004-0000-0F00-00006B000000}"/>
    <hyperlink ref="B14" location="Interactions!B127" display="N" xr:uid="{00000000-0004-0000-0F00-00006C000000}"/>
    <hyperlink ref="C14" location="Interactions!B128" display="N" xr:uid="{00000000-0004-0000-0F00-00006D000000}"/>
    <hyperlink ref="D14" location="Interactions!B129" display="N" xr:uid="{00000000-0004-0000-0F00-00006E000000}"/>
    <hyperlink ref="E14" location="Interactions!B130" display="N" xr:uid="{00000000-0004-0000-0F00-00006F000000}"/>
    <hyperlink ref="F14" location="Interactions!B131" display="N" xr:uid="{00000000-0004-0000-0F00-000070000000}"/>
    <hyperlink ref="G14" location="Interactions!B132" display="N" xr:uid="{00000000-0004-0000-0F00-000071000000}"/>
    <hyperlink ref="H14" location="Interactions!B133" display="N" xr:uid="{00000000-0004-0000-0F00-000072000000}"/>
    <hyperlink ref="I14" location="Interactions!B134" display="N" xr:uid="{00000000-0004-0000-0F00-000073000000}"/>
    <hyperlink ref="J14" location="Interactions!B135" display="N" xr:uid="{00000000-0004-0000-0F00-000074000000}"/>
    <hyperlink ref="K14" location="Interactions!B136" display="N" xr:uid="{00000000-0004-0000-0F00-000075000000}"/>
    <hyperlink ref="L14" location="Interactions!B137" display="N" xr:uid="{00000000-0004-0000-0F00-000076000000}"/>
    <hyperlink ref="M14" location="Interactions!B138" display="N" xr:uid="{00000000-0004-0000-0F00-000077000000}"/>
    <hyperlink ref="B15" location="Interactions!B139" display="N" xr:uid="{00000000-0004-0000-0F00-000078000000}"/>
    <hyperlink ref="C15" location="Interactions!B140" display="N" xr:uid="{00000000-0004-0000-0F00-000079000000}"/>
    <hyperlink ref="D15" location="Interactions!B141" display="N" xr:uid="{00000000-0004-0000-0F00-00007A000000}"/>
    <hyperlink ref="E15" location="Interactions!B142" display="N" xr:uid="{00000000-0004-0000-0F00-00007B000000}"/>
    <hyperlink ref="F15" location="Interactions!B143" display="N" xr:uid="{00000000-0004-0000-0F00-00007C000000}"/>
    <hyperlink ref="G15" location="Interactions!B144" display="N" xr:uid="{00000000-0004-0000-0F00-00007D000000}"/>
    <hyperlink ref="H15" location="Interactions!B145" display="N" xr:uid="{00000000-0004-0000-0F00-00007E000000}"/>
    <hyperlink ref="I15" location="Interactions!B146" display="N" xr:uid="{00000000-0004-0000-0F00-00007F000000}"/>
    <hyperlink ref="J15" location="Interactions!B147" display="N" xr:uid="{00000000-0004-0000-0F00-000080000000}"/>
    <hyperlink ref="K15" location="Interactions!B148" display="N" xr:uid="{00000000-0004-0000-0F00-000081000000}"/>
    <hyperlink ref="L15" location="Interactions!B149" display="Y" xr:uid="{00000000-0004-0000-0F00-000082000000}"/>
    <hyperlink ref="M15" location="Interactions!B150" display="N" xr:uid="{00000000-0004-0000-0F00-000083000000}"/>
    <hyperlink ref="B16" location="Interactions!B151" display="N" xr:uid="{00000000-0004-0000-0F00-000084000000}"/>
    <hyperlink ref="C16" location="Interactions!B152" display="N" xr:uid="{00000000-0004-0000-0F00-000085000000}"/>
    <hyperlink ref="D16" location="Interactions!B153" display="N" xr:uid="{00000000-0004-0000-0F00-000086000000}"/>
    <hyperlink ref="E16" location="Interactions!B154" display="N" xr:uid="{00000000-0004-0000-0F00-000087000000}"/>
    <hyperlink ref="F16" location="Interactions!B155" display="N" xr:uid="{00000000-0004-0000-0F00-000088000000}"/>
    <hyperlink ref="G16" location="Interactions!B156" display="N" xr:uid="{00000000-0004-0000-0F00-000089000000}"/>
    <hyperlink ref="H16" location="Interactions!B157" display="N" xr:uid="{00000000-0004-0000-0F00-00008A000000}"/>
    <hyperlink ref="I16" location="Interactions!B158" display="N" xr:uid="{00000000-0004-0000-0F00-00008B000000}"/>
    <hyperlink ref="J16" location="Interactions!B159" display="N" xr:uid="{00000000-0004-0000-0F00-00008C000000}"/>
    <hyperlink ref="K16" location="Interactions!B160" display="N" xr:uid="{00000000-0004-0000-0F00-00008D000000}"/>
    <hyperlink ref="L16" location="Interactions!B161" display="N" xr:uid="{00000000-0004-0000-0F00-00008E000000}"/>
    <hyperlink ref="M16" location="Interactions!B162" display="Y" xr:uid="{00000000-0004-0000-0F00-00008F000000}"/>
    <hyperlink ref="B19" location="Interactions!$B$5" display="Interactions!$B$5" xr:uid="{00000000-0004-0000-0F00-000090000000}"/>
    <hyperlink ref="B20" location="Interactions!$C$5" display="Interactions!$C$5" xr:uid="{00000000-0004-0000-0F00-000091000000}"/>
    <hyperlink ref="B21" location="Interactions!$D$5" display="Interactions!$D$5" xr:uid="{00000000-0004-0000-0F00-000092000000}"/>
    <hyperlink ref="B22" location="Interactions!$E$5" display="Interactions!$E$5" xr:uid="{00000000-0004-0000-0F00-000093000000}"/>
    <hyperlink ref="B23" location="Interactions!$F$5" display="Interactions!$F$5" xr:uid="{00000000-0004-0000-0F00-000094000000}"/>
    <hyperlink ref="B24" location="Interactions!$G$5" display="Interactions!$G$5" xr:uid="{00000000-0004-0000-0F00-000095000000}"/>
    <hyperlink ref="B25" location="Interactions!$H$5" display="Interactions!$H$5" xr:uid="{00000000-0004-0000-0F00-000096000000}"/>
    <hyperlink ref="B26" location="Interactions!$I$5" display="Interactions!$I$5" xr:uid="{00000000-0004-0000-0F00-000097000000}"/>
    <hyperlink ref="B27" location="Interactions!$J$5" display="Interactions!$J$5" xr:uid="{00000000-0004-0000-0F00-000098000000}"/>
    <hyperlink ref="B28" location="Interactions!$K$5" display="Interactions!$K$5" xr:uid="{00000000-0004-0000-0F00-000099000000}"/>
    <hyperlink ref="B29" location="Interactions!$L$5" display="Interactions!$L$5" xr:uid="{00000000-0004-0000-0F00-00009A000000}"/>
    <hyperlink ref="B30" location="Interactions!$M$5" display="Interactions!$M$5" xr:uid="{00000000-0004-0000-0F00-00009B000000}"/>
    <hyperlink ref="B31" location="Interactions!$B$6" display="Interactions!$B$6" xr:uid="{00000000-0004-0000-0F00-00009C000000}"/>
    <hyperlink ref="B32" location="Interactions!$C$6" display="Interactions!$C$6" xr:uid="{00000000-0004-0000-0F00-00009D000000}"/>
    <hyperlink ref="B33" location="Interactions!$D$6" display="Interactions!$D$6" xr:uid="{00000000-0004-0000-0F00-00009E000000}"/>
    <hyperlink ref="B34" location="Interactions!$E$6" display="Interactions!$E$6" xr:uid="{00000000-0004-0000-0F00-00009F000000}"/>
    <hyperlink ref="B35" location="Interactions!$F$6" display="Interactions!$F$6" xr:uid="{00000000-0004-0000-0F00-0000A0000000}"/>
    <hyperlink ref="B36" location="Interactions!$G$6" display="Interactions!$G$6" xr:uid="{00000000-0004-0000-0F00-0000A1000000}"/>
    <hyperlink ref="B37" location="Interactions!$H$6" display="Interactions!$H$6" xr:uid="{00000000-0004-0000-0F00-0000A2000000}"/>
    <hyperlink ref="B38" location="Interactions!$I$6" display="Interactions!$I$6" xr:uid="{00000000-0004-0000-0F00-0000A3000000}"/>
    <hyperlink ref="B39" location="Interactions!$J$6" display="Interactions!$J$6" xr:uid="{00000000-0004-0000-0F00-0000A4000000}"/>
    <hyperlink ref="B40" location="Interactions!$K$6" display="Interactions!$K$6" xr:uid="{00000000-0004-0000-0F00-0000A5000000}"/>
    <hyperlink ref="B41" location="Interactions!$L$6" display="Interactions!$L$6" xr:uid="{00000000-0004-0000-0F00-0000A6000000}"/>
    <hyperlink ref="B42" location="Interactions!$M$6" display="Interactions!$M$6" xr:uid="{00000000-0004-0000-0F00-0000A7000000}"/>
    <hyperlink ref="B43" location="Interactions!$B$7" display="Interactions!$B$7" xr:uid="{00000000-0004-0000-0F00-0000A8000000}"/>
    <hyperlink ref="B44" location="Interactions!$C$7" display="Interactions!$C$7" xr:uid="{00000000-0004-0000-0F00-0000A9000000}"/>
    <hyperlink ref="B45" location="Interactions!$D$7" display="Interactions!$D$7" xr:uid="{00000000-0004-0000-0F00-0000AA000000}"/>
    <hyperlink ref="B46" location="Interactions!$E$7" display="Interactions!$E$7" xr:uid="{00000000-0004-0000-0F00-0000AB000000}"/>
    <hyperlink ref="B47" location="Interactions!$F$7" display="Interactions!$F$7" xr:uid="{00000000-0004-0000-0F00-0000AC000000}"/>
    <hyperlink ref="B48" location="Interactions!$G$7" display="Interactions!$G$7" xr:uid="{00000000-0004-0000-0F00-0000AD000000}"/>
    <hyperlink ref="B49" location="Interactions!$H$7" display="Interactions!$H$7" xr:uid="{00000000-0004-0000-0F00-0000AE000000}"/>
    <hyperlink ref="B50" location="Interactions!$I$7" display="Interactions!$I$7" xr:uid="{00000000-0004-0000-0F00-0000AF000000}"/>
    <hyperlink ref="B51" location="Interactions!$J$7" display="Interactions!$J$7" xr:uid="{00000000-0004-0000-0F00-0000B0000000}"/>
    <hyperlink ref="B52" location="Interactions!$K$7" display="Interactions!$K$7" xr:uid="{00000000-0004-0000-0F00-0000B1000000}"/>
    <hyperlink ref="B53" location="Interactions!$L$7" display="Interactions!$L$7" xr:uid="{00000000-0004-0000-0F00-0000B2000000}"/>
    <hyperlink ref="B54" location="Interactions!$M$7" display="Interactions!$M$7" xr:uid="{00000000-0004-0000-0F00-0000B3000000}"/>
    <hyperlink ref="B55" location="Interactions!$B$8" display="Interactions!$B$8" xr:uid="{00000000-0004-0000-0F00-0000B4000000}"/>
    <hyperlink ref="B56" location="Interactions!$C$8" display="Interactions!$C$8" xr:uid="{00000000-0004-0000-0F00-0000B5000000}"/>
    <hyperlink ref="B57" location="Interactions!$D$8" display="Interactions!$D$8" xr:uid="{00000000-0004-0000-0F00-0000B6000000}"/>
    <hyperlink ref="B58" location="Interactions!$E$8" display="Interactions!$E$8" xr:uid="{00000000-0004-0000-0F00-0000B7000000}"/>
    <hyperlink ref="B59" location="Interactions!$F$8" display="Interactions!$F$8" xr:uid="{00000000-0004-0000-0F00-0000B8000000}"/>
    <hyperlink ref="B60" location="Interactions!$G$8" display="Interactions!$G$8" xr:uid="{00000000-0004-0000-0F00-0000B9000000}"/>
    <hyperlink ref="B61" location="Interactions!$H$8" display="Interactions!$H$8" xr:uid="{00000000-0004-0000-0F00-0000BA000000}"/>
    <hyperlink ref="B62" location="Interactions!$I$8" display="Interactions!$I$8" xr:uid="{00000000-0004-0000-0F00-0000BB000000}"/>
    <hyperlink ref="B63" location="Interactions!$J$8" display="Interactions!$J$8" xr:uid="{00000000-0004-0000-0F00-0000BC000000}"/>
    <hyperlink ref="B64" location="Interactions!$K$8" display="Interactions!$K$8" xr:uid="{00000000-0004-0000-0F00-0000BD000000}"/>
    <hyperlink ref="B65" location="Interactions!$L$8" display="Interactions!$L$8" xr:uid="{00000000-0004-0000-0F00-0000BE000000}"/>
    <hyperlink ref="B66" location="Interactions!$M$8" display="Interactions!$M$8" xr:uid="{00000000-0004-0000-0F00-0000BF000000}"/>
    <hyperlink ref="B67" location="Interactions!$B$9" display="Interactions!$B$9" xr:uid="{00000000-0004-0000-0F00-0000C0000000}"/>
    <hyperlink ref="B68" location="Interactions!$C$9" display="Interactions!$C$9" xr:uid="{00000000-0004-0000-0F00-0000C1000000}"/>
    <hyperlink ref="B69" location="Interactions!$D$9" display="Interactions!$D$9" xr:uid="{00000000-0004-0000-0F00-0000C2000000}"/>
    <hyperlink ref="B70" location="Interactions!$E$9" display="Interactions!$E$9" xr:uid="{00000000-0004-0000-0F00-0000C3000000}"/>
    <hyperlink ref="B71" location="Interactions!$F$9" display="Interactions!$F$9" xr:uid="{00000000-0004-0000-0F00-0000C4000000}"/>
    <hyperlink ref="B72" location="Interactions!$G$9" display="Interactions!$G$9" xr:uid="{00000000-0004-0000-0F00-0000C5000000}"/>
    <hyperlink ref="B73" location="Interactions!$H$9" display="Interactions!$H$9" xr:uid="{00000000-0004-0000-0F00-0000C6000000}"/>
    <hyperlink ref="B74" location="Interactions!$I$9" display="Interactions!$I$9" xr:uid="{00000000-0004-0000-0F00-0000C7000000}"/>
    <hyperlink ref="B75" location="Interactions!$J$9" display="Interactions!$J$9" xr:uid="{00000000-0004-0000-0F00-0000C8000000}"/>
    <hyperlink ref="B76" location="Interactions!$K$9" display="Interactions!$K$9" xr:uid="{00000000-0004-0000-0F00-0000C9000000}"/>
    <hyperlink ref="B77" location="Interactions!$L$9" display="Interactions!$L$9" xr:uid="{00000000-0004-0000-0F00-0000CA000000}"/>
    <hyperlink ref="B78" location="Interactions!$M$9" display="Interactions!$M$9" xr:uid="{00000000-0004-0000-0F00-0000CB000000}"/>
    <hyperlink ref="B79" location="Interactions!$B$10" display="Interactions!$B$10" xr:uid="{00000000-0004-0000-0F00-0000CC000000}"/>
    <hyperlink ref="B80" location="Interactions!$C$10" display="Interactions!$C$10" xr:uid="{00000000-0004-0000-0F00-0000CD000000}"/>
    <hyperlink ref="B81" location="Interactions!$D$10" display="Interactions!$D$10" xr:uid="{00000000-0004-0000-0F00-0000CE000000}"/>
    <hyperlink ref="B82" location="Interactions!$E$10" display="Interactions!$E$10" xr:uid="{00000000-0004-0000-0F00-0000CF000000}"/>
    <hyperlink ref="B83" location="Interactions!$F$10" display="Interactions!$F$10" xr:uid="{00000000-0004-0000-0F00-0000D0000000}"/>
    <hyperlink ref="B84" location="Interactions!$G$10" display="Interactions!$G$10" xr:uid="{00000000-0004-0000-0F00-0000D1000000}"/>
    <hyperlink ref="B85" location="Interactions!$H$10" display="Interactions!$H$10" xr:uid="{00000000-0004-0000-0F00-0000D2000000}"/>
    <hyperlink ref="B86" location="Interactions!$I$10" display="Interactions!$I$10" xr:uid="{00000000-0004-0000-0F00-0000D3000000}"/>
    <hyperlink ref="B87" location="Interactions!$J$10" display="Interactions!$J$10" xr:uid="{00000000-0004-0000-0F00-0000D4000000}"/>
    <hyperlink ref="B88" location="Interactions!$K$10" display="Interactions!$K$10" xr:uid="{00000000-0004-0000-0F00-0000D5000000}"/>
    <hyperlink ref="B89" location="Interactions!$L$10" display="Interactions!$L$10" xr:uid="{00000000-0004-0000-0F00-0000D6000000}"/>
    <hyperlink ref="B90" location="Interactions!$M$10" display="Interactions!$M$10" xr:uid="{00000000-0004-0000-0F00-0000D7000000}"/>
    <hyperlink ref="B91" location="Interactions!$B$11" display="Interactions!$B$11" xr:uid="{00000000-0004-0000-0F00-0000D8000000}"/>
    <hyperlink ref="B92" location="Interactions!$C$11" display="Interactions!$C$11" xr:uid="{00000000-0004-0000-0F00-0000D9000000}"/>
    <hyperlink ref="B93" location="Interactions!$D$11" display="Interactions!$D$11" xr:uid="{00000000-0004-0000-0F00-0000DA000000}"/>
    <hyperlink ref="B94" location="Interactions!$E$11" display="Interactions!$E$11" xr:uid="{00000000-0004-0000-0F00-0000DB000000}"/>
    <hyperlink ref="B95" location="Interactions!$F$11" display="Interactions!$F$11" xr:uid="{00000000-0004-0000-0F00-0000DC000000}"/>
    <hyperlink ref="B96" location="Interactions!$G$11" display="Interactions!$G$11" xr:uid="{00000000-0004-0000-0F00-0000DD000000}"/>
    <hyperlink ref="B97" location="Interactions!$H$11" display="Interactions!$H$11" xr:uid="{00000000-0004-0000-0F00-0000DE000000}"/>
    <hyperlink ref="B98" location="Interactions!$I$11" display="Interactions!$I$11" xr:uid="{00000000-0004-0000-0F00-0000DF000000}"/>
    <hyperlink ref="B99" location="Interactions!$J$11" display="Interactions!$J$11" xr:uid="{00000000-0004-0000-0F00-0000E0000000}"/>
    <hyperlink ref="B100" location="Interactions!$K$11" display="Interactions!$K$11" xr:uid="{00000000-0004-0000-0F00-0000E1000000}"/>
    <hyperlink ref="B101" location="Interactions!$L$11" display="Interactions!$L$11" xr:uid="{00000000-0004-0000-0F00-0000E2000000}"/>
    <hyperlink ref="B102" location="Interactions!$M$11" display="Interactions!$M$11" xr:uid="{00000000-0004-0000-0F00-0000E3000000}"/>
    <hyperlink ref="B103" location="Interactions!$B$12" display="Interactions!$B$12" xr:uid="{00000000-0004-0000-0F00-0000E4000000}"/>
    <hyperlink ref="B104" location="Interactions!$C$12" display="Interactions!$C$12" xr:uid="{00000000-0004-0000-0F00-0000E5000000}"/>
    <hyperlink ref="B105" location="Interactions!$D$12" display="Interactions!$D$12" xr:uid="{00000000-0004-0000-0F00-0000E6000000}"/>
    <hyperlink ref="B106" location="Interactions!$E$12" display="Interactions!$E$12" xr:uid="{00000000-0004-0000-0F00-0000E7000000}"/>
    <hyperlink ref="B107" location="Interactions!$F$12" display="Interactions!$F$12" xr:uid="{00000000-0004-0000-0F00-0000E8000000}"/>
    <hyperlink ref="B108" location="Interactions!$G$12" display="Interactions!$G$12" xr:uid="{00000000-0004-0000-0F00-0000E9000000}"/>
    <hyperlink ref="B109" location="Interactions!$H$12" display="Interactions!$H$12" xr:uid="{00000000-0004-0000-0F00-0000EA000000}"/>
    <hyperlink ref="B110" location="Interactions!$I$12" display="Interactions!$I$12" xr:uid="{00000000-0004-0000-0F00-0000EB000000}"/>
    <hyperlink ref="B111" location="Interactions!$J$12" display="Interactions!$J$12" xr:uid="{00000000-0004-0000-0F00-0000EC000000}"/>
    <hyperlink ref="B112" location="Interactions!$K$12" display="Interactions!$K$12" xr:uid="{00000000-0004-0000-0F00-0000ED000000}"/>
    <hyperlink ref="B113" location="Interactions!$L$12" display="Interactions!$L$12" xr:uid="{00000000-0004-0000-0F00-0000EE000000}"/>
    <hyperlink ref="B114" location="Interactions!$M$12" display="Interactions!$M$12" xr:uid="{00000000-0004-0000-0F00-0000EF000000}"/>
    <hyperlink ref="B115" location="Interactions!$B$13" display="Interactions!$B$13" xr:uid="{00000000-0004-0000-0F00-0000F0000000}"/>
    <hyperlink ref="B116" location="Interactions!$C$13" display="Interactions!$C$13" xr:uid="{00000000-0004-0000-0F00-0000F1000000}"/>
    <hyperlink ref="B117" location="Interactions!$D$13" display="Interactions!$D$13" xr:uid="{00000000-0004-0000-0F00-0000F2000000}"/>
    <hyperlink ref="B118" location="Interactions!$E$13" display="Interactions!$E$13" xr:uid="{00000000-0004-0000-0F00-0000F3000000}"/>
    <hyperlink ref="B119" location="Interactions!$F$13" display="Interactions!$F$13" xr:uid="{00000000-0004-0000-0F00-0000F4000000}"/>
    <hyperlink ref="B120" location="Interactions!$G$13" display="Interactions!$G$13" xr:uid="{00000000-0004-0000-0F00-0000F5000000}"/>
    <hyperlink ref="B121" location="Interactions!$H$13" display="Interactions!$H$13" xr:uid="{00000000-0004-0000-0F00-0000F6000000}"/>
    <hyperlink ref="B122" location="Interactions!$I$13" display="Interactions!$I$13" xr:uid="{00000000-0004-0000-0F00-0000F7000000}"/>
    <hyperlink ref="B123" location="Interactions!$J$13" display="Interactions!$J$13" xr:uid="{00000000-0004-0000-0F00-0000F8000000}"/>
    <hyperlink ref="B124" location="Interactions!$K$13" display="Interactions!$K$13" xr:uid="{00000000-0004-0000-0F00-0000F9000000}"/>
    <hyperlink ref="B125" location="Interactions!$L$13" display="Interactions!$L$13" xr:uid="{00000000-0004-0000-0F00-0000FA000000}"/>
    <hyperlink ref="B126" location="Interactions!$M$13" display="Interactions!$M$13" xr:uid="{00000000-0004-0000-0F00-0000FB000000}"/>
    <hyperlink ref="B127" location="Interactions!$B$14" display="Interactions!$B$14" xr:uid="{00000000-0004-0000-0F00-0000FC000000}"/>
    <hyperlink ref="B128" location="Interactions!$C$14" display="Interactions!$C$14" xr:uid="{00000000-0004-0000-0F00-0000FD000000}"/>
    <hyperlink ref="B129" location="Interactions!$D$14" display="Interactions!$D$14" xr:uid="{00000000-0004-0000-0F00-0000FE000000}"/>
    <hyperlink ref="B130" location="Interactions!$E$14" display="Interactions!$E$14" xr:uid="{00000000-0004-0000-0F00-0000FF000000}"/>
    <hyperlink ref="B131" location="Interactions!$F$14" display="Interactions!$F$14" xr:uid="{00000000-0004-0000-0F00-000000010000}"/>
    <hyperlink ref="B132" location="Interactions!$G$14" display="Interactions!$G$14" xr:uid="{00000000-0004-0000-0F00-000001010000}"/>
    <hyperlink ref="B133" location="Interactions!$H$14" display="Interactions!$H$14" xr:uid="{00000000-0004-0000-0F00-000002010000}"/>
    <hyperlink ref="B134" location="Interactions!$I$14" display="Interactions!$I$14" xr:uid="{00000000-0004-0000-0F00-000003010000}"/>
    <hyperlink ref="B135" location="Interactions!$J$14" display="Interactions!$J$14" xr:uid="{00000000-0004-0000-0F00-000004010000}"/>
    <hyperlink ref="B136" location="Interactions!$K$14" display="Interactions!$K$14" xr:uid="{00000000-0004-0000-0F00-000005010000}"/>
    <hyperlink ref="B137" location="Interactions!$L$14" display="Interactions!$L$14" xr:uid="{00000000-0004-0000-0F00-000006010000}"/>
    <hyperlink ref="B138" location="Interactions!$M$14" display="Interactions!$M$14" xr:uid="{00000000-0004-0000-0F00-000007010000}"/>
    <hyperlink ref="B139" location="Interactions!$B$15" display="Interactions!$B$15" xr:uid="{00000000-0004-0000-0F00-000008010000}"/>
    <hyperlink ref="B140" location="Interactions!$C$15" display="Interactions!$C$15" xr:uid="{00000000-0004-0000-0F00-000009010000}"/>
    <hyperlink ref="B141" location="Interactions!$D$15" display="Interactions!$D$15" xr:uid="{00000000-0004-0000-0F00-00000A010000}"/>
    <hyperlink ref="B142" location="Interactions!$E$15" display="Interactions!$E$15" xr:uid="{00000000-0004-0000-0F00-00000B010000}"/>
    <hyperlink ref="B143" location="Interactions!$F$15" display="Interactions!$F$15" xr:uid="{00000000-0004-0000-0F00-00000C010000}"/>
    <hyperlink ref="B144" location="Interactions!$G$15" display="Interactions!$G$15" xr:uid="{00000000-0004-0000-0F00-00000D010000}"/>
    <hyperlink ref="B145" location="Interactions!$H$15" display="Interactions!$H$15" xr:uid="{00000000-0004-0000-0F00-00000E010000}"/>
    <hyperlink ref="B146" location="Interactions!$I$15" display="Interactions!$I$15" xr:uid="{00000000-0004-0000-0F00-00000F010000}"/>
    <hyperlink ref="B147" location="Interactions!$J$15" display="Interactions!$J$15" xr:uid="{00000000-0004-0000-0F00-000010010000}"/>
    <hyperlink ref="B148" location="Interactions!$K$15" display="Interactions!$K$15" xr:uid="{00000000-0004-0000-0F00-000011010000}"/>
    <hyperlink ref="B149" location="Interactions!$L$15" display="Interactions!$L$15" xr:uid="{00000000-0004-0000-0F00-000012010000}"/>
    <hyperlink ref="B150" location="Interactions!$M$15" display="Interactions!$M$15" xr:uid="{00000000-0004-0000-0F00-000013010000}"/>
    <hyperlink ref="B151" location="Interactions!$B$16" display="Interactions!$B$16" xr:uid="{00000000-0004-0000-0F00-000014010000}"/>
    <hyperlink ref="B152" location="Interactions!$C$16" display="Interactions!$C$16" xr:uid="{00000000-0004-0000-0F00-000015010000}"/>
    <hyperlink ref="B153" location="Interactions!$D$16" display="Interactions!$D$16" xr:uid="{00000000-0004-0000-0F00-000016010000}"/>
    <hyperlink ref="B154" location="Interactions!$E$16" display="Interactions!$E$16" xr:uid="{00000000-0004-0000-0F00-000017010000}"/>
    <hyperlink ref="B155" location="Interactions!$F$16" display="Interactions!$F$16" xr:uid="{00000000-0004-0000-0F00-000018010000}"/>
    <hyperlink ref="B156" location="Interactions!$G$16" display="Interactions!$G$16" xr:uid="{00000000-0004-0000-0F00-000019010000}"/>
    <hyperlink ref="B157" location="Interactions!$H$16" display="Interactions!$H$16" xr:uid="{00000000-0004-0000-0F00-00001A010000}"/>
    <hyperlink ref="B158" location="Interactions!$I$16" display="Interactions!$I$16" xr:uid="{00000000-0004-0000-0F00-00001B010000}"/>
    <hyperlink ref="B159" location="Interactions!$J$16" display="Interactions!$J$16" xr:uid="{00000000-0004-0000-0F00-00001C010000}"/>
    <hyperlink ref="B160" location="Interactions!$K$16" display="Interactions!$K$16" xr:uid="{00000000-0004-0000-0F00-00001D010000}"/>
    <hyperlink ref="B161" location="Interactions!$L$16" display="Interactions!$L$16" xr:uid="{00000000-0004-0000-0F00-00001E010000}"/>
    <hyperlink ref="B162" location="Interactions!$M$16" display="Interactions!$M$16" xr:uid="{00000000-0004-0000-0F00-00001F01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08080"/>
  </sheetPr>
  <dimension ref="A1:BG488"/>
  <sheetViews>
    <sheetView workbookViewId="0"/>
  </sheetViews>
  <sheetFormatPr defaultRowHeight="15" x14ac:dyDescent="0.25"/>
  <cols>
    <col min="1" max="1" width="20.42578125" customWidth="1"/>
    <col min="2" max="2" width="44.5703125" customWidth="1"/>
    <col min="3" max="3" width="23.7109375" customWidth="1"/>
    <col min="4" max="4" width="21.5703125" customWidth="1"/>
    <col min="5" max="5" width="18.28515625" customWidth="1"/>
    <col min="6" max="6" width="13.85546875" customWidth="1"/>
    <col min="7" max="7" width="16" customWidth="1"/>
    <col min="8" max="8" width="13.85546875" customWidth="1"/>
    <col min="9" max="9" width="16" customWidth="1"/>
    <col min="10" max="10" width="11.5703125" customWidth="1"/>
    <col min="11" max="11" width="13.85546875" customWidth="1"/>
    <col min="12" max="12" width="18.28515625" customWidth="1"/>
    <col min="13" max="13" width="20.42578125" customWidth="1"/>
    <col min="14" max="59" width="9.42578125" customWidth="1"/>
  </cols>
  <sheetData>
    <row r="1" spans="1:13" x14ac:dyDescent="0.25">
      <c r="A1" s="1" t="s">
        <v>0</v>
      </c>
      <c r="B1" s="1" t="s">
        <v>1</v>
      </c>
      <c r="C1" s="1" t="s">
        <v>223</v>
      </c>
      <c r="D1" s="1" t="s">
        <v>224</v>
      </c>
    </row>
    <row r="2" spans="1:13" x14ac:dyDescent="0.25">
      <c r="A2" t="s">
        <v>229</v>
      </c>
      <c r="B2" t="s">
        <v>230</v>
      </c>
      <c r="C2" t="s">
        <v>5</v>
      </c>
      <c r="D2" t="s">
        <v>5</v>
      </c>
    </row>
    <row r="4" spans="1:13" x14ac:dyDescent="0.25">
      <c r="B4" s="1" t="str">
        <f>'Population Definitions'!$A$2</f>
        <v>PWID_males</v>
      </c>
      <c r="C4" s="1" t="str">
        <f>'Population Definitions'!$A$3</f>
        <v>PWID_females</v>
      </c>
      <c r="D4" s="1" t="str">
        <f>'Population Definitions'!$A$4</f>
        <v>0-9_males</v>
      </c>
      <c r="E4" s="1" t="str">
        <f>'Population Definitions'!$A$5</f>
        <v>0-9_females</v>
      </c>
      <c r="F4" s="1" t="str">
        <f>'Population Definitions'!$A$6</f>
        <v>10-17_males</v>
      </c>
      <c r="G4" s="1" t="str">
        <f>'Population Definitions'!$A$7</f>
        <v>10-17_females</v>
      </c>
      <c r="H4" s="1" t="str">
        <f>'Population Definitions'!$A$8</f>
        <v>18-64_males</v>
      </c>
      <c r="I4" s="1" t="str">
        <f>'Population Definitions'!$A$9</f>
        <v>18-64_females</v>
      </c>
      <c r="J4" s="1" t="str">
        <f>'Population Definitions'!$A$10</f>
        <v>65+_males</v>
      </c>
      <c r="K4" s="1" t="str">
        <f>'Population Definitions'!$A$11</f>
        <v>65+_females</v>
      </c>
      <c r="L4" s="1" t="str">
        <f>'Population Definitions'!$A$12</f>
        <v>Prisoners_males</v>
      </c>
      <c r="M4" s="1" t="str">
        <f>'Population Definitions'!$A$13</f>
        <v>Prisoners_females</v>
      </c>
    </row>
    <row r="5" spans="1:13" x14ac:dyDescent="0.25">
      <c r="A5" s="1" t="str">
        <f>'Population Definitions'!$A$2</f>
        <v>PWID_males</v>
      </c>
      <c r="B5" s="4" t="s">
        <v>56</v>
      </c>
      <c r="C5" s="5" t="s">
        <v>226</v>
      </c>
      <c r="D5" s="5" t="s">
        <v>226</v>
      </c>
      <c r="E5" s="5" t="s">
        <v>226</v>
      </c>
      <c r="F5" s="5" t="s">
        <v>226</v>
      </c>
      <c r="G5" s="5" t="s">
        <v>226</v>
      </c>
      <c r="H5" s="5" t="s">
        <v>226</v>
      </c>
      <c r="I5" s="5" t="s">
        <v>226</v>
      </c>
      <c r="J5" s="5" t="s">
        <v>226</v>
      </c>
      <c r="K5" s="5" t="s">
        <v>226</v>
      </c>
      <c r="L5" s="5" t="s">
        <v>226</v>
      </c>
      <c r="M5" s="5" t="s">
        <v>226</v>
      </c>
    </row>
    <row r="6" spans="1:13" x14ac:dyDescent="0.25">
      <c r="A6" s="1" t="str">
        <f>'Population Definitions'!$A$3</f>
        <v>PWID_females</v>
      </c>
      <c r="B6" s="5" t="s">
        <v>226</v>
      </c>
      <c r="C6" s="4" t="s">
        <v>56</v>
      </c>
      <c r="D6" s="5" t="s">
        <v>226</v>
      </c>
      <c r="E6" s="5" t="s">
        <v>226</v>
      </c>
      <c r="F6" s="5" t="s">
        <v>226</v>
      </c>
      <c r="G6" s="5" t="s">
        <v>226</v>
      </c>
      <c r="H6" s="5" t="s">
        <v>226</v>
      </c>
      <c r="I6" s="5" t="s">
        <v>226</v>
      </c>
      <c r="J6" s="5" t="s">
        <v>226</v>
      </c>
      <c r="K6" s="5" t="s">
        <v>226</v>
      </c>
      <c r="L6" s="5" t="s">
        <v>226</v>
      </c>
      <c r="M6" s="5" t="s">
        <v>226</v>
      </c>
    </row>
    <row r="7" spans="1:13" x14ac:dyDescent="0.25">
      <c r="A7" s="1" t="str">
        <f>'Population Definitions'!$A$4</f>
        <v>0-9_males</v>
      </c>
      <c r="B7" s="5" t="s">
        <v>226</v>
      </c>
      <c r="C7" s="5" t="s">
        <v>226</v>
      </c>
      <c r="D7" s="4" t="s">
        <v>56</v>
      </c>
      <c r="E7" s="5" t="s">
        <v>226</v>
      </c>
      <c r="F7" s="5" t="s">
        <v>225</v>
      </c>
      <c r="G7" s="5" t="s">
        <v>226</v>
      </c>
      <c r="H7" s="5" t="s">
        <v>226</v>
      </c>
      <c r="I7" s="5" t="s">
        <v>226</v>
      </c>
      <c r="J7" s="5" t="s">
        <v>226</v>
      </c>
      <c r="K7" s="5" t="s">
        <v>226</v>
      </c>
      <c r="L7" s="5" t="s">
        <v>226</v>
      </c>
      <c r="M7" s="5" t="s">
        <v>226</v>
      </c>
    </row>
    <row r="8" spans="1:13" x14ac:dyDescent="0.25">
      <c r="A8" s="1" t="str">
        <f>'Population Definitions'!$A$5</f>
        <v>0-9_females</v>
      </c>
      <c r="B8" s="5" t="s">
        <v>226</v>
      </c>
      <c r="C8" s="5" t="s">
        <v>226</v>
      </c>
      <c r="D8" s="5" t="s">
        <v>226</v>
      </c>
      <c r="E8" s="4" t="s">
        <v>56</v>
      </c>
      <c r="F8" s="5" t="s">
        <v>226</v>
      </c>
      <c r="G8" s="5" t="s">
        <v>225</v>
      </c>
      <c r="H8" s="5" t="s">
        <v>226</v>
      </c>
      <c r="I8" s="5" t="s">
        <v>226</v>
      </c>
      <c r="J8" s="5" t="s">
        <v>226</v>
      </c>
      <c r="K8" s="5" t="s">
        <v>226</v>
      </c>
      <c r="L8" s="5" t="s">
        <v>226</v>
      </c>
      <c r="M8" s="5" t="s">
        <v>226</v>
      </c>
    </row>
    <row r="9" spans="1:13" x14ac:dyDescent="0.25">
      <c r="A9" s="1" t="str">
        <f>'Population Definitions'!$A$6</f>
        <v>10-17_males</v>
      </c>
      <c r="B9" s="5" t="s">
        <v>226</v>
      </c>
      <c r="C9" s="5" t="s">
        <v>226</v>
      </c>
      <c r="D9" s="5" t="s">
        <v>226</v>
      </c>
      <c r="E9" s="5" t="s">
        <v>226</v>
      </c>
      <c r="F9" s="4" t="s">
        <v>56</v>
      </c>
      <c r="G9" s="5" t="s">
        <v>226</v>
      </c>
      <c r="H9" s="5" t="s">
        <v>225</v>
      </c>
      <c r="I9" s="5" t="s">
        <v>226</v>
      </c>
      <c r="J9" s="5" t="s">
        <v>226</v>
      </c>
      <c r="K9" s="5" t="s">
        <v>226</v>
      </c>
      <c r="L9" s="5" t="s">
        <v>226</v>
      </c>
      <c r="M9" s="5" t="s">
        <v>226</v>
      </c>
    </row>
    <row r="10" spans="1:13" x14ac:dyDescent="0.25">
      <c r="A10" s="1" t="str">
        <f>'Population Definitions'!$A$7</f>
        <v>10-17_females</v>
      </c>
      <c r="B10" s="5" t="s">
        <v>226</v>
      </c>
      <c r="C10" s="5" t="s">
        <v>226</v>
      </c>
      <c r="D10" s="5" t="s">
        <v>226</v>
      </c>
      <c r="E10" s="5" t="s">
        <v>226</v>
      </c>
      <c r="F10" s="5" t="s">
        <v>226</v>
      </c>
      <c r="G10" s="4" t="s">
        <v>56</v>
      </c>
      <c r="H10" s="5" t="s">
        <v>226</v>
      </c>
      <c r="I10" s="5" t="s">
        <v>225</v>
      </c>
      <c r="J10" s="5" t="s">
        <v>226</v>
      </c>
      <c r="K10" s="5" t="s">
        <v>226</v>
      </c>
      <c r="L10" s="5" t="s">
        <v>226</v>
      </c>
      <c r="M10" s="5" t="s">
        <v>226</v>
      </c>
    </row>
    <row r="11" spans="1:13" x14ac:dyDescent="0.25">
      <c r="A11" s="1" t="str">
        <f>'Population Definitions'!$A$8</f>
        <v>18-64_males</v>
      </c>
      <c r="B11" s="5" t="s">
        <v>226</v>
      </c>
      <c r="C11" s="5" t="s">
        <v>226</v>
      </c>
      <c r="D11" s="5" t="s">
        <v>226</v>
      </c>
      <c r="E11" s="5" t="s">
        <v>226</v>
      </c>
      <c r="F11" s="5" t="s">
        <v>226</v>
      </c>
      <c r="G11" s="5" t="s">
        <v>226</v>
      </c>
      <c r="H11" s="4" t="s">
        <v>56</v>
      </c>
      <c r="I11" s="5" t="s">
        <v>226</v>
      </c>
      <c r="J11" s="5" t="s">
        <v>225</v>
      </c>
      <c r="K11" s="5" t="s">
        <v>226</v>
      </c>
      <c r="L11" s="5" t="s">
        <v>226</v>
      </c>
      <c r="M11" s="5" t="s">
        <v>226</v>
      </c>
    </row>
    <row r="12" spans="1:13" x14ac:dyDescent="0.25">
      <c r="A12" s="1" t="str">
        <f>'Population Definitions'!$A$9</f>
        <v>18-64_females</v>
      </c>
      <c r="B12" s="5" t="s">
        <v>226</v>
      </c>
      <c r="C12" s="5" t="s">
        <v>226</v>
      </c>
      <c r="D12" s="5" t="s">
        <v>226</v>
      </c>
      <c r="E12" s="5" t="s">
        <v>226</v>
      </c>
      <c r="F12" s="5" t="s">
        <v>226</v>
      </c>
      <c r="G12" s="5" t="s">
        <v>226</v>
      </c>
      <c r="H12" s="5" t="s">
        <v>226</v>
      </c>
      <c r="I12" s="4" t="s">
        <v>56</v>
      </c>
      <c r="J12" s="5" t="s">
        <v>226</v>
      </c>
      <c r="K12" s="5" t="s">
        <v>225</v>
      </c>
      <c r="L12" s="5" t="s">
        <v>226</v>
      </c>
      <c r="M12" s="5" t="s">
        <v>226</v>
      </c>
    </row>
    <row r="13" spans="1:13" x14ac:dyDescent="0.25">
      <c r="A13" s="1" t="str">
        <f>'Population Definitions'!$A$10</f>
        <v>65+_males</v>
      </c>
      <c r="B13" s="5" t="s">
        <v>226</v>
      </c>
      <c r="C13" s="5" t="s">
        <v>226</v>
      </c>
      <c r="D13" s="5" t="s">
        <v>226</v>
      </c>
      <c r="E13" s="5" t="s">
        <v>226</v>
      </c>
      <c r="F13" s="5" t="s">
        <v>226</v>
      </c>
      <c r="G13" s="5" t="s">
        <v>226</v>
      </c>
      <c r="H13" s="5" t="s">
        <v>226</v>
      </c>
      <c r="I13" s="5" t="s">
        <v>226</v>
      </c>
      <c r="J13" s="4" t="s">
        <v>56</v>
      </c>
      <c r="K13" s="5" t="s">
        <v>226</v>
      </c>
      <c r="L13" s="5" t="s">
        <v>226</v>
      </c>
      <c r="M13" s="5" t="s">
        <v>226</v>
      </c>
    </row>
    <row r="14" spans="1:13" x14ac:dyDescent="0.25">
      <c r="A14" s="1" t="str">
        <f>'Population Definitions'!$A$11</f>
        <v>65+_females</v>
      </c>
      <c r="B14" s="5" t="s">
        <v>226</v>
      </c>
      <c r="C14" s="5" t="s">
        <v>226</v>
      </c>
      <c r="D14" s="5" t="s">
        <v>226</v>
      </c>
      <c r="E14" s="5" t="s">
        <v>226</v>
      </c>
      <c r="F14" s="5" t="s">
        <v>226</v>
      </c>
      <c r="G14" s="5" t="s">
        <v>226</v>
      </c>
      <c r="H14" s="5" t="s">
        <v>226</v>
      </c>
      <c r="I14" s="5" t="s">
        <v>226</v>
      </c>
      <c r="J14" s="5" t="s">
        <v>226</v>
      </c>
      <c r="K14" s="4" t="s">
        <v>56</v>
      </c>
      <c r="L14" s="5" t="s">
        <v>226</v>
      </c>
      <c r="M14" s="5" t="s">
        <v>226</v>
      </c>
    </row>
    <row r="15" spans="1:13" x14ac:dyDescent="0.25">
      <c r="A15" s="1" t="str">
        <f>'Population Definitions'!$A$12</f>
        <v>Prisoners_males</v>
      </c>
      <c r="B15" s="5" t="s">
        <v>226</v>
      </c>
      <c r="C15" s="5" t="s">
        <v>226</v>
      </c>
      <c r="D15" s="5" t="s">
        <v>226</v>
      </c>
      <c r="E15" s="5" t="s">
        <v>226</v>
      </c>
      <c r="F15" s="5" t="s">
        <v>226</v>
      </c>
      <c r="G15" s="5" t="s">
        <v>226</v>
      </c>
      <c r="H15" s="5" t="s">
        <v>226</v>
      </c>
      <c r="I15" s="5" t="s">
        <v>226</v>
      </c>
      <c r="J15" s="5" t="s">
        <v>226</v>
      </c>
      <c r="K15" s="5" t="s">
        <v>226</v>
      </c>
      <c r="L15" s="4" t="s">
        <v>56</v>
      </c>
      <c r="M15" s="5" t="s">
        <v>226</v>
      </c>
    </row>
    <row r="16" spans="1:13" x14ac:dyDescent="0.25">
      <c r="A16" s="1" t="str">
        <f>'Population Definitions'!$A$13</f>
        <v>Prisoners_females</v>
      </c>
      <c r="B16" s="5" t="s">
        <v>226</v>
      </c>
      <c r="C16" s="5" t="s">
        <v>226</v>
      </c>
      <c r="D16" s="5" t="s">
        <v>226</v>
      </c>
      <c r="E16" s="5" t="s">
        <v>226</v>
      </c>
      <c r="F16" s="5" t="s">
        <v>226</v>
      </c>
      <c r="G16" s="5" t="s">
        <v>226</v>
      </c>
      <c r="H16" s="5" t="s">
        <v>226</v>
      </c>
      <c r="I16" s="5" t="s">
        <v>226</v>
      </c>
      <c r="J16" s="5" t="s">
        <v>226</v>
      </c>
      <c r="K16" s="5" t="s">
        <v>226</v>
      </c>
      <c r="L16" s="5" t="s">
        <v>226</v>
      </c>
      <c r="M16" s="4" t="s">
        <v>56</v>
      </c>
    </row>
    <row r="18" spans="1:59" x14ac:dyDescent="0.25">
      <c r="A18" s="1" t="s">
        <v>227</v>
      </c>
      <c r="B18" s="1"/>
      <c r="C18" s="1" t="s">
        <v>228</v>
      </c>
      <c r="D18" s="1" t="s">
        <v>29</v>
      </c>
      <c r="E18" s="1" t="s">
        <v>30</v>
      </c>
      <c r="F18" s="1" t="s">
        <v>31</v>
      </c>
      <c r="G18" s="1" t="s">
        <v>36</v>
      </c>
      <c r="H18" s="1"/>
      <c r="I18" s="1">
        <v>2000</v>
      </c>
      <c r="J18" s="1">
        <v>2001</v>
      </c>
      <c r="K18" s="1">
        <v>2002</v>
      </c>
      <c r="L18" s="1">
        <v>2003</v>
      </c>
      <c r="M18" s="1">
        <v>2004</v>
      </c>
      <c r="N18" s="1">
        <v>2005</v>
      </c>
      <c r="O18" s="1">
        <v>2006</v>
      </c>
      <c r="P18" s="1">
        <v>2007</v>
      </c>
      <c r="Q18" s="1">
        <v>2008</v>
      </c>
      <c r="R18" s="1">
        <v>2009</v>
      </c>
      <c r="S18" s="1">
        <v>2010</v>
      </c>
      <c r="T18" s="1">
        <v>2011</v>
      </c>
      <c r="U18" s="1">
        <v>2012</v>
      </c>
      <c r="V18" s="1">
        <v>2013</v>
      </c>
      <c r="W18" s="1">
        <v>2014</v>
      </c>
      <c r="X18" s="1">
        <v>2015</v>
      </c>
      <c r="Y18" s="1">
        <v>2016</v>
      </c>
      <c r="Z18" s="1">
        <v>2017</v>
      </c>
      <c r="AA18" s="1">
        <v>2018</v>
      </c>
      <c r="AB18" s="1">
        <v>2019</v>
      </c>
      <c r="AC18" s="1">
        <v>2020</v>
      </c>
      <c r="AD18" s="1">
        <v>2021</v>
      </c>
      <c r="AE18" s="1">
        <v>2022</v>
      </c>
      <c r="AF18" s="1">
        <v>2023</v>
      </c>
      <c r="AG18" s="1">
        <v>2024</v>
      </c>
      <c r="AH18" s="1">
        <v>2025</v>
      </c>
      <c r="AI18" s="1">
        <v>2026</v>
      </c>
      <c r="AJ18" s="1">
        <v>2027</v>
      </c>
      <c r="AK18" s="1">
        <v>2028</v>
      </c>
      <c r="AL18" s="1">
        <v>2029</v>
      </c>
      <c r="AM18" s="1">
        <v>2030</v>
      </c>
      <c r="AN18" s="1">
        <v>2031</v>
      </c>
      <c r="AO18" s="1">
        <v>2032</v>
      </c>
      <c r="AP18" s="1">
        <v>2033</v>
      </c>
      <c r="AQ18" s="1">
        <v>2034</v>
      </c>
      <c r="AR18" s="1">
        <v>2035</v>
      </c>
      <c r="AS18" s="1">
        <v>2036</v>
      </c>
      <c r="AT18" s="1">
        <v>2037</v>
      </c>
      <c r="AU18" s="1">
        <v>2038</v>
      </c>
      <c r="AV18" s="1">
        <v>2039</v>
      </c>
      <c r="AW18" s="1">
        <v>2040</v>
      </c>
      <c r="AX18" s="1">
        <v>2041</v>
      </c>
      <c r="AY18" s="1">
        <v>2042</v>
      </c>
      <c r="AZ18" s="1">
        <v>2043</v>
      </c>
      <c r="BA18" s="1">
        <v>2044</v>
      </c>
      <c r="BB18" s="1">
        <v>2045</v>
      </c>
      <c r="BC18" s="1">
        <v>2046</v>
      </c>
      <c r="BD18" s="1">
        <v>2047</v>
      </c>
      <c r="BE18" s="1">
        <v>2048</v>
      </c>
      <c r="BF18" s="1">
        <v>2049</v>
      </c>
      <c r="BG18" s="1">
        <v>2050</v>
      </c>
    </row>
    <row r="19" spans="1:59" x14ac:dyDescent="0.25">
      <c r="A19" s="1" t="str">
        <f>IF($B$5="Y",'Population Definitions'!$A$2,"...")</f>
        <v>...</v>
      </c>
      <c r="B19" s="4" t="str">
        <f>IF($B$5="Y","---&gt;","...")</f>
        <v>...</v>
      </c>
      <c r="C19" s="1" t="str">
        <f>IF($B$5="Y",'Population Definitions'!$A$2,"...")</f>
        <v>...</v>
      </c>
      <c r="E19" s="2"/>
      <c r="F19" s="3"/>
      <c r="G19" s="2"/>
      <c r="H19" s="4" t="str">
        <f>IF($B$5="Y","OR","...")</f>
        <v>...</v>
      </c>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row>
    <row r="20" spans="1:59" x14ac:dyDescent="0.25">
      <c r="A20" s="1" t="str">
        <f>IF($C$5="Y",'Population Definitions'!$A$2,"...")</f>
        <v>...</v>
      </c>
      <c r="B20" s="4" t="str">
        <f>IF($C$5="Y","---&gt;","...")</f>
        <v>...</v>
      </c>
      <c r="C20" s="1" t="str">
        <f>IF($C$5="Y",'Population Definitions'!$A$3,"...")</f>
        <v>...</v>
      </c>
      <c r="E20" s="2"/>
      <c r="F20" s="3"/>
      <c r="G20" s="2"/>
      <c r="H20" s="4" t="str">
        <f>IF($C$5="Y","OR","...")</f>
        <v>...</v>
      </c>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row>
    <row r="21" spans="1:59" x14ac:dyDescent="0.25">
      <c r="A21" s="1" t="str">
        <f>IF($D$5="Y",'Population Definitions'!$A$2,"...")</f>
        <v>...</v>
      </c>
      <c r="B21" s="4" t="str">
        <f>IF($D$5="Y","---&gt;","...")</f>
        <v>...</v>
      </c>
      <c r="C21" s="1" t="str">
        <f>IF($D$5="Y",'Population Definitions'!$A$4,"...")</f>
        <v>...</v>
      </c>
      <c r="E21" s="2"/>
      <c r="F21" s="3"/>
      <c r="G21" s="2"/>
      <c r="H21" s="4" t="str">
        <f>IF($D$5="Y","OR","...")</f>
        <v>...</v>
      </c>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row>
    <row r="22" spans="1:59" x14ac:dyDescent="0.25">
      <c r="A22" s="1" t="str">
        <f>IF($E$5="Y",'Population Definitions'!$A$2,"...")</f>
        <v>...</v>
      </c>
      <c r="B22" s="4" t="str">
        <f>IF($E$5="Y","---&gt;","...")</f>
        <v>...</v>
      </c>
      <c r="C22" s="1" t="str">
        <f>IF($E$5="Y",'Population Definitions'!$A$5,"...")</f>
        <v>...</v>
      </c>
      <c r="E22" s="2"/>
      <c r="F22" s="3"/>
      <c r="G22" s="2"/>
      <c r="H22" s="4" t="str">
        <f>IF($E$5="Y","OR","...")</f>
        <v>...</v>
      </c>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row>
    <row r="23" spans="1:59" x14ac:dyDescent="0.25">
      <c r="A23" s="1" t="str">
        <f>IF($F$5="Y",'Population Definitions'!$A$2,"...")</f>
        <v>...</v>
      </c>
      <c r="B23" s="4" t="str">
        <f>IF($F$5="Y","---&gt;","...")</f>
        <v>...</v>
      </c>
      <c r="C23" s="1" t="str">
        <f>IF($F$5="Y",'Population Definitions'!$A$6,"...")</f>
        <v>...</v>
      </c>
      <c r="E23" s="2"/>
      <c r="F23" s="3"/>
      <c r="G23" s="2"/>
      <c r="H23" s="4" t="str">
        <f>IF($F$5="Y","OR","...")</f>
        <v>...</v>
      </c>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row>
    <row r="24" spans="1:59" x14ac:dyDescent="0.25">
      <c r="A24" s="1" t="str">
        <f>IF($G$5="Y",'Population Definitions'!$A$2,"...")</f>
        <v>...</v>
      </c>
      <c r="B24" s="4" t="str">
        <f>IF($G$5="Y","---&gt;","...")</f>
        <v>...</v>
      </c>
      <c r="C24" s="1" t="str">
        <f>IF($G$5="Y",'Population Definitions'!$A$7,"...")</f>
        <v>...</v>
      </c>
      <c r="E24" s="2"/>
      <c r="F24" s="3"/>
      <c r="G24" s="2"/>
      <c r="H24" s="4" t="str">
        <f>IF($G$5="Y","OR","...")</f>
        <v>...</v>
      </c>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row>
    <row r="25" spans="1:59" x14ac:dyDescent="0.25">
      <c r="A25" s="1" t="str">
        <f>IF($H$5="Y",'Population Definitions'!$A$2,"...")</f>
        <v>...</v>
      </c>
      <c r="B25" s="4" t="str">
        <f>IF($H$5="Y","---&gt;","...")</f>
        <v>...</v>
      </c>
      <c r="C25" s="1" t="str">
        <f>IF($H$5="Y",'Population Definitions'!$A$8,"...")</f>
        <v>...</v>
      </c>
      <c r="E25" s="2"/>
      <c r="F25" s="3"/>
      <c r="G25" s="2"/>
      <c r="H25" s="4" t="str">
        <f>IF($H$5="Y","OR","...")</f>
        <v>...</v>
      </c>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row>
    <row r="26" spans="1:59" x14ac:dyDescent="0.25">
      <c r="A26" s="1" t="str">
        <f>IF($I$5="Y",'Population Definitions'!$A$2,"...")</f>
        <v>...</v>
      </c>
      <c r="B26" s="4" t="str">
        <f>IF($I$5="Y","---&gt;","...")</f>
        <v>...</v>
      </c>
      <c r="C26" s="1" t="str">
        <f>IF($I$5="Y",'Population Definitions'!$A$9,"...")</f>
        <v>...</v>
      </c>
      <c r="E26" s="2"/>
      <c r="F26" s="3"/>
      <c r="G26" s="2"/>
      <c r="H26" s="4" t="str">
        <f>IF($I$5="Y","OR","...")</f>
        <v>...</v>
      </c>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row>
    <row r="27" spans="1:59" x14ac:dyDescent="0.25">
      <c r="A27" s="1" t="str">
        <f>IF($J$5="Y",'Population Definitions'!$A$2,"...")</f>
        <v>...</v>
      </c>
      <c r="B27" s="4" t="str">
        <f>IF($J$5="Y","---&gt;","...")</f>
        <v>...</v>
      </c>
      <c r="C27" s="1" t="str">
        <f>IF($J$5="Y",'Population Definitions'!$A$10,"...")</f>
        <v>...</v>
      </c>
      <c r="E27" s="2"/>
      <c r="F27" s="3"/>
      <c r="G27" s="2"/>
      <c r="H27" s="4" t="str">
        <f>IF($J$5="Y","OR","...")</f>
        <v>...</v>
      </c>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row>
    <row r="28" spans="1:59" x14ac:dyDescent="0.25">
      <c r="A28" s="1" t="str">
        <f>IF($K$5="Y",'Population Definitions'!$A$2,"...")</f>
        <v>...</v>
      </c>
      <c r="B28" s="4" t="str">
        <f>IF($K$5="Y","---&gt;","...")</f>
        <v>...</v>
      </c>
      <c r="C28" s="1" t="str">
        <f>IF($K$5="Y",'Population Definitions'!$A$11,"...")</f>
        <v>...</v>
      </c>
      <c r="E28" s="2"/>
      <c r="F28" s="3"/>
      <c r="G28" s="2"/>
      <c r="H28" s="4" t="str">
        <f>IF($K$5="Y","OR","...")</f>
        <v>...</v>
      </c>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row>
    <row r="29" spans="1:59" x14ac:dyDescent="0.25">
      <c r="A29" s="1" t="str">
        <f>IF($L$5="Y",'Population Definitions'!$A$2,"...")</f>
        <v>...</v>
      </c>
      <c r="B29" s="4" t="str">
        <f>IF($L$5="Y","---&gt;","...")</f>
        <v>...</v>
      </c>
      <c r="C29" s="1" t="str">
        <f>IF($L$5="Y",'Population Definitions'!$A$12,"...")</f>
        <v>...</v>
      </c>
      <c r="E29" s="2"/>
      <c r="F29" s="3"/>
      <c r="G29" s="2"/>
      <c r="H29" s="4" t="str">
        <f>IF($L$5="Y","OR","...")</f>
        <v>...</v>
      </c>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row>
    <row r="30" spans="1:59" x14ac:dyDescent="0.25">
      <c r="A30" s="1" t="str">
        <f>IF($M$5="Y",'Population Definitions'!$A$2,"...")</f>
        <v>...</v>
      </c>
      <c r="B30" s="4" t="str">
        <f>IF($M$5="Y","---&gt;","...")</f>
        <v>...</v>
      </c>
      <c r="C30" s="1" t="str">
        <f>IF($M$5="Y",'Population Definitions'!$A$13,"...")</f>
        <v>...</v>
      </c>
      <c r="E30" s="2"/>
      <c r="F30" s="3"/>
      <c r="G30" s="2"/>
      <c r="H30" s="4" t="str">
        <f>IF($M$5="Y","OR","...")</f>
        <v>...</v>
      </c>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row>
    <row r="31" spans="1:59" x14ac:dyDescent="0.25">
      <c r="A31" s="1" t="str">
        <f>IF($B$6="Y",'Population Definitions'!$A$3,"...")</f>
        <v>...</v>
      </c>
      <c r="B31" s="4" t="str">
        <f>IF($B$6="Y","---&gt;","...")</f>
        <v>...</v>
      </c>
      <c r="C31" s="1" t="str">
        <f>IF($B$6="Y",'Population Definitions'!$A$2,"...")</f>
        <v>...</v>
      </c>
      <c r="E31" s="2"/>
      <c r="F31" s="3"/>
      <c r="G31" s="2"/>
      <c r="H31" s="4" t="str">
        <f>IF($B$6="Y","OR","...")</f>
        <v>...</v>
      </c>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row>
    <row r="32" spans="1:59" x14ac:dyDescent="0.25">
      <c r="A32" s="1" t="str">
        <f>IF($C$6="Y",'Population Definitions'!$A$3,"...")</f>
        <v>...</v>
      </c>
      <c r="B32" s="4" t="str">
        <f>IF($C$6="Y","---&gt;","...")</f>
        <v>...</v>
      </c>
      <c r="C32" s="1" t="str">
        <f>IF($C$6="Y",'Population Definitions'!$A$3,"...")</f>
        <v>...</v>
      </c>
      <c r="E32" s="2"/>
      <c r="F32" s="3"/>
      <c r="G32" s="2"/>
      <c r="H32" s="4" t="str">
        <f>IF($C$6="Y","OR","...")</f>
        <v>...</v>
      </c>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row>
    <row r="33" spans="1:59" x14ac:dyDescent="0.25">
      <c r="A33" s="1" t="str">
        <f>IF($D$6="Y",'Population Definitions'!$A$3,"...")</f>
        <v>...</v>
      </c>
      <c r="B33" s="4" t="str">
        <f>IF($D$6="Y","---&gt;","...")</f>
        <v>...</v>
      </c>
      <c r="C33" s="1" t="str">
        <f>IF($D$6="Y",'Population Definitions'!$A$4,"...")</f>
        <v>...</v>
      </c>
      <c r="E33" s="2"/>
      <c r="F33" s="3"/>
      <c r="G33" s="2"/>
      <c r="H33" s="4" t="str">
        <f>IF($D$6="Y","OR","...")</f>
        <v>...</v>
      </c>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row>
    <row r="34" spans="1:59" x14ac:dyDescent="0.25">
      <c r="A34" s="1" t="str">
        <f>IF($E$6="Y",'Population Definitions'!$A$3,"...")</f>
        <v>...</v>
      </c>
      <c r="B34" s="4" t="str">
        <f>IF($E$6="Y","---&gt;","...")</f>
        <v>...</v>
      </c>
      <c r="C34" s="1" t="str">
        <f>IF($E$6="Y",'Population Definitions'!$A$5,"...")</f>
        <v>...</v>
      </c>
      <c r="E34" s="2"/>
      <c r="F34" s="3"/>
      <c r="G34" s="2"/>
      <c r="H34" s="4" t="str">
        <f>IF($E$6="Y","OR","...")</f>
        <v>...</v>
      </c>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row>
    <row r="35" spans="1:59" x14ac:dyDescent="0.25">
      <c r="A35" s="1" t="str">
        <f>IF($F$6="Y",'Population Definitions'!$A$3,"...")</f>
        <v>...</v>
      </c>
      <c r="B35" s="4" t="str">
        <f>IF($F$6="Y","---&gt;","...")</f>
        <v>...</v>
      </c>
      <c r="C35" s="1" t="str">
        <f>IF($F$6="Y",'Population Definitions'!$A$6,"...")</f>
        <v>...</v>
      </c>
      <c r="E35" s="2"/>
      <c r="F35" s="3"/>
      <c r="G35" s="2"/>
      <c r="H35" s="4" t="str">
        <f>IF($F$6="Y","OR","...")</f>
        <v>...</v>
      </c>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row>
    <row r="36" spans="1:59" x14ac:dyDescent="0.25">
      <c r="A36" s="1" t="str">
        <f>IF($G$6="Y",'Population Definitions'!$A$3,"...")</f>
        <v>...</v>
      </c>
      <c r="B36" s="4" t="str">
        <f>IF($G$6="Y","---&gt;","...")</f>
        <v>...</v>
      </c>
      <c r="C36" s="1" t="str">
        <f>IF($G$6="Y",'Population Definitions'!$A$7,"...")</f>
        <v>...</v>
      </c>
      <c r="E36" s="2"/>
      <c r="F36" s="3"/>
      <c r="G36" s="2"/>
      <c r="H36" s="4" t="str">
        <f>IF($G$6="Y","OR","...")</f>
        <v>...</v>
      </c>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row>
    <row r="37" spans="1:59" x14ac:dyDescent="0.25">
      <c r="A37" s="1" t="str">
        <f>IF($H$6="Y",'Population Definitions'!$A$3,"...")</f>
        <v>...</v>
      </c>
      <c r="B37" s="4" t="str">
        <f>IF($H$6="Y","---&gt;","...")</f>
        <v>...</v>
      </c>
      <c r="C37" s="1" t="str">
        <f>IF($H$6="Y",'Population Definitions'!$A$8,"...")</f>
        <v>...</v>
      </c>
      <c r="E37" s="2"/>
      <c r="F37" s="3"/>
      <c r="G37" s="2"/>
      <c r="H37" s="4" t="str">
        <f>IF($H$6="Y","OR","...")</f>
        <v>...</v>
      </c>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row>
    <row r="38" spans="1:59" x14ac:dyDescent="0.25">
      <c r="A38" s="1" t="str">
        <f>IF($I$6="Y",'Population Definitions'!$A$3,"...")</f>
        <v>...</v>
      </c>
      <c r="B38" s="4" t="str">
        <f>IF($I$6="Y","---&gt;","...")</f>
        <v>...</v>
      </c>
      <c r="C38" s="1" t="str">
        <f>IF($I$6="Y",'Population Definitions'!$A$9,"...")</f>
        <v>...</v>
      </c>
      <c r="E38" s="2"/>
      <c r="F38" s="3"/>
      <c r="G38" s="2"/>
      <c r="H38" s="4" t="str">
        <f>IF($I$6="Y","OR","...")</f>
        <v>...</v>
      </c>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row>
    <row r="39" spans="1:59" x14ac:dyDescent="0.25">
      <c r="A39" s="1" t="str">
        <f>IF($J$6="Y",'Population Definitions'!$A$3,"...")</f>
        <v>...</v>
      </c>
      <c r="B39" s="4" t="str">
        <f>IF($J$6="Y","---&gt;","...")</f>
        <v>...</v>
      </c>
      <c r="C39" s="1" t="str">
        <f>IF($J$6="Y",'Population Definitions'!$A$10,"...")</f>
        <v>...</v>
      </c>
      <c r="E39" s="2"/>
      <c r="F39" s="3"/>
      <c r="G39" s="2"/>
      <c r="H39" s="4" t="str">
        <f>IF($J$6="Y","OR","...")</f>
        <v>...</v>
      </c>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row>
    <row r="40" spans="1:59" x14ac:dyDescent="0.25">
      <c r="A40" s="1" t="str">
        <f>IF($K$6="Y",'Population Definitions'!$A$3,"...")</f>
        <v>...</v>
      </c>
      <c r="B40" s="4" t="str">
        <f>IF($K$6="Y","---&gt;","...")</f>
        <v>...</v>
      </c>
      <c r="C40" s="1" t="str">
        <f>IF($K$6="Y",'Population Definitions'!$A$11,"...")</f>
        <v>...</v>
      </c>
      <c r="E40" s="2"/>
      <c r="F40" s="3"/>
      <c r="G40" s="2"/>
      <c r="H40" s="4" t="str">
        <f>IF($K$6="Y","OR","...")</f>
        <v>...</v>
      </c>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row>
    <row r="41" spans="1:59" x14ac:dyDescent="0.25">
      <c r="A41" s="1" t="str">
        <f>IF($L$6="Y",'Population Definitions'!$A$3,"...")</f>
        <v>...</v>
      </c>
      <c r="B41" s="4" t="str">
        <f>IF($L$6="Y","---&gt;","...")</f>
        <v>...</v>
      </c>
      <c r="C41" s="1" t="str">
        <f>IF($L$6="Y",'Population Definitions'!$A$12,"...")</f>
        <v>...</v>
      </c>
      <c r="E41" s="2"/>
      <c r="F41" s="3"/>
      <c r="G41" s="2"/>
      <c r="H41" s="4" t="str">
        <f>IF($L$6="Y","OR","...")</f>
        <v>...</v>
      </c>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row>
    <row r="42" spans="1:59" x14ac:dyDescent="0.25">
      <c r="A42" s="1" t="str">
        <f>IF($M$6="Y",'Population Definitions'!$A$3,"...")</f>
        <v>...</v>
      </c>
      <c r="B42" s="4" t="str">
        <f>IF($M$6="Y","---&gt;","...")</f>
        <v>...</v>
      </c>
      <c r="C42" s="1" t="str">
        <f>IF($M$6="Y",'Population Definitions'!$A$13,"...")</f>
        <v>...</v>
      </c>
      <c r="E42" s="2"/>
      <c r="F42" s="3"/>
      <c r="G42" s="2"/>
      <c r="H42" s="4" t="str">
        <f>IF($M$6="Y","OR","...")</f>
        <v>...</v>
      </c>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row>
    <row r="43" spans="1:59" x14ac:dyDescent="0.25">
      <c r="A43" s="1" t="str">
        <f>IF($B$7="Y",'Population Definitions'!$A$4,"...")</f>
        <v>...</v>
      </c>
      <c r="B43" s="4" t="str">
        <f>IF($B$7="Y","---&gt;","...")</f>
        <v>...</v>
      </c>
      <c r="C43" s="1" t="str">
        <f>IF($B$7="Y",'Population Definitions'!$A$2,"...")</f>
        <v>...</v>
      </c>
      <c r="E43" s="2"/>
      <c r="F43" s="3"/>
      <c r="G43" s="2"/>
      <c r="H43" s="4" t="str">
        <f>IF($B$7="Y","OR","...")</f>
        <v>...</v>
      </c>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row>
    <row r="44" spans="1:59" x14ac:dyDescent="0.25">
      <c r="A44" s="1" t="str">
        <f>IF($C$7="Y",'Population Definitions'!$A$4,"...")</f>
        <v>...</v>
      </c>
      <c r="B44" s="4" t="str">
        <f>IF($C$7="Y","---&gt;","...")</f>
        <v>...</v>
      </c>
      <c r="C44" s="1" t="str">
        <f>IF($C$7="Y",'Population Definitions'!$A$3,"...")</f>
        <v>...</v>
      </c>
      <c r="E44" s="2"/>
      <c r="F44" s="3"/>
      <c r="G44" s="2"/>
      <c r="H44" s="4" t="str">
        <f>IF($C$7="Y","OR","...")</f>
        <v>...</v>
      </c>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row>
    <row r="45" spans="1:59" x14ac:dyDescent="0.25">
      <c r="A45" s="1" t="str">
        <f>IF($D$7="Y",'Population Definitions'!$A$4,"...")</f>
        <v>...</v>
      </c>
      <c r="B45" s="4" t="str">
        <f>IF($D$7="Y","---&gt;","...")</f>
        <v>...</v>
      </c>
      <c r="C45" s="1" t="str">
        <f>IF($D$7="Y",'Population Definitions'!$A$4,"...")</f>
        <v>...</v>
      </c>
      <c r="E45" s="2"/>
      <c r="F45" s="3"/>
      <c r="G45" s="2"/>
      <c r="H45" s="4" t="str">
        <f>IF($D$7="Y","OR","...")</f>
        <v>...</v>
      </c>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row>
    <row r="46" spans="1:59" x14ac:dyDescent="0.25">
      <c r="A46" s="1" t="str">
        <f>IF($E$7="Y",'Population Definitions'!$A$4,"...")</f>
        <v>...</v>
      </c>
      <c r="B46" s="4" t="str">
        <f>IF($E$7="Y","---&gt;","...")</f>
        <v>...</v>
      </c>
      <c r="C46" s="1" t="str">
        <f>IF($E$7="Y",'Population Definitions'!$A$5,"...")</f>
        <v>...</v>
      </c>
      <c r="E46" s="2"/>
      <c r="F46" s="3"/>
      <c r="G46" s="2"/>
      <c r="H46" s="4" t="str">
        <f>IF($E$7="Y","OR","...")</f>
        <v>...</v>
      </c>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row>
    <row r="47" spans="1:59" x14ac:dyDescent="0.25">
      <c r="A47" s="1" t="str">
        <f>IF($F$7="Y",'Population Definitions'!$A$4,"...")</f>
        <v>0-9_males</v>
      </c>
      <c r="B47" s="4" t="str">
        <f>IF($F$7="Y","---&gt;","...")</f>
        <v>---&gt;</v>
      </c>
      <c r="C47" s="1" t="str">
        <f>IF($F$7="Y",'Population Definitions'!$A$6,"...")</f>
        <v>10-17_males</v>
      </c>
      <c r="E47" s="3" t="s">
        <v>231</v>
      </c>
      <c r="F47" s="3"/>
      <c r="G47" s="3"/>
      <c r="H47" s="4" t="str">
        <f>IF($F$7="Y","OR","...")</f>
        <v>OR</v>
      </c>
      <c r="I47" s="3">
        <v>2174982</v>
      </c>
      <c r="J47" s="3">
        <v>2229835.5</v>
      </c>
      <c r="K47" s="3">
        <v>2279972.5</v>
      </c>
      <c r="L47" s="3">
        <v>2320702.5</v>
      </c>
      <c r="M47" s="3">
        <v>2358095</v>
      </c>
      <c r="N47" s="3">
        <v>2389837</v>
      </c>
      <c r="O47" s="3">
        <v>2420386</v>
      </c>
      <c r="P47" s="3">
        <v>2449955</v>
      </c>
      <c r="Q47" s="3">
        <v>2478790.5</v>
      </c>
      <c r="R47" s="3">
        <v>2529812</v>
      </c>
      <c r="S47" s="3">
        <v>2580885.5</v>
      </c>
      <c r="T47" s="3">
        <v>2607116</v>
      </c>
      <c r="U47" s="3">
        <v>2618809.5</v>
      </c>
      <c r="V47" s="3">
        <v>2631654</v>
      </c>
      <c r="W47" s="3">
        <v>2633214.5</v>
      </c>
      <c r="X47" s="3">
        <v>2645119.5</v>
      </c>
      <c r="Y47" s="3">
        <v>2706505.5</v>
      </c>
      <c r="Z47" s="3">
        <v>2789079</v>
      </c>
      <c r="AA47" s="3">
        <v>2878147</v>
      </c>
      <c r="AB47" s="3">
        <v>2961326.5</v>
      </c>
      <c r="AC47" s="3">
        <v>3027262</v>
      </c>
      <c r="AD47" s="3">
        <v>3068229.5</v>
      </c>
      <c r="AE47" s="3">
        <v>3082033</v>
      </c>
      <c r="AF47" s="3">
        <v>3085842</v>
      </c>
      <c r="AG47" s="3">
        <v>3085232</v>
      </c>
      <c r="AH47" s="3">
        <v>3077732</v>
      </c>
      <c r="AI47" s="3">
        <v>3058134</v>
      </c>
      <c r="AJ47" s="3">
        <v>3060696</v>
      </c>
      <c r="AK47" s="3">
        <v>3084850</v>
      </c>
      <c r="AL47" s="3">
        <v>3103039</v>
      </c>
      <c r="AM47" s="3">
        <v>3124095</v>
      </c>
      <c r="AN47" s="3">
        <v>3151491</v>
      </c>
      <c r="AO47" s="3">
        <v>3180468</v>
      </c>
      <c r="AP47" s="3">
        <v>3199464</v>
      </c>
      <c r="AQ47" s="3">
        <v>3207564</v>
      </c>
      <c r="AR47" s="3">
        <v>3220404</v>
      </c>
      <c r="AS47" s="3">
        <v>3242767</v>
      </c>
      <c r="AT47" s="3">
        <v>3266023</v>
      </c>
      <c r="AU47" s="3">
        <v>3294220</v>
      </c>
      <c r="AV47" s="3">
        <v>3328813</v>
      </c>
      <c r="AW47" s="3">
        <v>3365826</v>
      </c>
      <c r="AX47" s="3">
        <v>3401087</v>
      </c>
      <c r="AY47" s="3">
        <v>3435002</v>
      </c>
      <c r="AZ47" s="3">
        <v>3469402</v>
      </c>
      <c r="BA47" s="3">
        <v>3500971</v>
      </c>
      <c r="BB47" s="3">
        <v>3530155</v>
      </c>
      <c r="BC47" s="3">
        <v>3556977</v>
      </c>
      <c r="BD47" s="3">
        <v>3580790</v>
      </c>
      <c r="BE47" s="3">
        <v>3601162</v>
      </c>
      <c r="BF47" s="3">
        <v>3614912</v>
      </c>
      <c r="BG47" s="3">
        <v>3626571</v>
      </c>
    </row>
    <row r="48" spans="1:59" x14ac:dyDescent="0.25">
      <c r="A48" s="1" t="str">
        <f>IF($G$7="Y",'Population Definitions'!$A$4,"...")</f>
        <v>...</v>
      </c>
      <c r="B48" s="4" t="str">
        <f>IF($G$7="Y","---&gt;","...")</f>
        <v>...</v>
      </c>
      <c r="C48" s="1" t="str">
        <f>IF($G$7="Y",'Population Definitions'!$A$7,"...")</f>
        <v>...</v>
      </c>
      <c r="E48" s="2"/>
      <c r="F48" s="3"/>
      <c r="G48" s="2"/>
      <c r="H48" s="4" t="str">
        <f>IF($G$7="Y","OR","...")</f>
        <v>...</v>
      </c>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row>
    <row r="49" spans="1:59" x14ac:dyDescent="0.25">
      <c r="A49" s="1" t="str">
        <f>IF($H$7="Y",'Population Definitions'!$A$4,"...")</f>
        <v>...</v>
      </c>
      <c r="B49" s="4" t="str">
        <f>IF($H$7="Y","---&gt;","...")</f>
        <v>...</v>
      </c>
      <c r="C49" s="1" t="str">
        <f>IF($H$7="Y",'Population Definitions'!$A$8,"...")</f>
        <v>...</v>
      </c>
      <c r="E49" s="2"/>
      <c r="F49" s="3"/>
      <c r="G49" s="2"/>
      <c r="H49" s="4" t="str">
        <f>IF($H$7="Y","OR","...")</f>
        <v>...</v>
      </c>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row>
    <row r="50" spans="1:59" x14ac:dyDescent="0.25">
      <c r="A50" s="1" t="str">
        <f>IF($I$7="Y",'Population Definitions'!$A$4,"...")</f>
        <v>...</v>
      </c>
      <c r="B50" s="4" t="str">
        <f>IF($I$7="Y","---&gt;","...")</f>
        <v>...</v>
      </c>
      <c r="C50" s="1" t="str">
        <f>IF($I$7="Y",'Population Definitions'!$A$9,"...")</f>
        <v>...</v>
      </c>
      <c r="E50" s="2"/>
      <c r="F50" s="3"/>
      <c r="G50" s="2"/>
      <c r="H50" s="4" t="str">
        <f>IF($I$7="Y","OR","...")</f>
        <v>...</v>
      </c>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row>
    <row r="51" spans="1:59" x14ac:dyDescent="0.25">
      <c r="A51" s="1" t="str">
        <f>IF($J$7="Y",'Population Definitions'!$A$4,"...")</f>
        <v>...</v>
      </c>
      <c r="B51" s="4" t="str">
        <f>IF($J$7="Y","---&gt;","...")</f>
        <v>...</v>
      </c>
      <c r="C51" s="1" t="str">
        <f>IF($J$7="Y",'Population Definitions'!$A$10,"...")</f>
        <v>...</v>
      </c>
      <c r="E51" s="2"/>
      <c r="F51" s="3"/>
      <c r="G51" s="2"/>
      <c r="H51" s="4" t="str">
        <f>IF($J$7="Y","OR","...")</f>
        <v>...</v>
      </c>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row>
    <row r="52" spans="1:59" x14ac:dyDescent="0.25">
      <c r="A52" s="1" t="str">
        <f>IF($K$7="Y",'Population Definitions'!$A$4,"...")</f>
        <v>...</v>
      </c>
      <c r="B52" s="4" t="str">
        <f>IF($K$7="Y","---&gt;","...")</f>
        <v>...</v>
      </c>
      <c r="C52" s="1" t="str">
        <f>IF($K$7="Y",'Population Definitions'!$A$11,"...")</f>
        <v>...</v>
      </c>
      <c r="E52" s="2"/>
      <c r="F52" s="3"/>
      <c r="G52" s="2"/>
      <c r="H52" s="4" t="str">
        <f>IF($K$7="Y","OR","...")</f>
        <v>...</v>
      </c>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row>
    <row r="53" spans="1:59" x14ac:dyDescent="0.25">
      <c r="A53" s="1" t="str">
        <f>IF($L$7="Y",'Population Definitions'!$A$4,"...")</f>
        <v>...</v>
      </c>
      <c r="B53" s="4" t="str">
        <f>IF($L$7="Y","---&gt;","...")</f>
        <v>...</v>
      </c>
      <c r="C53" s="1" t="str">
        <f>IF($L$7="Y",'Population Definitions'!$A$12,"...")</f>
        <v>...</v>
      </c>
      <c r="E53" s="2"/>
      <c r="F53" s="3"/>
      <c r="G53" s="2"/>
      <c r="H53" s="4" t="str">
        <f>IF($L$7="Y","OR","...")</f>
        <v>...</v>
      </c>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row>
    <row r="54" spans="1:59" x14ac:dyDescent="0.25">
      <c r="A54" s="1" t="str">
        <f>IF($M$7="Y",'Population Definitions'!$A$4,"...")</f>
        <v>...</v>
      </c>
      <c r="B54" s="4" t="str">
        <f>IF($M$7="Y","---&gt;","...")</f>
        <v>...</v>
      </c>
      <c r="C54" s="1" t="str">
        <f>IF($M$7="Y",'Population Definitions'!$A$13,"...")</f>
        <v>...</v>
      </c>
      <c r="E54" s="2"/>
      <c r="F54" s="3"/>
      <c r="G54" s="2"/>
      <c r="H54" s="4" t="str">
        <f>IF($M$7="Y","OR","...")</f>
        <v>...</v>
      </c>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row>
    <row r="55" spans="1:59" x14ac:dyDescent="0.25">
      <c r="A55" s="1" t="str">
        <f>IF($B$8="Y",'Population Definitions'!$A$5,"...")</f>
        <v>...</v>
      </c>
      <c r="B55" s="4" t="str">
        <f>IF($B$8="Y","---&gt;","...")</f>
        <v>...</v>
      </c>
      <c r="C55" s="1" t="str">
        <f>IF($B$8="Y",'Population Definitions'!$A$2,"...")</f>
        <v>...</v>
      </c>
      <c r="E55" s="2"/>
      <c r="F55" s="3"/>
      <c r="G55" s="2"/>
      <c r="H55" s="4" t="str">
        <f>IF($B$8="Y","OR","...")</f>
        <v>...</v>
      </c>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row>
    <row r="56" spans="1:59" x14ac:dyDescent="0.25">
      <c r="A56" s="1" t="str">
        <f>IF($C$8="Y",'Population Definitions'!$A$5,"...")</f>
        <v>...</v>
      </c>
      <c r="B56" s="4" t="str">
        <f>IF($C$8="Y","---&gt;","...")</f>
        <v>...</v>
      </c>
      <c r="C56" s="1" t="str">
        <f>IF($C$8="Y",'Population Definitions'!$A$3,"...")</f>
        <v>...</v>
      </c>
      <c r="E56" s="2"/>
      <c r="F56" s="3"/>
      <c r="G56" s="2"/>
      <c r="H56" s="4" t="str">
        <f>IF($C$8="Y","OR","...")</f>
        <v>...</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row>
    <row r="57" spans="1:59" x14ac:dyDescent="0.25">
      <c r="A57" s="1" t="str">
        <f>IF($D$8="Y",'Population Definitions'!$A$5,"...")</f>
        <v>...</v>
      </c>
      <c r="B57" s="4" t="str">
        <f>IF($D$8="Y","---&gt;","...")</f>
        <v>...</v>
      </c>
      <c r="C57" s="1" t="str">
        <f>IF($D$8="Y",'Population Definitions'!$A$4,"...")</f>
        <v>...</v>
      </c>
      <c r="E57" s="2"/>
      <c r="F57" s="3"/>
      <c r="G57" s="2"/>
      <c r="H57" s="4" t="str">
        <f>IF($D$8="Y","OR","...")</f>
        <v>...</v>
      </c>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row>
    <row r="58" spans="1:59" x14ac:dyDescent="0.25">
      <c r="A58" s="1" t="str">
        <f>IF($E$8="Y",'Population Definitions'!$A$5,"...")</f>
        <v>...</v>
      </c>
      <c r="B58" s="4" t="str">
        <f>IF($E$8="Y","---&gt;","...")</f>
        <v>...</v>
      </c>
      <c r="C58" s="1" t="str">
        <f>IF($E$8="Y",'Population Definitions'!$A$5,"...")</f>
        <v>...</v>
      </c>
      <c r="E58" s="2"/>
      <c r="F58" s="3"/>
      <c r="G58" s="2"/>
      <c r="H58" s="4" t="str">
        <f>IF($E$8="Y","OR","...")</f>
        <v>...</v>
      </c>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row>
    <row r="59" spans="1:59" x14ac:dyDescent="0.25">
      <c r="A59" s="1" t="str">
        <f>IF($F$8="Y",'Population Definitions'!$A$5,"...")</f>
        <v>...</v>
      </c>
      <c r="B59" s="4" t="str">
        <f>IF($F$8="Y","---&gt;","...")</f>
        <v>...</v>
      </c>
      <c r="C59" s="1" t="str">
        <f>IF($F$8="Y",'Population Definitions'!$A$6,"...")</f>
        <v>...</v>
      </c>
      <c r="E59" s="2"/>
      <c r="F59" s="3"/>
      <c r="G59" s="2"/>
      <c r="H59" s="4" t="str">
        <f>IF($F$8="Y","OR","...")</f>
        <v>...</v>
      </c>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row>
    <row r="60" spans="1:59" x14ac:dyDescent="0.25">
      <c r="A60" s="1" t="str">
        <f>IF($G$8="Y",'Population Definitions'!$A$5,"...")</f>
        <v>0-9_females</v>
      </c>
      <c r="B60" s="4" t="str">
        <f>IF($G$8="Y","---&gt;","...")</f>
        <v>---&gt;</v>
      </c>
      <c r="C60" s="1" t="str">
        <f>IF($G$8="Y",'Population Definitions'!$A$7,"...")</f>
        <v>10-17_females</v>
      </c>
      <c r="E60" s="3" t="s">
        <v>231</v>
      </c>
      <c r="F60" s="3"/>
      <c r="G60" s="3"/>
      <c r="H60" s="4" t="str">
        <f>IF($G$8="Y","OR","...")</f>
        <v>OR</v>
      </c>
      <c r="I60" s="3">
        <v>2037771.5</v>
      </c>
      <c r="J60" s="3">
        <v>2089837</v>
      </c>
      <c r="K60" s="3">
        <v>2142160</v>
      </c>
      <c r="L60" s="3">
        <v>2177964</v>
      </c>
      <c r="M60" s="3">
        <v>2205138</v>
      </c>
      <c r="N60" s="3">
        <v>2235287</v>
      </c>
      <c r="O60" s="3">
        <v>2265108.5</v>
      </c>
      <c r="P60" s="3">
        <v>2292635.5</v>
      </c>
      <c r="Q60" s="3">
        <v>2321085</v>
      </c>
      <c r="R60" s="3">
        <v>2367749.5</v>
      </c>
      <c r="S60" s="3">
        <v>2415216.5</v>
      </c>
      <c r="T60" s="3">
        <v>2440087</v>
      </c>
      <c r="U60" s="3">
        <v>2452719</v>
      </c>
      <c r="V60" s="3">
        <v>2469404.5</v>
      </c>
      <c r="W60" s="3">
        <v>2472828</v>
      </c>
      <c r="X60" s="3">
        <v>2481790</v>
      </c>
      <c r="Y60" s="3">
        <v>2545387.5</v>
      </c>
      <c r="Z60" s="3">
        <v>2629182</v>
      </c>
      <c r="AA60" s="3">
        <v>2715673</v>
      </c>
      <c r="AB60" s="3">
        <v>2803145.5</v>
      </c>
      <c r="AC60" s="3">
        <v>2875140.5</v>
      </c>
      <c r="AD60" s="3">
        <v>2922060</v>
      </c>
      <c r="AE60" s="3">
        <v>2941693</v>
      </c>
      <c r="AF60" s="3">
        <v>2950290</v>
      </c>
      <c r="AG60" s="3">
        <v>2953005.5</v>
      </c>
      <c r="AH60" s="3">
        <v>2949015</v>
      </c>
      <c r="AI60" s="3">
        <v>2932979</v>
      </c>
      <c r="AJ60" s="3">
        <v>2937743</v>
      </c>
      <c r="AK60" s="3">
        <v>2962756</v>
      </c>
      <c r="AL60" s="3">
        <v>2981626</v>
      </c>
      <c r="AM60" s="3">
        <v>3003766</v>
      </c>
      <c r="AN60" s="3">
        <v>3031922</v>
      </c>
      <c r="AO60" s="3">
        <v>3061180</v>
      </c>
      <c r="AP60" s="3">
        <v>3081390</v>
      </c>
      <c r="AQ60" s="3">
        <v>3092503</v>
      </c>
      <c r="AR60" s="3">
        <v>3106320</v>
      </c>
      <c r="AS60" s="3">
        <v>3127234</v>
      </c>
      <c r="AT60" s="3">
        <v>3149740</v>
      </c>
      <c r="AU60" s="3">
        <v>3177087</v>
      </c>
      <c r="AV60" s="3">
        <v>3210454</v>
      </c>
      <c r="AW60" s="3">
        <v>3246310</v>
      </c>
      <c r="AX60" s="3">
        <v>3280836</v>
      </c>
      <c r="AY60" s="3">
        <v>3313707</v>
      </c>
      <c r="AZ60" s="3">
        <v>3346878</v>
      </c>
      <c r="BA60" s="3">
        <v>3377564</v>
      </c>
      <c r="BB60" s="3">
        <v>3405700</v>
      </c>
      <c r="BC60" s="3">
        <v>3432101</v>
      </c>
      <c r="BD60" s="3">
        <v>3455445</v>
      </c>
      <c r="BE60" s="3">
        <v>3474867</v>
      </c>
      <c r="BF60" s="3">
        <v>3488225</v>
      </c>
      <c r="BG60" s="3">
        <v>3499473</v>
      </c>
    </row>
    <row r="61" spans="1:59" x14ac:dyDescent="0.25">
      <c r="A61" s="1" t="str">
        <f>IF($H$8="Y",'Population Definitions'!$A$5,"...")</f>
        <v>...</v>
      </c>
      <c r="B61" s="4" t="str">
        <f>IF($H$8="Y","---&gt;","...")</f>
        <v>...</v>
      </c>
      <c r="C61" s="1" t="str">
        <f>IF($H$8="Y",'Population Definitions'!$A$8,"...")</f>
        <v>...</v>
      </c>
      <c r="E61" s="2"/>
      <c r="F61" s="3"/>
      <c r="G61" s="2"/>
      <c r="H61" s="4" t="str">
        <f>IF($H$8="Y","OR","...")</f>
        <v>...</v>
      </c>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row>
    <row r="62" spans="1:59" x14ac:dyDescent="0.25">
      <c r="A62" s="1" t="str">
        <f>IF($I$8="Y",'Population Definitions'!$A$5,"...")</f>
        <v>...</v>
      </c>
      <c r="B62" s="4" t="str">
        <f>IF($I$8="Y","---&gt;","...")</f>
        <v>...</v>
      </c>
      <c r="C62" s="1" t="str">
        <f>IF($I$8="Y",'Population Definitions'!$A$9,"...")</f>
        <v>...</v>
      </c>
      <c r="E62" s="2"/>
      <c r="F62" s="3"/>
      <c r="G62" s="2"/>
      <c r="H62" s="4" t="str">
        <f>IF($I$8="Y","OR","...")</f>
        <v>...</v>
      </c>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row>
    <row r="63" spans="1:59" x14ac:dyDescent="0.25">
      <c r="A63" s="1" t="str">
        <f>IF($J$8="Y",'Population Definitions'!$A$5,"...")</f>
        <v>...</v>
      </c>
      <c r="B63" s="4" t="str">
        <f>IF($J$8="Y","---&gt;","...")</f>
        <v>...</v>
      </c>
      <c r="C63" s="1" t="str">
        <f>IF($J$8="Y",'Population Definitions'!$A$10,"...")</f>
        <v>...</v>
      </c>
      <c r="E63" s="2"/>
      <c r="F63" s="3"/>
      <c r="G63" s="2"/>
      <c r="H63" s="4" t="str">
        <f>IF($J$8="Y","OR","...")</f>
        <v>...</v>
      </c>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row>
    <row r="64" spans="1:59" x14ac:dyDescent="0.25">
      <c r="A64" s="1" t="str">
        <f>IF($K$8="Y",'Population Definitions'!$A$5,"...")</f>
        <v>...</v>
      </c>
      <c r="B64" s="4" t="str">
        <f>IF($K$8="Y","---&gt;","...")</f>
        <v>...</v>
      </c>
      <c r="C64" s="1" t="str">
        <f>IF($K$8="Y",'Population Definitions'!$A$11,"...")</f>
        <v>...</v>
      </c>
      <c r="E64" s="2"/>
      <c r="F64" s="3"/>
      <c r="G64" s="2"/>
      <c r="H64" s="4" t="str">
        <f>IF($K$8="Y","OR","...")</f>
        <v>...</v>
      </c>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row>
    <row r="65" spans="1:59" x14ac:dyDescent="0.25">
      <c r="A65" s="1" t="str">
        <f>IF($L$8="Y",'Population Definitions'!$A$5,"...")</f>
        <v>...</v>
      </c>
      <c r="B65" s="4" t="str">
        <f>IF($L$8="Y","---&gt;","...")</f>
        <v>...</v>
      </c>
      <c r="C65" s="1" t="str">
        <f>IF($L$8="Y",'Population Definitions'!$A$12,"...")</f>
        <v>...</v>
      </c>
      <c r="E65" s="2"/>
      <c r="F65" s="3"/>
      <c r="G65" s="2"/>
      <c r="H65" s="4" t="str">
        <f>IF($L$8="Y","OR","...")</f>
        <v>...</v>
      </c>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row>
    <row r="66" spans="1:59" x14ac:dyDescent="0.25">
      <c r="A66" s="1" t="str">
        <f>IF($M$8="Y",'Population Definitions'!$A$5,"...")</f>
        <v>...</v>
      </c>
      <c r="B66" s="4" t="str">
        <f>IF($M$8="Y","---&gt;","...")</f>
        <v>...</v>
      </c>
      <c r="C66" s="1" t="str">
        <f>IF($M$8="Y",'Population Definitions'!$A$13,"...")</f>
        <v>...</v>
      </c>
      <c r="E66" s="2"/>
      <c r="F66" s="3"/>
      <c r="G66" s="2"/>
      <c r="H66" s="4" t="str">
        <f>IF($M$8="Y","OR","...")</f>
        <v>...</v>
      </c>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row>
    <row r="67" spans="1:59" x14ac:dyDescent="0.25">
      <c r="A67" s="1" t="str">
        <f>IF($B$9="Y",'Population Definitions'!$A$6,"...")</f>
        <v>...</v>
      </c>
      <c r="B67" s="4" t="str">
        <f>IF($B$9="Y","---&gt;","...")</f>
        <v>...</v>
      </c>
      <c r="C67" s="1" t="str">
        <f>IF($B$9="Y",'Population Definitions'!$A$2,"...")</f>
        <v>...</v>
      </c>
      <c r="E67" s="2"/>
      <c r="F67" s="3"/>
      <c r="G67" s="2"/>
      <c r="H67" s="4" t="str">
        <f>IF($B$9="Y","OR","...")</f>
        <v>...</v>
      </c>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row>
    <row r="68" spans="1:59" x14ac:dyDescent="0.25">
      <c r="A68" s="1" t="str">
        <f>IF($C$9="Y",'Population Definitions'!$A$6,"...")</f>
        <v>...</v>
      </c>
      <c r="B68" s="4" t="str">
        <f>IF($C$9="Y","---&gt;","...")</f>
        <v>...</v>
      </c>
      <c r="C68" s="1" t="str">
        <f>IF($C$9="Y",'Population Definitions'!$A$3,"...")</f>
        <v>...</v>
      </c>
      <c r="E68" s="2"/>
      <c r="F68" s="3"/>
      <c r="G68" s="2"/>
      <c r="H68" s="4" t="str">
        <f>IF($C$9="Y","OR","...")</f>
        <v>...</v>
      </c>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row>
    <row r="69" spans="1:59" x14ac:dyDescent="0.25">
      <c r="A69" s="1" t="str">
        <f>IF($D$9="Y",'Population Definitions'!$A$6,"...")</f>
        <v>...</v>
      </c>
      <c r="B69" s="4" t="str">
        <f>IF($D$9="Y","---&gt;","...")</f>
        <v>...</v>
      </c>
      <c r="C69" s="1" t="str">
        <f>IF($D$9="Y",'Population Definitions'!$A$4,"...")</f>
        <v>...</v>
      </c>
      <c r="E69" s="2"/>
      <c r="F69" s="3"/>
      <c r="G69" s="2"/>
      <c r="H69" s="4" t="str">
        <f>IF($D$9="Y","OR","...")</f>
        <v>...</v>
      </c>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row>
    <row r="70" spans="1:59" x14ac:dyDescent="0.25">
      <c r="A70" s="1" t="str">
        <f>IF($E$9="Y",'Population Definitions'!$A$6,"...")</f>
        <v>...</v>
      </c>
      <c r="B70" s="4" t="str">
        <f>IF($E$9="Y","---&gt;","...")</f>
        <v>...</v>
      </c>
      <c r="C70" s="1" t="str">
        <f>IF($E$9="Y",'Population Definitions'!$A$5,"...")</f>
        <v>...</v>
      </c>
      <c r="E70" s="2"/>
      <c r="F70" s="3"/>
      <c r="G70" s="2"/>
      <c r="H70" s="4" t="str">
        <f>IF($E$9="Y","OR","...")</f>
        <v>...</v>
      </c>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row>
    <row r="71" spans="1:59" x14ac:dyDescent="0.25">
      <c r="A71" s="1" t="str">
        <f>IF($F$9="Y",'Population Definitions'!$A$6,"...")</f>
        <v>...</v>
      </c>
      <c r="B71" s="4" t="str">
        <f>IF($F$9="Y","---&gt;","...")</f>
        <v>...</v>
      </c>
      <c r="C71" s="1" t="str">
        <f>IF($F$9="Y",'Population Definitions'!$A$6,"...")</f>
        <v>...</v>
      </c>
      <c r="E71" s="2"/>
      <c r="F71" s="3"/>
      <c r="G71" s="2"/>
      <c r="H71" s="4" t="str">
        <f>IF($F$9="Y","OR","...")</f>
        <v>...</v>
      </c>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row>
    <row r="72" spans="1:59" x14ac:dyDescent="0.25">
      <c r="A72" s="1" t="str">
        <f>IF($G$9="Y",'Population Definitions'!$A$6,"...")</f>
        <v>...</v>
      </c>
      <c r="B72" s="4" t="str">
        <f>IF($G$9="Y","---&gt;","...")</f>
        <v>...</v>
      </c>
      <c r="C72" s="1" t="str">
        <f>IF($G$9="Y",'Population Definitions'!$A$7,"...")</f>
        <v>...</v>
      </c>
      <c r="E72" s="2"/>
      <c r="F72" s="3"/>
      <c r="G72" s="2"/>
      <c r="H72" s="4" t="str">
        <f>IF($G$9="Y","OR","...")</f>
        <v>...</v>
      </c>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row>
    <row r="73" spans="1:59" x14ac:dyDescent="0.25">
      <c r="A73" s="1" t="str">
        <f>IF($H$9="Y",'Population Definitions'!$A$6,"...")</f>
        <v>10-17_males</v>
      </c>
      <c r="B73" s="4" t="str">
        <f>IF($H$9="Y","---&gt;","...")</f>
        <v>---&gt;</v>
      </c>
      <c r="C73" s="1" t="str">
        <f>IF($H$9="Y",'Population Definitions'!$A$8,"...")</f>
        <v>18-64_males</v>
      </c>
      <c r="E73" s="3" t="s">
        <v>231</v>
      </c>
      <c r="F73" s="3"/>
      <c r="G73" s="3"/>
      <c r="H73" s="4" t="str">
        <f>IF($H$9="Y","OR","...")</f>
        <v>OR</v>
      </c>
      <c r="I73" s="3">
        <v>1654938.5</v>
      </c>
      <c r="J73" s="3">
        <v>1724466</v>
      </c>
      <c r="K73" s="3">
        <v>1785839.5</v>
      </c>
      <c r="L73" s="3">
        <v>1836007.5</v>
      </c>
      <c r="M73" s="3">
        <v>1891470</v>
      </c>
      <c r="N73" s="3">
        <v>1958542.5</v>
      </c>
      <c r="O73" s="3">
        <v>2027535</v>
      </c>
      <c r="P73" s="3">
        <v>2092275</v>
      </c>
      <c r="Q73" s="3">
        <v>2153555</v>
      </c>
      <c r="R73" s="3">
        <v>2211064</v>
      </c>
      <c r="S73" s="3">
        <v>2259657</v>
      </c>
      <c r="T73" s="3">
        <v>2298123.5</v>
      </c>
      <c r="U73" s="3">
        <v>2329284.5</v>
      </c>
      <c r="V73" s="3">
        <v>2349694.5</v>
      </c>
      <c r="W73" s="3">
        <v>2366881.5</v>
      </c>
      <c r="X73" s="3">
        <v>2384886.5</v>
      </c>
      <c r="Y73" s="3">
        <v>2403197.5</v>
      </c>
      <c r="Z73" s="3">
        <v>2445032.5</v>
      </c>
      <c r="AA73" s="3">
        <v>2492810.5</v>
      </c>
      <c r="AB73" s="3">
        <v>2522024</v>
      </c>
      <c r="AC73" s="3">
        <v>2538519.5</v>
      </c>
      <c r="AD73" s="3">
        <v>2559351</v>
      </c>
      <c r="AE73" s="3">
        <v>2569542.5</v>
      </c>
      <c r="AF73" s="3">
        <v>2581457.5</v>
      </c>
      <c r="AG73" s="3">
        <v>2635034.5</v>
      </c>
      <c r="AH73" s="3">
        <v>2716057</v>
      </c>
      <c r="AI73" s="3">
        <v>2811230</v>
      </c>
      <c r="AJ73" s="3">
        <v>2899729</v>
      </c>
      <c r="AK73" s="3">
        <v>2969326</v>
      </c>
      <c r="AL73" s="3">
        <v>3011536</v>
      </c>
      <c r="AM73" s="3">
        <v>3023930</v>
      </c>
      <c r="AN73" s="3">
        <v>3025278</v>
      </c>
      <c r="AO73" s="3">
        <v>3022207</v>
      </c>
      <c r="AP73" s="3">
        <v>3015404</v>
      </c>
      <c r="AQ73" s="3">
        <v>2999419</v>
      </c>
      <c r="AR73" s="3">
        <v>3004863</v>
      </c>
      <c r="AS73" s="3">
        <v>3031062</v>
      </c>
      <c r="AT73" s="3">
        <v>3050716</v>
      </c>
      <c r="AU73" s="3">
        <v>3072982</v>
      </c>
      <c r="AV73" s="3">
        <v>3101366</v>
      </c>
      <c r="AW73" s="3">
        <v>3131069</v>
      </c>
      <c r="AX73" s="3">
        <v>3150435</v>
      </c>
      <c r="AY73" s="3">
        <v>3158868</v>
      </c>
      <c r="AZ73" s="3">
        <v>3172186</v>
      </c>
      <c r="BA73" s="3">
        <v>3195066</v>
      </c>
      <c r="BB73" s="3">
        <v>3218852</v>
      </c>
      <c r="BC73" s="3">
        <v>3247613</v>
      </c>
      <c r="BD73" s="3">
        <v>3282722</v>
      </c>
      <c r="BE73" s="3">
        <v>3320040</v>
      </c>
      <c r="BF73" s="3">
        <v>3355716</v>
      </c>
      <c r="BG73" s="3">
        <v>3390176</v>
      </c>
    </row>
    <row r="74" spans="1:59" x14ac:dyDescent="0.25">
      <c r="A74" s="1" t="str">
        <f>IF($I$9="Y",'Population Definitions'!$A$6,"...")</f>
        <v>...</v>
      </c>
      <c r="B74" s="4" t="str">
        <f>IF($I$9="Y","---&gt;","...")</f>
        <v>...</v>
      </c>
      <c r="C74" s="1" t="str">
        <f>IF($I$9="Y",'Population Definitions'!$A$9,"...")</f>
        <v>...</v>
      </c>
      <c r="E74" s="2"/>
      <c r="F74" s="3"/>
      <c r="G74" s="2"/>
      <c r="H74" s="4" t="str">
        <f>IF($I$9="Y","OR","...")</f>
        <v>...</v>
      </c>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row>
    <row r="75" spans="1:59" x14ac:dyDescent="0.25">
      <c r="A75" s="1" t="str">
        <f>IF($J$9="Y",'Population Definitions'!$A$6,"...")</f>
        <v>...</v>
      </c>
      <c r="B75" s="4" t="str">
        <f>IF($J$9="Y","---&gt;","...")</f>
        <v>...</v>
      </c>
      <c r="C75" s="1" t="str">
        <f>IF($J$9="Y",'Population Definitions'!$A$10,"...")</f>
        <v>...</v>
      </c>
      <c r="E75" s="2"/>
      <c r="F75" s="3"/>
      <c r="G75" s="2"/>
      <c r="H75" s="4" t="str">
        <f>IF($J$9="Y","OR","...")</f>
        <v>...</v>
      </c>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row>
    <row r="76" spans="1:59" x14ac:dyDescent="0.25">
      <c r="A76" s="1" t="str">
        <f>IF($K$9="Y",'Population Definitions'!$A$6,"...")</f>
        <v>...</v>
      </c>
      <c r="B76" s="4" t="str">
        <f>IF($K$9="Y","---&gt;","...")</f>
        <v>...</v>
      </c>
      <c r="C76" s="1" t="str">
        <f>IF($K$9="Y",'Population Definitions'!$A$11,"...")</f>
        <v>...</v>
      </c>
      <c r="E76" s="2"/>
      <c r="F76" s="3"/>
      <c r="G76" s="2"/>
      <c r="H76" s="4" t="str">
        <f>IF($K$9="Y","OR","...")</f>
        <v>...</v>
      </c>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row>
    <row r="77" spans="1:59" x14ac:dyDescent="0.25">
      <c r="A77" s="1" t="str">
        <f>IF($L$9="Y",'Population Definitions'!$A$6,"...")</f>
        <v>...</v>
      </c>
      <c r="B77" s="4" t="str">
        <f>IF($L$9="Y","---&gt;","...")</f>
        <v>...</v>
      </c>
      <c r="C77" s="1" t="str">
        <f>IF($L$9="Y",'Population Definitions'!$A$12,"...")</f>
        <v>...</v>
      </c>
      <c r="E77" s="2"/>
      <c r="F77" s="3"/>
      <c r="G77" s="2"/>
      <c r="H77" s="4" t="str">
        <f>IF($L$9="Y","OR","...")</f>
        <v>...</v>
      </c>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row>
    <row r="78" spans="1:59" x14ac:dyDescent="0.25">
      <c r="A78" s="1" t="str">
        <f>IF($M$9="Y",'Population Definitions'!$A$6,"...")</f>
        <v>...</v>
      </c>
      <c r="B78" s="4" t="str">
        <f>IF($M$9="Y","---&gt;","...")</f>
        <v>...</v>
      </c>
      <c r="C78" s="1" t="str">
        <f>IF($M$9="Y",'Population Definitions'!$A$13,"...")</f>
        <v>...</v>
      </c>
      <c r="E78" s="2"/>
      <c r="F78" s="3"/>
      <c r="G78" s="2"/>
      <c r="H78" s="4" t="str">
        <f>IF($M$9="Y","OR","...")</f>
        <v>...</v>
      </c>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row>
    <row r="79" spans="1:59" x14ac:dyDescent="0.25">
      <c r="A79" s="1" t="str">
        <f>IF($B$10="Y",'Population Definitions'!$A$7,"...")</f>
        <v>...</v>
      </c>
      <c r="B79" s="4" t="str">
        <f>IF($B$10="Y","---&gt;","...")</f>
        <v>...</v>
      </c>
      <c r="C79" s="1" t="str">
        <f>IF($B$10="Y",'Population Definitions'!$A$2,"...")</f>
        <v>...</v>
      </c>
      <c r="E79" s="2"/>
      <c r="F79" s="3"/>
      <c r="G79" s="2"/>
      <c r="H79" s="4" t="str">
        <f>IF($B$10="Y","OR","...")</f>
        <v>...</v>
      </c>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row>
    <row r="80" spans="1:59" x14ac:dyDescent="0.25">
      <c r="A80" s="1" t="str">
        <f>IF($C$10="Y",'Population Definitions'!$A$7,"...")</f>
        <v>...</v>
      </c>
      <c r="B80" s="4" t="str">
        <f>IF($C$10="Y","---&gt;","...")</f>
        <v>...</v>
      </c>
      <c r="C80" s="1" t="str">
        <f>IF($C$10="Y",'Population Definitions'!$A$3,"...")</f>
        <v>...</v>
      </c>
      <c r="E80" s="2"/>
      <c r="F80" s="3"/>
      <c r="G80" s="2"/>
      <c r="H80" s="4" t="str">
        <f>IF($C$10="Y","OR","...")</f>
        <v>...</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row>
    <row r="81" spans="1:59" x14ac:dyDescent="0.25">
      <c r="A81" s="1" t="str">
        <f>IF($D$10="Y",'Population Definitions'!$A$7,"...")</f>
        <v>...</v>
      </c>
      <c r="B81" s="4" t="str">
        <f>IF($D$10="Y","---&gt;","...")</f>
        <v>...</v>
      </c>
      <c r="C81" s="1" t="str">
        <f>IF($D$10="Y",'Population Definitions'!$A$4,"...")</f>
        <v>...</v>
      </c>
      <c r="E81" s="2"/>
      <c r="F81" s="3"/>
      <c r="G81" s="2"/>
      <c r="H81" s="4" t="str">
        <f>IF($D$10="Y","OR","...")</f>
        <v>...</v>
      </c>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row>
    <row r="82" spans="1:59" x14ac:dyDescent="0.25">
      <c r="A82" s="1" t="str">
        <f>IF($E$10="Y",'Population Definitions'!$A$7,"...")</f>
        <v>...</v>
      </c>
      <c r="B82" s="4" t="str">
        <f>IF($E$10="Y","---&gt;","...")</f>
        <v>...</v>
      </c>
      <c r="C82" s="1" t="str">
        <f>IF($E$10="Y",'Population Definitions'!$A$5,"...")</f>
        <v>...</v>
      </c>
      <c r="E82" s="2"/>
      <c r="F82" s="3"/>
      <c r="G82" s="2"/>
      <c r="H82" s="4" t="str">
        <f>IF($E$10="Y","OR","...")</f>
        <v>...</v>
      </c>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row>
    <row r="83" spans="1:59" x14ac:dyDescent="0.25">
      <c r="A83" s="1" t="str">
        <f>IF($F$10="Y",'Population Definitions'!$A$7,"...")</f>
        <v>...</v>
      </c>
      <c r="B83" s="4" t="str">
        <f>IF($F$10="Y","---&gt;","...")</f>
        <v>...</v>
      </c>
      <c r="C83" s="1" t="str">
        <f>IF($F$10="Y",'Population Definitions'!$A$6,"...")</f>
        <v>...</v>
      </c>
      <c r="E83" s="2"/>
      <c r="F83" s="3"/>
      <c r="G83" s="2"/>
      <c r="H83" s="4" t="str">
        <f>IF($F$10="Y","OR","...")</f>
        <v>...</v>
      </c>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row>
    <row r="84" spans="1:59" x14ac:dyDescent="0.25">
      <c r="A84" s="1" t="str">
        <f>IF($G$10="Y",'Population Definitions'!$A$7,"...")</f>
        <v>...</v>
      </c>
      <c r="B84" s="4" t="str">
        <f>IF($G$10="Y","---&gt;","...")</f>
        <v>...</v>
      </c>
      <c r="C84" s="1" t="str">
        <f>IF($G$10="Y",'Population Definitions'!$A$7,"...")</f>
        <v>...</v>
      </c>
      <c r="E84" s="2"/>
      <c r="F84" s="3"/>
      <c r="G84" s="2"/>
      <c r="H84" s="4" t="str">
        <f>IF($G$10="Y","OR","...")</f>
        <v>...</v>
      </c>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row>
    <row r="85" spans="1:59" x14ac:dyDescent="0.25">
      <c r="A85" s="1" t="str">
        <f>IF($H$10="Y",'Population Definitions'!$A$7,"...")</f>
        <v>...</v>
      </c>
      <c r="B85" s="4" t="str">
        <f>IF($H$10="Y","---&gt;","...")</f>
        <v>...</v>
      </c>
      <c r="C85" s="1" t="str">
        <f>IF($H$10="Y",'Population Definitions'!$A$8,"...")</f>
        <v>...</v>
      </c>
      <c r="E85" s="2"/>
      <c r="F85" s="3"/>
      <c r="G85" s="2"/>
      <c r="H85" s="4" t="str">
        <f>IF($H$10="Y","OR","...")</f>
        <v>...</v>
      </c>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row>
    <row r="86" spans="1:59" x14ac:dyDescent="0.25">
      <c r="A86" s="1" t="str">
        <f>IF($I$10="Y",'Population Definitions'!$A$7,"...")</f>
        <v>10-17_females</v>
      </c>
      <c r="B86" s="4" t="str">
        <f>IF($I$10="Y","---&gt;","...")</f>
        <v>---&gt;</v>
      </c>
      <c r="C86" s="1" t="str">
        <f>IF($I$10="Y",'Population Definitions'!$A$9,"...")</f>
        <v>18-64_females</v>
      </c>
      <c r="E86" s="3" t="s">
        <v>231</v>
      </c>
      <c r="F86" s="3"/>
      <c r="G86" s="3"/>
      <c r="H86" s="4" t="str">
        <f>IF($I$10="Y","OR","...")</f>
        <v>OR</v>
      </c>
      <c r="I86" s="3">
        <v>1569535</v>
      </c>
      <c r="J86" s="3">
        <v>1634561.5</v>
      </c>
      <c r="K86" s="3">
        <v>1691785.5</v>
      </c>
      <c r="L86" s="3">
        <v>1741609</v>
      </c>
      <c r="M86" s="3">
        <v>1795428.5</v>
      </c>
      <c r="N86" s="3">
        <v>1856212</v>
      </c>
      <c r="O86" s="3">
        <v>1913429</v>
      </c>
      <c r="P86" s="3">
        <v>1965596.5</v>
      </c>
      <c r="Q86" s="3">
        <v>2019928.5</v>
      </c>
      <c r="R86" s="3">
        <v>2075824.5</v>
      </c>
      <c r="S86" s="3">
        <v>2127397</v>
      </c>
      <c r="T86" s="3">
        <v>2161062</v>
      </c>
      <c r="U86" s="3">
        <v>2181779.5</v>
      </c>
      <c r="V86" s="3">
        <v>2199787.5</v>
      </c>
      <c r="W86" s="3">
        <v>2215229</v>
      </c>
      <c r="X86" s="3">
        <v>2230313.5</v>
      </c>
      <c r="Y86" s="3">
        <v>2247456</v>
      </c>
      <c r="Z86" s="3">
        <v>2284390</v>
      </c>
      <c r="AA86" s="3">
        <v>2328589.5</v>
      </c>
      <c r="AB86" s="3">
        <v>2357062</v>
      </c>
      <c r="AC86" s="3">
        <v>2375242.5</v>
      </c>
      <c r="AD86" s="3">
        <v>2400930.5</v>
      </c>
      <c r="AE86" s="3">
        <v>2416132</v>
      </c>
      <c r="AF86" s="3">
        <v>2431875.5</v>
      </c>
      <c r="AG86" s="3">
        <v>2495952</v>
      </c>
      <c r="AH86" s="3">
        <v>2581284</v>
      </c>
      <c r="AI86" s="3">
        <v>2671779</v>
      </c>
      <c r="AJ86" s="3">
        <v>2762413</v>
      </c>
      <c r="AK86" s="3">
        <v>2836475</v>
      </c>
      <c r="AL86" s="3">
        <v>2883811</v>
      </c>
      <c r="AM86" s="3">
        <v>2901973</v>
      </c>
      <c r="AN86" s="3">
        <v>2908592</v>
      </c>
      <c r="AO86" s="3">
        <v>2909646</v>
      </c>
      <c r="AP86" s="3">
        <v>2906392</v>
      </c>
      <c r="AQ86" s="3">
        <v>2893174</v>
      </c>
      <c r="AR86" s="3">
        <v>2900222</v>
      </c>
      <c r="AS86" s="3">
        <v>2926900</v>
      </c>
      <c r="AT86" s="3">
        <v>2946963</v>
      </c>
      <c r="AU86" s="3">
        <v>2970100</v>
      </c>
      <c r="AV86" s="3">
        <v>2999086</v>
      </c>
      <c r="AW86" s="3">
        <v>3028967</v>
      </c>
      <c r="AX86" s="3">
        <v>3049505</v>
      </c>
      <c r="AY86" s="3">
        <v>3060890</v>
      </c>
      <c r="AZ86" s="3">
        <v>3075101</v>
      </c>
      <c r="BA86" s="3">
        <v>3096464</v>
      </c>
      <c r="BB86" s="3">
        <v>3119424</v>
      </c>
      <c r="BC86" s="3">
        <v>3147255</v>
      </c>
      <c r="BD86" s="3">
        <v>3181080</v>
      </c>
      <c r="BE86" s="3">
        <v>3217232</v>
      </c>
      <c r="BF86" s="3">
        <v>3252137</v>
      </c>
      <c r="BG86" s="3">
        <v>3285486</v>
      </c>
    </row>
    <row r="87" spans="1:59" x14ac:dyDescent="0.25">
      <c r="A87" s="1" t="str">
        <f>IF($J$10="Y",'Population Definitions'!$A$7,"...")</f>
        <v>...</v>
      </c>
      <c r="B87" s="4" t="str">
        <f>IF($J$10="Y","---&gt;","...")</f>
        <v>...</v>
      </c>
      <c r="C87" s="1" t="str">
        <f>IF($J$10="Y",'Population Definitions'!$A$10,"...")</f>
        <v>...</v>
      </c>
      <c r="E87" s="2"/>
      <c r="F87" s="3"/>
      <c r="G87" s="2"/>
      <c r="H87" s="4" t="str">
        <f>IF($J$10="Y","OR","...")</f>
        <v>...</v>
      </c>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row>
    <row r="88" spans="1:59" x14ac:dyDescent="0.25">
      <c r="A88" s="1" t="str">
        <f>IF($K$10="Y",'Population Definitions'!$A$7,"...")</f>
        <v>...</v>
      </c>
      <c r="B88" s="4" t="str">
        <f>IF($K$10="Y","---&gt;","...")</f>
        <v>...</v>
      </c>
      <c r="C88" s="1" t="str">
        <f>IF($K$10="Y",'Population Definitions'!$A$11,"...")</f>
        <v>...</v>
      </c>
      <c r="E88" s="2"/>
      <c r="F88" s="3"/>
      <c r="G88" s="2"/>
      <c r="H88" s="4" t="str">
        <f>IF($K$10="Y","OR","...")</f>
        <v>...</v>
      </c>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row>
    <row r="89" spans="1:59" x14ac:dyDescent="0.25">
      <c r="A89" s="1" t="str">
        <f>IF($L$10="Y",'Population Definitions'!$A$7,"...")</f>
        <v>...</v>
      </c>
      <c r="B89" s="4" t="str">
        <f>IF($L$10="Y","---&gt;","...")</f>
        <v>...</v>
      </c>
      <c r="C89" s="1" t="str">
        <f>IF($L$10="Y",'Population Definitions'!$A$12,"...")</f>
        <v>...</v>
      </c>
      <c r="E89" s="2"/>
      <c r="F89" s="3"/>
      <c r="G89" s="2"/>
      <c r="H89" s="4" t="str">
        <f>IF($L$10="Y","OR","...")</f>
        <v>...</v>
      </c>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row>
    <row r="90" spans="1:59" x14ac:dyDescent="0.25">
      <c r="A90" s="1" t="str">
        <f>IF($M$10="Y",'Population Definitions'!$A$7,"...")</f>
        <v>...</v>
      </c>
      <c r="B90" s="4" t="str">
        <f>IF($M$10="Y","---&gt;","...")</f>
        <v>...</v>
      </c>
      <c r="C90" s="1" t="str">
        <f>IF($M$10="Y",'Population Definitions'!$A$13,"...")</f>
        <v>...</v>
      </c>
      <c r="E90" s="2"/>
      <c r="F90" s="3"/>
      <c r="G90" s="2"/>
      <c r="H90" s="4" t="str">
        <f>IF($M$10="Y","OR","...")</f>
        <v>...</v>
      </c>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row>
    <row r="91" spans="1:59" x14ac:dyDescent="0.25">
      <c r="A91" s="1" t="str">
        <f>IF($B$11="Y",'Population Definitions'!$A$8,"...")</f>
        <v>...</v>
      </c>
      <c r="B91" s="4" t="str">
        <f>IF($B$11="Y","---&gt;","...")</f>
        <v>...</v>
      </c>
      <c r="C91" s="1" t="str">
        <f>IF($B$11="Y",'Population Definitions'!$A$2,"...")</f>
        <v>...</v>
      </c>
      <c r="E91" s="2"/>
      <c r="F91" s="3"/>
      <c r="G91" s="2"/>
      <c r="H91" s="4" t="str">
        <f>IF($B$11="Y","OR","...")</f>
        <v>...</v>
      </c>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row>
    <row r="92" spans="1:59" x14ac:dyDescent="0.25">
      <c r="A92" s="1" t="str">
        <f>IF($C$11="Y",'Population Definitions'!$A$8,"...")</f>
        <v>...</v>
      </c>
      <c r="B92" s="4" t="str">
        <f>IF($C$11="Y","---&gt;","...")</f>
        <v>...</v>
      </c>
      <c r="C92" s="1" t="str">
        <f>IF($C$11="Y",'Population Definitions'!$A$3,"...")</f>
        <v>...</v>
      </c>
      <c r="E92" s="2"/>
      <c r="F92" s="3"/>
      <c r="G92" s="2"/>
      <c r="H92" s="4" t="str">
        <f>IF($C$11="Y","OR","...")</f>
        <v>...</v>
      </c>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row>
    <row r="93" spans="1:59" x14ac:dyDescent="0.25">
      <c r="A93" s="1" t="str">
        <f>IF($D$11="Y",'Population Definitions'!$A$8,"...")</f>
        <v>...</v>
      </c>
      <c r="B93" s="4" t="str">
        <f>IF($D$11="Y","---&gt;","...")</f>
        <v>...</v>
      </c>
      <c r="C93" s="1" t="str">
        <f>IF($D$11="Y",'Population Definitions'!$A$4,"...")</f>
        <v>...</v>
      </c>
      <c r="E93" s="2"/>
      <c r="F93" s="3"/>
      <c r="G93" s="2"/>
      <c r="H93" s="4" t="str">
        <f>IF($D$11="Y","OR","...")</f>
        <v>...</v>
      </c>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row>
    <row r="94" spans="1:59" x14ac:dyDescent="0.25">
      <c r="A94" s="1" t="str">
        <f>IF($E$11="Y",'Population Definitions'!$A$8,"...")</f>
        <v>...</v>
      </c>
      <c r="B94" s="4" t="str">
        <f>IF($E$11="Y","---&gt;","...")</f>
        <v>...</v>
      </c>
      <c r="C94" s="1" t="str">
        <f>IF($E$11="Y",'Population Definitions'!$A$5,"...")</f>
        <v>...</v>
      </c>
      <c r="E94" s="2"/>
      <c r="F94" s="3"/>
      <c r="G94" s="2"/>
      <c r="H94" s="4" t="str">
        <f>IF($E$11="Y","OR","...")</f>
        <v>...</v>
      </c>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row>
    <row r="95" spans="1:59" x14ac:dyDescent="0.25">
      <c r="A95" s="1" t="str">
        <f>IF($F$11="Y",'Population Definitions'!$A$8,"...")</f>
        <v>...</v>
      </c>
      <c r="B95" s="4" t="str">
        <f>IF($F$11="Y","---&gt;","...")</f>
        <v>...</v>
      </c>
      <c r="C95" s="1" t="str">
        <f>IF($F$11="Y",'Population Definitions'!$A$6,"...")</f>
        <v>...</v>
      </c>
      <c r="E95" s="2"/>
      <c r="F95" s="3"/>
      <c r="G95" s="2"/>
      <c r="H95" s="4" t="str">
        <f>IF($F$11="Y","OR","...")</f>
        <v>...</v>
      </c>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row>
    <row r="96" spans="1:59" x14ac:dyDescent="0.25">
      <c r="A96" s="1" t="str">
        <f>IF($G$11="Y",'Population Definitions'!$A$8,"...")</f>
        <v>...</v>
      </c>
      <c r="B96" s="4" t="str">
        <f>IF($G$11="Y","---&gt;","...")</f>
        <v>...</v>
      </c>
      <c r="C96" s="1" t="str">
        <f>IF($G$11="Y",'Population Definitions'!$A$7,"...")</f>
        <v>...</v>
      </c>
      <c r="E96" s="2"/>
      <c r="F96" s="3"/>
      <c r="G96" s="2"/>
      <c r="H96" s="4" t="str">
        <f>IF($G$11="Y","OR","...")</f>
        <v>...</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row>
    <row r="97" spans="1:59" x14ac:dyDescent="0.25">
      <c r="A97" s="1" t="str">
        <f>IF($H$11="Y",'Population Definitions'!$A$8,"...")</f>
        <v>...</v>
      </c>
      <c r="B97" s="4" t="str">
        <f>IF($H$11="Y","---&gt;","...")</f>
        <v>...</v>
      </c>
      <c r="C97" s="1" t="str">
        <f>IF($H$11="Y",'Population Definitions'!$A$8,"...")</f>
        <v>...</v>
      </c>
      <c r="E97" s="2"/>
      <c r="F97" s="3"/>
      <c r="G97" s="2"/>
      <c r="H97" s="4" t="str">
        <f>IF($H$11="Y","OR","...")</f>
        <v>...</v>
      </c>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row>
    <row r="98" spans="1:59" x14ac:dyDescent="0.25">
      <c r="A98" s="1" t="str">
        <f>IF($I$11="Y",'Population Definitions'!$A$8,"...")</f>
        <v>...</v>
      </c>
      <c r="B98" s="4" t="str">
        <f>IF($I$11="Y","---&gt;","...")</f>
        <v>...</v>
      </c>
      <c r="C98" s="1" t="str">
        <f>IF($I$11="Y",'Population Definitions'!$A$9,"...")</f>
        <v>...</v>
      </c>
      <c r="E98" s="2"/>
      <c r="F98" s="3"/>
      <c r="G98" s="2"/>
      <c r="H98" s="4" t="str">
        <f>IF($I$11="Y","OR","...")</f>
        <v>...</v>
      </c>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row>
    <row r="99" spans="1:59" x14ac:dyDescent="0.25">
      <c r="A99" s="1" t="str">
        <f>IF($J$11="Y",'Population Definitions'!$A$8,"...")</f>
        <v>18-64_males</v>
      </c>
      <c r="B99" s="4" t="str">
        <f>IF($J$11="Y","---&gt;","...")</f>
        <v>---&gt;</v>
      </c>
      <c r="C99" s="1" t="str">
        <f>IF($J$11="Y",'Population Definitions'!$A$10,"...")</f>
        <v>65+_males</v>
      </c>
      <c r="E99" s="3" t="s">
        <v>231</v>
      </c>
      <c r="F99" s="3"/>
      <c r="G99" s="3"/>
      <c r="H99" s="4" t="str">
        <f>IF($J$11="Y","OR","...")</f>
        <v>OR</v>
      </c>
      <c r="I99" s="3">
        <v>281374</v>
      </c>
      <c r="J99" s="3">
        <v>288487</v>
      </c>
      <c r="K99" s="3">
        <v>296105.5</v>
      </c>
      <c r="L99" s="3">
        <v>303602.5</v>
      </c>
      <c r="M99" s="3">
        <v>311527</v>
      </c>
      <c r="N99" s="3">
        <v>320368</v>
      </c>
      <c r="O99" s="3">
        <v>329600</v>
      </c>
      <c r="P99" s="3">
        <v>339221.5</v>
      </c>
      <c r="Q99" s="3">
        <v>349707.5</v>
      </c>
      <c r="R99" s="3">
        <v>360287</v>
      </c>
      <c r="S99" s="3">
        <v>369961</v>
      </c>
      <c r="T99" s="3">
        <v>377487.5</v>
      </c>
      <c r="U99" s="3">
        <v>379695.5</v>
      </c>
      <c r="V99" s="3">
        <v>370877.5</v>
      </c>
      <c r="W99" s="3">
        <v>355918.5</v>
      </c>
      <c r="X99" s="3">
        <v>357466.5</v>
      </c>
      <c r="Y99" s="3">
        <v>375161.5</v>
      </c>
      <c r="Z99" s="3">
        <v>393713.5</v>
      </c>
      <c r="AA99" s="3">
        <v>412607</v>
      </c>
      <c r="AB99" s="3">
        <v>431926</v>
      </c>
      <c r="AC99" s="3">
        <v>451257</v>
      </c>
      <c r="AD99" s="3">
        <v>469110.5</v>
      </c>
      <c r="AE99" s="3">
        <v>485722</v>
      </c>
      <c r="AF99" s="3">
        <v>502705.5</v>
      </c>
      <c r="AG99" s="3">
        <v>519172</v>
      </c>
      <c r="AH99" s="3">
        <v>534480</v>
      </c>
      <c r="AI99" s="3">
        <v>548528</v>
      </c>
      <c r="AJ99" s="3">
        <v>560772</v>
      </c>
      <c r="AK99" s="3">
        <v>571798</v>
      </c>
      <c r="AL99" s="3">
        <v>582432</v>
      </c>
      <c r="AM99" s="3">
        <v>592676</v>
      </c>
      <c r="AN99" s="3">
        <v>602911</v>
      </c>
      <c r="AO99" s="3">
        <v>613432</v>
      </c>
      <c r="AP99" s="3">
        <v>623997</v>
      </c>
      <c r="AQ99" s="3">
        <v>634241</v>
      </c>
      <c r="AR99" s="3">
        <v>646270</v>
      </c>
      <c r="AS99" s="3">
        <v>661354</v>
      </c>
      <c r="AT99" s="3">
        <v>679698</v>
      </c>
      <c r="AU99" s="3">
        <v>699703</v>
      </c>
      <c r="AV99" s="3">
        <v>719282</v>
      </c>
      <c r="AW99" s="3">
        <v>740008</v>
      </c>
      <c r="AX99" s="3">
        <v>762408</v>
      </c>
      <c r="AY99" s="3">
        <v>788065</v>
      </c>
      <c r="AZ99" s="3">
        <v>815870</v>
      </c>
      <c r="BA99" s="3">
        <v>842794</v>
      </c>
      <c r="BB99" s="3">
        <v>875112</v>
      </c>
      <c r="BC99" s="3">
        <v>921027</v>
      </c>
      <c r="BD99" s="3">
        <v>967946</v>
      </c>
      <c r="BE99" s="3">
        <v>1004879</v>
      </c>
      <c r="BF99" s="3">
        <v>1035633</v>
      </c>
      <c r="BG99" s="3">
        <v>1063176</v>
      </c>
    </row>
    <row r="100" spans="1:59" x14ac:dyDescent="0.25">
      <c r="A100" s="1" t="str">
        <f>IF($K$11="Y",'Population Definitions'!$A$8,"...")</f>
        <v>...</v>
      </c>
      <c r="B100" s="4" t="str">
        <f>IF($K$11="Y","---&gt;","...")</f>
        <v>...</v>
      </c>
      <c r="C100" s="1" t="str">
        <f>IF($K$11="Y",'Population Definitions'!$A$11,"...")</f>
        <v>...</v>
      </c>
      <c r="E100" s="2"/>
      <c r="F100" s="3"/>
      <c r="G100" s="2"/>
      <c r="H100" s="4" t="str">
        <f>IF($K$11="Y","OR","...")</f>
        <v>...</v>
      </c>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row>
    <row r="101" spans="1:59" x14ac:dyDescent="0.25">
      <c r="A101" s="1" t="str">
        <f>IF($L$11="Y",'Population Definitions'!$A$8,"...")</f>
        <v>...</v>
      </c>
      <c r="B101" s="4" t="str">
        <f>IF($L$11="Y","---&gt;","...")</f>
        <v>...</v>
      </c>
      <c r="C101" s="1" t="str">
        <f>IF($L$11="Y",'Population Definitions'!$A$12,"...")</f>
        <v>...</v>
      </c>
      <c r="E101" s="2"/>
      <c r="F101" s="3"/>
      <c r="G101" s="2"/>
      <c r="H101" s="4" t="str">
        <f>IF($L$11="Y","OR","...")</f>
        <v>...</v>
      </c>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row>
    <row r="102" spans="1:59" x14ac:dyDescent="0.25">
      <c r="A102" s="1" t="str">
        <f>IF($M$11="Y",'Population Definitions'!$A$8,"...")</f>
        <v>...</v>
      </c>
      <c r="B102" s="4" t="str">
        <f>IF($M$11="Y","---&gt;","...")</f>
        <v>...</v>
      </c>
      <c r="C102" s="1" t="str">
        <f>IF($M$11="Y",'Population Definitions'!$A$13,"...")</f>
        <v>...</v>
      </c>
      <c r="E102" s="2"/>
      <c r="F102" s="3"/>
      <c r="G102" s="2"/>
      <c r="H102" s="4" t="str">
        <f>IF($M$11="Y","OR","...")</f>
        <v>...</v>
      </c>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row>
    <row r="103" spans="1:59" x14ac:dyDescent="0.25">
      <c r="A103" s="1" t="str">
        <f>IF($B$12="Y",'Population Definitions'!$A$9,"...")</f>
        <v>...</v>
      </c>
      <c r="B103" s="4" t="str">
        <f>IF($B$12="Y","---&gt;","...")</f>
        <v>...</v>
      </c>
      <c r="C103" s="1" t="str">
        <f>IF($B$12="Y",'Population Definitions'!$A$2,"...")</f>
        <v>...</v>
      </c>
      <c r="E103" s="2"/>
      <c r="F103" s="3"/>
      <c r="G103" s="2"/>
      <c r="H103" s="4" t="str">
        <f>IF($B$12="Y","OR","...")</f>
        <v>...</v>
      </c>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row>
    <row r="104" spans="1:59" x14ac:dyDescent="0.25">
      <c r="A104" s="1" t="str">
        <f>IF($C$12="Y",'Population Definitions'!$A$9,"...")</f>
        <v>...</v>
      </c>
      <c r="B104" s="4" t="str">
        <f>IF($C$12="Y","---&gt;","...")</f>
        <v>...</v>
      </c>
      <c r="C104" s="1" t="str">
        <f>IF($C$12="Y",'Population Definitions'!$A$3,"...")</f>
        <v>...</v>
      </c>
      <c r="E104" s="2"/>
      <c r="F104" s="3"/>
      <c r="G104" s="2"/>
      <c r="H104" s="4" t="str">
        <f>IF($C$12="Y","OR","...")</f>
        <v>...</v>
      </c>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row>
    <row r="105" spans="1:59" x14ac:dyDescent="0.25">
      <c r="A105" s="1" t="str">
        <f>IF($D$12="Y",'Population Definitions'!$A$9,"...")</f>
        <v>...</v>
      </c>
      <c r="B105" s="4" t="str">
        <f>IF($D$12="Y","---&gt;","...")</f>
        <v>...</v>
      </c>
      <c r="C105" s="1" t="str">
        <f>IF($D$12="Y",'Population Definitions'!$A$4,"...")</f>
        <v>...</v>
      </c>
      <c r="E105" s="2"/>
      <c r="F105" s="3"/>
      <c r="G105" s="2"/>
      <c r="H105" s="4" t="str">
        <f>IF($D$12="Y","OR","...")</f>
        <v>...</v>
      </c>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row>
    <row r="106" spans="1:59" x14ac:dyDescent="0.25">
      <c r="A106" s="1" t="str">
        <f>IF($E$12="Y",'Population Definitions'!$A$9,"...")</f>
        <v>...</v>
      </c>
      <c r="B106" s="4" t="str">
        <f>IF($E$12="Y","---&gt;","...")</f>
        <v>...</v>
      </c>
      <c r="C106" s="1" t="str">
        <f>IF($E$12="Y",'Population Definitions'!$A$5,"...")</f>
        <v>...</v>
      </c>
      <c r="E106" s="2"/>
      <c r="F106" s="3"/>
      <c r="G106" s="2"/>
      <c r="H106" s="4" t="str">
        <f>IF($E$12="Y","OR","...")</f>
        <v>...</v>
      </c>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row>
    <row r="107" spans="1:59" x14ac:dyDescent="0.25">
      <c r="A107" s="1" t="str">
        <f>IF($F$12="Y",'Population Definitions'!$A$9,"...")</f>
        <v>...</v>
      </c>
      <c r="B107" s="4" t="str">
        <f>IF($F$12="Y","---&gt;","...")</f>
        <v>...</v>
      </c>
      <c r="C107" s="1" t="str">
        <f>IF($F$12="Y",'Population Definitions'!$A$6,"...")</f>
        <v>...</v>
      </c>
      <c r="E107" s="2"/>
      <c r="F107" s="3"/>
      <c r="G107" s="2"/>
      <c r="H107" s="4" t="str">
        <f>IF($F$12="Y","OR","...")</f>
        <v>...</v>
      </c>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row>
    <row r="108" spans="1:59" x14ac:dyDescent="0.25">
      <c r="A108" s="1" t="str">
        <f>IF($G$12="Y",'Population Definitions'!$A$9,"...")</f>
        <v>...</v>
      </c>
      <c r="B108" s="4" t="str">
        <f>IF($G$12="Y","---&gt;","...")</f>
        <v>...</v>
      </c>
      <c r="C108" s="1" t="str">
        <f>IF($G$12="Y",'Population Definitions'!$A$7,"...")</f>
        <v>...</v>
      </c>
      <c r="E108" s="2"/>
      <c r="F108" s="3"/>
      <c r="G108" s="2"/>
      <c r="H108" s="4" t="str">
        <f>IF($G$12="Y","OR","...")</f>
        <v>...</v>
      </c>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row>
    <row r="109" spans="1:59" x14ac:dyDescent="0.25">
      <c r="A109" s="1" t="str">
        <f>IF($H$12="Y",'Population Definitions'!$A$9,"...")</f>
        <v>...</v>
      </c>
      <c r="B109" s="4" t="str">
        <f>IF($H$12="Y","---&gt;","...")</f>
        <v>...</v>
      </c>
      <c r="C109" s="1" t="str">
        <f>IF($H$12="Y",'Population Definitions'!$A$8,"...")</f>
        <v>...</v>
      </c>
      <c r="E109" s="2"/>
      <c r="F109" s="3"/>
      <c r="G109" s="2"/>
      <c r="H109" s="4" t="str">
        <f>IF($H$12="Y","OR","...")</f>
        <v>...</v>
      </c>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row>
    <row r="110" spans="1:59" x14ac:dyDescent="0.25">
      <c r="A110" s="1" t="str">
        <f>IF($I$12="Y",'Population Definitions'!$A$9,"...")</f>
        <v>...</v>
      </c>
      <c r="B110" s="4" t="str">
        <f>IF($I$12="Y","---&gt;","...")</f>
        <v>...</v>
      </c>
      <c r="C110" s="1" t="str">
        <f>IF($I$12="Y",'Population Definitions'!$A$9,"...")</f>
        <v>...</v>
      </c>
      <c r="E110" s="2"/>
      <c r="F110" s="3"/>
      <c r="G110" s="2"/>
      <c r="H110" s="4" t="str">
        <f>IF($I$12="Y","OR","...")</f>
        <v>...</v>
      </c>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row>
    <row r="111" spans="1:59" x14ac:dyDescent="0.25">
      <c r="A111" s="1" t="str">
        <f>IF($J$12="Y",'Population Definitions'!$A$9,"...")</f>
        <v>...</v>
      </c>
      <c r="B111" s="4" t="str">
        <f>IF($J$12="Y","---&gt;","...")</f>
        <v>...</v>
      </c>
      <c r="C111" s="1" t="str">
        <f>IF($J$12="Y",'Population Definitions'!$A$10,"...")</f>
        <v>...</v>
      </c>
      <c r="E111" s="2"/>
      <c r="F111" s="3"/>
      <c r="G111" s="2"/>
      <c r="H111" s="4" t="str">
        <f>IF($J$12="Y","OR","...")</f>
        <v>...</v>
      </c>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row>
    <row r="112" spans="1:59" x14ac:dyDescent="0.25">
      <c r="A112" s="1" t="str">
        <f>IF($K$12="Y",'Population Definitions'!$A$9,"...")</f>
        <v>18-64_females</v>
      </c>
      <c r="B112" s="4" t="str">
        <f>IF($K$12="Y","---&gt;","...")</f>
        <v>---&gt;</v>
      </c>
      <c r="C112" s="1" t="str">
        <f>IF($K$12="Y",'Population Definitions'!$A$11,"...")</f>
        <v>65+_females</v>
      </c>
      <c r="E112" s="3" t="s">
        <v>231</v>
      </c>
      <c r="F112" s="3"/>
      <c r="G112" s="3"/>
      <c r="H112" s="4" t="str">
        <f>IF($K$12="Y","OR","...")</f>
        <v>OR</v>
      </c>
      <c r="I112" s="3">
        <v>242483</v>
      </c>
      <c r="J112" s="3">
        <v>250230.5</v>
      </c>
      <c r="K112" s="3">
        <v>258453.5</v>
      </c>
      <c r="L112" s="3">
        <v>266942</v>
      </c>
      <c r="M112" s="3">
        <v>275919</v>
      </c>
      <c r="N112" s="3">
        <v>285702.5</v>
      </c>
      <c r="O112" s="3">
        <v>296346.5</v>
      </c>
      <c r="P112" s="3">
        <v>308150</v>
      </c>
      <c r="Q112" s="3">
        <v>321435.5</v>
      </c>
      <c r="R112" s="3">
        <v>335437.5</v>
      </c>
      <c r="S112" s="3">
        <v>349149</v>
      </c>
      <c r="T112" s="3">
        <v>361226</v>
      </c>
      <c r="U112" s="3">
        <v>368943</v>
      </c>
      <c r="V112" s="3">
        <v>367998.5</v>
      </c>
      <c r="W112" s="3">
        <v>361315</v>
      </c>
      <c r="X112" s="3">
        <v>367694</v>
      </c>
      <c r="Y112" s="3">
        <v>387876.5</v>
      </c>
      <c r="Z112" s="3">
        <v>408684</v>
      </c>
      <c r="AA112" s="3">
        <v>429734.5</v>
      </c>
      <c r="AB112" s="3">
        <v>451062.5</v>
      </c>
      <c r="AC112" s="3">
        <v>472366.5</v>
      </c>
      <c r="AD112" s="3">
        <v>493117.5</v>
      </c>
      <c r="AE112" s="3">
        <v>513096.5</v>
      </c>
      <c r="AF112" s="3">
        <v>533333.5</v>
      </c>
      <c r="AG112" s="3">
        <v>553502.5</v>
      </c>
      <c r="AH112" s="3">
        <v>572153</v>
      </c>
      <c r="AI112" s="3">
        <v>588880</v>
      </c>
      <c r="AJ112" s="3">
        <v>603504</v>
      </c>
      <c r="AK112" s="3">
        <v>616597</v>
      </c>
      <c r="AL112" s="3">
        <v>629150</v>
      </c>
      <c r="AM112" s="3">
        <v>641354</v>
      </c>
      <c r="AN112" s="3">
        <v>653334</v>
      </c>
      <c r="AO112" s="3">
        <v>665580</v>
      </c>
      <c r="AP112" s="3">
        <v>678200</v>
      </c>
      <c r="AQ112" s="3">
        <v>690639</v>
      </c>
      <c r="AR112" s="3">
        <v>704969</v>
      </c>
      <c r="AS112" s="3">
        <v>722780</v>
      </c>
      <c r="AT112" s="3">
        <v>743842</v>
      </c>
      <c r="AU112" s="3">
        <v>766171</v>
      </c>
      <c r="AV112" s="3">
        <v>787875</v>
      </c>
      <c r="AW112" s="3">
        <v>810522</v>
      </c>
      <c r="AX112" s="3">
        <v>834539</v>
      </c>
      <c r="AY112" s="3">
        <v>860016</v>
      </c>
      <c r="AZ112" s="3">
        <v>888802</v>
      </c>
      <c r="BA112" s="3">
        <v>922291</v>
      </c>
      <c r="BB112" s="3">
        <v>960850</v>
      </c>
      <c r="BC112" s="3">
        <v>1010254</v>
      </c>
      <c r="BD112" s="3">
        <v>1060875</v>
      </c>
      <c r="BE112" s="3">
        <v>1100984</v>
      </c>
      <c r="BF112" s="3">
        <v>1134022</v>
      </c>
      <c r="BG112" s="3">
        <v>1163910</v>
      </c>
    </row>
    <row r="113" spans="1:59" x14ac:dyDescent="0.25">
      <c r="A113" s="1" t="str">
        <f>IF($L$12="Y",'Population Definitions'!$A$9,"...")</f>
        <v>...</v>
      </c>
      <c r="B113" s="4" t="str">
        <f>IF($L$12="Y","---&gt;","...")</f>
        <v>...</v>
      </c>
      <c r="C113" s="1" t="str">
        <f>IF($L$12="Y",'Population Definitions'!$A$12,"...")</f>
        <v>...</v>
      </c>
      <c r="E113" s="2"/>
      <c r="F113" s="3"/>
      <c r="G113" s="2"/>
      <c r="H113" s="4" t="str">
        <f>IF($L$12="Y","OR","...")</f>
        <v>...</v>
      </c>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row>
    <row r="114" spans="1:59" x14ac:dyDescent="0.25">
      <c r="A114" s="1" t="str">
        <f>IF($M$12="Y",'Population Definitions'!$A$9,"...")</f>
        <v>...</v>
      </c>
      <c r="B114" s="4" t="str">
        <f>IF($M$12="Y","---&gt;","...")</f>
        <v>...</v>
      </c>
      <c r="C114" s="1" t="str">
        <f>IF($M$12="Y",'Population Definitions'!$A$13,"...")</f>
        <v>...</v>
      </c>
      <c r="E114" s="2"/>
      <c r="F114" s="3"/>
      <c r="G114" s="2"/>
      <c r="H114" s="4" t="str">
        <f>IF($M$12="Y","OR","...")</f>
        <v>...</v>
      </c>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row>
    <row r="115" spans="1:59" x14ac:dyDescent="0.25">
      <c r="A115" s="1" t="str">
        <f>IF($B$13="Y",'Population Definitions'!$A$10,"...")</f>
        <v>...</v>
      </c>
      <c r="B115" s="4" t="str">
        <f>IF($B$13="Y","---&gt;","...")</f>
        <v>...</v>
      </c>
      <c r="C115" s="1" t="str">
        <f>IF($B$13="Y",'Population Definitions'!$A$2,"...")</f>
        <v>...</v>
      </c>
      <c r="E115" s="2"/>
      <c r="F115" s="3"/>
      <c r="G115" s="2"/>
      <c r="H115" s="4" t="str">
        <f>IF($B$13="Y","OR","...")</f>
        <v>...</v>
      </c>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row>
    <row r="116" spans="1:59" x14ac:dyDescent="0.25">
      <c r="A116" s="1" t="str">
        <f>IF($C$13="Y",'Population Definitions'!$A$10,"...")</f>
        <v>...</v>
      </c>
      <c r="B116" s="4" t="str">
        <f>IF($C$13="Y","---&gt;","...")</f>
        <v>...</v>
      </c>
      <c r="C116" s="1" t="str">
        <f>IF($C$13="Y",'Population Definitions'!$A$3,"...")</f>
        <v>...</v>
      </c>
      <c r="E116" s="2"/>
      <c r="F116" s="3"/>
      <c r="G116" s="2"/>
      <c r="H116" s="4" t="str">
        <f>IF($C$13="Y","OR","...")</f>
        <v>...</v>
      </c>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row>
    <row r="117" spans="1:59" x14ac:dyDescent="0.25">
      <c r="A117" s="1" t="str">
        <f>IF($D$13="Y",'Population Definitions'!$A$10,"...")</f>
        <v>...</v>
      </c>
      <c r="B117" s="4" t="str">
        <f>IF($D$13="Y","---&gt;","...")</f>
        <v>...</v>
      </c>
      <c r="C117" s="1" t="str">
        <f>IF($D$13="Y",'Population Definitions'!$A$4,"...")</f>
        <v>...</v>
      </c>
      <c r="E117" s="2"/>
      <c r="F117" s="3"/>
      <c r="G117" s="2"/>
      <c r="H117" s="4" t="str">
        <f>IF($D$13="Y","OR","...")</f>
        <v>...</v>
      </c>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row>
    <row r="118" spans="1:59" x14ac:dyDescent="0.25">
      <c r="A118" s="1" t="str">
        <f>IF($E$13="Y",'Population Definitions'!$A$10,"...")</f>
        <v>...</v>
      </c>
      <c r="B118" s="4" t="str">
        <f>IF($E$13="Y","---&gt;","...")</f>
        <v>...</v>
      </c>
      <c r="C118" s="1" t="str">
        <f>IF($E$13="Y",'Population Definitions'!$A$5,"...")</f>
        <v>...</v>
      </c>
      <c r="E118" s="2"/>
      <c r="F118" s="3"/>
      <c r="G118" s="2"/>
      <c r="H118" s="4" t="str">
        <f>IF($E$13="Y","OR","...")</f>
        <v>...</v>
      </c>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row>
    <row r="119" spans="1:59" x14ac:dyDescent="0.25">
      <c r="A119" s="1" t="str">
        <f>IF($F$13="Y",'Population Definitions'!$A$10,"...")</f>
        <v>...</v>
      </c>
      <c r="B119" s="4" t="str">
        <f>IF($F$13="Y","---&gt;","...")</f>
        <v>...</v>
      </c>
      <c r="C119" s="1" t="str">
        <f>IF($F$13="Y",'Population Definitions'!$A$6,"...")</f>
        <v>...</v>
      </c>
      <c r="E119" s="2"/>
      <c r="F119" s="3"/>
      <c r="G119" s="2"/>
      <c r="H119" s="4" t="str">
        <f>IF($F$13="Y","OR","...")</f>
        <v>...</v>
      </c>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row>
    <row r="120" spans="1:59" x14ac:dyDescent="0.25">
      <c r="A120" s="1" t="str">
        <f>IF($G$13="Y",'Population Definitions'!$A$10,"...")</f>
        <v>...</v>
      </c>
      <c r="B120" s="4" t="str">
        <f>IF($G$13="Y","---&gt;","...")</f>
        <v>...</v>
      </c>
      <c r="C120" s="1" t="str">
        <f>IF($G$13="Y",'Population Definitions'!$A$7,"...")</f>
        <v>...</v>
      </c>
      <c r="E120" s="2"/>
      <c r="F120" s="3"/>
      <c r="G120" s="2"/>
      <c r="H120" s="4" t="str">
        <f>IF($G$13="Y","OR","...")</f>
        <v>...</v>
      </c>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row>
    <row r="121" spans="1:59" x14ac:dyDescent="0.25">
      <c r="A121" s="1" t="str">
        <f>IF($H$13="Y",'Population Definitions'!$A$10,"...")</f>
        <v>...</v>
      </c>
      <c r="B121" s="4" t="str">
        <f>IF($H$13="Y","---&gt;","...")</f>
        <v>...</v>
      </c>
      <c r="C121" s="1" t="str">
        <f>IF($H$13="Y",'Population Definitions'!$A$8,"...")</f>
        <v>...</v>
      </c>
      <c r="E121" s="2"/>
      <c r="F121" s="3"/>
      <c r="G121" s="2"/>
      <c r="H121" s="4" t="str">
        <f>IF($H$13="Y","OR","...")</f>
        <v>...</v>
      </c>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row>
    <row r="122" spans="1:59" x14ac:dyDescent="0.25">
      <c r="A122" s="1" t="str">
        <f>IF($I$13="Y",'Population Definitions'!$A$10,"...")</f>
        <v>...</v>
      </c>
      <c r="B122" s="4" t="str">
        <f>IF($I$13="Y","---&gt;","...")</f>
        <v>...</v>
      </c>
      <c r="C122" s="1" t="str">
        <f>IF($I$13="Y",'Population Definitions'!$A$9,"...")</f>
        <v>...</v>
      </c>
      <c r="E122" s="2"/>
      <c r="F122" s="3"/>
      <c r="G122" s="2"/>
      <c r="H122" s="4" t="str">
        <f>IF($I$13="Y","OR","...")</f>
        <v>...</v>
      </c>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row>
    <row r="123" spans="1:59" x14ac:dyDescent="0.25">
      <c r="A123" s="1" t="str">
        <f>IF($J$13="Y",'Population Definitions'!$A$10,"...")</f>
        <v>...</v>
      </c>
      <c r="B123" s="4" t="str">
        <f>IF($J$13="Y","---&gt;","...")</f>
        <v>...</v>
      </c>
      <c r="C123" s="1" t="str">
        <f>IF($J$13="Y",'Population Definitions'!$A$10,"...")</f>
        <v>...</v>
      </c>
      <c r="E123" s="2"/>
      <c r="F123" s="3"/>
      <c r="G123" s="2"/>
      <c r="H123" s="4" t="str">
        <f>IF($J$13="Y","OR","...")</f>
        <v>...</v>
      </c>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row>
    <row r="124" spans="1:59" x14ac:dyDescent="0.25">
      <c r="A124" s="1" t="str">
        <f>IF($K$13="Y",'Population Definitions'!$A$10,"...")</f>
        <v>...</v>
      </c>
      <c r="B124" s="4" t="str">
        <f>IF($K$13="Y","---&gt;","...")</f>
        <v>...</v>
      </c>
      <c r="C124" s="1" t="str">
        <f>IF($K$13="Y",'Population Definitions'!$A$11,"...")</f>
        <v>...</v>
      </c>
      <c r="E124" s="2"/>
      <c r="F124" s="3"/>
      <c r="G124" s="2"/>
      <c r="H124" s="4" t="str">
        <f>IF($K$13="Y","OR","...")</f>
        <v>...</v>
      </c>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row>
    <row r="125" spans="1:59" x14ac:dyDescent="0.25">
      <c r="A125" s="1" t="str">
        <f>IF($L$13="Y",'Population Definitions'!$A$10,"...")</f>
        <v>...</v>
      </c>
      <c r="B125" s="4" t="str">
        <f>IF($L$13="Y","---&gt;","...")</f>
        <v>...</v>
      </c>
      <c r="C125" s="1" t="str">
        <f>IF($L$13="Y",'Population Definitions'!$A$12,"...")</f>
        <v>...</v>
      </c>
      <c r="E125" s="2"/>
      <c r="F125" s="3"/>
      <c r="G125" s="2"/>
      <c r="H125" s="4" t="str">
        <f>IF($L$13="Y","OR","...")</f>
        <v>...</v>
      </c>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row>
    <row r="126" spans="1:59" x14ac:dyDescent="0.25">
      <c r="A126" s="1" t="str">
        <f>IF($M$13="Y",'Population Definitions'!$A$10,"...")</f>
        <v>...</v>
      </c>
      <c r="B126" s="4" t="str">
        <f>IF($M$13="Y","---&gt;","...")</f>
        <v>...</v>
      </c>
      <c r="C126" s="1" t="str">
        <f>IF($M$13="Y",'Population Definitions'!$A$13,"...")</f>
        <v>...</v>
      </c>
      <c r="E126" s="2"/>
      <c r="F126" s="3"/>
      <c r="G126" s="2"/>
      <c r="H126" s="4" t="str">
        <f>IF($M$13="Y","OR","...")</f>
        <v>...</v>
      </c>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row>
    <row r="127" spans="1:59" x14ac:dyDescent="0.25">
      <c r="A127" s="1" t="str">
        <f>IF($B$14="Y",'Population Definitions'!$A$11,"...")</f>
        <v>...</v>
      </c>
      <c r="B127" s="4" t="str">
        <f>IF($B$14="Y","---&gt;","...")</f>
        <v>...</v>
      </c>
      <c r="C127" s="1" t="str">
        <f>IF($B$14="Y",'Population Definitions'!$A$2,"...")</f>
        <v>...</v>
      </c>
      <c r="E127" s="2"/>
      <c r="F127" s="3"/>
      <c r="G127" s="2"/>
      <c r="H127" s="4" t="str">
        <f>IF($B$14="Y","OR","...")</f>
        <v>...</v>
      </c>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row>
    <row r="128" spans="1:59" x14ac:dyDescent="0.25">
      <c r="A128" s="1" t="str">
        <f>IF($C$14="Y",'Population Definitions'!$A$11,"...")</f>
        <v>...</v>
      </c>
      <c r="B128" s="4" t="str">
        <f>IF($C$14="Y","---&gt;","...")</f>
        <v>...</v>
      </c>
      <c r="C128" s="1" t="str">
        <f>IF($C$14="Y",'Population Definitions'!$A$3,"...")</f>
        <v>...</v>
      </c>
      <c r="E128" s="2"/>
      <c r="F128" s="3"/>
      <c r="G128" s="2"/>
      <c r="H128" s="4" t="str">
        <f>IF($C$14="Y","OR","...")</f>
        <v>...</v>
      </c>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row>
    <row r="129" spans="1:59" x14ac:dyDescent="0.25">
      <c r="A129" s="1" t="str">
        <f>IF($D$14="Y",'Population Definitions'!$A$11,"...")</f>
        <v>...</v>
      </c>
      <c r="B129" s="4" t="str">
        <f>IF($D$14="Y","---&gt;","...")</f>
        <v>...</v>
      </c>
      <c r="C129" s="1" t="str">
        <f>IF($D$14="Y",'Population Definitions'!$A$4,"...")</f>
        <v>...</v>
      </c>
      <c r="E129" s="2"/>
      <c r="F129" s="3"/>
      <c r="G129" s="2"/>
      <c r="H129" s="4" t="str">
        <f>IF($D$14="Y","OR","...")</f>
        <v>...</v>
      </c>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row>
    <row r="130" spans="1:59" x14ac:dyDescent="0.25">
      <c r="A130" s="1" t="str">
        <f>IF($E$14="Y",'Population Definitions'!$A$11,"...")</f>
        <v>...</v>
      </c>
      <c r="B130" s="4" t="str">
        <f>IF($E$14="Y","---&gt;","...")</f>
        <v>...</v>
      </c>
      <c r="C130" s="1" t="str">
        <f>IF($E$14="Y",'Population Definitions'!$A$5,"...")</f>
        <v>...</v>
      </c>
      <c r="E130" s="2"/>
      <c r="F130" s="3"/>
      <c r="G130" s="2"/>
      <c r="H130" s="4" t="str">
        <f>IF($E$14="Y","OR","...")</f>
        <v>...</v>
      </c>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row>
    <row r="131" spans="1:59" x14ac:dyDescent="0.25">
      <c r="A131" s="1" t="str">
        <f>IF($F$14="Y",'Population Definitions'!$A$11,"...")</f>
        <v>...</v>
      </c>
      <c r="B131" s="4" t="str">
        <f>IF($F$14="Y","---&gt;","...")</f>
        <v>...</v>
      </c>
      <c r="C131" s="1" t="str">
        <f>IF($F$14="Y",'Population Definitions'!$A$6,"...")</f>
        <v>...</v>
      </c>
      <c r="E131" s="2"/>
      <c r="F131" s="3"/>
      <c r="G131" s="2"/>
      <c r="H131" s="4" t="str">
        <f>IF($F$14="Y","OR","...")</f>
        <v>...</v>
      </c>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row>
    <row r="132" spans="1:59" x14ac:dyDescent="0.25">
      <c r="A132" s="1" t="str">
        <f>IF($G$14="Y",'Population Definitions'!$A$11,"...")</f>
        <v>...</v>
      </c>
      <c r="B132" s="4" t="str">
        <f>IF($G$14="Y","---&gt;","...")</f>
        <v>...</v>
      </c>
      <c r="C132" s="1" t="str">
        <f>IF($G$14="Y",'Population Definitions'!$A$7,"...")</f>
        <v>...</v>
      </c>
      <c r="E132" s="2"/>
      <c r="F132" s="3"/>
      <c r="G132" s="2"/>
      <c r="H132" s="4" t="str">
        <f>IF($G$14="Y","OR","...")</f>
        <v>...</v>
      </c>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row>
    <row r="133" spans="1:59" x14ac:dyDescent="0.25">
      <c r="A133" s="1" t="str">
        <f>IF($H$14="Y",'Population Definitions'!$A$11,"...")</f>
        <v>...</v>
      </c>
      <c r="B133" s="4" t="str">
        <f>IF($H$14="Y","---&gt;","...")</f>
        <v>...</v>
      </c>
      <c r="C133" s="1" t="str">
        <f>IF($H$14="Y",'Population Definitions'!$A$8,"...")</f>
        <v>...</v>
      </c>
      <c r="E133" s="2"/>
      <c r="F133" s="3"/>
      <c r="G133" s="2"/>
      <c r="H133" s="4" t="str">
        <f>IF($H$14="Y","OR","...")</f>
        <v>...</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row>
    <row r="134" spans="1:59" x14ac:dyDescent="0.25">
      <c r="A134" s="1" t="str">
        <f>IF($I$14="Y",'Population Definitions'!$A$11,"...")</f>
        <v>...</v>
      </c>
      <c r="B134" s="4" t="str">
        <f>IF($I$14="Y","---&gt;","...")</f>
        <v>...</v>
      </c>
      <c r="C134" s="1" t="str">
        <f>IF($I$14="Y",'Population Definitions'!$A$9,"...")</f>
        <v>...</v>
      </c>
      <c r="E134" s="2"/>
      <c r="F134" s="3"/>
      <c r="G134" s="2"/>
      <c r="H134" s="4" t="str">
        <f>IF($I$14="Y","OR","...")</f>
        <v>...</v>
      </c>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row>
    <row r="135" spans="1:59" x14ac:dyDescent="0.25">
      <c r="A135" s="1" t="str">
        <f>IF($J$14="Y",'Population Definitions'!$A$11,"...")</f>
        <v>...</v>
      </c>
      <c r="B135" s="4" t="str">
        <f>IF($J$14="Y","---&gt;","...")</f>
        <v>...</v>
      </c>
      <c r="C135" s="1" t="str">
        <f>IF($J$14="Y",'Population Definitions'!$A$10,"...")</f>
        <v>...</v>
      </c>
      <c r="E135" s="2"/>
      <c r="F135" s="3"/>
      <c r="G135" s="2"/>
      <c r="H135" s="4" t="str">
        <f>IF($J$14="Y","OR","...")</f>
        <v>...</v>
      </c>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row>
    <row r="136" spans="1:59" x14ac:dyDescent="0.25">
      <c r="A136" s="1" t="str">
        <f>IF($K$14="Y",'Population Definitions'!$A$11,"...")</f>
        <v>...</v>
      </c>
      <c r="B136" s="4" t="str">
        <f>IF($K$14="Y","---&gt;","...")</f>
        <v>...</v>
      </c>
      <c r="C136" s="1" t="str">
        <f>IF($K$14="Y",'Population Definitions'!$A$11,"...")</f>
        <v>...</v>
      </c>
      <c r="E136" s="2"/>
      <c r="F136" s="3"/>
      <c r="G136" s="2"/>
      <c r="H136" s="4" t="str">
        <f>IF($K$14="Y","OR","...")</f>
        <v>...</v>
      </c>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row>
    <row r="137" spans="1:59" x14ac:dyDescent="0.25">
      <c r="A137" s="1" t="str">
        <f>IF($L$14="Y",'Population Definitions'!$A$11,"...")</f>
        <v>...</v>
      </c>
      <c r="B137" s="4" t="str">
        <f>IF($L$14="Y","---&gt;","...")</f>
        <v>...</v>
      </c>
      <c r="C137" s="1" t="str">
        <f>IF($L$14="Y",'Population Definitions'!$A$12,"...")</f>
        <v>...</v>
      </c>
      <c r="E137" s="2"/>
      <c r="F137" s="3"/>
      <c r="G137" s="2"/>
      <c r="H137" s="4" t="str">
        <f>IF($L$14="Y","OR","...")</f>
        <v>...</v>
      </c>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row>
    <row r="138" spans="1:59" x14ac:dyDescent="0.25">
      <c r="A138" s="1" t="str">
        <f>IF($M$14="Y",'Population Definitions'!$A$11,"...")</f>
        <v>...</v>
      </c>
      <c r="B138" s="4" t="str">
        <f>IF($M$14="Y","---&gt;","...")</f>
        <v>...</v>
      </c>
      <c r="C138" s="1" t="str">
        <f>IF($M$14="Y",'Population Definitions'!$A$13,"...")</f>
        <v>...</v>
      </c>
      <c r="E138" s="2"/>
      <c r="F138" s="3"/>
      <c r="G138" s="2"/>
      <c r="H138" s="4" t="str">
        <f>IF($M$14="Y","OR","...")</f>
        <v>...</v>
      </c>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row>
    <row r="139" spans="1:59" x14ac:dyDescent="0.25">
      <c r="A139" s="1" t="str">
        <f>IF($B$15="Y",'Population Definitions'!$A$12,"...")</f>
        <v>...</v>
      </c>
      <c r="B139" s="4" t="str">
        <f>IF($B$15="Y","---&gt;","...")</f>
        <v>...</v>
      </c>
      <c r="C139" s="1" t="str">
        <f>IF($B$15="Y",'Population Definitions'!$A$2,"...")</f>
        <v>...</v>
      </c>
      <c r="E139" s="2"/>
      <c r="F139" s="3"/>
      <c r="G139" s="2"/>
      <c r="H139" s="4" t="str">
        <f>IF($B$15="Y","OR","...")</f>
        <v>...</v>
      </c>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row>
    <row r="140" spans="1:59" x14ac:dyDescent="0.25">
      <c r="A140" s="1" t="str">
        <f>IF($C$15="Y",'Population Definitions'!$A$12,"...")</f>
        <v>...</v>
      </c>
      <c r="B140" s="4" t="str">
        <f>IF($C$15="Y","---&gt;","...")</f>
        <v>...</v>
      </c>
      <c r="C140" s="1" t="str">
        <f>IF($C$15="Y",'Population Definitions'!$A$3,"...")</f>
        <v>...</v>
      </c>
      <c r="E140" s="2"/>
      <c r="F140" s="3"/>
      <c r="G140" s="2"/>
      <c r="H140" s="4" t="str">
        <f>IF($C$15="Y","OR","...")</f>
        <v>...</v>
      </c>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row>
    <row r="141" spans="1:59" x14ac:dyDescent="0.25">
      <c r="A141" s="1" t="str">
        <f>IF($D$15="Y",'Population Definitions'!$A$12,"...")</f>
        <v>...</v>
      </c>
      <c r="B141" s="4" t="str">
        <f>IF($D$15="Y","---&gt;","...")</f>
        <v>...</v>
      </c>
      <c r="C141" s="1" t="str">
        <f>IF($D$15="Y",'Population Definitions'!$A$4,"...")</f>
        <v>...</v>
      </c>
      <c r="E141" s="2"/>
      <c r="F141" s="3"/>
      <c r="G141" s="2"/>
      <c r="H141" s="4" t="str">
        <f>IF($D$15="Y","OR","...")</f>
        <v>...</v>
      </c>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row>
    <row r="142" spans="1:59" x14ac:dyDescent="0.25">
      <c r="A142" s="1" t="str">
        <f>IF($E$15="Y",'Population Definitions'!$A$12,"...")</f>
        <v>...</v>
      </c>
      <c r="B142" s="4" t="str">
        <f>IF($E$15="Y","---&gt;","...")</f>
        <v>...</v>
      </c>
      <c r="C142" s="1" t="str">
        <f>IF($E$15="Y",'Population Definitions'!$A$5,"...")</f>
        <v>...</v>
      </c>
      <c r="E142" s="2"/>
      <c r="F142" s="3"/>
      <c r="G142" s="2"/>
      <c r="H142" s="4" t="str">
        <f>IF($E$15="Y","OR","...")</f>
        <v>...</v>
      </c>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row>
    <row r="143" spans="1:59" x14ac:dyDescent="0.25">
      <c r="A143" s="1" t="str">
        <f>IF($F$15="Y",'Population Definitions'!$A$12,"...")</f>
        <v>...</v>
      </c>
      <c r="B143" s="4" t="str">
        <f>IF($F$15="Y","---&gt;","...")</f>
        <v>...</v>
      </c>
      <c r="C143" s="1" t="str">
        <f>IF($F$15="Y",'Population Definitions'!$A$6,"...")</f>
        <v>...</v>
      </c>
      <c r="E143" s="2"/>
      <c r="F143" s="3"/>
      <c r="G143" s="2"/>
      <c r="H143" s="4" t="str">
        <f>IF($F$15="Y","OR","...")</f>
        <v>...</v>
      </c>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row>
    <row r="144" spans="1:59" x14ac:dyDescent="0.25">
      <c r="A144" s="1" t="str">
        <f>IF($G$15="Y",'Population Definitions'!$A$12,"...")</f>
        <v>...</v>
      </c>
      <c r="B144" s="4" t="str">
        <f>IF($G$15="Y","---&gt;","...")</f>
        <v>...</v>
      </c>
      <c r="C144" s="1" t="str">
        <f>IF($G$15="Y",'Population Definitions'!$A$7,"...")</f>
        <v>...</v>
      </c>
      <c r="E144" s="2"/>
      <c r="F144" s="3"/>
      <c r="G144" s="2"/>
      <c r="H144" s="4" t="str">
        <f>IF($G$15="Y","OR","...")</f>
        <v>...</v>
      </c>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row>
    <row r="145" spans="1:59" x14ac:dyDescent="0.25">
      <c r="A145" s="1" t="str">
        <f>IF($H$15="Y",'Population Definitions'!$A$12,"...")</f>
        <v>...</v>
      </c>
      <c r="B145" s="4" t="str">
        <f>IF($H$15="Y","---&gt;","...")</f>
        <v>...</v>
      </c>
      <c r="C145" s="1" t="str">
        <f>IF($H$15="Y",'Population Definitions'!$A$8,"...")</f>
        <v>...</v>
      </c>
      <c r="E145" s="2"/>
      <c r="F145" s="3"/>
      <c r="G145" s="2"/>
      <c r="H145" s="4" t="str">
        <f>IF($H$15="Y","OR","...")</f>
        <v>...</v>
      </c>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row>
    <row r="146" spans="1:59" x14ac:dyDescent="0.25">
      <c r="A146" s="1" t="str">
        <f>IF($I$15="Y",'Population Definitions'!$A$12,"...")</f>
        <v>...</v>
      </c>
      <c r="B146" s="4" t="str">
        <f>IF($I$15="Y","---&gt;","...")</f>
        <v>...</v>
      </c>
      <c r="C146" s="1" t="str">
        <f>IF($I$15="Y",'Population Definitions'!$A$9,"...")</f>
        <v>...</v>
      </c>
      <c r="E146" s="2"/>
      <c r="F146" s="3"/>
      <c r="G146" s="2"/>
      <c r="H146" s="4" t="str">
        <f>IF($I$15="Y","OR","...")</f>
        <v>...</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row>
    <row r="147" spans="1:59" x14ac:dyDescent="0.25">
      <c r="A147" s="1" t="str">
        <f>IF($J$15="Y",'Population Definitions'!$A$12,"...")</f>
        <v>...</v>
      </c>
      <c r="B147" s="4" t="str">
        <f>IF($J$15="Y","---&gt;","...")</f>
        <v>...</v>
      </c>
      <c r="C147" s="1" t="str">
        <f>IF($J$15="Y",'Population Definitions'!$A$10,"...")</f>
        <v>...</v>
      </c>
      <c r="E147" s="2"/>
      <c r="F147" s="3"/>
      <c r="G147" s="2"/>
      <c r="H147" s="4" t="str">
        <f>IF($J$15="Y","OR","...")</f>
        <v>...</v>
      </c>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row>
    <row r="148" spans="1:59" x14ac:dyDescent="0.25">
      <c r="A148" s="1" t="str">
        <f>IF($K$15="Y",'Population Definitions'!$A$12,"...")</f>
        <v>...</v>
      </c>
      <c r="B148" s="4" t="str">
        <f>IF($K$15="Y","---&gt;","...")</f>
        <v>...</v>
      </c>
      <c r="C148" s="1" t="str">
        <f>IF($K$15="Y",'Population Definitions'!$A$11,"...")</f>
        <v>...</v>
      </c>
      <c r="E148" s="2"/>
      <c r="F148" s="3"/>
      <c r="G148" s="2"/>
      <c r="H148" s="4" t="str">
        <f>IF($K$15="Y","OR","...")</f>
        <v>...</v>
      </c>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row>
    <row r="149" spans="1:59" x14ac:dyDescent="0.25">
      <c r="A149" s="1" t="str">
        <f>IF($L$15="Y",'Population Definitions'!$A$12,"...")</f>
        <v>...</v>
      </c>
      <c r="B149" s="4" t="str">
        <f>IF($L$15="Y","---&gt;","...")</f>
        <v>...</v>
      </c>
      <c r="C149" s="1" t="str">
        <f>IF($L$15="Y",'Population Definitions'!$A$12,"...")</f>
        <v>...</v>
      </c>
      <c r="E149" s="2"/>
      <c r="F149" s="3"/>
      <c r="G149" s="2"/>
      <c r="H149" s="4" t="str">
        <f>IF($L$15="Y","OR","...")</f>
        <v>...</v>
      </c>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row>
    <row r="150" spans="1:59" x14ac:dyDescent="0.25">
      <c r="A150" s="1" t="str">
        <f>IF($M$15="Y",'Population Definitions'!$A$12,"...")</f>
        <v>...</v>
      </c>
      <c r="B150" s="4" t="str">
        <f>IF($M$15="Y","---&gt;","...")</f>
        <v>...</v>
      </c>
      <c r="C150" s="1" t="str">
        <f>IF($M$15="Y",'Population Definitions'!$A$13,"...")</f>
        <v>...</v>
      </c>
      <c r="E150" s="2"/>
      <c r="F150" s="3"/>
      <c r="G150" s="2"/>
      <c r="H150" s="4" t="str">
        <f>IF($M$15="Y","OR","...")</f>
        <v>...</v>
      </c>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row>
    <row r="151" spans="1:59" x14ac:dyDescent="0.25">
      <c r="A151" s="1" t="str">
        <f>IF($B$16="Y",'Population Definitions'!$A$13,"...")</f>
        <v>...</v>
      </c>
      <c r="B151" s="4" t="str">
        <f>IF($B$16="Y","---&gt;","...")</f>
        <v>...</v>
      </c>
      <c r="C151" s="1" t="str">
        <f>IF($B$16="Y",'Population Definitions'!$A$2,"...")</f>
        <v>...</v>
      </c>
      <c r="E151" s="2"/>
      <c r="F151" s="3"/>
      <c r="G151" s="2"/>
      <c r="H151" s="4" t="str">
        <f>IF($B$16="Y","OR","...")</f>
        <v>...</v>
      </c>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row>
    <row r="152" spans="1:59" x14ac:dyDescent="0.25">
      <c r="A152" s="1" t="str">
        <f>IF($C$16="Y",'Population Definitions'!$A$13,"...")</f>
        <v>...</v>
      </c>
      <c r="B152" s="4" t="str">
        <f>IF($C$16="Y","---&gt;","...")</f>
        <v>...</v>
      </c>
      <c r="C152" s="1" t="str">
        <f>IF($C$16="Y",'Population Definitions'!$A$3,"...")</f>
        <v>...</v>
      </c>
      <c r="E152" s="2"/>
      <c r="F152" s="3"/>
      <c r="G152" s="2"/>
      <c r="H152" s="4" t="str">
        <f>IF($C$16="Y","OR","...")</f>
        <v>...</v>
      </c>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row>
    <row r="153" spans="1:59" x14ac:dyDescent="0.25">
      <c r="A153" s="1" t="str">
        <f>IF($D$16="Y",'Population Definitions'!$A$13,"...")</f>
        <v>...</v>
      </c>
      <c r="B153" s="4" t="str">
        <f>IF($D$16="Y","---&gt;","...")</f>
        <v>...</v>
      </c>
      <c r="C153" s="1" t="str">
        <f>IF($D$16="Y",'Population Definitions'!$A$4,"...")</f>
        <v>...</v>
      </c>
      <c r="E153" s="2"/>
      <c r="F153" s="3"/>
      <c r="G153" s="2"/>
      <c r="H153" s="4" t="str">
        <f>IF($D$16="Y","OR","...")</f>
        <v>...</v>
      </c>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row>
    <row r="154" spans="1:59" x14ac:dyDescent="0.25">
      <c r="A154" s="1" t="str">
        <f>IF($E$16="Y",'Population Definitions'!$A$13,"...")</f>
        <v>...</v>
      </c>
      <c r="B154" s="4" t="str">
        <f>IF($E$16="Y","---&gt;","...")</f>
        <v>...</v>
      </c>
      <c r="C154" s="1" t="str">
        <f>IF($E$16="Y",'Population Definitions'!$A$5,"...")</f>
        <v>...</v>
      </c>
      <c r="E154" s="2"/>
      <c r="F154" s="3"/>
      <c r="G154" s="2"/>
      <c r="H154" s="4" t="str">
        <f>IF($E$16="Y","OR","...")</f>
        <v>...</v>
      </c>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row>
    <row r="155" spans="1:59" x14ac:dyDescent="0.25">
      <c r="A155" s="1" t="str">
        <f>IF($F$16="Y",'Population Definitions'!$A$13,"...")</f>
        <v>...</v>
      </c>
      <c r="B155" s="4" t="str">
        <f>IF($F$16="Y","---&gt;","...")</f>
        <v>...</v>
      </c>
      <c r="C155" s="1" t="str">
        <f>IF($F$16="Y",'Population Definitions'!$A$6,"...")</f>
        <v>...</v>
      </c>
      <c r="E155" s="2"/>
      <c r="F155" s="3"/>
      <c r="G155" s="2"/>
      <c r="H155" s="4" t="str">
        <f>IF($F$16="Y","OR","...")</f>
        <v>...</v>
      </c>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row>
    <row r="156" spans="1:59" x14ac:dyDescent="0.25">
      <c r="A156" s="1" t="str">
        <f>IF($G$16="Y",'Population Definitions'!$A$13,"...")</f>
        <v>...</v>
      </c>
      <c r="B156" s="4" t="str">
        <f>IF($G$16="Y","---&gt;","...")</f>
        <v>...</v>
      </c>
      <c r="C156" s="1" t="str">
        <f>IF($G$16="Y",'Population Definitions'!$A$7,"...")</f>
        <v>...</v>
      </c>
      <c r="E156" s="2"/>
      <c r="F156" s="3"/>
      <c r="G156" s="2"/>
      <c r="H156" s="4" t="str">
        <f>IF($G$16="Y","OR","...")</f>
        <v>...</v>
      </c>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row>
    <row r="157" spans="1:59" x14ac:dyDescent="0.25">
      <c r="A157" s="1" t="str">
        <f>IF($H$16="Y",'Population Definitions'!$A$13,"...")</f>
        <v>...</v>
      </c>
      <c r="B157" s="4" t="str">
        <f>IF($H$16="Y","---&gt;","...")</f>
        <v>...</v>
      </c>
      <c r="C157" s="1" t="str">
        <f>IF($H$16="Y",'Population Definitions'!$A$8,"...")</f>
        <v>...</v>
      </c>
      <c r="E157" s="2"/>
      <c r="F157" s="3"/>
      <c r="G157" s="2"/>
      <c r="H157" s="4" t="str">
        <f>IF($H$16="Y","OR","...")</f>
        <v>...</v>
      </c>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row>
    <row r="158" spans="1:59" x14ac:dyDescent="0.25">
      <c r="A158" s="1" t="str">
        <f>IF($I$16="Y",'Population Definitions'!$A$13,"...")</f>
        <v>...</v>
      </c>
      <c r="B158" s="4" t="str">
        <f>IF($I$16="Y","---&gt;","...")</f>
        <v>...</v>
      </c>
      <c r="C158" s="1" t="str">
        <f>IF($I$16="Y",'Population Definitions'!$A$9,"...")</f>
        <v>...</v>
      </c>
      <c r="E158" s="2"/>
      <c r="F158" s="3"/>
      <c r="G158" s="2"/>
      <c r="H158" s="4" t="str">
        <f>IF($I$16="Y","OR","...")</f>
        <v>...</v>
      </c>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row>
    <row r="159" spans="1:59" x14ac:dyDescent="0.25">
      <c r="A159" s="1" t="str">
        <f>IF($J$16="Y",'Population Definitions'!$A$13,"...")</f>
        <v>...</v>
      </c>
      <c r="B159" s="4" t="str">
        <f>IF($J$16="Y","---&gt;","...")</f>
        <v>...</v>
      </c>
      <c r="C159" s="1" t="str">
        <f>IF($J$16="Y",'Population Definitions'!$A$10,"...")</f>
        <v>...</v>
      </c>
      <c r="E159" s="2"/>
      <c r="F159" s="3"/>
      <c r="G159" s="2"/>
      <c r="H159" s="4" t="str">
        <f>IF($J$16="Y","OR","...")</f>
        <v>...</v>
      </c>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row>
    <row r="160" spans="1:59" x14ac:dyDescent="0.25">
      <c r="A160" s="1" t="str">
        <f>IF($K$16="Y",'Population Definitions'!$A$13,"...")</f>
        <v>...</v>
      </c>
      <c r="B160" s="4" t="str">
        <f>IF($K$16="Y","---&gt;","...")</f>
        <v>...</v>
      </c>
      <c r="C160" s="1" t="str">
        <f>IF($K$16="Y",'Population Definitions'!$A$11,"...")</f>
        <v>...</v>
      </c>
      <c r="E160" s="2"/>
      <c r="F160" s="3"/>
      <c r="G160" s="2"/>
      <c r="H160" s="4" t="str">
        <f>IF($K$16="Y","OR","...")</f>
        <v>...</v>
      </c>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row>
    <row r="161" spans="1:59" x14ac:dyDescent="0.25">
      <c r="A161" s="1" t="str">
        <f>IF($L$16="Y",'Population Definitions'!$A$13,"...")</f>
        <v>...</v>
      </c>
      <c r="B161" s="4" t="str">
        <f>IF($L$16="Y","---&gt;","...")</f>
        <v>...</v>
      </c>
      <c r="C161" s="1" t="str">
        <f>IF($L$16="Y",'Population Definitions'!$A$12,"...")</f>
        <v>...</v>
      </c>
      <c r="E161" s="2"/>
      <c r="F161" s="3"/>
      <c r="G161" s="2"/>
      <c r="H161" s="4" t="str">
        <f>IF($L$16="Y","OR","...")</f>
        <v>...</v>
      </c>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row>
    <row r="162" spans="1:59" x14ac:dyDescent="0.25">
      <c r="A162" s="1" t="str">
        <f>IF($M$16="Y",'Population Definitions'!$A$13,"...")</f>
        <v>...</v>
      </c>
      <c r="B162" s="4" t="str">
        <f>IF($M$16="Y","---&gt;","...")</f>
        <v>...</v>
      </c>
      <c r="C162" s="1" t="str">
        <f>IF($M$16="Y",'Population Definitions'!$A$13,"...")</f>
        <v>...</v>
      </c>
      <c r="E162" s="2"/>
      <c r="F162" s="3"/>
      <c r="G162" s="2"/>
      <c r="H162" s="4" t="str">
        <f>IF($M$16="Y","OR","...")</f>
        <v>...</v>
      </c>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row>
    <row r="164" spans="1:59" x14ac:dyDescent="0.25">
      <c r="A164" s="1" t="s">
        <v>0</v>
      </c>
      <c r="B164" s="1" t="s">
        <v>1</v>
      </c>
      <c r="C164" s="1" t="s">
        <v>223</v>
      </c>
      <c r="D164" s="1" t="s">
        <v>224</v>
      </c>
    </row>
    <row r="165" spans="1:59" x14ac:dyDescent="0.25">
      <c r="A165" t="s">
        <v>232</v>
      </c>
      <c r="B165" t="s">
        <v>233</v>
      </c>
      <c r="C165" t="s">
        <v>5</v>
      </c>
      <c r="D165" t="s">
        <v>5</v>
      </c>
    </row>
    <row r="167" spans="1:59" x14ac:dyDescent="0.25">
      <c r="B167" s="1" t="str">
        <f>'Population Definitions'!$A$2</f>
        <v>PWID_males</v>
      </c>
      <c r="C167" s="1" t="str">
        <f>'Population Definitions'!$A$3</f>
        <v>PWID_females</v>
      </c>
      <c r="D167" s="1" t="str">
        <f>'Population Definitions'!$A$4</f>
        <v>0-9_males</v>
      </c>
      <c r="E167" s="1" t="str">
        <f>'Population Definitions'!$A$5</f>
        <v>0-9_females</v>
      </c>
      <c r="F167" s="1" t="str">
        <f>'Population Definitions'!$A$6</f>
        <v>10-17_males</v>
      </c>
      <c r="G167" s="1" t="str">
        <f>'Population Definitions'!$A$7</f>
        <v>10-17_females</v>
      </c>
      <c r="H167" s="1" t="str">
        <f>'Population Definitions'!$A$8</f>
        <v>18-64_males</v>
      </c>
      <c r="I167" s="1" t="str">
        <f>'Population Definitions'!$A$9</f>
        <v>18-64_females</v>
      </c>
      <c r="J167" s="1" t="str">
        <f>'Population Definitions'!$A$10</f>
        <v>65+_males</v>
      </c>
      <c r="K167" s="1" t="str">
        <f>'Population Definitions'!$A$11</f>
        <v>65+_females</v>
      </c>
      <c r="L167" s="1" t="str">
        <f>'Population Definitions'!$A$12</f>
        <v>Prisoners_males</v>
      </c>
      <c r="M167" s="1" t="str">
        <f>'Population Definitions'!$A$13</f>
        <v>Prisoners_females</v>
      </c>
    </row>
    <row r="168" spans="1:59" x14ac:dyDescent="0.25">
      <c r="A168" s="1" t="str">
        <f>'Population Definitions'!$A$2</f>
        <v>PWID_males</v>
      </c>
      <c r="B168" s="4" t="s">
        <v>56</v>
      </c>
      <c r="C168" s="5" t="s">
        <v>226</v>
      </c>
      <c r="D168" s="5" t="s">
        <v>226</v>
      </c>
      <c r="E168" s="5" t="s">
        <v>226</v>
      </c>
      <c r="F168" s="5" t="s">
        <v>226</v>
      </c>
      <c r="G168" s="5" t="s">
        <v>226</v>
      </c>
      <c r="H168" s="5" t="s">
        <v>225</v>
      </c>
      <c r="I168" s="5" t="s">
        <v>226</v>
      </c>
      <c r="J168" s="5" t="s">
        <v>226</v>
      </c>
      <c r="K168" s="5" t="s">
        <v>226</v>
      </c>
      <c r="L168" s="5" t="s">
        <v>226</v>
      </c>
      <c r="M168" s="5" t="s">
        <v>226</v>
      </c>
    </row>
    <row r="169" spans="1:59" x14ac:dyDescent="0.25">
      <c r="A169" s="1" t="str">
        <f>'Population Definitions'!$A$3</f>
        <v>PWID_females</v>
      </c>
      <c r="B169" s="5" t="s">
        <v>226</v>
      </c>
      <c r="C169" s="4" t="s">
        <v>56</v>
      </c>
      <c r="D169" s="5" t="s">
        <v>226</v>
      </c>
      <c r="E169" s="5" t="s">
        <v>226</v>
      </c>
      <c r="F169" s="5" t="s">
        <v>226</v>
      </c>
      <c r="G169" s="5" t="s">
        <v>226</v>
      </c>
      <c r="H169" s="5" t="s">
        <v>226</v>
      </c>
      <c r="I169" s="5" t="s">
        <v>225</v>
      </c>
      <c r="J169" s="5" t="s">
        <v>226</v>
      </c>
      <c r="K169" s="5" t="s">
        <v>226</v>
      </c>
      <c r="L169" s="5" t="s">
        <v>226</v>
      </c>
      <c r="M169" s="5" t="s">
        <v>226</v>
      </c>
    </row>
    <row r="170" spans="1:59" x14ac:dyDescent="0.25">
      <c r="A170" s="1" t="str">
        <f>'Population Definitions'!$A$4</f>
        <v>0-9_males</v>
      </c>
      <c r="B170" s="5" t="s">
        <v>226</v>
      </c>
      <c r="C170" s="5" t="s">
        <v>226</v>
      </c>
      <c r="D170" s="4" t="s">
        <v>56</v>
      </c>
      <c r="E170" s="5" t="s">
        <v>226</v>
      </c>
      <c r="F170" s="5" t="s">
        <v>226</v>
      </c>
      <c r="G170" s="5" t="s">
        <v>226</v>
      </c>
      <c r="H170" s="5" t="s">
        <v>226</v>
      </c>
      <c r="I170" s="5" t="s">
        <v>226</v>
      </c>
      <c r="J170" s="5" t="s">
        <v>226</v>
      </c>
      <c r="K170" s="5" t="s">
        <v>226</v>
      </c>
      <c r="L170" s="5" t="s">
        <v>226</v>
      </c>
      <c r="M170" s="5" t="s">
        <v>226</v>
      </c>
    </row>
    <row r="171" spans="1:59" x14ac:dyDescent="0.25">
      <c r="A171" s="1" t="str">
        <f>'Population Definitions'!$A$5</f>
        <v>0-9_females</v>
      </c>
      <c r="B171" s="5" t="s">
        <v>226</v>
      </c>
      <c r="C171" s="5" t="s">
        <v>226</v>
      </c>
      <c r="D171" s="5" t="s">
        <v>226</v>
      </c>
      <c r="E171" s="4" t="s">
        <v>56</v>
      </c>
      <c r="F171" s="5" t="s">
        <v>226</v>
      </c>
      <c r="G171" s="5" t="s">
        <v>226</v>
      </c>
      <c r="H171" s="5" t="s">
        <v>226</v>
      </c>
      <c r="I171" s="5" t="s">
        <v>226</v>
      </c>
      <c r="J171" s="5" t="s">
        <v>226</v>
      </c>
      <c r="K171" s="5" t="s">
        <v>226</v>
      </c>
      <c r="L171" s="5" t="s">
        <v>226</v>
      </c>
      <c r="M171" s="5" t="s">
        <v>226</v>
      </c>
    </row>
    <row r="172" spans="1:59" x14ac:dyDescent="0.25">
      <c r="A172" s="1" t="str">
        <f>'Population Definitions'!$A$6</f>
        <v>10-17_males</v>
      </c>
      <c r="B172" s="5" t="s">
        <v>226</v>
      </c>
      <c r="C172" s="5" t="s">
        <v>226</v>
      </c>
      <c r="D172" s="5" t="s">
        <v>226</v>
      </c>
      <c r="E172" s="5" t="s">
        <v>226</v>
      </c>
      <c r="F172" s="4" t="s">
        <v>56</v>
      </c>
      <c r="G172" s="5" t="s">
        <v>226</v>
      </c>
      <c r="H172" s="5" t="s">
        <v>226</v>
      </c>
      <c r="I172" s="5" t="s">
        <v>226</v>
      </c>
      <c r="J172" s="5" t="s">
        <v>226</v>
      </c>
      <c r="K172" s="5" t="s">
        <v>226</v>
      </c>
      <c r="L172" s="5" t="s">
        <v>226</v>
      </c>
      <c r="M172" s="5" t="s">
        <v>226</v>
      </c>
    </row>
    <row r="173" spans="1:59" x14ac:dyDescent="0.25">
      <c r="A173" s="1" t="str">
        <f>'Population Definitions'!$A$7</f>
        <v>10-17_females</v>
      </c>
      <c r="B173" s="5" t="s">
        <v>226</v>
      </c>
      <c r="C173" s="5" t="s">
        <v>226</v>
      </c>
      <c r="D173" s="5" t="s">
        <v>226</v>
      </c>
      <c r="E173" s="5" t="s">
        <v>226</v>
      </c>
      <c r="F173" s="5" t="s">
        <v>226</v>
      </c>
      <c r="G173" s="4" t="s">
        <v>56</v>
      </c>
      <c r="H173" s="5" t="s">
        <v>226</v>
      </c>
      <c r="I173" s="5" t="s">
        <v>226</v>
      </c>
      <c r="J173" s="5" t="s">
        <v>226</v>
      </c>
      <c r="K173" s="5" t="s">
        <v>226</v>
      </c>
      <c r="L173" s="5" t="s">
        <v>226</v>
      </c>
      <c r="M173" s="5" t="s">
        <v>226</v>
      </c>
    </row>
    <row r="174" spans="1:59" x14ac:dyDescent="0.25">
      <c r="A174" s="1" t="str">
        <f>'Population Definitions'!$A$8</f>
        <v>18-64_males</v>
      </c>
      <c r="B174" s="5" t="s">
        <v>225</v>
      </c>
      <c r="C174" s="5" t="s">
        <v>226</v>
      </c>
      <c r="D174" s="5" t="s">
        <v>226</v>
      </c>
      <c r="E174" s="5" t="s">
        <v>226</v>
      </c>
      <c r="F174" s="5" t="s">
        <v>226</v>
      </c>
      <c r="G174" s="5" t="s">
        <v>226</v>
      </c>
      <c r="H174" s="4" t="s">
        <v>56</v>
      </c>
      <c r="I174" s="5" t="s">
        <v>226</v>
      </c>
      <c r="J174" s="5" t="s">
        <v>226</v>
      </c>
      <c r="K174" s="5" t="s">
        <v>226</v>
      </c>
      <c r="L174" s="5" t="s">
        <v>226</v>
      </c>
      <c r="M174" s="5" t="s">
        <v>226</v>
      </c>
    </row>
    <row r="175" spans="1:59" x14ac:dyDescent="0.25">
      <c r="A175" s="1" t="str">
        <f>'Population Definitions'!$A$9</f>
        <v>18-64_females</v>
      </c>
      <c r="B175" s="5" t="s">
        <v>226</v>
      </c>
      <c r="C175" s="5" t="s">
        <v>225</v>
      </c>
      <c r="D175" s="5" t="s">
        <v>226</v>
      </c>
      <c r="E175" s="5" t="s">
        <v>226</v>
      </c>
      <c r="F175" s="5" t="s">
        <v>226</v>
      </c>
      <c r="G175" s="5" t="s">
        <v>226</v>
      </c>
      <c r="H175" s="5" t="s">
        <v>226</v>
      </c>
      <c r="I175" s="4" t="s">
        <v>56</v>
      </c>
      <c r="J175" s="5" t="s">
        <v>226</v>
      </c>
      <c r="K175" s="5" t="s">
        <v>226</v>
      </c>
      <c r="L175" s="5" t="s">
        <v>226</v>
      </c>
      <c r="M175" s="5" t="s">
        <v>226</v>
      </c>
    </row>
    <row r="176" spans="1:59" x14ac:dyDescent="0.25">
      <c r="A176" s="1" t="str">
        <f>'Population Definitions'!$A$10</f>
        <v>65+_males</v>
      </c>
      <c r="B176" s="5" t="s">
        <v>226</v>
      </c>
      <c r="C176" s="5" t="s">
        <v>226</v>
      </c>
      <c r="D176" s="5" t="s">
        <v>226</v>
      </c>
      <c r="E176" s="5" t="s">
        <v>226</v>
      </c>
      <c r="F176" s="5" t="s">
        <v>226</v>
      </c>
      <c r="G176" s="5" t="s">
        <v>226</v>
      </c>
      <c r="H176" s="5" t="s">
        <v>226</v>
      </c>
      <c r="I176" s="5" t="s">
        <v>226</v>
      </c>
      <c r="J176" s="4" t="s">
        <v>56</v>
      </c>
      <c r="K176" s="5" t="s">
        <v>226</v>
      </c>
      <c r="L176" s="5" t="s">
        <v>226</v>
      </c>
      <c r="M176" s="5" t="s">
        <v>226</v>
      </c>
    </row>
    <row r="177" spans="1:59" x14ac:dyDescent="0.25">
      <c r="A177" s="1" t="str">
        <f>'Population Definitions'!$A$11</f>
        <v>65+_females</v>
      </c>
      <c r="B177" s="5" t="s">
        <v>226</v>
      </c>
      <c r="C177" s="5" t="s">
        <v>226</v>
      </c>
      <c r="D177" s="5" t="s">
        <v>226</v>
      </c>
      <c r="E177" s="5" t="s">
        <v>226</v>
      </c>
      <c r="F177" s="5" t="s">
        <v>226</v>
      </c>
      <c r="G177" s="5" t="s">
        <v>226</v>
      </c>
      <c r="H177" s="5" t="s">
        <v>226</v>
      </c>
      <c r="I177" s="5" t="s">
        <v>226</v>
      </c>
      <c r="J177" s="5" t="s">
        <v>226</v>
      </c>
      <c r="K177" s="4" t="s">
        <v>56</v>
      </c>
      <c r="L177" s="5" t="s">
        <v>226</v>
      </c>
      <c r="M177" s="5" t="s">
        <v>226</v>
      </c>
    </row>
    <row r="178" spans="1:59" x14ac:dyDescent="0.25">
      <c r="A178" s="1" t="str">
        <f>'Population Definitions'!$A$12</f>
        <v>Prisoners_males</v>
      </c>
      <c r="B178" s="5" t="s">
        <v>226</v>
      </c>
      <c r="C178" s="5" t="s">
        <v>226</v>
      </c>
      <c r="D178" s="5" t="s">
        <v>226</v>
      </c>
      <c r="E178" s="5" t="s">
        <v>226</v>
      </c>
      <c r="F178" s="5" t="s">
        <v>226</v>
      </c>
      <c r="G178" s="5" t="s">
        <v>226</v>
      </c>
      <c r="H178" s="5" t="s">
        <v>226</v>
      </c>
      <c r="I178" s="5" t="s">
        <v>226</v>
      </c>
      <c r="J178" s="5" t="s">
        <v>226</v>
      </c>
      <c r="K178" s="5" t="s">
        <v>226</v>
      </c>
      <c r="L178" s="4" t="s">
        <v>56</v>
      </c>
      <c r="M178" s="5" t="s">
        <v>226</v>
      </c>
    </row>
    <row r="179" spans="1:59" x14ac:dyDescent="0.25">
      <c r="A179" s="1" t="str">
        <f>'Population Definitions'!$A$13</f>
        <v>Prisoners_females</v>
      </c>
      <c r="B179" s="5" t="s">
        <v>226</v>
      </c>
      <c r="C179" s="5" t="s">
        <v>226</v>
      </c>
      <c r="D179" s="5" t="s">
        <v>226</v>
      </c>
      <c r="E179" s="5" t="s">
        <v>226</v>
      </c>
      <c r="F179" s="5" t="s">
        <v>226</v>
      </c>
      <c r="G179" s="5" t="s">
        <v>226</v>
      </c>
      <c r="H179" s="5" t="s">
        <v>226</v>
      </c>
      <c r="I179" s="5" t="s">
        <v>226</v>
      </c>
      <c r="J179" s="5" t="s">
        <v>226</v>
      </c>
      <c r="K179" s="5" t="s">
        <v>226</v>
      </c>
      <c r="L179" s="5" t="s">
        <v>226</v>
      </c>
      <c r="M179" s="4" t="s">
        <v>56</v>
      </c>
    </row>
    <row r="181" spans="1:59" x14ac:dyDescent="0.25">
      <c r="A181" s="1" t="s">
        <v>227</v>
      </c>
      <c r="B181" s="1"/>
      <c r="C181" s="1" t="s">
        <v>228</v>
      </c>
      <c r="D181" s="1" t="s">
        <v>29</v>
      </c>
      <c r="E181" s="1" t="s">
        <v>30</v>
      </c>
      <c r="F181" s="1" t="s">
        <v>31</v>
      </c>
      <c r="G181" s="1" t="s">
        <v>36</v>
      </c>
      <c r="H181" s="1"/>
      <c r="I181" s="1">
        <v>2000</v>
      </c>
      <c r="J181" s="1">
        <v>2001</v>
      </c>
      <c r="K181" s="1">
        <v>2002</v>
      </c>
      <c r="L181" s="1">
        <v>2003</v>
      </c>
      <c r="M181" s="1">
        <v>2004</v>
      </c>
      <c r="N181" s="1">
        <v>2005</v>
      </c>
      <c r="O181" s="1">
        <v>2006</v>
      </c>
      <c r="P181" s="1">
        <v>2007</v>
      </c>
      <c r="Q181" s="1">
        <v>2008</v>
      </c>
      <c r="R181" s="1">
        <v>2009</v>
      </c>
      <c r="S181" s="1">
        <v>2010</v>
      </c>
      <c r="T181" s="1">
        <v>2011</v>
      </c>
      <c r="U181" s="1">
        <v>2012</v>
      </c>
      <c r="V181" s="1">
        <v>2013</v>
      </c>
      <c r="W181" s="1">
        <v>2014</v>
      </c>
      <c r="X181" s="1">
        <v>2015</v>
      </c>
      <c r="Y181" s="1">
        <v>2016</v>
      </c>
      <c r="Z181" s="1">
        <v>2017</v>
      </c>
      <c r="AA181" s="1">
        <v>2018</v>
      </c>
      <c r="AB181" s="1">
        <v>2019</v>
      </c>
      <c r="AC181" s="1">
        <v>2020</v>
      </c>
      <c r="AD181" s="1">
        <v>2021</v>
      </c>
      <c r="AE181" s="1">
        <v>2022</v>
      </c>
      <c r="AF181" s="1">
        <v>2023</v>
      </c>
      <c r="AG181" s="1">
        <v>2024</v>
      </c>
      <c r="AH181" s="1">
        <v>2025</v>
      </c>
      <c r="AI181" s="1">
        <v>2026</v>
      </c>
      <c r="AJ181" s="1">
        <v>2027</v>
      </c>
      <c r="AK181" s="1">
        <v>2028</v>
      </c>
      <c r="AL181" s="1">
        <v>2029</v>
      </c>
      <c r="AM181" s="1">
        <v>2030</v>
      </c>
      <c r="AN181" s="1">
        <v>2031</v>
      </c>
      <c r="AO181" s="1">
        <v>2032</v>
      </c>
      <c r="AP181" s="1">
        <v>2033</v>
      </c>
      <c r="AQ181" s="1">
        <v>2034</v>
      </c>
      <c r="AR181" s="1">
        <v>2035</v>
      </c>
      <c r="AS181" s="1">
        <v>2036</v>
      </c>
      <c r="AT181" s="1">
        <v>2037</v>
      </c>
      <c r="AU181" s="1">
        <v>2038</v>
      </c>
      <c r="AV181" s="1">
        <v>2039</v>
      </c>
      <c r="AW181" s="1">
        <v>2040</v>
      </c>
      <c r="AX181" s="1">
        <v>2041</v>
      </c>
      <c r="AY181" s="1">
        <v>2042</v>
      </c>
      <c r="AZ181" s="1">
        <v>2043</v>
      </c>
      <c r="BA181" s="1">
        <v>2044</v>
      </c>
      <c r="BB181" s="1">
        <v>2045</v>
      </c>
      <c r="BC181" s="1">
        <v>2046</v>
      </c>
      <c r="BD181" s="1">
        <v>2047</v>
      </c>
      <c r="BE181" s="1">
        <v>2048</v>
      </c>
      <c r="BF181" s="1">
        <v>2049</v>
      </c>
      <c r="BG181" s="1">
        <v>2050</v>
      </c>
    </row>
    <row r="182" spans="1:59" x14ac:dyDescent="0.25">
      <c r="A182" s="1" t="str">
        <f>IF($B$168="Y",'Population Definitions'!$A$2,"...")</f>
        <v>...</v>
      </c>
      <c r="B182" s="4" t="str">
        <f>IF($B$168="Y","---&gt;","...")</f>
        <v>...</v>
      </c>
      <c r="C182" s="1" t="str">
        <f>IF($B$168="Y",'Population Definitions'!$A$2,"...")</f>
        <v>...</v>
      </c>
      <c r="E182" s="2"/>
      <c r="F182" s="3"/>
      <c r="G182" s="2"/>
      <c r="H182" s="4" t="str">
        <f>IF($B$168="Y","OR","...")</f>
        <v>...</v>
      </c>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row>
    <row r="183" spans="1:59" x14ac:dyDescent="0.25">
      <c r="A183" s="1" t="str">
        <f>IF($C$168="Y",'Population Definitions'!$A$2,"...")</f>
        <v>...</v>
      </c>
      <c r="B183" s="4" t="str">
        <f>IF($C$168="Y","---&gt;","...")</f>
        <v>...</v>
      </c>
      <c r="C183" s="1" t="str">
        <f>IF($C$168="Y",'Population Definitions'!$A$3,"...")</f>
        <v>...</v>
      </c>
      <c r="E183" s="2"/>
      <c r="F183" s="3"/>
      <c r="G183" s="2"/>
      <c r="H183" s="4" t="str">
        <f>IF($C$168="Y","OR","...")</f>
        <v>...</v>
      </c>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row>
    <row r="184" spans="1:59" x14ac:dyDescent="0.25">
      <c r="A184" s="1" t="str">
        <f>IF($D$168="Y",'Population Definitions'!$A$2,"...")</f>
        <v>...</v>
      </c>
      <c r="B184" s="4" t="str">
        <f>IF($D$168="Y","---&gt;","...")</f>
        <v>...</v>
      </c>
      <c r="C184" s="1" t="str">
        <f>IF($D$168="Y",'Population Definitions'!$A$4,"...")</f>
        <v>...</v>
      </c>
      <c r="E184" s="2"/>
      <c r="F184" s="3"/>
      <c r="G184" s="2"/>
      <c r="H184" s="4" t="str">
        <f>IF($D$168="Y","OR","...")</f>
        <v>...</v>
      </c>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row>
    <row r="185" spans="1:59" x14ac:dyDescent="0.25">
      <c r="A185" s="1" t="str">
        <f>IF($E$168="Y",'Population Definitions'!$A$2,"...")</f>
        <v>...</v>
      </c>
      <c r="B185" s="4" t="str">
        <f>IF($E$168="Y","---&gt;","...")</f>
        <v>...</v>
      </c>
      <c r="C185" s="1" t="str">
        <f>IF($E$168="Y",'Population Definitions'!$A$5,"...")</f>
        <v>...</v>
      </c>
      <c r="E185" s="2"/>
      <c r="F185" s="3"/>
      <c r="G185" s="2"/>
      <c r="H185" s="4" t="str">
        <f>IF($E$168="Y","OR","...")</f>
        <v>...</v>
      </c>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row>
    <row r="186" spans="1:59" x14ac:dyDescent="0.25">
      <c r="A186" s="1" t="str">
        <f>IF($F$168="Y",'Population Definitions'!$A$2,"...")</f>
        <v>...</v>
      </c>
      <c r="B186" s="4" t="str">
        <f>IF($F$168="Y","---&gt;","...")</f>
        <v>...</v>
      </c>
      <c r="C186" s="1" t="str">
        <f>IF($F$168="Y",'Population Definitions'!$A$6,"...")</f>
        <v>...</v>
      </c>
      <c r="E186" s="2"/>
      <c r="F186" s="3"/>
      <c r="G186" s="2"/>
      <c r="H186" s="4" t="str">
        <f>IF($F$168="Y","OR","...")</f>
        <v>...</v>
      </c>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row>
    <row r="187" spans="1:59" x14ac:dyDescent="0.25">
      <c r="A187" s="1" t="str">
        <f>IF($G$168="Y",'Population Definitions'!$A$2,"...")</f>
        <v>...</v>
      </c>
      <c r="B187" s="4" t="str">
        <f>IF($G$168="Y","---&gt;","...")</f>
        <v>...</v>
      </c>
      <c r="C187" s="1" t="str">
        <f>IF($G$168="Y",'Population Definitions'!$A$7,"...")</f>
        <v>...</v>
      </c>
      <c r="E187" s="2"/>
      <c r="F187" s="3"/>
      <c r="G187" s="2"/>
      <c r="H187" s="4" t="str">
        <f>IF($G$168="Y","OR","...")</f>
        <v>...</v>
      </c>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row>
    <row r="188" spans="1:59" x14ac:dyDescent="0.25">
      <c r="A188" s="1" t="str">
        <f>IF($H$168="Y",'Population Definitions'!$A$2,"...")</f>
        <v>PWID_males</v>
      </c>
      <c r="B188" s="4" t="str">
        <f>IF($H$168="Y","---&gt;","...")</f>
        <v>---&gt;</v>
      </c>
      <c r="C188" s="1" t="str">
        <f>IF($H$168="Y",'Population Definitions'!$A$8,"...")</f>
        <v>18-64_males</v>
      </c>
      <c r="E188" s="3" t="s">
        <v>53</v>
      </c>
      <c r="F188" s="3"/>
      <c r="G188" s="3">
        <v>5.8823529411764712E-2</v>
      </c>
      <c r="H188" s="4" t="str">
        <f>IF($H$168="Y","OR","...")</f>
        <v>OR</v>
      </c>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row>
    <row r="189" spans="1:59" x14ac:dyDescent="0.25">
      <c r="A189" s="1" t="str">
        <f>IF($I$168="Y",'Population Definitions'!$A$2,"...")</f>
        <v>...</v>
      </c>
      <c r="B189" s="4" t="str">
        <f>IF($I$168="Y","---&gt;","...")</f>
        <v>...</v>
      </c>
      <c r="C189" s="1" t="str">
        <f>IF($I$168="Y",'Population Definitions'!$A$9,"...")</f>
        <v>...</v>
      </c>
      <c r="E189" s="2"/>
      <c r="F189" s="3"/>
      <c r="G189" s="2"/>
      <c r="H189" s="4" t="str">
        <f>IF($I$168="Y","OR","...")</f>
        <v>...</v>
      </c>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row>
    <row r="190" spans="1:59" x14ac:dyDescent="0.25">
      <c r="A190" s="1" t="str">
        <f>IF($J$168="Y",'Population Definitions'!$A$2,"...")</f>
        <v>...</v>
      </c>
      <c r="B190" s="4" t="str">
        <f>IF($J$168="Y","---&gt;","...")</f>
        <v>...</v>
      </c>
      <c r="C190" s="1" t="str">
        <f>IF($J$168="Y",'Population Definitions'!$A$10,"...")</f>
        <v>...</v>
      </c>
      <c r="E190" s="2"/>
      <c r="F190" s="3"/>
      <c r="G190" s="2"/>
      <c r="H190" s="4" t="str">
        <f>IF($J$168="Y","OR","...")</f>
        <v>...</v>
      </c>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row>
    <row r="191" spans="1:59" x14ac:dyDescent="0.25">
      <c r="A191" s="1" t="str">
        <f>IF($K$168="Y",'Population Definitions'!$A$2,"...")</f>
        <v>...</v>
      </c>
      <c r="B191" s="4" t="str">
        <f>IF($K$168="Y","---&gt;","...")</f>
        <v>...</v>
      </c>
      <c r="C191" s="1" t="str">
        <f>IF($K$168="Y",'Population Definitions'!$A$11,"...")</f>
        <v>...</v>
      </c>
      <c r="E191" s="2"/>
      <c r="F191" s="3"/>
      <c r="G191" s="2"/>
      <c r="H191" s="4" t="str">
        <f>IF($K$168="Y","OR","...")</f>
        <v>...</v>
      </c>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row>
    <row r="192" spans="1:59" x14ac:dyDescent="0.25">
      <c r="A192" s="1" t="str">
        <f>IF($L$168="Y",'Population Definitions'!$A$2,"...")</f>
        <v>...</v>
      </c>
      <c r="B192" s="4" t="str">
        <f>IF($L$168="Y","---&gt;","...")</f>
        <v>...</v>
      </c>
      <c r="C192" s="1" t="str">
        <f>IF($L$168="Y",'Population Definitions'!$A$12,"...")</f>
        <v>...</v>
      </c>
      <c r="E192" s="2"/>
      <c r="F192" s="3"/>
      <c r="G192" s="2"/>
      <c r="H192" s="4" t="str">
        <f>IF($L$168="Y","OR","...")</f>
        <v>...</v>
      </c>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row>
    <row r="193" spans="1:59" x14ac:dyDescent="0.25">
      <c r="A193" s="1" t="str">
        <f>IF($M$168="Y",'Population Definitions'!$A$2,"...")</f>
        <v>...</v>
      </c>
      <c r="B193" s="4" t="str">
        <f>IF($M$168="Y","---&gt;","...")</f>
        <v>...</v>
      </c>
      <c r="C193" s="1" t="str">
        <f>IF($M$168="Y",'Population Definitions'!$A$13,"...")</f>
        <v>...</v>
      </c>
      <c r="E193" s="2"/>
      <c r="F193" s="3"/>
      <c r="G193" s="2"/>
      <c r="H193" s="4" t="str">
        <f>IF($M$168="Y","OR","...")</f>
        <v>...</v>
      </c>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row>
    <row r="194" spans="1:59" x14ac:dyDescent="0.25">
      <c r="A194" s="1" t="str">
        <f>IF($B$169="Y",'Population Definitions'!$A$3,"...")</f>
        <v>...</v>
      </c>
      <c r="B194" s="4" t="str">
        <f>IF($B$169="Y","---&gt;","...")</f>
        <v>...</v>
      </c>
      <c r="C194" s="1" t="str">
        <f>IF($B$169="Y",'Population Definitions'!$A$2,"...")</f>
        <v>...</v>
      </c>
      <c r="E194" s="2"/>
      <c r="F194" s="3"/>
      <c r="G194" s="2"/>
      <c r="H194" s="4" t="str">
        <f>IF($B$169="Y","OR","...")</f>
        <v>...</v>
      </c>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row>
    <row r="195" spans="1:59" x14ac:dyDescent="0.25">
      <c r="A195" s="1" t="str">
        <f>IF($C$169="Y",'Population Definitions'!$A$3,"...")</f>
        <v>...</v>
      </c>
      <c r="B195" s="4" t="str">
        <f>IF($C$169="Y","---&gt;","...")</f>
        <v>...</v>
      </c>
      <c r="C195" s="1" t="str">
        <f>IF($C$169="Y",'Population Definitions'!$A$3,"...")</f>
        <v>...</v>
      </c>
      <c r="E195" s="2"/>
      <c r="F195" s="3"/>
      <c r="G195" s="2"/>
      <c r="H195" s="4" t="str">
        <f>IF($C$169="Y","OR","...")</f>
        <v>...</v>
      </c>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row>
    <row r="196" spans="1:59" x14ac:dyDescent="0.25">
      <c r="A196" s="1" t="str">
        <f>IF($D$169="Y",'Population Definitions'!$A$3,"...")</f>
        <v>...</v>
      </c>
      <c r="B196" s="4" t="str">
        <f>IF($D$169="Y","---&gt;","...")</f>
        <v>...</v>
      </c>
      <c r="C196" s="1" t="str">
        <f>IF($D$169="Y",'Population Definitions'!$A$4,"...")</f>
        <v>...</v>
      </c>
      <c r="E196" s="2"/>
      <c r="F196" s="3"/>
      <c r="G196" s="2"/>
      <c r="H196" s="4" t="str">
        <f>IF($D$169="Y","OR","...")</f>
        <v>...</v>
      </c>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row>
    <row r="197" spans="1:59" x14ac:dyDescent="0.25">
      <c r="A197" s="1" t="str">
        <f>IF($E$169="Y",'Population Definitions'!$A$3,"...")</f>
        <v>...</v>
      </c>
      <c r="B197" s="4" t="str">
        <f>IF($E$169="Y","---&gt;","...")</f>
        <v>...</v>
      </c>
      <c r="C197" s="1" t="str">
        <f>IF($E$169="Y",'Population Definitions'!$A$5,"...")</f>
        <v>...</v>
      </c>
      <c r="E197" s="2"/>
      <c r="F197" s="3"/>
      <c r="G197" s="2"/>
      <c r="H197" s="4" t="str">
        <f>IF($E$169="Y","OR","...")</f>
        <v>...</v>
      </c>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row>
    <row r="198" spans="1:59" x14ac:dyDescent="0.25">
      <c r="A198" s="1" t="str">
        <f>IF($F$169="Y",'Population Definitions'!$A$3,"...")</f>
        <v>...</v>
      </c>
      <c r="B198" s="4" t="str">
        <f>IF($F$169="Y","---&gt;","...")</f>
        <v>...</v>
      </c>
      <c r="C198" s="1" t="str">
        <f>IF($F$169="Y",'Population Definitions'!$A$6,"...")</f>
        <v>...</v>
      </c>
      <c r="E198" s="2"/>
      <c r="F198" s="3"/>
      <c r="G198" s="2"/>
      <c r="H198" s="4" t="str">
        <f>IF($F$169="Y","OR","...")</f>
        <v>...</v>
      </c>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row>
    <row r="199" spans="1:59" x14ac:dyDescent="0.25">
      <c r="A199" s="1" t="str">
        <f>IF($G$169="Y",'Population Definitions'!$A$3,"...")</f>
        <v>...</v>
      </c>
      <c r="B199" s="4" t="str">
        <f>IF($G$169="Y","---&gt;","...")</f>
        <v>...</v>
      </c>
      <c r="C199" s="1" t="str">
        <f>IF($G$169="Y",'Population Definitions'!$A$7,"...")</f>
        <v>...</v>
      </c>
      <c r="E199" s="2"/>
      <c r="F199" s="3"/>
      <c r="G199" s="2"/>
      <c r="H199" s="4" t="str">
        <f>IF($G$169="Y","OR","...")</f>
        <v>...</v>
      </c>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row>
    <row r="200" spans="1:59" x14ac:dyDescent="0.25">
      <c r="A200" s="1" t="str">
        <f>IF($H$169="Y",'Population Definitions'!$A$3,"...")</f>
        <v>...</v>
      </c>
      <c r="B200" s="4" t="str">
        <f>IF($H$169="Y","---&gt;","...")</f>
        <v>...</v>
      </c>
      <c r="C200" s="1" t="str">
        <f>IF($H$169="Y",'Population Definitions'!$A$8,"...")</f>
        <v>...</v>
      </c>
      <c r="E200" s="2"/>
      <c r="F200" s="3"/>
      <c r="G200" s="2"/>
      <c r="H200" s="4" t="str">
        <f>IF($H$169="Y","OR","...")</f>
        <v>...</v>
      </c>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row>
    <row r="201" spans="1:59" x14ac:dyDescent="0.25">
      <c r="A201" s="1" t="str">
        <f>IF($I$169="Y",'Population Definitions'!$A$3,"...")</f>
        <v>PWID_females</v>
      </c>
      <c r="B201" s="4" t="str">
        <f>IF($I$169="Y","---&gt;","...")</f>
        <v>---&gt;</v>
      </c>
      <c r="C201" s="1" t="str">
        <f>IF($I$169="Y",'Population Definitions'!$A$9,"...")</f>
        <v>18-64_females</v>
      </c>
      <c r="E201" s="3" t="s">
        <v>53</v>
      </c>
      <c r="F201" s="3"/>
      <c r="G201" s="3">
        <v>5.8823529411764712E-2</v>
      </c>
      <c r="H201" s="4" t="str">
        <f>IF($I$169="Y","OR","...")</f>
        <v>OR</v>
      </c>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row>
    <row r="202" spans="1:59" x14ac:dyDescent="0.25">
      <c r="A202" s="1" t="str">
        <f>IF($J$169="Y",'Population Definitions'!$A$3,"...")</f>
        <v>...</v>
      </c>
      <c r="B202" s="4" t="str">
        <f>IF($J$169="Y","---&gt;","...")</f>
        <v>...</v>
      </c>
      <c r="C202" s="1" t="str">
        <f>IF($J$169="Y",'Population Definitions'!$A$10,"...")</f>
        <v>...</v>
      </c>
      <c r="E202" s="2"/>
      <c r="F202" s="3"/>
      <c r="G202" s="2"/>
      <c r="H202" s="4" t="str">
        <f>IF($J$169="Y","OR","...")</f>
        <v>...</v>
      </c>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row>
    <row r="203" spans="1:59" x14ac:dyDescent="0.25">
      <c r="A203" s="1" t="str">
        <f>IF($K$169="Y",'Population Definitions'!$A$3,"...")</f>
        <v>...</v>
      </c>
      <c r="B203" s="4" t="str">
        <f>IF($K$169="Y","---&gt;","...")</f>
        <v>...</v>
      </c>
      <c r="C203" s="1" t="str">
        <f>IF($K$169="Y",'Population Definitions'!$A$11,"...")</f>
        <v>...</v>
      </c>
      <c r="E203" s="2"/>
      <c r="F203" s="3"/>
      <c r="G203" s="2"/>
      <c r="H203" s="4" t="str">
        <f>IF($K$169="Y","OR","...")</f>
        <v>...</v>
      </c>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row>
    <row r="204" spans="1:59" x14ac:dyDescent="0.25">
      <c r="A204" s="1" t="str">
        <f>IF($L$169="Y",'Population Definitions'!$A$3,"...")</f>
        <v>...</v>
      </c>
      <c r="B204" s="4" t="str">
        <f>IF($L$169="Y","---&gt;","...")</f>
        <v>...</v>
      </c>
      <c r="C204" s="1" t="str">
        <f>IF($L$169="Y",'Population Definitions'!$A$12,"...")</f>
        <v>...</v>
      </c>
      <c r="E204" s="2"/>
      <c r="F204" s="3"/>
      <c r="G204" s="2"/>
      <c r="H204" s="4" t="str">
        <f>IF($L$169="Y","OR","...")</f>
        <v>...</v>
      </c>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row>
    <row r="205" spans="1:59" x14ac:dyDescent="0.25">
      <c r="A205" s="1" t="str">
        <f>IF($M$169="Y",'Population Definitions'!$A$3,"...")</f>
        <v>...</v>
      </c>
      <c r="B205" s="4" t="str">
        <f>IF($M$169="Y","---&gt;","...")</f>
        <v>...</v>
      </c>
      <c r="C205" s="1" t="str">
        <f>IF($M$169="Y",'Population Definitions'!$A$13,"...")</f>
        <v>...</v>
      </c>
      <c r="E205" s="2"/>
      <c r="F205" s="3"/>
      <c r="G205" s="2"/>
      <c r="H205" s="4" t="str">
        <f>IF($M$169="Y","OR","...")</f>
        <v>...</v>
      </c>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row>
    <row r="206" spans="1:59" x14ac:dyDescent="0.25">
      <c r="A206" s="1" t="str">
        <f>IF($B$170="Y",'Population Definitions'!$A$4,"...")</f>
        <v>...</v>
      </c>
      <c r="B206" s="4" t="str">
        <f>IF($B$170="Y","---&gt;","...")</f>
        <v>...</v>
      </c>
      <c r="C206" s="1" t="str">
        <f>IF($B$170="Y",'Population Definitions'!$A$2,"...")</f>
        <v>...</v>
      </c>
      <c r="E206" s="2"/>
      <c r="F206" s="3"/>
      <c r="G206" s="2"/>
      <c r="H206" s="4" t="str">
        <f>IF($B$170="Y","OR","...")</f>
        <v>...</v>
      </c>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row>
    <row r="207" spans="1:59" x14ac:dyDescent="0.25">
      <c r="A207" s="1" t="str">
        <f>IF($C$170="Y",'Population Definitions'!$A$4,"...")</f>
        <v>...</v>
      </c>
      <c r="B207" s="4" t="str">
        <f>IF($C$170="Y","---&gt;","...")</f>
        <v>...</v>
      </c>
      <c r="C207" s="1" t="str">
        <f>IF($C$170="Y",'Population Definitions'!$A$3,"...")</f>
        <v>...</v>
      </c>
      <c r="E207" s="2"/>
      <c r="F207" s="3"/>
      <c r="G207" s="2"/>
      <c r="H207" s="4" t="str">
        <f>IF($C$170="Y","OR","...")</f>
        <v>...</v>
      </c>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row>
    <row r="208" spans="1:59" x14ac:dyDescent="0.25">
      <c r="A208" s="1" t="str">
        <f>IF($D$170="Y",'Population Definitions'!$A$4,"...")</f>
        <v>...</v>
      </c>
      <c r="B208" s="4" t="str">
        <f>IF($D$170="Y","---&gt;","...")</f>
        <v>...</v>
      </c>
      <c r="C208" s="1" t="str">
        <f>IF($D$170="Y",'Population Definitions'!$A$4,"...")</f>
        <v>...</v>
      </c>
      <c r="E208" s="2"/>
      <c r="F208" s="3"/>
      <c r="G208" s="2"/>
      <c r="H208" s="4" t="str">
        <f>IF($D$170="Y","OR","...")</f>
        <v>...</v>
      </c>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row>
    <row r="209" spans="1:59" x14ac:dyDescent="0.25">
      <c r="A209" s="1" t="str">
        <f>IF($E$170="Y",'Population Definitions'!$A$4,"...")</f>
        <v>...</v>
      </c>
      <c r="B209" s="4" t="str">
        <f>IF($E$170="Y","---&gt;","...")</f>
        <v>...</v>
      </c>
      <c r="C209" s="1" t="str">
        <f>IF($E$170="Y",'Population Definitions'!$A$5,"...")</f>
        <v>...</v>
      </c>
      <c r="E209" s="2"/>
      <c r="F209" s="3"/>
      <c r="G209" s="2"/>
      <c r="H209" s="4" t="str">
        <f>IF($E$170="Y","OR","...")</f>
        <v>...</v>
      </c>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row>
    <row r="210" spans="1:59" x14ac:dyDescent="0.25">
      <c r="A210" s="1" t="str">
        <f>IF($F$170="Y",'Population Definitions'!$A$4,"...")</f>
        <v>...</v>
      </c>
      <c r="B210" s="4" t="str">
        <f>IF($F$170="Y","---&gt;","...")</f>
        <v>...</v>
      </c>
      <c r="C210" s="1" t="str">
        <f>IF($F$170="Y",'Population Definitions'!$A$6,"...")</f>
        <v>...</v>
      </c>
      <c r="E210" s="2"/>
      <c r="F210" s="3"/>
      <c r="G210" s="2"/>
      <c r="H210" s="4" t="str">
        <f>IF($F$170="Y","OR","...")</f>
        <v>...</v>
      </c>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row>
    <row r="211" spans="1:59" x14ac:dyDescent="0.25">
      <c r="A211" s="1" t="str">
        <f>IF($G$170="Y",'Population Definitions'!$A$4,"...")</f>
        <v>...</v>
      </c>
      <c r="B211" s="4" t="str">
        <f>IF($G$170="Y","---&gt;","...")</f>
        <v>...</v>
      </c>
      <c r="C211" s="1" t="str">
        <f>IF($G$170="Y",'Population Definitions'!$A$7,"...")</f>
        <v>...</v>
      </c>
      <c r="E211" s="2"/>
      <c r="F211" s="3"/>
      <c r="G211" s="2"/>
      <c r="H211" s="4" t="str">
        <f>IF($G$170="Y","OR","...")</f>
        <v>...</v>
      </c>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row>
    <row r="212" spans="1:59" x14ac:dyDescent="0.25">
      <c r="A212" s="1" t="str">
        <f>IF($H$170="Y",'Population Definitions'!$A$4,"...")</f>
        <v>...</v>
      </c>
      <c r="B212" s="4" t="str">
        <f>IF($H$170="Y","---&gt;","...")</f>
        <v>...</v>
      </c>
      <c r="C212" s="1" t="str">
        <f>IF($H$170="Y",'Population Definitions'!$A$8,"...")</f>
        <v>...</v>
      </c>
      <c r="E212" s="2"/>
      <c r="F212" s="3"/>
      <c r="G212" s="2"/>
      <c r="H212" s="4" t="str">
        <f>IF($H$170="Y","OR","...")</f>
        <v>...</v>
      </c>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row>
    <row r="213" spans="1:59" x14ac:dyDescent="0.25">
      <c r="A213" s="1" t="str">
        <f>IF($I$170="Y",'Population Definitions'!$A$4,"...")</f>
        <v>...</v>
      </c>
      <c r="B213" s="4" t="str">
        <f>IF($I$170="Y","---&gt;","...")</f>
        <v>...</v>
      </c>
      <c r="C213" s="1" t="str">
        <f>IF($I$170="Y",'Population Definitions'!$A$9,"...")</f>
        <v>...</v>
      </c>
      <c r="E213" s="2"/>
      <c r="F213" s="3"/>
      <c r="G213" s="2"/>
      <c r="H213" s="4" t="str">
        <f>IF($I$170="Y","OR","...")</f>
        <v>...</v>
      </c>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row>
    <row r="214" spans="1:59" x14ac:dyDescent="0.25">
      <c r="A214" s="1" t="str">
        <f>IF($J$170="Y",'Population Definitions'!$A$4,"...")</f>
        <v>...</v>
      </c>
      <c r="B214" s="4" t="str">
        <f>IF($J$170="Y","---&gt;","...")</f>
        <v>...</v>
      </c>
      <c r="C214" s="1" t="str">
        <f>IF($J$170="Y",'Population Definitions'!$A$10,"...")</f>
        <v>...</v>
      </c>
      <c r="E214" s="2"/>
      <c r="F214" s="3"/>
      <c r="G214" s="2"/>
      <c r="H214" s="4" t="str">
        <f>IF($J$170="Y","OR","...")</f>
        <v>...</v>
      </c>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row>
    <row r="215" spans="1:59" x14ac:dyDescent="0.25">
      <c r="A215" s="1" t="str">
        <f>IF($K$170="Y",'Population Definitions'!$A$4,"...")</f>
        <v>...</v>
      </c>
      <c r="B215" s="4" t="str">
        <f>IF($K$170="Y","---&gt;","...")</f>
        <v>...</v>
      </c>
      <c r="C215" s="1" t="str">
        <f>IF($K$170="Y",'Population Definitions'!$A$11,"...")</f>
        <v>...</v>
      </c>
      <c r="E215" s="2"/>
      <c r="F215" s="3"/>
      <c r="G215" s="2"/>
      <c r="H215" s="4" t="str">
        <f>IF($K$170="Y","OR","...")</f>
        <v>...</v>
      </c>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row>
    <row r="216" spans="1:59" x14ac:dyDescent="0.25">
      <c r="A216" s="1" t="str">
        <f>IF($L$170="Y",'Population Definitions'!$A$4,"...")</f>
        <v>...</v>
      </c>
      <c r="B216" s="4" t="str">
        <f>IF($L$170="Y","---&gt;","...")</f>
        <v>...</v>
      </c>
      <c r="C216" s="1" t="str">
        <f>IF($L$170="Y",'Population Definitions'!$A$12,"...")</f>
        <v>...</v>
      </c>
      <c r="E216" s="2"/>
      <c r="F216" s="3"/>
      <c r="G216" s="2"/>
      <c r="H216" s="4" t="str">
        <f>IF($L$170="Y","OR","...")</f>
        <v>...</v>
      </c>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row>
    <row r="217" spans="1:59" x14ac:dyDescent="0.25">
      <c r="A217" s="1" t="str">
        <f>IF($M$170="Y",'Population Definitions'!$A$4,"...")</f>
        <v>...</v>
      </c>
      <c r="B217" s="4" t="str">
        <f>IF($M$170="Y","---&gt;","...")</f>
        <v>...</v>
      </c>
      <c r="C217" s="1" t="str">
        <f>IF($M$170="Y",'Population Definitions'!$A$13,"...")</f>
        <v>...</v>
      </c>
      <c r="E217" s="2"/>
      <c r="F217" s="3"/>
      <c r="G217" s="2"/>
      <c r="H217" s="4" t="str">
        <f>IF($M$170="Y","OR","...")</f>
        <v>...</v>
      </c>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row>
    <row r="218" spans="1:59" x14ac:dyDescent="0.25">
      <c r="A218" s="1" t="str">
        <f>IF($B$171="Y",'Population Definitions'!$A$5,"...")</f>
        <v>...</v>
      </c>
      <c r="B218" s="4" t="str">
        <f>IF($B$171="Y","---&gt;","...")</f>
        <v>...</v>
      </c>
      <c r="C218" s="1" t="str">
        <f>IF($B$171="Y",'Population Definitions'!$A$2,"...")</f>
        <v>...</v>
      </c>
      <c r="E218" s="2"/>
      <c r="F218" s="3"/>
      <c r="G218" s="2"/>
      <c r="H218" s="4" t="str">
        <f>IF($B$171="Y","OR","...")</f>
        <v>...</v>
      </c>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row>
    <row r="219" spans="1:59" x14ac:dyDescent="0.25">
      <c r="A219" s="1" t="str">
        <f>IF($C$171="Y",'Population Definitions'!$A$5,"...")</f>
        <v>...</v>
      </c>
      <c r="B219" s="4" t="str">
        <f>IF($C$171="Y","---&gt;","...")</f>
        <v>...</v>
      </c>
      <c r="C219" s="1" t="str">
        <f>IF($C$171="Y",'Population Definitions'!$A$3,"...")</f>
        <v>...</v>
      </c>
      <c r="E219" s="2"/>
      <c r="F219" s="3"/>
      <c r="G219" s="2"/>
      <c r="H219" s="4" t="str">
        <f>IF($C$171="Y","OR","...")</f>
        <v>...</v>
      </c>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row>
    <row r="220" spans="1:59" x14ac:dyDescent="0.25">
      <c r="A220" s="1" t="str">
        <f>IF($D$171="Y",'Population Definitions'!$A$5,"...")</f>
        <v>...</v>
      </c>
      <c r="B220" s="4" t="str">
        <f>IF($D$171="Y","---&gt;","...")</f>
        <v>...</v>
      </c>
      <c r="C220" s="1" t="str">
        <f>IF($D$171="Y",'Population Definitions'!$A$4,"...")</f>
        <v>...</v>
      </c>
      <c r="E220" s="2"/>
      <c r="F220" s="3"/>
      <c r="G220" s="2"/>
      <c r="H220" s="4" t="str">
        <f>IF($D$171="Y","OR","...")</f>
        <v>...</v>
      </c>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row>
    <row r="221" spans="1:59" x14ac:dyDescent="0.25">
      <c r="A221" s="1" t="str">
        <f>IF($E$171="Y",'Population Definitions'!$A$5,"...")</f>
        <v>...</v>
      </c>
      <c r="B221" s="4" t="str">
        <f>IF($E$171="Y","---&gt;","...")</f>
        <v>...</v>
      </c>
      <c r="C221" s="1" t="str">
        <f>IF($E$171="Y",'Population Definitions'!$A$5,"...")</f>
        <v>...</v>
      </c>
      <c r="E221" s="2"/>
      <c r="F221" s="3"/>
      <c r="G221" s="2"/>
      <c r="H221" s="4" t="str">
        <f>IF($E$171="Y","OR","...")</f>
        <v>...</v>
      </c>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row>
    <row r="222" spans="1:59" x14ac:dyDescent="0.25">
      <c r="A222" s="1" t="str">
        <f>IF($F$171="Y",'Population Definitions'!$A$5,"...")</f>
        <v>...</v>
      </c>
      <c r="B222" s="4" t="str">
        <f>IF($F$171="Y","---&gt;","...")</f>
        <v>...</v>
      </c>
      <c r="C222" s="1" t="str">
        <f>IF($F$171="Y",'Population Definitions'!$A$6,"...")</f>
        <v>...</v>
      </c>
      <c r="E222" s="2"/>
      <c r="F222" s="3"/>
      <c r="G222" s="2"/>
      <c r="H222" s="4" t="str">
        <f>IF($F$171="Y","OR","...")</f>
        <v>...</v>
      </c>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row>
    <row r="223" spans="1:59" x14ac:dyDescent="0.25">
      <c r="A223" s="1" t="str">
        <f>IF($G$171="Y",'Population Definitions'!$A$5,"...")</f>
        <v>...</v>
      </c>
      <c r="B223" s="4" t="str">
        <f>IF($G$171="Y","---&gt;","...")</f>
        <v>...</v>
      </c>
      <c r="C223" s="1" t="str">
        <f>IF($G$171="Y",'Population Definitions'!$A$7,"...")</f>
        <v>...</v>
      </c>
      <c r="E223" s="2"/>
      <c r="F223" s="3"/>
      <c r="G223" s="2"/>
      <c r="H223" s="4" t="str">
        <f>IF($G$171="Y","OR","...")</f>
        <v>...</v>
      </c>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row>
    <row r="224" spans="1:59" x14ac:dyDescent="0.25">
      <c r="A224" s="1" t="str">
        <f>IF($H$171="Y",'Population Definitions'!$A$5,"...")</f>
        <v>...</v>
      </c>
      <c r="B224" s="4" t="str">
        <f>IF($H$171="Y","---&gt;","...")</f>
        <v>...</v>
      </c>
      <c r="C224" s="1" t="str">
        <f>IF($H$171="Y",'Population Definitions'!$A$8,"...")</f>
        <v>...</v>
      </c>
      <c r="E224" s="2"/>
      <c r="F224" s="3"/>
      <c r="G224" s="2"/>
      <c r="H224" s="4" t="str">
        <f>IF($H$171="Y","OR","...")</f>
        <v>...</v>
      </c>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row>
    <row r="225" spans="1:59" x14ac:dyDescent="0.25">
      <c r="A225" s="1" t="str">
        <f>IF($I$171="Y",'Population Definitions'!$A$5,"...")</f>
        <v>...</v>
      </c>
      <c r="B225" s="4" t="str">
        <f>IF($I$171="Y","---&gt;","...")</f>
        <v>...</v>
      </c>
      <c r="C225" s="1" t="str">
        <f>IF($I$171="Y",'Population Definitions'!$A$9,"...")</f>
        <v>...</v>
      </c>
      <c r="E225" s="2"/>
      <c r="F225" s="3"/>
      <c r="G225" s="2"/>
      <c r="H225" s="4" t="str">
        <f>IF($I$171="Y","OR","...")</f>
        <v>...</v>
      </c>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row>
    <row r="226" spans="1:59" x14ac:dyDescent="0.25">
      <c r="A226" s="1" t="str">
        <f>IF($J$171="Y",'Population Definitions'!$A$5,"...")</f>
        <v>...</v>
      </c>
      <c r="B226" s="4" t="str">
        <f>IF($J$171="Y","---&gt;","...")</f>
        <v>...</v>
      </c>
      <c r="C226" s="1" t="str">
        <f>IF($J$171="Y",'Population Definitions'!$A$10,"...")</f>
        <v>...</v>
      </c>
      <c r="E226" s="2"/>
      <c r="F226" s="3"/>
      <c r="G226" s="2"/>
      <c r="H226" s="4" t="str">
        <f>IF($J$171="Y","OR","...")</f>
        <v>...</v>
      </c>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row>
    <row r="227" spans="1:59" x14ac:dyDescent="0.25">
      <c r="A227" s="1" t="str">
        <f>IF($K$171="Y",'Population Definitions'!$A$5,"...")</f>
        <v>...</v>
      </c>
      <c r="B227" s="4" t="str">
        <f>IF($K$171="Y","---&gt;","...")</f>
        <v>...</v>
      </c>
      <c r="C227" s="1" t="str">
        <f>IF($K$171="Y",'Population Definitions'!$A$11,"...")</f>
        <v>...</v>
      </c>
      <c r="E227" s="2"/>
      <c r="F227" s="3"/>
      <c r="G227" s="2"/>
      <c r="H227" s="4" t="str">
        <f>IF($K$171="Y","OR","...")</f>
        <v>...</v>
      </c>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row>
    <row r="228" spans="1:59" x14ac:dyDescent="0.25">
      <c r="A228" s="1" t="str">
        <f>IF($L$171="Y",'Population Definitions'!$A$5,"...")</f>
        <v>...</v>
      </c>
      <c r="B228" s="4" t="str">
        <f>IF($L$171="Y","---&gt;","...")</f>
        <v>...</v>
      </c>
      <c r="C228" s="1" t="str">
        <f>IF($L$171="Y",'Population Definitions'!$A$12,"...")</f>
        <v>...</v>
      </c>
      <c r="E228" s="2"/>
      <c r="F228" s="3"/>
      <c r="G228" s="2"/>
      <c r="H228" s="4" t="str">
        <f>IF($L$171="Y","OR","...")</f>
        <v>...</v>
      </c>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row>
    <row r="229" spans="1:59" x14ac:dyDescent="0.25">
      <c r="A229" s="1" t="str">
        <f>IF($M$171="Y",'Population Definitions'!$A$5,"...")</f>
        <v>...</v>
      </c>
      <c r="B229" s="4" t="str">
        <f>IF($M$171="Y","---&gt;","...")</f>
        <v>...</v>
      </c>
      <c r="C229" s="1" t="str">
        <f>IF($M$171="Y",'Population Definitions'!$A$13,"...")</f>
        <v>...</v>
      </c>
      <c r="E229" s="2"/>
      <c r="F229" s="3"/>
      <c r="G229" s="2"/>
      <c r="H229" s="4" t="str">
        <f>IF($M$171="Y","OR","...")</f>
        <v>...</v>
      </c>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row>
    <row r="230" spans="1:59" x14ac:dyDescent="0.25">
      <c r="A230" s="1" t="str">
        <f>IF($B$172="Y",'Population Definitions'!$A$6,"...")</f>
        <v>...</v>
      </c>
      <c r="B230" s="4" t="str">
        <f>IF($B$172="Y","---&gt;","...")</f>
        <v>...</v>
      </c>
      <c r="C230" s="1" t="str">
        <f>IF($B$172="Y",'Population Definitions'!$A$2,"...")</f>
        <v>...</v>
      </c>
      <c r="E230" s="2"/>
      <c r="F230" s="3"/>
      <c r="G230" s="2"/>
      <c r="H230" s="4" t="str">
        <f>IF($B$172="Y","OR","...")</f>
        <v>...</v>
      </c>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row>
    <row r="231" spans="1:59" x14ac:dyDescent="0.25">
      <c r="A231" s="1" t="str">
        <f>IF($C$172="Y",'Population Definitions'!$A$6,"...")</f>
        <v>...</v>
      </c>
      <c r="B231" s="4" t="str">
        <f>IF($C$172="Y","---&gt;","...")</f>
        <v>...</v>
      </c>
      <c r="C231" s="1" t="str">
        <f>IF($C$172="Y",'Population Definitions'!$A$3,"...")</f>
        <v>...</v>
      </c>
      <c r="E231" s="2"/>
      <c r="F231" s="3"/>
      <c r="G231" s="2"/>
      <c r="H231" s="4" t="str">
        <f>IF($C$172="Y","OR","...")</f>
        <v>...</v>
      </c>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row>
    <row r="232" spans="1:59" x14ac:dyDescent="0.25">
      <c r="A232" s="1" t="str">
        <f>IF($D$172="Y",'Population Definitions'!$A$6,"...")</f>
        <v>...</v>
      </c>
      <c r="B232" s="4" t="str">
        <f>IF($D$172="Y","---&gt;","...")</f>
        <v>...</v>
      </c>
      <c r="C232" s="1" t="str">
        <f>IF($D$172="Y",'Population Definitions'!$A$4,"...")</f>
        <v>...</v>
      </c>
      <c r="E232" s="2"/>
      <c r="F232" s="3"/>
      <c r="G232" s="2"/>
      <c r="H232" s="4" t="str">
        <f>IF($D$172="Y","OR","...")</f>
        <v>...</v>
      </c>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row>
    <row r="233" spans="1:59" x14ac:dyDescent="0.25">
      <c r="A233" s="1" t="str">
        <f>IF($E$172="Y",'Population Definitions'!$A$6,"...")</f>
        <v>...</v>
      </c>
      <c r="B233" s="4" t="str">
        <f>IF($E$172="Y","---&gt;","...")</f>
        <v>...</v>
      </c>
      <c r="C233" s="1" t="str">
        <f>IF($E$172="Y",'Population Definitions'!$A$5,"...")</f>
        <v>...</v>
      </c>
      <c r="E233" s="2"/>
      <c r="F233" s="3"/>
      <c r="G233" s="2"/>
      <c r="H233" s="4" t="str">
        <f>IF($E$172="Y","OR","...")</f>
        <v>...</v>
      </c>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row>
    <row r="234" spans="1:59" x14ac:dyDescent="0.25">
      <c r="A234" s="1" t="str">
        <f>IF($F$172="Y",'Population Definitions'!$A$6,"...")</f>
        <v>...</v>
      </c>
      <c r="B234" s="4" t="str">
        <f>IF($F$172="Y","---&gt;","...")</f>
        <v>...</v>
      </c>
      <c r="C234" s="1" t="str">
        <f>IF($F$172="Y",'Population Definitions'!$A$6,"...")</f>
        <v>...</v>
      </c>
      <c r="E234" s="2"/>
      <c r="F234" s="3"/>
      <c r="G234" s="2"/>
      <c r="H234" s="4" t="str">
        <f>IF($F$172="Y","OR","...")</f>
        <v>...</v>
      </c>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row>
    <row r="235" spans="1:59" x14ac:dyDescent="0.25">
      <c r="A235" s="1" t="str">
        <f>IF($G$172="Y",'Population Definitions'!$A$6,"...")</f>
        <v>...</v>
      </c>
      <c r="B235" s="4" t="str">
        <f>IF($G$172="Y","---&gt;","...")</f>
        <v>...</v>
      </c>
      <c r="C235" s="1" t="str">
        <f>IF($G$172="Y",'Population Definitions'!$A$7,"...")</f>
        <v>...</v>
      </c>
      <c r="E235" s="2"/>
      <c r="F235" s="3"/>
      <c r="G235" s="2"/>
      <c r="H235" s="4" t="str">
        <f>IF($G$172="Y","OR","...")</f>
        <v>...</v>
      </c>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row>
    <row r="236" spans="1:59" x14ac:dyDescent="0.25">
      <c r="A236" s="1" t="str">
        <f>IF($H$172="Y",'Population Definitions'!$A$6,"...")</f>
        <v>...</v>
      </c>
      <c r="B236" s="4" t="str">
        <f>IF($H$172="Y","---&gt;","...")</f>
        <v>...</v>
      </c>
      <c r="C236" s="1" t="str">
        <f>IF($H$172="Y",'Population Definitions'!$A$8,"...")</f>
        <v>...</v>
      </c>
      <c r="E236" s="2"/>
      <c r="F236" s="3"/>
      <c r="G236" s="2"/>
      <c r="H236" s="4" t="str">
        <f>IF($H$172="Y","OR","...")</f>
        <v>...</v>
      </c>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row>
    <row r="237" spans="1:59" x14ac:dyDescent="0.25">
      <c r="A237" s="1" t="str">
        <f>IF($I$172="Y",'Population Definitions'!$A$6,"...")</f>
        <v>...</v>
      </c>
      <c r="B237" s="4" t="str">
        <f>IF($I$172="Y","---&gt;","...")</f>
        <v>...</v>
      </c>
      <c r="C237" s="1" t="str">
        <f>IF($I$172="Y",'Population Definitions'!$A$9,"...")</f>
        <v>...</v>
      </c>
      <c r="E237" s="2"/>
      <c r="F237" s="3"/>
      <c r="G237" s="2"/>
      <c r="H237" s="4" t="str">
        <f>IF($I$172="Y","OR","...")</f>
        <v>...</v>
      </c>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row>
    <row r="238" spans="1:59" x14ac:dyDescent="0.25">
      <c r="A238" s="1" t="str">
        <f>IF($J$172="Y",'Population Definitions'!$A$6,"...")</f>
        <v>...</v>
      </c>
      <c r="B238" s="4" t="str">
        <f>IF($J$172="Y","---&gt;","...")</f>
        <v>...</v>
      </c>
      <c r="C238" s="1" t="str">
        <f>IF($J$172="Y",'Population Definitions'!$A$10,"...")</f>
        <v>...</v>
      </c>
      <c r="E238" s="2"/>
      <c r="F238" s="3"/>
      <c r="G238" s="2"/>
      <c r="H238" s="4" t="str">
        <f>IF($J$172="Y","OR","...")</f>
        <v>...</v>
      </c>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row>
    <row r="239" spans="1:59" x14ac:dyDescent="0.25">
      <c r="A239" s="1" t="str">
        <f>IF($K$172="Y",'Population Definitions'!$A$6,"...")</f>
        <v>...</v>
      </c>
      <c r="B239" s="4" t="str">
        <f>IF($K$172="Y","---&gt;","...")</f>
        <v>...</v>
      </c>
      <c r="C239" s="1" t="str">
        <f>IF($K$172="Y",'Population Definitions'!$A$11,"...")</f>
        <v>...</v>
      </c>
      <c r="E239" s="2"/>
      <c r="F239" s="3"/>
      <c r="G239" s="2"/>
      <c r="H239" s="4" t="str">
        <f>IF($K$172="Y","OR","...")</f>
        <v>...</v>
      </c>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row>
    <row r="240" spans="1:59" x14ac:dyDescent="0.25">
      <c r="A240" s="1" t="str">
        <f>IF($L$172="Y",'Population Definitions'!$A$6,"...")</f>
        <v>...</v>
      </c>
      <c r="B240" s="4" t="str">
        <f>IF($L$172="Y","---&gt;","...")</f>
        <v>...</v>
      </c>
      <c r="C240" s="1" t="str">
        <f>IF($L$172="Y",'Population Definitions'!$A$12,"...")</f>
        <v>...</v>
      </c>
      <c r="E240" s="2"/>
      <c r="F240" s="3"/>
      <c r="G240" s="2"/>
      <c r="H240" s="4" t="str">
        <f>IF($L$172="Y","OR","...")</f>
        <v>...</v>
      </c>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row>
    <row r="241" spans="1:59" x14ac:dyDescent="0.25">
      <c r="A241" s="1" t="str">
        <f>IF($M$172="Y",'Population Definitions'!$A$6,"...")</f>
        <v>...</v>
      </c>
      <c r="B241" s="4" t="str">
        <f>IF($M$172="Y","---&gt;","...")</f>
        <v>...</v>
      </c>
      <c r="C241" s="1" t="str">
        <f>IF($M$172="Y",'Population Definitions'!$A$13,"...")</f>
        <v>...</v>
      </c>
      <c r="E241" s="2"/>
      <c r="F241" s="3"/>
      <c r="G241" s="2"/>
      <c r="H241" s="4" t="str">
        <f>IF($M$172="Y","OR","...")</f>
        <v>...</v>
      </c>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row>
    <row r="242" spans="1:59" x14ac:dyDescent="0.25">
      <c r="A242" s="1" t="str">
        <f>IF($B$173="Y",'Population Definitions'!$A$7,"...")</f>
        <v>...</v>
      </c>
      <c r="B242" s="4" t="str">
        <f>IF($B$173="Y","---&gt;","...")</f>
        <v>...</v>
      </c>
      <c r="C242" s="1" t="str">
        <f>IF($B$173="Y",'Population Definitions'!$A$2,"...")</f>
        <v>...</v>
      </c>
      <c r="E242" s="2"/>
      <c r="F242" s="3"/>
      <c r="G242" s="2"/>
      <c r="H242" s="4" t="str">
        <f>IF($B$173="Y","OR","...")</f>
        <v>...</v>
      </c>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row>
    <row r="243" spans="1:59" x14ac:dyDescent="0.25">
      <c r="A243" s="1" t="str">
        <f>IF($C$173="Y",'Population Definitions'!$A$7,"...")</f>
        <v>...</v>
      </c>
      <c r="B243" s="4" t="str">
        <f>IF($C$173="Y","---&gt;","...")</f>
        <v>...</v>
      </c>
      <c r="C243" s="1" t="str">
        <f>IF($C$173="Y",'Population Definitions'!$A$3,"...")</f>
        <v>...</v>
      </c>
      <c r="E243" s="2"/>
      <c r="F243" s="3"/>
      <c r="G243" s="2"/>
      <c r="H243" s="4" t="str">
        <f>IF($C$173="Y","OR","...")</f>
        <v>...</v>
      </c>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row>
    <row r="244" spans="1:59" x14ac:dyDescent="0.25">
      <c r="A244" s="1" t="str">
        <f>IF($D$173="Y",'Population Definitions'!$A$7,"...")</f>
        <v>...</v>
      </c>
      <c r="B244" s="4" t="str">
        <f>IF($D$173="Y","---&gt;","...")</f>
        <v>...</v>
      </c>
      <c r="C244" s="1" t="str">
        <f>IF($D$173="Y",'Population Definitions'!$A$4,"...")</f>
        <v>...</v>
      </c>
      <c r="E244" s="2"/>
      <c r="F244" s="3"/>
      <c r="G244" s="2"/>
      <c r="H244" s="4" t="str">
        <f>IF($D$173="Y","OR","...")</f>
        <v>...</v>
      </c>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row>
    <row r="245" spans="1:59" x14ac:dyDescent="0.25">
      <c r="A245" s="1" t="str">
        <f>IF($E$173="Y",'Population Definitions'!$A$7,"...")</f>
        <v>...</v>
      </c>
      <c r="B245" s="4" t="str">
        <f>IF($E$173="Y","---&gt;","...")</f>
        <v>...</v>
      </c>
      <c r="C245" s="1" t="str">
        <f>IF($E$173="Y",'Population Definitions'!$A$5,"...")</f>
        <v>...</v>
      </c>
      <c r="E245" s="2"/>
      <c r="F245" s="3"/>
      <c r="G245" s="2"/>
      <c r="H245" s="4" t="str">
        <f>IF($E$173="Y","OR","...")</f>
        <v>...</v>
      </c>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row>
    <row r="246" spans="1:59" x14ac:dyDescent="0.25">
      <c r="A246" s="1" t="str">
        <f>IF($F$173="Y",'Population Definitions'!$A$7,"...")</f>
        <v>...</v>
      </c>
      <c r="B246" s="4" t="str">
        <f>IF($F$173="Y","---&gt;","...")</f>
        <v>...</v>
      </c>
      <c r="C246" s="1" t="str">
        <f>IF($F$173="Y",'Population Definitions'!$A$6,"...")</f>
        <v>...</v>
      </c>
      <c r="E246" s="2"/>
      <c r="F246" s="3"/>
      <c r="G246" s="2"/>
      <c r="H246" s="4" t="str">
        <f>IF($F$173="Y","OR","...")</f>
        <v>...</v>
      </c>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row>
    <row r="247" spans="1:59" x14ac:dyDescent="0.25">
      <c r="A247" s="1" t="str">
        <f>IF($G$173="Y",'Population Definitions'!$A$7,"...")</f>
        <v>...</v>
      </c>
      <c r="B247" s="4" t="str">
        <f>IF($G$173="Y","---&gt;","...")</f>
        <v>...</v>
      </c>
      <c r="C247" s="1" t="str">
        <f>IF($G$173="Y",'Population Definitions'!$A$7,"...")</f>
        <v>...</v>
      </c>
      <c r="E247" s="2"/>
      <c r="F247" s="3"/>
      <c r="G247" s="2"/>
      <c r="H247" s="4" t="str">
        <f>IF($G$173="Y","OR","...")</f>
        <v>...</v>
      </c>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row>
    <row r="248" spans="1:59" x14ac:dyDescent="0.25">
      <c r="A248" s="1" t="str">
        <f>IF($H$173="Y",'Population Definitions'!$A$7,"...")</f>
        <v>...</v>
      </c>
      <c r="B248" s="4" t="str">
        <f>IF($H$173="Y","---&gt;","...")</f>
        <v>...</v>
      </c>
      <c r="C248" s="1" t="str">
        <f>IF($H$173="Y",'Population Definitions'!$A$8,"...")</f>
        <v>...</v>
      </c>
      <c r="E248" s="2"/>
      <c r="F248" s="3"/>
      <c r="G248" s="2"/>
      <c r="H248" s="4" t="str">
        <f>IF($H$173="Y","OR","...")</f>
        <v>...</v>
      </c>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row>
    <row r="249" spans="1:59" x14ac:dyDescent="0.25">
      <c r="A249" s="1" t="str">
        <f>IF($I$173="Y",'Population Definitions'!$A$7,"...")</f>
        <v>...</v>
      </c>
      <c r="B249" s="4" t="str">
        <f>IF($I$173="Y","---&gt;","...")</f>
        <v>...</v>
      </c>
      <c r="C249" s="1" t="str">
        <f>IF($I$173="Y",'Population Definitions'!$A$9,"...")</f>
        <v>...</v>
      </c>
      <c r="E249" s="2"/>
      <c r="F249" s="3"/>
      <c r="G249" s="2"/>
      <c r="H249" s="4" t="str">
        <f>IF($I$173="Y","OR","...")</f>
        <v>...</v>
      </c>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row>
    <row r="250" spans="1:59" x14ac:dyDescent="0.25">
      <c r="A250" s="1" t="str">
        <f>IF($J$173="Y",'Population Definitions'!$A$7,"...")</f>
        <v>...</v>
      </c>
      <c r="B250" s="4" t="str">
        <f>IF($J$173="Y","---&gt;","...")</f>
        <v>...</v>
      </c>
      <c r="C250" s="1" t="str">
        <f>IF($J$173="Y",'Population Definitions'!$A$10,"...")</f>
        <v>...</v>
      </c>
      <c r="E250" s="2"/>
      <c r="F250" s="3"/>
      <c r="G250" s="2"/>
      <c r="H250" s="4" t="str">
        <f>IF($J$173="Y","OR","...")</f>
        <v>...</v>
      </c>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row>
    <row r="251" spans="1:59" x14ac:dyDescent="0.25">
      <c r="A251" s="1" t="str">
        <f>IF($K$173="Y",'Population Definitions'!$A$7,"...")</f>
        <v>...</v>
      </c>
      <c r="B251" s="4" t="str">
        <f>IF($K$173="Y","---&gt;","...")</f>
        <v>...</v>
      </c>
      <c r="C251" s="1" t="str">
        <f>IF($K$173="Y",'Population Definitions'!$A$11,"...")</f>
        <v>...</v>
      </c>
      <c r="E251" s="2"/>
      <c r="F251" s="3"/>
      <c r="G251" s="2"/>
      <c r="H251" s="4" t="str">
        <f>IF($K$173="Y","OR","...")</f>
        <v>...</v>
      </c>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row>
    <row r="252" spans="1:59" x14ac:dyDescent="0.25">
      <c r="A252" s="1" t="str">
        <f>IF($L$173="Y",'Population Definitions'!$A$7,"...")</f>
        <v>...</v>
      </c>
      <c r="B252" s="4" t="str">
        <f>IF($L$173="Y","---&gt;","...")</f>
        <v>...</v>
      </c>
      <c r="C252" s="1" t="str">
        <f>IF($L$173="Y",'Population Definitions'!$A$12,"...")</f>
        <v>...</v>
      </c>
      <c r="E252" s="2"/>
      <c r="F252" s="3"/>
      <c r="G252" s="2"/>
      <c r="H252" s="4" t="str">
        <f>IF($L$173="Y","OR","...")</f>
        <v>...</v>
      </c>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row>
    <row r="253" spans="1:59" x14ac:dyDescent="0.25">
      <c r="A253" s="1" t="str">
        <f>IF($M$173="Y",'Population Definitions'!$A$7,"...")</f>
        <v>...</v>
      </c>
      <c r="B253" s="4" t="str">
        <f>IF($M$173="Y","---&gt;","...")</f>
        <v>...</v>
      </c>
      <c r="C253" s="1" t="str">
        <f>IF($M$173="Y",'Population Definitions'!$A$13,"...")</f>
        <v>...</v>
      </c>
      <c r="E253" s="2"/>
      <c r="F253" s="3"/>
      <c r="G253" s="2"/>
      <c r="H253" s="4" t="str">
        <f>IF($M$173="Y","OR","...")</f>
        <v>...</v>
      </c>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row>
    <row r="254" spans="1:59" x14ac:dyDescent="0.25">
      <c r="A254" s="1" t="str">
        <f>IF($B$174="Y",'Population Definitions'!$A$8,"...")</f>
        <v>18-64_males</v>
      </c>
      <c r="B254" s="4" t="str">
        <f>IF($B$174="Y","---&gt;","...")</f>
        <v>---&gt;</v>
      </c>
      <c r="C254" s="1" t="str">
        <f>IF($B$174="Y",'Population Definitions'!$A$2,"...")</f>
        <v>PWID_males</v>
      </c>
      <c r="E254" s="3" t="s">
        <v>53</v>
      </c>
      <c r="F254" s="3"/>
      <c r="G254" s="3">
        <v>4.0413537700414819E-4</v>
      </c>
      <c r="H254" s="4" t="str">
        <f>IF($B$174="Y","OR","...")</f>
        <v>OR</v>
      </c>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row>
    <row r="255" spans="1:59" x14ac:dyDescent="0.25">
      <c r="A255" s="1" t="str">
        <f>IF($C$174="Y",'Population Definitions'!$A$8,"...")</f>
        <v>...</v>
      </c>
      <c r="B255" s="4" t="str">
        <f>IF($C$174="Y","---&gt;","...")</f>
        <v>...</v>
      </c>
      <c r="C255" s="1" t="str">
        <f>IF($C$174="Y",'Population Definitions'!$A$3,"...")</f>
        <v>...</v>
      </c>
      <c r="E255" s="2"/>
      <c r="F255" s="3"/>
      <c r="G255" s="2"/>
      <c r="H255" s="4" t="str">
        <f>IF($C$174="Y","OR","...")</f>
        <v>...</v>
      </c>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row>
    <row r="256" spans="1:59" x14ac:dyDescent="0.25">
      <c r="A256" s="1" t="str">
        <f>IF($D$174="Y",'Population Definitions'!$A$8,"...")</f>
        <v>...</v>
      </c>
      <c r="B256" s="4" t="str">
        <f>IF($D$174="Y","---&gt;","...")</f>
        <v>...</v>
      </c>
      <c r="C256" s="1" t="str">
        <f>IF($D$174="Y",'Population Definitions'!$A$4,"...")</f>
        <v>...</v>
      </c>
      <c r="E256" s="2"/>
      <c r="F256" s="3"/>
      <c r="G256" s="2"/>
      <c r="H256" s="4" t="str">
        <f>IF($D$174="Y","OR","...")</f>
        <v>...</v>
      </c>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row>
    <row r="257" spans="1:59" x14ac:dyDescent="0.25">
      <c r="A257" s="1" t="str">
        <f>IF($E$174="Y",'Population Definitions'!$A$8,"...")</f>
        <v>...</v>
      </c>
      <c r="B257" s="4" t="str">
        <f>IF($E$174="Y","---&gt;","...")</f>
        <v>...</v>
      </c>
      <c r="C257" s="1" t="str">
        <f>IF($E$174="Y",'Population Definitions'!$A$5,"...")</f>
        <v>...</v>
      </c>
      <c r="E257" s="2"/>
      <c r="F257" s="3"/>
      <c r="G257" s="2"/>
      <c r="H257" s="4" t="str">
        <f>IF($E$174="Y","OR","...")</f>
        <v>...</v>
      </c>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row>
    <row r="258" spans="1:59" x14ac:dyDescent="0.25">
      <c r="A258" s="1" t="str">
        <f>IF($F$174="Y",'Population Definitions'!$A$8,"...")</f>
        <v>...</v>
      </c>
      <c r="B258" s="4" t="str">
        <f>IF($F$174="Y","---&gt;","...")</f>
        <v>...</v>
      </c>
      <c r="C258" s="1" t="str">
        <f>IF($F$174="Y",'Population Definitions'!$A$6,"...")</f>
        <v>...</v>
      </c>
      <c r="E258" s="2"/>
      <c r="F258" s="3"/>
      <c r="G258" s="2"/>
      <c r="H258" s="4" t="str">
        <f>IF($F$174="Y","OR","...")</f>
        <v>...</v>
      </c>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row>
    <row r="259" spans="1:59" x14ac:dyDescent="0.25">
      <c r="A259" s="1" t="str">
        <f>IF($G$174="Y",'Population Definitions'!$A$8,"...")</f>
        <v>...</v>
      </c>
      <c r="B259" s="4" t="str">
        <f>IF($G$174="Y","---&gt;","...")</f>
        <v>...</v>
      </c>
      <c r="C259" s="1" t="str">
        <f>IF($G$174="Y",'Population Definitions'!$A$7,"...")</f>
        <v>...</v>
      </c>
      <c r="E259" s="2"/>
      <c r="F259" s="3"/>
      <c r="G259" s="2"/>
      <c r="H259" s="4" t="str">
        <f>IF($G$174="Y","OR","...")</f>
        <v>...</v>
      </c>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row>
    <row r="260" spans="1:59" x14ac:dyDescent="0.25">
      <c r="A260" s="1" t="str">
        <f>IF($H$174="Y",'Population Definitions'!$A$8,"...")</f>
        <v>...</v>
      </c>
      <c r="B260" s="4" t="str">
        <f>IF($H$174="Y","---&gt;","...")</f>
        <v>...</v>
      </c>
      <c r="C260" s="1" t="str">
        <f>IF($H$174="Y",'Population Definitions'!$A$8,"...")</f>
        <v>...</v>
      </c>
      <c r="E260" s="2"/>
      <c r="F260" s="3"/>
      <c r="G260" s="2"/>
      <c r="H260" s="4" t="str">
        <f>IF($H$174="Y","OR","...")</f>
        <v>...</v>
      </c>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row>
    <row r="261" spans="1:59" x14ac:dyDescent="0.25">
      <c r="A261" s="1" t="str">
        <f>IF($I$174="Y",'Population Definitions'!$A$8,"...")</f>
        <v>...</v>
      </c>
      <c r="B261" s="4" t="str">
        <f>IF($I$174="Y","---&gt;","...")</f>
        <v>...</v>
      </c>
      <c r="C261" s="1" t="str">
        <f>IF($I$174="Y",'Population Definitions'!$A$9,"...")</f>
        <v>...</v>
      </c>
      <c r="E261" s="2"/>
      <c r="F261" s="3"/>
      <c r="G261" s="2"/>
      <c r="H261" s="4" t="str">
        <f>IF($I$174="Y","OR","...")</f>
        <v>...</v>
      </c>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row>
    <row r="262" spans="1:59" x14ac:dyDescent="0.25">
      <c r="A262" s="1" t="str">
        <f>IF($J$174="Y",'Population Definitions'!$A$8,"...")</f>
        <v>...</v>
      </c>
      <c r="B262" s="4" t="str">
        <f>IF($J$174="Y","---&gt;","...")</f>
        <v>...</v>
      </c>
      <c r="C262" s="1" t="str">
        <f>IF($J$174="Y",'Population Definitions'!$A$10,"...")</f>
        <v>...</v>
      </c>
      <c r="E262" s="2"/>
      <c r="F262" s="3"/>
      <c r="G262" s="2"/>
      <c r="H262" s="4" t="str">
        <f>IF($J$174="Y","OR","...")</f>
        <v>...</v>
      </c>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row>
    <row r="263" spans="1:59" x14ac:dyDescent="0.25">
      <c r="A263" s="1" t="str">
        <f>IF($K$174="Y",'Population Definitions'!$A$8,"...")</f>
        <v>...</v>
      </c>
      <c r="B263" s="4" t="str">
        <f>IF($K$174="Y","---&gt;","...")</f>
        <v>...</v>
      </c>
      <c r="C263" s="1" t="str">
        <f>IF($K$174="Y",'Population Definitions'!$A$11,"...")</f>
        <v>...</v>
      </c>
      <c r="E263" s="2"/>
      <c r="F263" s="3"/>
      <c r="G263" s="2"/>
      <c r="H263" s="4" t="str">
        <f>IF($K$174="Y","OR","...")</f>
        <v>...</v>
      </c>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row>
    <row r="264" spans="1:59" x14ac:dyDescent="0.25">
      <c r="A264" s="1" t="str">
        <f>IF($L$174="Y",'Population Definitions'!$A$8,"...")</f>
        <v>...</v>
      </c>
      <c r="B264" s="4" t="str">
        <f>IF($L$174="Y","---&gt;","...")</f>
        <v>...</v>
      </c>
      <c r="C264" s="1" t="str">
        <f>IF($L$174="Y",'Population Definitions'!$A$12,"...")</f>
        <v>...</v>
      </c>
      <c r="E264" s="2"/>
      <c r="F264" s="3"/>
      <c r="G264" s="2"/>
      <c r="H264" s="4" t="str">
        <f>IF($L$174="Y","OR","...")</f>
        <v>...</v>
      </c>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row>
    <row r="265" spans="1:59" x14ac:dyDescent="0.25">
      <c r="A265" s="1" t="str">
        <f>IF($M$174="Y",'Population Definitions'!$A$8,"...")</f>
        <v>...</v>
      </c>
      <c r="B265" s="4" t="str">
        <f>IF($M$174="Y","---&gt;","...")</f>
        <v>...</v>
      </c>
      <c r="C265" s="1" t="str">
        <f>IF($M$174="Y",'Population Definitions'!$A$13,"...")</f>
        <v>...</v>
      </c>
      <c r="E265" s="2"/>
      <c r="F265" s="3"/>
      <c r="G265" s="2"/>
      <c r="H265" s="4" t="str">
        <f>IF($M$174="Y","OR","...")</f>
        <v>...</v>
      </c>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row>
    <row r="266" spans="1:59" x14ac:dyDescent="0.25">
      <c r="A266" s="1" t="str">
        <f>IF($B$175="Y",'Population Definitions'!$A$9,"...")</f>
        <v>...</v>
      </c>
      <c r="B266" s="4" t="str">
        <f>IF($B$175="Y","---&gt;","...")</f>
        <v>...</v>
      </c>
      <c r="C266" s="1" t="str">
        <f>IF($B$175="Y",'Population Definitions'!$A$2,"...")</f>
        <v>...</v>
      </c>
      <c r="E266" s="2"/>
      <c r="F266" s="3"/>
      <c r="G266" s="2"/>
      <c r="H266" s="4" t="str">
        <f>IF($B$175="Y","OR","...")</f>
        <v>...</v>
      </c>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row>
    <row r="267" spans="1:59" x14ac:dyDescent="0.25">
      <c r="A267" s="1" t="str">
        <f>IF($C$175="Y",'Population Definitions'!$A$9,"...")</f>
        <v>18-64_females</v>
      </c>
      <c r="B267" s="4" t="str">
        <f>IF($C$175="Y","---&gt;","...")</f>
        <v>---&gt;</v>
      </c>
      <c r="C267" s="1" t="str">
        <f>IF($C$175="Y",'Population Definitions'!$A$3,"...")</f>
        <v>PWID_females</v>
      </c>
      <c r="E267" s="3" t="s">
        <v>53</v>
      </c>
      <c r="F267" s="3"/>
      <c r="G267" s="3">
        <v>2.1029906587448412E-6</v>
      </c>
      <c r="H267" s="4" t="str">
        <f>IF($C$175="Y","OR","...")</f>
        <v>OR</v>
      </c>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row>
    <row r="268" spans="1:59" x14ac:dyDescent="0.25">
      <c r="A268" s="1" t="str">
        <f>IF($D$175="Y",'Population Definitions'!$A$9,"...")</f>
        <v>...</v>
      </c>
      <c r="B268" s="4" t="str">
        <f>IF($D$175="Y","---&gt;","...")</f>
        <v>...</v>
      </c>
      <c r="C268" s="1" t="str">
        <f>IF($D$175="Y",'Population Definitions'!$A$4,"...")</f>
        <v>...</v>
      </c>
      <c r="E268" s="2"/>
      <c r="F268" s="3"/>
      <c r="G268" s="2"/>
      <c r="H268" s="4" t="str">
        <f>IF($D$175="Y","OR","...")</f>
        <v>...</v>
      </c>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row>
    <row r="269" spans="1:59" x14ac:dyDescent="0.25">
      <c r="A269" s="1" t="str">
        <f>IF($E$175="Y",'Population Definitions'!$A$9,"...")</f>
        <v>...</v>
      </c>
      <c r="B269" s="4" t="str">
        <f>IF($E$175="Y","---&gt;","...")</f>
        <v>...</v>
      </c>
      <c r="C269" s="1" t="str">
        <f>IF($E$175="Y",'Population Definitions'!$A$5,"...")</f>
        <v>...</v>
      </c>
      <c r="E269" s="2"/>
      <c r="F269" s="3"/>
      <c r="G269" s="2"/>
      <c r="H269" s="4" t="str">
        <f>IF($E$175="Y","OR","...")</f>
        <v>...</v>
      </c>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row>
    <row r="270" spans="1:59" x14ac:dyDescent="0.25">
      <c r="A270" s="1" t="str">
        <f>IF($F$175="Y",'Population Definitions'!$A$9,"...")</f>
        <v>...</v>
      </c>
      <c r="B270" s="4" t="str">
        <f>IF($F$175="Y","---&gt;","...")</f>
        <v>...</v>
      </c>
      <c r="C270" s="1" t="str">
        <f>IF($F$175="Y",'Population Definitions'!$A$6,"...")</f>
        <v>...</v>
      </c>
      <c r="E270" s="2"/>
      <c r="F270" s="3"/>
      <c r="G270" s="2"/>
      <c r="H270" s="4" t="str">
        <f>IF($F$175="Y","OR","...")</f>
        <v>...</v>
      </c>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row>
    <row r="271" spans="1:59" x14ac:dyDescent="0.25">
      <c r="A271" s="1" t="str">
        <f>IF($G$175="Y",'Population Definitions'!$A$9,"...")</f>
        <v>...</v>
      </c>
      <c r="B271" s="4" t="str">
        <f>IF($G$175="Y","---&gt;","...")</f>
        <v>...</v>
      </c>
      <c r="C271" s="1" t="str">
        <f>IF($G$175="Y",'Population Definitions'!$A$7,"...")</f>
        <v>...</v>
      </c>
      <c r="E271" s="2"/>
      <c r="F271" s="3"/>
      <c r="G271" s="2"/>
      <c r="H271" s="4" t="str">
        <f>IF($G$175="Y","OR","...")</f>
        <v>...</v>
      </c>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row>
    <row r="272" spans="1:59" x14ac:dyDescent="0.25">
      <c r="A272" s="1" t="str">
        <f>IF($H$175="Y",'Population Definitions'!$A$9,"...")</f>
        <v>...</v>
      </c>
      <c r="B272" s="4" t="str">
        <f>IF($H$175="Y","---&gt;","...")</f>
        <v>...</v>
      </c>
      <c r="C272" s="1" t="str">
        <f>IF($H$175="Y",'Population Definitions'!$A$8,"...")</f>
        <v>...</v>
      </c>
      <c r="E272" s="2"/>
      <c r="F272" s="3"/>
      <c r="G272" s="2"/>
      <c r="H272" s="4" t="str">
        <f>IF($H$175="Y","OR","...")</f>
        <v>...</v>
      </c>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row>
    <row r="273" spans="1:59" x14ac:dyDescent="0.25">
      <c r="A273" s="1" t="str">
        <f>IF($I$175="Y",'Population Definitions'!$A$9,"...")</f>
        <v>...</v>
      </c>
      <c r="B273" s="4" t="str">
        <f>IF($I$175="Y","---&gt;","...")</f>
        <v>...</v>
      </c>
      <c r="C273" s="1" t="str">
        <f>IF($I$175="Y",'Population Definitions'!$A$9,"...")</f>
        <v>...</v>
      </c>
      <c r="E273" s="2"/>
      <c r="F273" s="3"/>
      <c r="G273" s="2"/>
      <c r="H273" s="4" t="str">
        <f>IF($I$175="Y","OR","...")</f>
        <v>...</v>
      </c>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row>
    <row r="274" spans="1:59" x14ac:dyDescent="0.25">
      <c r="A274" s="1" t="str">
        <f>IF($J$175="Y",'Population Definitions'!$A$9,"...")</f>
        <v>...</v>
      </c>
      <c r="B274" s="4" t="str">
        <f>IF($J$175="Y","---&gt;","...")</f>
        <v>...</v>
      </c>
      <c r="C274" s="1" t="str">
        <f>IF($J$175="Y",'Population Definitions'!$A$10,"...")</f>
        <v>...</v>
      </c>
      <c r="E274" s="2"/>
      <c r="F274" s="3"/>
      <c r="G274" s="2"/>
      <c r="H274" s="4" t="str">
        <f>IF($J$175="Y","OR","...")</f>
        <v>...</v>
      </c>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row>
    <row r="275" spans="1:59" x14ac:dyDescent="0.25">
      <c r="A275" s="1" t="str">
        <f>IF($K$175="Y",'Population Definitions'!$A$9,"...")</f>
        <v>...</v>
      </c>
      <c r="B275" s="4" t="str">
        <f>IF($K$175="Y","---&gt;","...")</f>
        <v>...</v>
      </c>
      <c r="C275" s="1" t="str">
        <f>IF($K$175="Y",'Population Definitions'!$A$11,"...")</f>
        <v>...</v>
      </c>
      <c r="E275" s="2"/>
      <c r="F275" s="3"/>
      <c r="G275" s="2"/>
      <c r="H275" s="4" t="str">
        <f>IF($K$175="Y","OR","...")</f>
        <v>...</v>
      </c>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row>
    <row r="276" spans="1:59" x14ac:dyDescent="0.25">
      <c r="A276" s="1" t="str">
        <f>IF($L$175="Y",'Population Definitions'!$A$9,"...")</f>
        <v>...</v>
      </c>
      <c r="B276" s="4" t="str">
        <f>IF($L$175="Y","---&gt;","...")</f>
        <v>...</v>
      </c>
      <c r="C276" s="1" t="str">
        <f>IF($L$175="Y",'Population Definitions'!$A$12,"...")</f>
        <v>...</v>
      </c>
      <c r="E276" s="2"/>
      <c r="F276" s="3"/>
      <c r="G276" s="2"/>
      <c r="H276" s="4" t="str">
        <f>IF($L$175="Y","OR","...")</f>
        <v>...</v>
      </c>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row>
    <row r="277" spans="1:59" x14ac:dyDescent="0.25">
      <c r="A277" s="1" t="str">
        <f>IF($M$175="Y",'Population Definitions'!$A$9,"...")</f>
        <v>...</v>
      </c>
      <c r="B277" s="4" t="str">
        <f>IF($M$175="Y","---&gt;","...")</f>
        <v>...</v>
      </c>
      <c r="C277" s="1" t="str">
        <f>IF($M$175="Y",'Population Definitions'!$A$13,"...")</f>
        <v>...</v>
      </c>
      <c r="E277" s="2"/>
      <c r="F277" s="3"/>
      <c r="G277" s="2"/>
      <c r="H277" s="4" t="str">
        <f>IF($M$175="Y","OR","...")</f>
        <v>...</v>
      </c>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row>
    <row r="278" spans="1:59" x14ac:dyDescent="0.25">
      <c r="A278" s="1" t="str">
        <f>IF($B$176="Y",'Population Definitions'!$A$10,"...")</f>
        <v>...</v>
      </c>
      <c r="B278" s="4" t="str">
        <f>IF($B$176="Y","---&gt;","...")</f>
        <v>...</v>
      </c>
      <c r="C278" s="1" t="str">
        <f>IF($B$176="Y",'Population Definitions'!$A$2,"...")</f>
        <v>...</v>
      </c>
      <c r="E278" s="2"/>
      <c r="F278" s="3"/>
      <c r="G278" s="2"/>
      <c r="H278" s="4" t="str">
        <f>IF($B$176="Y","OR","...")</f>
        <v>...</v>
      </c>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row>
    <row r="279" spans="1:59" x14ac:dyDescent="0.25">
      <c r="A279" s="1" t="str">
        <f>IF($C$176="Y",'Population Definitions'!$A$10,"...")</f>
        <v>...</v>
      </c>
      <c r="B279" s="4" t="str">
        <f>IF($C$176="Y","---&gt;","...")</f>
        <v>...</v>
      </c>
      <c r="C279" s="1" t="str">
        <f>IF($C$176="Y",'Population Definitions'!$A$3,"...")</f>
        <v>...</v>
      </c>
      <c r="E279" s="2"/>
      <c r="F279" s="3"/>
      <c r="G279" s="2"/>
      <c r="H279" s="4" t="str">
        <f>IF($C$176="Y","OR","...")</f>
        <v>...</v>
      </c>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row>
    <row r="280" spans="1:59" x14ac:dyDescent="0.25">
      <c r="A280" s="1" t="str">
        <f>IF($D$176="Y",'Population Definitions'!$A$10,"...")</f>
        <v>...</v>
      </c>
      <c r="B280" s="4" t="str">
        <f>IF($D$176="Y","---&gt;","...")</f>
        <v>...</v>
      </c>
      <c r="C280" s="1" t="str">
        <f>IF($D$176="Y",'Population Definitions'!$A$4,"...")</f>
        <v>...</v>
      </c>
      <c r="E280" s="2"/>
      <c r="F280" s="3"/>
      <c r="G280" s="2"/>
      <c r="H280" s="4" t="str">
        <f>IF($D$176="Y","OR","...")</f>
        <v>...</v>
      </c>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row>
    <row r="281" spans="1:59" x14ac:dyDescent="0.25">
      <c r="A281" s="1" t="str">
        <f>IF($E$176="Y",'Population Definitions'!$A$10,"...")</f>
        <v>...</v>
      </c>
      <c r="B281" s="4" t="str">
        <f>IF($E$176="Y","---&gt;","...")</f>
        <v>...</v>
      </c>
      <c r="C281" s="1" t="str">
        <f>IF($E$176="Y",'Population Definitions'!$A$5,"...")</f>
        <v>...</v>
      </c>
      <c r="E281" s="2"/>
      <c r="F281" s="3"/>
      <c r="G281" s="2"/>
      <c r="H281" s="4" t="str">
        <f>IF($E$176="Y","OR","...")</f>
        <v>...</v>
      </c>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row>
    <row r="282" spans="1:59" x14ac:dyDescent="0.25">
      <c r="A282" s="1" t="str">
        <f>IF($F$176="Y",'Population Definitions'!$A$10,"...")</f>
        <v>...</v>
      </c>
      <c r="B282" s="4" t="str">
        <f>IF($F$176="Y","---&gt;","...")</f>
        <v>...</v>
      </c>
      <c r="C282" s="1" t="str">
        <f>IF($F$176="Y",'Population Definitions'!$A$6,"...")</f>
        <v>...</v>
      </c>
      <c r="E282" s="2"/>
      <c r="F282" s="3"/>
      <c r="G282" s="2"/>
      <c r="H282" s="4" t="str">
        <f>IF($F$176="Y","OR","...")</f>
        <v>...</v>
      </c>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row>
    <row r="283" spans="1:59" x14ac:dyDescent="0.25">
      <c r="A283" s="1" t="str">
        <f>IF($G$176="Y",'Population Definitions'!$A$10,"...")</f>
        <v>...</v>
      </c>
      <c r="B283" s="4" t="str">
        <f>IF($G$176="Y","---&gt;","...")</f>
        <v>...</v>
      </c>
      <c r="C283" s="1" t="str">
        <f>IF($G$176="Y",'Population Definitions'!$A$7,"...")</f>
        <v>...</v>
      </c>
      <c r="E283" s="2"/>
      <c r="F283" s="3"/>
      <c r="G283" s="2"/>
      <c r="H283" s="4" t="str">
        <f>IF($G$176="Y","OR","...")</f>
        <v>...</v>
      </c>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row>
    <row r="284" spans="1:59" x14ac:dyDescent="0.25">
      <c r="A284" s="1" t="str">
        <f>IF($H$176="Y",'Population Definitions'!$A$10,"...")</f>
        <v>...</v>
      </c>
      <c r="B284" s="4" t="str">
        <f>IF($H$176="Y","---&gt;","...")</f>
        <v>...</v>
      </c>
      <c r="C284" s="1" t="str">
        <f>IF($H$176="Y",'Population Definitions'!$A$8,"...")</f>
        <v>...</v>
      </c>
      <c r="E284" s="2"/>
      <c r="F284" s="3"/>
      <c r="G284" s="2"/>
      <c r="H284" s="4" t="str">
        <f>IF($H$176="Y","OR","...")</f>
        <v>...</v>
      </c>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row>
    <row r="285" spans="1:59" x14ac:dyDescent="0.25">
      <c r="A285" s="1" t="str">
        <f>IF($I$176="Y",'Population Definitions'!$A$10,"...")</f>
        <v>...</v>
      </c>
      <c r="B285" s="4" t="str">
        <f>IF($I$176="Y","---&gt;","...")</f>
        <v>...</v>
      </c>
      <c r="C285" s="1" t="str">
        <f>IF($I$176="Y",'Population Definitions'!$A$9,"...")</f>
        <v>...</v>
      </c>
      <c r="E285" s="2"/>
      <c r="F285" s="3"/>
      <c r="G285" s="2"/>
      <c r="H285" s="4" t="str">
        <f>IF($I$176="Y","OR","...")</f>
        <v>...</v>
      </c>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row>
    <row r="286" spans="1:59" x14ac:dyDescent="0.25">
      <c r="A286" s="1" t="str">
        <f>IF($J$176="Y",'Population Definitions'!$A$10,"...")</f>
        <v>...</v>
      </c>
      <c r="B286" s="4" t="str">
        <f>IF($J$176="Y","---&gt;","...")</f>
        <v>...</v>
      </c>
      <c r="C286" s="1" t="str">
        <f>IF($J$176="Y",'Population Definitions'!$A$10,"...")</f>
        <v>...</v>
      </c>
      <c r="E286" s="2"/>
      <c r="F286" s="3"/>
      <c r="G286" s="2"/>
      <c r="H286" s="4" t="str">
        <f>IF($J$176="Y","OR","...")</f>
        <v>...</v>
      </c>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row>
    <row r="287" spans="1:59" x14ac:dyDescent="0.25">
      <c r="A287" s="1" t="str">
        <f>IF($K$176="Y",'Population Definitions'!$A$10,"...")</f>
        <v>...</v>
      </c>
      <c r="B287" s="4" t="str">
        <f>IF($K$176="Y","---&gt;","...")</f>
        <v>...</v>
      </c>
      <c r="C287" s="1" t="str">
        <f>IF($K$176="Y",'Population Definitions'!$A$11,"...")</f>
        <v>...</v>
      </c>
      <c r="E287" s="2"/>
      <c r="F287" s="3"/>
      <c r="G287" s="2"/>
      <c r="H287" s="4" t="str">
        <f>IF($K$176="Y","OR","...")</f>
        <v>...</v>
      </c>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row>
    <row r="288" spans="1:59" x14ac:dyDescent="0.25">
      <c r="A288" s="1" t="str">
        <f>IF($L$176="Y",'Population Definitions'!$A$10,"...")</f>
        <v>...</v>
      </c>
      <c r="B288" s="4" t="str">
        <f>IF($L$176="Y","---&gt;","...")</f>
        <v>...</v>
      </c>
      <c r="C288" s="1" t="str">
        <f>IF($L$176="Y",'Population Definitions'!$A$12,"...")</f>
        <v>...</v>
      </c>
      <c r="E288" s="2"/>
      <c r="F288" s="3"/>
      <c r="G288" s="2"/>
      <c r="H288" s="4" t="str">
        <f>IF($L$176="Y","OR","...")</f>
        <v>...</v>
      </c>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row>
    <row r="289" spans="1:59" x14ac:dyDescent="0.25">
      <c r="A289" s="1" t="str">
        <f>IF($M$176="Y",'Population Definitions'!$A$10,"...")</f>
        <v>...</v>
      </c>
      <c r="B289" s="4" t="str">
        <f>IF($M$176="Y","---&gt;","...")</f>
        <v>...</v>
      </c>
      <c r="C289" s="1" t="str">
        <f>IF($M$176="Y",'Population Definitions'!$A$13,"...")</f>
        <v>...</v>
      </c>
      <c r="E289" s="2"/>
      <c r="F289" s="3"/>
      <c r="G289" s="2"/>
      <c r="H289" s="4" t="str">
        <f>IF($M$176="Y","OR","...")</f>
        <v>...</v>
      </c>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row>
    <row r="290" spans="1:59" x14ac:dyDescent="0.25">
      <c r="A290" s="1" t="str">
        <f>IF($B$177="Y",'Population Definitions'!$A$11,"...")</f>
        <v>...</v>
      </c>
      <c r="B290" s="4" t="str">
        <f>IF($B$177="Y","---&gt;","...")</f>
        <v>...</v>
      </c>
      <c r="C290" s="1" t="str">
        <f>IF($B$177="Y",'Population Definitions'!$A$2,"...")</f>
        <v>...</v>
      </c>
      <c r="E290" s="2"/>
      <c r="F290" s="3"/>
      <c r="G290" s="2"/>
      <c r="H290" s="4" t="str">
        <f>IF($B$177="Y","OR","...")</f>
        <v>...</v>
      </c>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row>
    <row r="291" spans="1:59" x14ac:dyDescent="0.25">
      <c r="A291" s="1" t="str">
        <f>IF($C$177="Y",'Population Definitions'!$A$11,"...")</f>
        <v>...</v>
      </c>
      <c r="B291" s="4" t="str">
        <f>IF($C$177="Y","---&gt;","...")</f>
        <v>...</v>
      </c>
      <c r="C291" s="1" t="str">
        <f>IF($C$177="Y",'Population Definitions'!$A$3,"...")</f>
        <v>...</v>
      </c>
      <c r="E291" s="2"/>
      <c r="F291" s="3"/>
      <c r="G291" s="2"/>
      <c r="H291" s="4" t="str">
        <f>IF($C$177="Y","OR","...")</f>
        <v>...</v>
      </c>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row>
    <row r="292" spans="1:59" x14ac:dyDescent="0.25">
      <c r="A292" s="1" t="str">
        <f>IF($D$177="Y",'Population Definitions'!$A$11,"...")</f>
        <v>...</v>
      </c>
      <c r="B292" s="4" t="str">
        <f>IF($D$177="Y","---&gt;","...")</f>
        <v>...</v>
      </c>
      <c r="C292" s="1" t="str">
        <f>IF($D$177="Y",'Population Definitions'!$A$4,"...")</f>
        <v>...</v>
      </c>
      <c r="E292" s="2"/>
      <c r="F292" s="3"/>
      <c r="G292" s="2"/>
      <c r="H292" s="4" t="str">
        <f>IF($D$177="Y","OR","...")</f>
        <v>...</v>
      </c>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row>
    <row r="293" spans="1:59" x14ac:dyDescent="0.25">
      <c r="A293" s="1" t="str">
        <f>IF($E$177="Y",'Population Definitions'!$A$11,"...")</f>
        <v>...</v>
      </c>
      <c r="B293" s="4" t="str">
        <f>IF($E$177="Y","---&gt;","...")</f>
        <v>...</v>
      </c>
      <c r="C293" s="1" t="str">
        <f>IF($E$177="Y",'Population Definitions'!$A$5,"...")</f>
        <v>...</v>
      </c>
      <c r="E293" s="2"/>
      <c r="F293" s="3"/>
      <c r="G293" s="2"/>
      <c r="H293" s="4" t="str">
        <f>IF($E$177="Y","OR","...")</f>
        <v>...</v>
      </c>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row>
    <row r="294" spans="1:59" x14ac:dyDescent="0.25">
      <c r="A294" s="1" t="str">
        <f>IF($F$177="Y",'Population Definitions'!$A$11,"...")</f>
        <v>...</v>
      </c>
      <c r="B294" s="4" t="str">
        <f>IF($F$177="Y","---&gt;","...")</f>
        <v>...</v>
      </c>
      <c r="C294" s="1" t="str">
        <f>IF($F$177="Y",'Population Definitions'!$A$6,"...")</f>
        <v>...</v>
      </c>
      <c r="E294" s="2"/>
      <c r="F294" s="3"/>
      <c r="G294" s="2"/>
      <c r="H294" s="4" t="str">
        <f>IF($F$177="Y","OR","...")</f>
        <v>...</v>
      </c>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row>
    <row r="295" spans="1:59" x14ac:dyDescent="0.25">
      <c r="A295" s="1" t="str">
        <f>IF($G$177="Y",'Population Definitions'!$A$11,"...")</f>
        <v>...</v>
      </c>
      <c r="B295" s="4" t="str">
        <f>IF($G$177="Y","---&gt;","...")</f>
        <v>...</v>
      </c>
      <c r="C295" s="1" t="str">
        <f>IF($G$177="Y",'Population Definitions'!$A$7,"...")</f>
        <v>...</v>
      </c>
      <c r="E295" s="2"/>
      <c r="F295" s="3"/>
      <c r="G295" s="2"/>
      <c r="H295" s="4" t="str">
        <f>IF($G$177="Y","OR","...")</f>
        <v>...</v>
      </c>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row>
    <row r="296" spans="1:59" x14ac:dyDescent="0.25">
      <c r="A296" s="1" t="str">
        <f>IF($H$177="Y",'Population Definitions'!$A$11,"...")</f>
        <v>...</v>
      </c>
      <c r="B296" s="4" t="str">
        <f>IF($H$177="Y","---&gt;","...")</f>
        <v>...</v>
      </c>
      <c r="C296" s="1" t="str">
        <f>IF($H$177="Y",'Population Definitions'!$A$8,"...")</f>
        <v>...</v>
      </c>
      <c r="E296" s="2"/>
      <c r="F296" s="3"/>
      <c r="G296" s="2"/>
      <c r="H296" s="4" t="str">
        <f>IF($H$177="Y","OR","...")</f>
        <v>...</v>
      </c>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row>
    <row r="297" spans="1:59" x14ac:dyDescent="0.25">
      <c r="A297" s="1" t="str">
        <f>IF($I$177="Y",'Population Definitions'!$A$11,"...")</f>
        <v>...</v>
      </c>
      <c r="B297" s="4" t="str">
        <f>IF($I$177="Y","---&gt;","...")</f>
        <v>...</v>
      </c>
      <c r="C297" s="1" t="str">
        <f>IF($I$177="Y",'Population Definitions'!$A$9,"...")</f>
        <v>...</v>
      </c>
      <c r="E297" s="2"/>
      <c r="F297" s="3"/>
      <c r="G297" s="2"/>
      <c r="H297" s="4" t="str">
        <f>IF($I$177="Y","OR","...")</f>
        <v>...</v>
      </c>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row>
    <row r="298" spans="1:59" x14ac:dyDescent="0.25">
      <c r="A298" s="1" t="str">
        <f>IF($J$177="Y",'Population Definitions'!$A$11,"...")</f>
        <v>...</v>
      </c>
      <c r="B298" s="4" t="str">
        <f>IF($J$177="Y","---&gt;","...")</f>
        <v>...</v>
      </c>
      <c r="C298" s="1" t="str">
        <f>IF($J$177="Y",'Population Definitions'!$A$10,"...")</f>
        <v>...</v>
      </c>
      <c r="E298" s="2"/>
      <c r="F298" s="3"/>
      <c r="G298" s="2"/>
      <c r="H298" s="4" t="str">
        <f>IF($J$177="Y","OR","...")</f>
        <v>...</v>
      </c>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row>
    <row r="299" spans="1:59" x14ac:dyDescent="0.25">
      <c r="A299" s="1" t="str">
        <f>IF($K$177="Y",'Population Definitions'!$A$11,"...")</f>
        <v>...</v>
      </c>
      <c r="B299" s="4" t="str">
        <f>IF($K$177="Y","---&gt;","...")</f>
        <v>...</v>
      </c>
      <c r="C299" s="1" t="str">
        <f>IF($K$177="Y",'Population Definitions'!$A$11,"...")</f>
        <v>...</v>
      </c>
      <c r="E299" s="2"/>
      <c r="F299" s="3"/>
      <c r="G299" s="2"/>
      <c r="H299" s="4" t="str">
        <f>IF($K$177="Y","OR","...")</f>
        <v>...</v>
      </c>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row>
    <row r="300" spans="1:59" x14ac:dyDescent="0.25">
      <c r="A300" s="1" t="str">
        <f>IF($L$177="Y",'Population Definitions'!$A$11,"...")</f>
        <v>...</v>
      </c>
      <c r="B300" s="4" t="str">
        <f>IF($L$177="Y","---&gt;","...")</f>
        <v>...</v>
      </c>
      <c r="C300" s="1" t="str">
        <f>IF($L$177="Y",'Population Definitions'!$A$12,"...")</f>
        <v>...</v>
      </c>
      <c r="E300" s="2"/>
      <c r="F300" s="3"/>
      <c r="G300" s="2"/>
      <c r="H300" s="4" t="str">
        <f>IF($L$177="Y","OR","...")</f>
        <v>...</v>
      </c>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row>
    <row r="301" spans="1:59" x14ac:dyDescent="0.25">
      <c r="A301" s="1" t="str">
        <f>IF($M$177="Y",'Population Definitions'!$A$11,"...")</f>
        <v>...</v>
      </c>
      <c r="B301" s="4" t="str">
        <f>IF($M$177="Y","---&gt;","...")</f>
        <v>...</v>
      </c>
      <c r="C301" s="1" t="str">
        <f>IF($M$177="Y",'Population Definitions'!$A$13,"...")</f>
        <v>...</v>
      </c>
      <c r="E301" s="2"/>
      <c r="F301" s="3"/>
      <c r="G301" s="2"/>
      <c r="H301" s="4" t="str">
        <f>IF($M$177="Y","OR","...")</f>
        <v>...</v>
      </c>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row>
    <row r="302" spans="1:59" x14ac:dyDescent="0.25">
      <c r="A302" s="1" t="str">
        <f>IF($B$178="Y",'Population Definitions'!$A$12,"...")</f>
        <v>...</v>
      </c>
      <c r="B302" s="4" t="str">
        <f>IF($B$178="Y","---&gt;","...")</f>
        <v>...</v>
      </c>
      <c r="C302" s="1" t="str">
        <f>IF($B$178="Y",'Population Definitions'!$A$2,"...")</f>
        <v>...</v>
      </c>
      <c r="E302" s="2"/>
      <c r="F302" s="3"/>
      <c r="G302" s="2"/>
      <c r="H302" s="4" t="str">
        <f>IF($B$178="Y","OR","...")</f>
        <v>...</v>
      </c>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row>
    <row r="303" spans="1:59" x14ac:dyDescent="0.25">
      <c r="A303" s="1" t="str">
        <f>IF($C$178="Y",'Population Definitions'!$A$12,"...")</f>
        <v>...</v>
      </c>
      <c r="B303" s="4" t="str">
        <f>IF($C$178="Y","---&gt;","...")</f>
        <v>...</v>
      </c>
      <c r="C303" s="1" t="str">
        <f>IF($C$178="Y",'Population Definitions'!$A$3,"...")</f>
        <v>...</v>
      </c>
      <c r="E303" s="2"/>
      <c r="F303" s="3"/>
      <c r="G303" s="2"/>
      <c r="H303" s="4" t="str">
        <f>IF($C$178="Y","OR","...")</f>
        <v>...</v>
      </c>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row>
    <row r="304" spans="1:59" x14ac:dyDescent="0.25">
      <c r="A304" s="1" t="str">
        <f>IF($D$178="Y",'Population Definitions'!$A$12,"...")</f>
        <v>...</v>
      </c>
      <c r="B304" s="4" t="str">
        <f>IF($D$178="Y","---&gt;","...")</f>
        <v>...</v>
      </c>
      <c r="C304" s="1" t="str">
        <f>IF($D$178="Y",'Population Definitions'!$A$4,"...")</f>
        <v>...</v>
      </c>
      <c r="E304" s="2"/>
      <c r="F304" s="3"/>
      <c r="G304" s="2"/>
      <c r="H304" s="4" t="str">
        <f>IF($D$178="Y","OR","...")</f>
        <v>...</v>
      </c>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row>
    <row r="305" spans="1:59" x14ac:dyDescent="0.25">
      <c r="A305" s="1" t="str">
        <f>IF($E$178="Y",'Population Definitions'!$A$12,"...")</f>
        <v>...</v>
      </c>
      <c r="B305" s="4" t="str">
        <f>IF($E$178="Y","---&gt;","...")</f>
        <v>...</v>
      </c>
      <c r="C305" s="1" t="str">
        <f>IF($E$178="Y",'Population Definitions'!$A$5,"...")</f>
        <v>...</v>
      </c>
      <c r="E305" s="2"/>
      <c r="F305" s="3"/>
      <c r="G305" s="2"/>
      <c r="H305" s="4" t="str">
        <f>IF($E$178="Y","OR","...")</f>
        <v>...</v>
      </c>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row>
    <row r="306" spans="1:59" x14ac:dyDescent="0.25">
      <c r="A306" s="1" t="str">
        <f>IF($F$178="Y",'Population Definitions'!$A$12,"...")</f>
        <v>...</v>
      </c>
      <c r="B306" s="4" t="str">
        <f>IF($F$178="Y","---&gt;","...")</f>
        <v>...</v>
      </c>
      <c r="C306" s="1" t="str">
        <f>IF($F$178="Y",'Population Definitions'!$A$6,"...")</f>
        <v>...</v>
      </c>
      <c r="E306" s="2"/>
      <c r="F306" s="3"/>
      <c r="G306" s="2"/>
      <c r="H306" s="4" t="str">
        <f>IF($F$178="Y","OR","...")</f>
        <v>...</v>
      </c>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row>
    <row r="307" spans="1:59" x14ac:dyDescent="0.25">
      <c r="A307" s="1" t="str">
        <f>IF($G$178="Y",'Population Definitions'!$A$12,"...")</f>
        <v>...</v>
      </c>
      <c r="B307" s="4" t="str">
        <f>IF($G$178="Y","---&gt;","...")</f>
        <v>...</v>
      </c>
      <c r="C307" s="1" t="str">
        <f>IF($G$178="Y",'Population Definitions'!$A$7,"...")</f>
        <v>...</v>
      </c>
      <c r="E307" s="2"/>
      <c r="F307" s="3"/>
      <c r="G307" s="2"/>
      <c r="H307" s="4" t="str">
        <f>IF($G$178="Y","OR","...")</f>
        <v>...</v>
      </c>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row>
    <row r="308" spans="1:59" x14ac:dyDescent="0.25">
      <c r="A308" s="1" t="str">
        <f>IF($H$178="Y",'Population Definitions'!$A$12,"...")</f>
        <v>...</v>
      </c>
      <c r="B308" s="4" t="str">
        <f>IF($H$178="Y","---&gt;","...")</f>
        <v>...</v>
      </c>
      <c r="C308" s="1" t="str">
        <f>IF($H$178="Y",'Population Definitions'!$A$8,"...")</f>
        <v>...</v>
      </c>
      <c r="E308" s="2"/>
      <c r="F308" s="3"/>
      <c r="G308" s="2"/>
      <c r="H308" s="4" t="str">
        <f>IF($H$178="Y","OR","...")</f>
        <v>...</v>
      </c>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row>
    <row r="309" spans="1:59" x14ac:dyDescent="0.25">
      <c r="A309" s="1" t="str">
        <f>IF($I$178="Y",'Population Definitions'!$A$12,"...")</f>
        <v>...</v>
      </c>
      <c r="B309" s="4" t="str">
        <f>IF($I$178="Y","---&gt;","...")</f>
        <v>...</v>
      </c>
      <c r="C309" s="1" t="str">
        <f>IF($I$178="Y",'Population Definitions'!$A$9,"...")</f>
        <v>...</v>
      </c>
      <c r="E309" s="2"/>
      <c r="F309" s="3"/>
      <c r="G309" s="2"/>
      <c r="H309" s="4" t="str">
        <f>IF($I$178="Y","OR","...")</f>
        <v>...</v>
      </c>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row>
    <row r="310" spans="1:59" x14ac:dyDescent="0.25">
      <c r="A310" s="1" t="str">
        <f>IF($J$178="Y",'Population Definitions'!$A$12,"...")</f>
        <v>...</v>
      </c>
      <c r="B310" s="4" t="str">
        <f>IF($J$178="Y","---&gt;","...")</f>
        <v>...</v>
      </c>
      <c r="C310" s="1" t="str">
        <f>IF($J$178="Y",'Population Definitions'!$A$10,"...")</f>
        <v>...</v>
      </c>
      <c r="E310" s="2"/>
      <c r="F310" s="3"/>
      <c r="G310" s="2"/>
      <c r="H310" s="4" t="str">
        <f>IF($J$178="Y","OR","...")</f>
        <v>...</v>
      </c>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row>
    <row r="311" spans="1:59" x14ac:dyDescent="0.25">
      <c r="A311" s="1" t="str">
        <f>IF($K$178="Y",'Population Definitions'!$A$12,"...")</f>
        <v>...</v>
      </c>
      <c r="B311" s="4" t="str">
        <f>IF($K$178="Y","---&gt;","...")</f>
        <v>...</v>
      </c>
      <c r="C311" s="1" t="str">
        <f>IF($K$178="Y",'Population Definitions'!$A$11,"...")</f>
        <v>...</v>
      </c>
      <c r="E311" s="2"/>
      <c r="F311" s="3"/>
      <c r="G311" s="2"/>
      <c r="H311" s="4" t="str">
        <f>IF($K$178="Y","OR","...")</f>
        <v>...</v>
      </c>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row>
    <row r="312" spans="1:59" x14ac:dyDescent="0.25">
      <c r="A312" s="1" t="str">
        <f>IF($L$178="Y",'Population Definitions'!$A$12,"...")</f>
        <v>...</v>
      </c>
      <c r="B312" s="4" t="str">
        <f>IF($L$178="Y","---&gt;","...")</f>
        <v>...</v>
      </c>
      <c r="C312" s="1" t="str">
        <f>IF($L$178="Y",'Population Definitions'!$A$12,"...")</f>
        <v>...</v>
      </c>
      <c r="E312" s="2"/>
      <c r="F312" s="3"/>
      <c r="G312" s="2"/>
      <c r="H312" s="4" t="str">
        <f>IF($L$178="Y","OR","...")</f>
        <v>...</v>
      </c>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row>
    <row r="313" spans="1:59" x14ac:dyDescent="0.25">
      <c r="A313" s="1" t="str">
        <f>IF($M$178="Y",'Population Definitions'!$A$12,"...")</f>
        <v>...</v>
      </c>
      <c r="B313" s="4" t="str">
        <f>IF($M$178="Y","---&gt;","...")</f>
        <v>...</v>
      </c>
      <c r="C313" s="1" t="str">
        <f>IF($M$178="Y",'Population Definitions'!$A$13,"...")</f>
        <v>...</v>
      </c>
      <c r="E313" s="2"/>
      <c r="F313" s="3"/>
      <c r="G313" s="2"/>
      <c r="H313" s="4" t="str">
        <f>IF($M$178="Y","OR","...")</f>
        <v>...</v>
      </c>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row>
    <row r="314" spans="1:59" x14ac:dyDescent="0.25">
      <c r="A314" s="1" t="str">
        <f>IF($B$179="Y",'Population Definitions'!$A$13,"...")</f>
        <v>...</v>
      </c>
      <c r="B314" s="4" t="str">
        <f>IF($B$179="Y","---&gt;","...")</f>
        <v>...</v>
      </c>
      <c r="C314" s="1" t="str">
        <f>IF($B$179="Y",'Population Definitions'!$A$2,"...")</f>
        <v>...</v>
      </c>
      <c r="E314" s="2"/>
      <c r="F314" s="3"/>
      <c r="G314" s="2"/>
      <c r="H314" s="4" t="str">
        <f>IF($B$179="Y","OR","...")</f>
        <v>...</v>
      </c>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row>
    <row r="315" spans="1:59" x14ac:dyDescent="0.25">
      <c r="A315" s="1" t="str">
        <f>IF($C$179="Y",'Population Definitions'!$A$13,"...")</f>
        <v>...</v>
      </c>
      <c r="B315" s="4" t="str">
        <f>IF($C$179="Y","---&gt;","...")</f>
        <v>...</v>
      </c>
      <c r="C315" s="1" t="str">
        <f>IF($C$179="Y",'Population Definitions'!$A$3,"...")</f>
        <v>...</v>
      </c>
      <c r="E315" s="2"/>
      <c r="F315" s="3"/>
      <c r="G315" s="2"/>
      <c r="H315" s="4" t="str">
        <f>IF($C$179="Y","OR","...")</f>
        <v>...</v>
      </c>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row>
    <row r="316" spans="1:59" x14ac:dyDescent="0.25">
      <c r="A316" s="1" t="str">
        <f>IF($D$179="Y",'Population Definitions'!$A$13,"...")</f>
        <v>...</v>
      </c>
      <c r="B316" s="4" t="str">
        <f>IF($D$179="Y","---&gt;","...")</f>
        <v>...</v>
      </c>
      <c r="C316" s="1" t="str">
        <f>IF($D$179="Y",'Population Definitions'!$A$4,"...")</f>
        <v>...</v>
      </c>
      <c r="E316" s="2"/>
      <c r="F316" s="3"/>
      <c r="G316" s="2"/>
      <c r="H316" s="4" t="str">
        <f>IF($D$179="Y","OR","...")</f>
        <v>...</v>
      </c>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row>
    <row r="317" spans="1:59" x14ac:dyDescent="0.25">
      <c r="A317" s="1" t="str">
        <f>IF($E$179="Y",'Population Definitions'!$A$13,"...")</f>
        <v>...</v>
      </c>
      <c r="B317" s="4" t="str">
        <f>IF($E$179="Y","---&gt;","...")</f>
        <v>...</v>
      </c>
      <c r="C317" s="1" t="str">
        <f>IF($E$179="Y",'Population Definitions'!$A$5,"...")</f>
        <v>...</v>
      </c>
      <c r="E317" s="2"/>
      <c r="F317" s="3"/>
      <c r="G317" s="2"/>
      <c r="H317" s="4" t="str">
        <f>IF($E$179="Y","OR","...")</f>
        <v>...</v>
      </c>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row>
    <row r="318" spans="1:59" x14ac:dyDescent="0.25">
      <c r="A318" s="1" t="str">
        <f>IF($F$179="Y",'Population Definitions'!$A$13,"...")</f>
        <v>...</v>
      </c>
      <c r="B318" s="4" t="str">
        <f>IF($F$179="Y","---&gt;","...")</f>
        <v>...</v>
      </c>
      <c r="C318" s="1" t="str">
        <f>IF($F$179="Y",'Population Definitions'!$A$6,"...")</f>
        <v>...</v>
      </c>
      <c r="E318" s="2"/>
      <c r="F318" s="3"/>
      <c r="G318" s="2"/>
      <c r="H318" s="4" t="str">
        <f>IF($F$179="Y","OR","...")</f>
        <v>...</v>
      </c>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row>
    <row r="319" spans="1:59" x14ac:dyDescent="0.25">
      <c r="A319" s="1" t="str">
        <f>IF($G$179="Y",'Population Definitions'!$A$13,"...")</f>
        <v>...</v>
      </c>
      <c r="B319" s="4" t="str">
        <f>IF($G$179="Y","---&gt;","...")</f>
        <v>...</v>
      </c>
      <c r="C319" s="1" t="str">
        <f>IF($G$179="Y",'Population Definitions'!$A$7,"...")</f>
        <v>...</v>
      </c>
      <c r="E319" s="2"/>
      <c r="F319" s="3"/>
      <c r="G319" s="2"/>
      <c r="H319" s="4" t="str">
        <f>IF($G$179="Y","OR","...")</f>
        <v>...</v>
      </c>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row>
    <row r="320" spans="1:59" x14ac:dyDescent="0.25">
      <c r="A320" s="1" t="str">
        <f>IF($H$179="Y",'Population Definitions'!$A$13,"...")</f>
        <v>...</v>
      </c>
      <c r="B320" s="4" t="str">
        <f>IF($H$179="Y","---&gt;","...")</f>
        <v>...</v>
      </c>
      <c r="C320" s="1" t="str">
        <f>IF($H$179="Y",'Population Definitions'!$A$8,"...")</f>
        <v>...</v>
      </c>
      <c r="E320" s="2"/>
      <c r="F320" s="3"/>
      <c r="G320" s="2"/>
      <c r="H320" s="4" t="str">
        <f>IF($H$179="Y","OR","...")</f>
        <v>...</v>
      </c>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row>
    <row r="321" spans="1:59" x14ac:dyDescent="0.25">
      <c r="A321" s="1" t="str">
        <f>IF($I$179="Y",'Population Definitions'!$A$13,"...")</f>
        <v>...</v>
      </c>
      <c r="B321" s="4" t="str">
        <f>IF($I$179="Y","---&gt;","...")</f>
        <v>...</v>
      </c>
      <c r="C321" s="1" t="str">
        <f>IF($I$179="Y",'Population Definitions'!$A$9,"...")</f>
        <v>...</v>
      </c>
      <c r="E321" s="2"/>
      <c r="F321" s="3"/>
      <c r="G321" s="2"/>
      <c r="H321" s="4" t="str">
        <f>IF($I$179="Y","OR","...")</f>
        <v>...</v>
      </c>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row>
    <row r="322" spans="1:59" x14ac:dyDescent="0.25">
      <c r="A322" s="1" t="str">
        <f>IF($J$179="Y",'Population Definitions'!$A$13,"...")</f>
        <v>...</v>
      </c>
      <c r="B322" s="4" t="str">
        <f>IF($J$179="Y","---&gt;","...")</f>
        <v>...</v>
      </c>
      <c r="C322" s="1" t="str">
        <f>IF($J$179="Y",'Population Definitions'!$A$10,"...")</f>
        <v>...</v>
      </c>
      <c r="E322" s="2"/>
      <c r="F322" s="3"/>
      <c r="G322" s="2"/>
      <c r="H322" s="4" t="str">
        <f>IF($J$179="Y","OR","...")</f>
        <v>...</v>
      </c>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row>
    <row r="323" spans="1:59" x14ac:dyDescent="0.25">
      <c r="A323" s="1" t="str">
        <f>IF($K$179="Y",'Population Definitions'!$A$13,"...")</f>
        <v>...</v>
      </c>
      <c r="B323" s="4" t="str">
        <f>IF($K$179="Y","---&gt;","...")</f>
        <v>...</v>
      </c>
      <c r="C323" s="1" t="str">
        <f>IF($K$179="Y",'Population Definitions'!$A$11,"...")</f>
        <v>...</v>
      </c>
      <c r="E323" s="2"/>
      <c r="F323" s="3"/>
      <c r="G323" s="2"/>
      <c r="H323" s="4" t="str">
        <f>IF($K$179="Y","OR","...")</f>
        <v>...</v>
      </c>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row>
    <row r="324" spans="1:59" x14ac:dyDescent="0.25">
      <c r="A324" s="1" t="str">
        <f>IF($L$179="Y",'Population Definitions'!$A$13,"...")</f>
        <v>...</v>
      </c>
      <c r="B324" s="4" t="str">
        <f>IF($L$179="Y","---&gt;","...")</f>
        <v>...</v>
      </c>
      <c r="C324" s="1" t="str">
        <f>IF($L$179="Y",'Population Definitions'!$A$12,"...")</f>
        <v>...</v>
      </c>
      <c r="E324" s="2"/>
      <c r="F324" s="3"/>
      <c r="G324" s="2"/>
      <c r="H324" s="4" t="str">
        <f>IF($L$179="Y","OR","...")</f>
        <v>...</v>
      </c>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row>
    <row r="325" spans="1:59" x14ac:dyDescent="0.25">
      <c r="A325" s="1" t="str">
        <f>IF($M$179="Y",'Population Definitions'!$A$13,"...")</f>
        <v>...</v>
      </c>
      <c r="B325" s="4" t="str">
        <f>IF($M$179="Y","---&gt;","...")</f>
        <v>...</v>
      </c>
      <c r="C325" s="1" t="str">
        <f>IF($M$179="Y",'Population Definitions'!$A$13,"...")</f>
        <v>...</v>
      </c>
      <c r="E325" s="2"/>
      <c r="F325" s="3"/>
      <c r="G325" s="2"/>
      <c r="H325" s="4" t="str">
        <f>IF($M$179="Y","OR","...")</f>
        <v>...</v>
      </c>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row>
    <row r="327" spans="1:59" x14ac:dyDescent="0.25">
      <c r="A327" s="1" t="s">
        <v>0</v>
      </c>
      <c r="B327" s="1" t="s">
        <v>1</v>
      </c>
      <c r="C327" s="1" t="s">
        <v>223</v>
      </c>
      <c r="D327" s="1" t="s">
        <v>224</v>
      </c>
    </row>
    <row r="328" spans="1:59" x14ac:dyDescent="0.25">
      <c r="A328" t="s">
        <v>234</v>
      </c>
      <c r="B328" t="s">
        <v>235</v>
      </c>
      <c r="C328" t="s">
        <v>5</v>
      </c>
      <c r="D328" t="s">
        <v>5</v>
      </c>
    </row>
    <row r="330" spans="1:59" x14ac:dyDescent="0.25">
      <c r="B330" s="1" t="str">
        <f>'Population Definitions'!$A$2</f>
        <v>PWID_males</v>
      </c>
      <c r="C330" s="1" t="str">
        <f>'Population Definitions'!$A$3</f>
        <v>PWID_females</v>
      </c>
      <c r="D330" s="1" t="str">
        <f>'Population Definitions'!$A$4</f>
        <v>0-9_males</v>
      </c>
      <c r="E330" s="1" t="str">
        <f>'Population Definitions'!$A$5</f>
        <v>0-9_females</v>
      </c>
      <c r="F330" s="1" t="str">
        <f>'Population Definitions'!$A$6</f>
        <v>10-17_males</v>
      </c>
      <c r="G330" s="1" t="str">
        <f>'Population Definitions'!$A$7</f>
        <v>10-17_females</v>
      </c>
      <c r="H330" s="1" t="str">
        <f>'Population Definitions'!$A$8</f>
        <v>18-64_males</v>
      </c>
      <c r="I330" s="1" t="str">
        <f>'Population Definitions'!$A$9</f>
        <v>18-64_females</v>
      </c>
      <c r="J330" s="1" t="str">
        <f>'Population Definitions'!$A$10</f>
        <v>65+_males</v>
      </c>
      <c r="K330" s="1" t="str">
        <f>'Population Definitions'!$A$11</f>
        <v>65+_females</v>
      </c>
      <c r="L330" s="1" t="str">
        <f>'Population Definitions'!$A$12</f>
        <v>Prisoners_males</v>
      </c>
      <c r="M330" s="1" t="str">
        <f>'Population Definitions'!$A$13</f>
        <v>Prisoners_females</v>
      </c>
    </row>
    <row r="331" spans="1:59" x14ac:dyDescent="0.25">
      <c r="A331" s="1" t="str">
        <f>'Population Definitions'!$A$2</f>
        <v>PWID_males</v>
      </c>
      <c r="B331" s="4" t="s">
        <v>56</v>
      </c>
      <c r="C331" s="5" t="s">
        <v>226</v>
      </c>
      <c r="D331" s="5" t="s">
        <v>226</v>
      </c>
      <c r="E331" s="5" t="s">
        <v>226</v>
      </c>
      <c r="F331" s="5" t="s">
        <v>226</v>
      </c>
      <c r="G331" s="5" t="s">
        <v>226</v>
      </c>
      <c r="H331" s="5" t="s">
        <v>226</v>
      </c>
      <c r="I331" s="5" t="s">
        <v>226</v>
      </c>
      <c r="J331" s="5" t="s">
        <v>226</v>
      </c>
      <c r="K331" s="5" t="s">
        <v>226</v>
      </c>
      <c r="L331" s="5" t="s">
        <v>225</v>
      </c>
      <c r="M331" s="5" t="s">
        <v>226</v>
      </c>
    </row>
    <row r="332" spans="1:59" x14ac:dyDescent="0.25">
      <c r="A332" s="1" t="str">
        <f>'Population Definitions'!$A$3</f>
        <v>PWID_females</v>
      </c>
      <c r="B332" s="5" t="s">
        <v>226</v>
      </c>
      <c r="C332" s="4" t="s">
        <v>56</v>
      </c>
      <c r="D332" s="5" t="s">
        <v>226</v>
      </c>
      <c r="E332" s="5" t="s">
        <v>226</v>
      </c>
      <c r="F332" s="5" t="s">
        <v>226</v>
      </c>
      <c r="G332" s="5" t="s">
        <v>226</v>
      </c>
      <c r="H332" s="5" t="s">
        <v>226</v>
      </c>
      <c r="I332" s="5" t="s">
        <v>226</v>
      </c>
      <c r="J332" s="5" t="s">
        <v>226</v>
      </c>
      <c r="K332" s="5" t="s">
        <v>226</v>
      </c>
      <c r="L332" s="5" t="s">
        <v>226</v>
      </c>
      <c r="M332" s="5" t="s">
        <v>225</v>
      </c>
    </row>
    <row r="333" spans="1:59" x14ac:dyDescent="0.25">
      <c r="A333" s="1" t="str">
        <f>'Population Definitions'!$A$4</f>
        <v>0-9_males</v>
      </c>
      <c r="B333" s="5" t="s">
        <v>226</v>
      </c>
      <c r="C333" s="5" t="s">
        <v>226</v>
      </c>
      <c r="D333" s="4" t="s">
        <v>56</v>
      </c>
      <c r="E333" s="5" t="s">
        <v>226</v>
      </c>
      <c r="F333" s="5" t="s">
        <v>226</v>
      </c>
      <c r="G333" s="5" t="s">
        <v>226</v>
      </c>
      <c r="H333" s="5" t="s">
        <v>226</v>
      </c>
      <c r="I333" s="5" t="s">
        <v>226</v>
      </c>
      <c r="J333" s="5" t="s">
        <v>226</v>
      </c>
      <c r="K333" s="5" t="s">
        <v>226</v>
      </c>
      <c r="L333" s="5" t="s">
        <v>226</v>
      </c>
      <c r="M333" s="5" t="s">
        <v>226</v>
      </c>
    </row>
    <row r="334" spans="1:59" x14ac:dyDescent="0.25">
      <c r="A334" s="1" t="str">
        <f>'Population Definitions'!$A$5</f>
        <v>0-9_females</v>
      </c>
      <c r="B334" s="5" t="s">
        <v>226</v>
      </c>
      <c r="C334" s="5" t="s">
        <v>226</v>
      </c>
      <c r="D334" s="5" t="s">
        <v>226</v>
      </c>
      <c r="E334" s="4" t="s">
        <v>56</v>
      </c>
      <c r="F334" s="5" t="s">
        <v>226</v>
      </c>
      <c r="G334" s="5" t="s">
        <v>226</v>
      </c>
      <c r="H334" s="5" t="s">
        <v>226</v>
      </c>
      <c r="I334" s="5" t="s">
        <v>226</v>
      </c>
      <c r="J334" s="5" t="s">
        <v>226</v>
      </c>
      <c r="K334" s="5" t="s">
        <v>226</v>
      </c>
      <c r="L334" s="5" t="s">
        <v>226</v>
      </c>
      <c r="M334" s="5" t="s">
        <v>226</v>
      </c>
    </row>
    <row r="335" spans="1:59" x14ac:dyDescent="0.25">
      <c r="A335" s="1" t="str">
        <f>'Population Definitions'!$A$6</f>
        <v>10-17_males</v>
      </c>
      <c r="B335" s="5" t="s">
        <v>226</v>
      </c>
      <c r="C335" s="5" t="s">
        <v>226</v>
      </c>
      <c r="D335" s="5" t="s">
        <v>226</v>
      </c>
      <c r="E335" s="5" t="s">
        <v>226</v>
      </c>
      <c r="F335" s="4" t="s">
        <v>56</v>
      </c>
      <c r="G335" s="5" t="s">
        <v>226</v>
      </c>
      <c r="H335" s="5" t="s">
        <v>226</v>
      </c>
      <c r="I335" s="5" t="s">
        <v>226</v>
      </c>
      <c r="J335" s="5" t="s">
        <v>226</v>
      </c>
      <c r="K335" s="5" t="s">
        <v>226</v>
      </c>
      <c r="L335" s="5" t="s">
        <v>226</v>
      </c>
      <c r="M335" s="5" t="s">
        <v>226</v>
      </c>
    </row>
    <row r="336" spans="1:59" x14ac:dyDescent="0.25">
      <c r="A336" s="1" t="str">
        <f>'Population Definitions'!$A$7</f>
        <v>10-17_females</v>
      </c>
      <c r="B336" s="5" t="s">
        <v>226</v>
      </c>
      <c r="C336" s="5" t="s">
        <v>226</v>
      </c>
      <c r="D336" s="5" t="s">
        <v>226</v>
      </c>
      <c r="E336" s="5" t="s">
        <v>226</v>
      </c>
      <c r="F336" s="5" t="s">
        <v>226</v>
      </c>
      <c r="G336" s="4" t="s">
        <v>56</v>
      </c>
      <c r="H336" s="5" t="s">
        <v>226</v>
      </c>
      <c r="I336" s="5" t="s">
        <v>226</v>
      </c>
      <c r="J336" s="5" t="s">
        <v>226</v>
      </c>
      <c r="K336" s="5" t="s">
        <v>226</v>
      </c>
      <c r="L336" s="5" t="s">
        <v>226</v>
      </c>
      <c r="M336" s="5" t="s">
        <v>226</v>
      </c>
    </row>
    <row r="337" spans="1:59" x14ac:dyDescent="0.25">
      <c r="A337" s="1" t="str">
        <f>'Population Definitions'!$A$8</f>
        <v>18-64_males</v>
      </c>
      <c r="B337" s="5" t="s">
        <v>226</v>
      </c>
      <c r="C337" s="5" t="s">
        <v>226</v>
      </c>
      <c r="D337" s="5" t="s">
        <v>226</v>
      </c>
      <c r="E337" s="5" t="s">
        <v>226</v>
      </c>
      <c r="F337" s="5" t="s">
        <v>226</v>
      </c>
      <c r="G337" s="5" t="s">
        <v>226</v>
      </c>
      <c r="H337" s="4" t="s">
        <v>56</v>
      </c>
      <c r="I337" s="5" t="s">
        <v>226</v>
      </c>
      <c r="J337" s="5" t="s">
        <v>226</v>
      </c>
      <c r="K337" s="5" t="s">
        <v>226</v>
      </c>
      <c r="L337" s="5" t="s">
        <v>225</v>
      </c>
      <c r="M337" s="5" t="s">
        <v>226</v>
      </c>
    </row>
    <row r="338" spans="1:59" x14ac:dyDescent="0.25">
      <c r="A338" s="1" t="str">
        <f>'Population Definitions'!$A$9</f>
        <v>18-64_females</v>
      </c>
      <c r="B338" s="5" t="s">
        <v>226</v>
      </c>
      <c r="C338" s="5" t="s">
        <v>226</v>
      </c>
      <c r="D338" s="5" t="s">
        <v>226</v>
      </c>
      <c r="E338" s="5" t="s">
        <v>226</v>
      </c>
      <c r="F338" s="5" t="s">
        <v>226</v>
      </c>
      <c r="G338" s="5" t="s">
        <v>226</v>
      </c>
      <c r="H338" s="5" t="s">
        <v>226</v>
      </c>
      <c r="I338" s="4" t="s">
        <v>56</v>
      </c>
      <c r="J338" s="5" t="s">
        <v>226</v>
      </c>
      <c r="K338" s="5" t="s">
        <v>226</v>
      </c>
      <c r="L338" s="5" t="s">
        <v>226</v>
      </c>
      <c r="M338" s="5" t="s">
        <v>225</v>
      </c>
    </row>
    <row r="339" spans="1:59" x14ac:dyDescent="0.25">
      <c r="A339" s="1" t="str">
        <f>'Population Definitions'!$A$10</f>
        <v>65+_males</v>
      </c>
      <c r="B339" s="5" t="s">
        <v>226</v>
      </c>
      <c r="C339" s="5" t="s">
        <v>226</v>
      </c>
      <c r="D339" s="5" t="s">
        <v>226</v>
      </c>
      <c r="E339" s="5" t="s">
        <v>226</v>
      </c>
      <c r="F339" s="5" t="s">
        <v>226</v>
      </c>
      <c r="G339" s="5" t="s">
        <v>226</v>
      </c>
      <c r="H339" s="5" t="s">
        <v>226</v>
      </c>
      <c r="I339" s="5" t="s">
        <v>226</v>
      </c>
      <c r="J339" s="4" t="s">
        <v>56</v>
      </c>
      <c r="K339" s="5" t="s">
        <v>226</v>
      </c>
      <c r="L339" s="5" t="s">
        <v>226</v>
      </c>
      <c r="M339" s="5" t="s">
        <v>226</v>
      </c>
    </row>
    <row r="340" spans="1:59" x14ac:dyDescent="0.25">
      <c r="A340" s="1" t="str">
        <f>'Population Definitions'!$A$11</f>
        <v>65+_females</v>
      </c>
      <c r="B340" s="5" t="s">
        <v>226</v>
      </c>
      <c r="C340" s="5" t="s">
        <v>226</v>
      </c>
      <c r="D340" s="5" t="s">
        <v>226</v>
      </c>
      <c r="E340" s="5" t="s">
        <v>226</v>
      </c>
      <c r="F340" s="5" t="s">
        <v>226</v>
      </c>
      <c r="G340" s="5" t="s">
        <v>226</v>
      </c>
      <c r="H340" s="5" t="s">
        <v>226</v>
      </c>
      <c r="I340" s="5" t="s">
        <v>226</v>
      </c>
      <c r="J340" s="5" t="s">
        <v>226</v>
      </c>
      <c r="K340" s="4" t="s">
        <v>56</v>
      </c>
      <c r="L340" s="5" t="s">
        <v>226</v>
      </c>
      <c r="M340" s="5" t="s">
        <v>226</v>
      </c>
    </row>
    <row r="341" spans="1:59" x14ac:dyDescent="0.25">
      <c r="A341" s="1" t="str">
        <f>'Population Definitions'!$A$12</f>
        <v>Prisoners_males</v>
      </c>
      <c r="B341" s="5" t="s">
        <v>225</v>
      </c>
      <c r="C341" s="5" t="s">
        <v>226</v>
      </c>
      <c r="D341" s="5" t="s">
        <v>226</v>
      </c>
      <c r="E341" s="5" t="s">
        <v>226</v>
      </c>
      <c r="F341" s="5" t="s">
        <v>226</v>
      </c>
      <c r="G341" s="5" t="s">
        <v>226</v>
      </c>
      <c r="H341" s="5" t="s">
        <v>225</v>
      </c>
      <c r="I341" s="5" t="s">
        <v>226</v>
      </c>
      <c r="J341" s="5" t="s">
        <v>226</v>
      </c>
      <c r="K341" s="5" t="s">
        <v>226</v>
      </c>
      <c r="L341" s="4" t="s">
        <v>56</v>
      </c>
      <c r="M341" s="5" t="s">
        <v>226</v>
      </c>
    </row>
    <row r="342" spans="1:59" x14ac:dyDescent="0.25">
      <c r="A342" s="1" t="str">
        <f>'Population Definitions'!$A$13</f>
        <v>Prisoners_females</v>
      </c>
      <c r="B342" s="5" t="s">
        <v>226</v>
      </c>
      <c r="C342" s="5" t="s">
        <v>225</v>
      </c>
      <c r="D342" s="5" t="s">
        <v>226</v>
      </c>
      <c r="E342" s="5" t="s">
        <v>226</v>
      </c>
      <c r="F342" s="5" t="s">
        <v>226</v>
      </c>
      <c r="G342" s="5" t="s">
        <v>226</v>
      </c>
      <c r="H342" s="5" t="s">
        <v>226</v>
      </c>
      <c r="I342" s="5" t="s">
        <v>225</v>
      </c>
      <c r="J342" s="5" t="s">
        <v>226</v>
      </c>
      <c r="K342" s="5" t="s">
        <v>226</v>
      </c>
      <c r="L342" s="5" t="s">
        <v>226</v>
      </c>
      <c r="M342" s="4" t="s">
        <v>56</v>
      </c>
    </row>
    <row r="344" spans="1:59" x14ac:dyDescent="0.25">
      <c r="A344" s="1" t="s">
        <v>227</v>
      </c>
      <c r="B344" s="1"/>
      <c r="C344" s="1" t="s">
        <v>228</v>
      </c>
      <c r="D344" s="1" t="s">
        <v>29</v>
      </c>
      <c r="E344" s="1" t="s">
        <v>30</v>
      </c>
      <c r="F344" s="1" t="s">
        <v>31</v>
      </c>
      <c r="G344" s="1" t="s">
        <v>36</v>
      </c>
      <c r="H344" s="1"/>
      <c r="I344" s="1">
        <v>2000</v>
      </c>
      <c r="J344" s="1">
        <v>2001</v>
      </c>
      <c r="K344" s="1">
        <v>2002</v>
      </c>
      <c r="L344" s="1">
        <v>2003</v>
      </c>
      <c r="M344" s="1">
        <v>2004</v>
      </c>
      <c r="N344" s="1">
        <v>2005</v>
      </c>
      <c r="O344" s="1">
        <v>2006</v>
      </c>
      <c r="P344" s="1">
        <v>2007</v>
      </c>
      <c r="Q344" s="1">
        <v>2008</v>
      </c>
      <c r="R344" s="1">
        <v>2009</v>
      </c>
      <c r="S344" s="1">
        <v>2010</v>
      </c>
      <c r="T344" s="1">
        <v>2011</v>
      </c>
      <c r="U344" s="1">
        <v>2012</v>
      </c>
      <c r="V344" s="1">
        <v>2013</v>
      </c>
      <c r="W344" s="1">
        <v>2014</v>
      </c>
      <c r="X344" s="1">
        <v>2015</v>
      </c>
      <c r="Y344" s="1">
        <v>2016</v>
      </c>
      <c r="Z344" s="1">
        <v>2017</v>
      </c>
      <c r="AA344" s="1">
        <v>2018</v>
      </c>
      <c r="AB344" s="1">
        <v>2019</v>
      </c>
      <c r="AC344" s="1">
        <v>2020</v>
      </c>
      <c r="AD344" s="1">
        <v>2021</v>
      </c>
      <c r="AE344" s="1">
        <v>2022</v>
      </c>
      <c r="AF344" s="1">
        <v>2023</v>
      </c>
      <c r="AG344" s="1">
        <v>2024</v>
      </c>
      <c r="AH344" s="1">
        <v>2025</v>
      </c>
      <c r="AI344" s="1">
        <v>2026</v>
      </c>
      <c r="AJ344" s="1">
        <v>2027</v>
      </c>
      <c r="AK344" s="1">
        <v>2028</v>
      </c>
      <c r="AL344" s="1">
        <v>2029</v>
      </c>
      <c r="AM344" s="1">
        <v>2030</v>
      </c>
      <c r="AN344" s="1">
        <v>2031</v>
      </c>
      <c r="AO344" s="1">
        <v>2032</v>
      </c>
      <c r="AP344" s="1">
        <v>2033</v>
      </c>
      <c r="AQ344" s="1">
        <v>2034</v>
      </c>
      <c r="AR344" s="1">
        <v>2035</v>
      </c>
      <c r="AS344" s="1">
        <v>2036</v>
      </c>
      <c r="AT344" s="1">
        <v>2037</v>
      </c>
      <c r="AU344" s="1">
        <v>2038</v>
      </c>
      <c r="AV344" s="1">
        <v>2039</v>
      </c>
      <c r="AW344" s="1">
        <v>2040</v>
      </c>
      <c r="AX344" s="1">
        <v>2041</v>
      </c>
      <c r="AY344" s="1">
        <v>2042</v>
      </c>
      <c r="AZ344" s="1">
        <v>2043</v>
      </c>
      <c r="BA344" s="1">
        <v>2044</v>
      </c>
      <c r="BB344" s="1">
        <v>2045</v>
      </c>
      <c r="BC344" s="1">
        <v>2046</v>
      </c>
      <c r="BD344" s="1">
        <v>2047</v>
      </c>
      <c r="BE344" s="1">
        <v>2048</v>
      </c>
      <c r="BF344" s="1">
        <v>2049</v>
      </c>
      <c r="BG344" s="1">
        <v>2050</v>
      </c>
    </row>
    <row r="345" spans="1:59" x14ac:dyDescent="0.25">
      <c r="A345" s="1" t="str">
        <f>IF($B$331="Y",'Population Definitions'!$A$2,"...")</f>
        <v>...</v>
      </c>
      <c r="B345" s="4" t="str">
        <f>IF($B$331="Y","---&gt;","...")</f>
        <v>...</v>
      </c>
      <c r="C345" s="1" t="str">
        <f>IF($B$331="Y",'Population Definitions'!$A$2,"...")</f>
        <v>...</v>
      </c>
      <c r="E345" s="2"/>
      <c r="F345" s="3"/>
      <c r="G345" s="2"/>
      <c r="H345" s="4" t="str">
        <f>IF($B$331="Y","OR","...")</f>
        <v>...</v>
      </c>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row>
    <row r="346" spans="1:59" x14ac:dyDescent="0.25">
      <c r="A346" s="1" t="str">
        <f>IF($C$331="Y",'Population Definitions'!$A$2,"...")</f>
        <v>...</v>
      </c>
      <c r="B346" s="4" t="str">
        <f>IF($C$331="Y","---&gt;","...")</f>
        <v>...</v>
      </c>
      <c r="C346" s="1" t="str">
        <f>IF($C$331="Y",'Population Definitions'!$A$3,"...")</f>
        <v>...</v>
      </c>
      <c r="E346" s="2"/>
      <c r="F346" s="3"/>
      <c r="G346" s="2"/>
      <c r="H346" s="4" t="str">
        <f>IF($C$331="Y","OR","...")</f>
        <v>...</v>
      </c>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row>
    <row r="347" spans="1:59" x14ac:dyDescent="0.25">
      <c r="A347" s="1" t="str">
        <f>IF($D$331="Y",'Population Definitions'!$A$2,"...")</f>
        <v>...</v>
      </c>
      <c r="B347" s="4" t="str">
        <f>IF($D$331="Y","---&gt;","...")</f>
        <v>...</v>
      </c>
      <c r="C347" s="1" t="str">
        <f>IF($D$331="Y",'Population Definitions'!$A$4,"...")</f>
        <v>...</v>
      </c>
      <c r="E347" s="2"/>
      <c r="F347" s="3"/>
      <c r="G347" s="2"/>
      <c r="H347" s="4" t="str">
        <f>IF($D$331="Y","OR","...")</f>
        <v>...</v>
      </c>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row>
    <row r="348" spans="1:59" x14ac:dyDescent="0.25">
      <c r="A348" s="1" t="str">
        <f>IF($E$331="Y",'Population Definitions'!$A$2,"...")</f>
        <v>...</v>
      </c>
      <c r="B348" s="4" t="str">
        <f>IF($E$331="Y","---&gt;","...")</f>
        <v>...</v>
      </c>
      <c r="C348" s="1" t="str">
        <f>IF($E$331="Y",'Population Definitions'!$A$5,"...")</f>
        <v>...</v>
      </c>
      <c r="E348" s="2"/>
      <c r="F348" s="3"/>
      <c r="G348" s="2"/>
      <c r="H348" s="4" t="str">
        <f>IF($E$331="Y","OR","...")</f>
        <v>...</v>
      </c>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row>
    <row r="349" spans="1:59" x14ac:dyDescent="0.25">
      <c r="A349" s="1" t="str">
        <f>IF($F$331="Y",'Population Definitions'!$A$2,"...")</f>
        <v>...</v>
      </c>
      <c r="B349" s="4" t="str">
        <f>IF($F$331="Y","---&gt;","...")</f>
        <v>...</v>
      </c>
      <c r="C349" s="1" t="str">
        <f>IF($F$331="Y",'Population Definitions'!$A$6,"...")</f>
        <v>...</v>
      </c>
      <c r="E349" s="2"/>
      <c r="F349" s="3"/>
      <c r="G349" s="2"/>
      <c r="H349" s="4" t="str">
        <f>IF($F$331="Y","OR","...")</f>
        <v>...</v>
      </c>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row>
    <row r="350" spans="1:59" x14ac:dyDescent="0.25">
      <c r="A350" s="1" t="str">
        <f>IF($G$331="Y",'Population Definitions'!$A$2,"...")</f>
        <v>...</v>
      </c>
      <c r="B350" s="4" t="str">
        <f>IF($G$331="Y","---&gt;","...")</f>
        <v>...</v>
      </c>
      <c r="C350" s="1" t="str">
        <f>IF($G$331="Y",'Population Definitions'!$A$7,"...")</f>
        <v>...</v>
      </c>
      <c r="E350" s="2"/>
      <c r="F350" s="3"/>
      <c r="G350" s="2"/>
      <c r="H350" s="4" t="str">
        <f>IF($G$331="Y","OR","...")</f>
        <v>...</v>
      </c>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row>
    <row r="351" spans="1:59" x14ac:dyDescent="0.25">
      <c r="A351" s="1" t="str">
        <f>IF($H$331="Y",'Population Definitions'!$A$2,"...")</f>
        <v>...</v>
      </c>
      <c r="B351" s="4" t="str">
        <f>IF($H$331="Y","---&gt;","...")</f>
        <v>...</v>
      </c>
      <c r="C351" s="1" t="str">
        <f>IF($H$331="Y",'Population Definitions'!$A$8,"...")</f>
        <v>...</v>
      </c>
      <c r="E351" s="2"/>
      <c r="F351" s="3"/>
      <c r="G351" s="2"/>
      <c r="H351" s="4" t="str">
        <f>IF($H$331="Y","OR","...")</f>
        <v>...</v>
      </c>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row>
    <row r="352" spans="1:59" x14ac:dyDescent="0.25">
      <c r="A352" s="1" t="str">
        <f>IF($I$331="Y",'Population Definitions'!$A$2,"...")</f>
        <v>...</v>
      </c>
      <c r="B352" s="4" t="str">
        <f>IF($I$331="Y","---&gt;","...")</f>
        <v>...</v>
      </c>
      <c r="C352" s="1" t="str">
        <f>IF($I$331="Y",'Population Definitions'!$A$9,"...")</f>
        <v>...</v>
      </c>
      <c r="E352" s="2"/>
      <c r="F352" s="3"/>
      <c r="G352" s="2"/>
      <c r="H352" s="4" t="str">
        <f>IF($I$331="Y","OR","...")</f>
        <v>...</v>
      </c>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row>
    <row r="353" spans="1:59" x14ac:dyDescent="0.25">
      <c r="A353" s="1" t="str">
        <f>IF($J$331="Y",'Population Definitions'!$A$2,"...")</f>
        <v>...</v>
      </c>
      <c r="B353" s="4" t="str">
        <f>IF($J$331="Y","---&gt;","...")</f>
        <v>...</v>
      </c>
      <c r="C353" s="1" t="str">
        <f>IF($J$331="Y",'Population Definitions'!$A$10,"...")</f>
        <v>...</v>
      </c>
      <c r="E353" s="2"/>
      <c r="F353" s="3"/>
      <c r="G353" s="2"/>
      <c r="H353" s="4" t="str">
        <f>IF($J$331="Y","OR","...")</f>
        <v>...</v>
      </c>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row>
    <row r="354" spans="1:59" x14ac:dyDescent="0.25">
      <c r="A354" s="1" t="str">
        <f>IF($K$331="Y",'Population Definitions'!$A$2,"...")</f>
        <v>...</v>
      </c>
      <c r="B354" s="4" t="str">
        <f>IF($K$331="Y","---&gt;","...")</f>
        <v>...</v>
      </c>
      <c r="C354" s="1" t="str">
        <f>IF($K$331="Y",'Population Definitions'!$A$11,"...")</f>
        <v>...</v>
      </c>
      <c r="E354" s="2"/>
      <c r="F354" s="3"/>
      <c r="G354" s="2"/>
      <c r="H354" s="4" t="str">
        <f>IF($K$331="Y","OR","...")</f>
        <v>...</v>
      </c>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row>
    <row r="355" spans="1:59" x14ac:dyDescent="0.25">
      <c r="A355" s="1" t="str">
        <f>IF($L$331="Y",'Population Definitions'!$A$2,"...")</f>
        <v>PWID_males</v>
      </c>
      <c r="B355" s="4" t="str">
        <f>IF($L$331="Y","---&gt;","...")</f>
        <v>---&gt;</v>
      </c>
      <c r="C355" s="1" t="str">
        <f>IF($L$331="Y",'Population Definitions'!$A$12,"...")</f>
        <v>Prisoners_males</v>
      </c>
      <c r="E355" s="3" t="s">
        <v>53</v>
      </c>
      <c r="F355" s="3"/>
      <c r="G355" s="3">
        <v>0.42214154227531048</v>
      </c>
      <c r="H355" s="4" t="str">
        <f>IF($L$331="Y","OR","...")</f>
        <v>OR</v>
      </c>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row>
    <row r="356" spans="1:59" x14ac:dyDescent="0.25">
      <c r="A356" s="1" t="str">
        <f>IF($M$331="Y",'Population Definitions'!$A$2,"...")</f>
        <v>...</v>
      </c>
      <c r="B356" s="4" t="str">
        <f>IF($M$331="Y","---&gt;","...")</f>
        <v>...</v>
      </c>
      <c r="C356" s="1" t="str">
        <f>IF($M$331="Y",'Population Definitions'!$A$13,"...")</f>
        <v>...</v>
      </c>
      <c r="E356" s="2"/>
      <c r="F356" s="3"/>
      <c r="G356" s="2"/>
      <c r="H356" s="4" t="str">
        <f>IF($M$331="Y","OR","...")</f>
        <v>...</v>
      </c>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row>
    <row r="357" spans="1:59" x14ac:dyDescent="0.25">
      <c r="A357" s="1" t="str">
        <f>IF($B$332="Y",'Population Definitions'!$A$3,"...")</f>
        <v>...</v>
      </c>
      <c r="B357" s="4" t="str">
        <f>IF($B$332="Y","---&gt;","...")</f>
        <v>...</v>
      </c>
      <c r="C357" s="1" t="str">
        <f>IF($B$332="Y",'Population Definitions'!$A$2,"...")</f>
        <v>...</v>
      </c>
      <c r="E357" s="2"/>
      <c r="F357" s="3"/>
      <c r="G357" s="2"/>
      <c r="H357" s="4" t="str">
        <f>IF($B$332="Y","OR","...")</f>
        <v>...</v>
      </c>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row>
    <row r="358" spans="1:59" x14ac:dyDescent="0.25">
      <c r="A358" s="1" t="str">
        <f>IF($C$332="Y",'Population Definitions'!$A$3,"...")</f>
        <v>...</v>
      </c>
      <c r="B358" s="4" t="str">
        <f>IF($C$332="Y","---&gt;","...")</f>
        <v>...</v>
      </c>
      <c r="C358" s="1" t="str">
        <f>IF($C$332="Y",'Population Definitions'!$A$3,"...")</f>
        <v>...</v>
      </c>
      <c r="E358" s="2"/>
      <c r="F358" s="3"/>
      <c r="G358" s="2"/>
      <c r="H358" s="4" t="str">
        <f>IF($C$332="Y","OR","...")</f>
        <v>...</v>
      </c>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row>
    <row r="359" spans="1:59" x14ac:dyDescent="0.25">
      <c r="A359" s="1" t="str">
        <f>IF($D$332="Y",'Population Definitions'!$A$3,"...")</f>
        <v>...</v>
      </c>
      <c r="B359" s="4" t="str">
        <f>IF($D$332="Y","---&gt;","...")</f>
        <v>...</v>
      </c>
      <c r="C359" s="1" t="str">
        <f>IF($D$332="Y",'Population Definitions'!$A$4,"...")</f>
        <v>...</v>
      </c>
      <c r="E359" s="2"/>
      <c r="F359" s="3"/>
      <c r="G359" s="2"/>
      <c r="H359" s="4" t="str">
        <f>IF($D$332="Y","OR","...")</f>
        <v>...</v>
      </c>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row>
    <row r="360" spans="1:59" x14ac:dyDescent="0.25">
      <c r="A360" s="1" t="str">
        <f>IF($E$332="Y",'Population Definitions'!$A$3,"...")</f>
        <v>...</v>
      </c>
      <c r="B360" s="4" t="str">
        <f>IF($E$332="Y","---&gt;","...")</f>
        <v>...</v>
      </c>
      <c r="C360" s="1" t="str">
        <f>IF($E$332="Y",'Population Definitions'!$A$5,"...")</f>
        <v>...</v>
      </c>
      <c r="E360" s="2"/>
      <c r="F360" s="3"/>
      <c r="G360" s="2"/>
      <c r="H360" s="4" t="str">
        <f>IF($E$332="Y","OR","...")</f>
        <v>...</v>
      </c>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row>
    <row r="361" spans="1:59" x14ac:dyDescent="0.25">
      <c r="A361" s="1" t="str">
        <f>IF($F$332="Y",'Population Definitions'!$A$3,"...")</f>
        <v>...</v>
      </c>
      <c r="B361" s="4" t="str">
        <f>IF($F$332="Y","---&gt;","...")</f>
        <v>...</v>
      </c>
      <c r="C361" s="1" t="str">
        <f>IF($F$332="Y",'Population Definitions'!$A$6,"...")</f>
        <v>...</v>
      </c>
      <c r="E361" s="2"/>
      <c r="F361" s="3"/>
      <c r="G361" s="2"/>
      <c r="H361" s="4" t="str">
        <f>IF($F$332="Y","OR","...")</f>
        <v>...</v>
      </c>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row>
    <row r="362" spans="1:59" x14ac:dyDescent="0.25">
      <c r="A362" s="1" t="str">
        <f>IF($G$332="Y",'Population Definitions'!$A$3,"...")</f>
        <v>...</v>
      </c>
      <c r="B362" s="4" t="str">
        <f>IF($G$332="Y","---&gt;","...")</f>
        <v>...</v>
      </c>
      <c r="C362" s="1" t="str">
        <f>IF($G$332="Y",'Population Definitions'!$A$7,"...")</f>
        <v>...</v>
      </c>
      <c r="E362" s="2"/>
      <c r="F362" s="3"/>
      <c r="G362" s="2"/>
      <c r="H362" s="4" t="str">
        <f>IF($G$332="Y","OR","...")</f>
        <v>...</v>
      </c>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row>
    <row r="363" spans="1:59" x14ac:dyDescent="0.25">
      <c r="A363" s="1" t="str">
        <f>IF($H$332="Y",'Population Definitions'!$A$3,"...")</f>
        <v>...</v>
      </c>
      <c r="B363" s="4" t="str">
        <f>IF($H$332="Y","---&gt;","...")</f>
        <v>...</v>
      </c>
      <c r="C363" s="1" t="str">
        <f>IF($H$332="Y",'Population Definitions'!$A$8,"...")</f>
        <v>...</v>
      </c>
      <c r="E363" s="2"/>
      <c r="F363" s="3"/>
      <c r="G363" s="2"/>
      <c r="H363" s="4" t="str">
        <f>IF($H$332="Y","OR","...")</f>
        <v>...</v>
      </c>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row>
    <row r="364" spans="1:59" x14ac:dyDescent="0.25">
      <c r="A364" s="1" t="str">
        <f>IF($I$332="Y",'Population Definitions'!$A$3,"...")</f>
        <v>...</v>
      </c>
      <c r="B364" s="4" t="str">
        <f>IF($I$332="Y","---&gt;","...")</f>
        <v>...</v>
      </c>
      <c r="C364" s="1" t="str">
        <f>IF($I$332="Y",'Population Definitions'!$A$9,"...")</f>
        <v>...</v>
      </c>
      <c r="E364" s="2"/>
      <c r="F364" s="3"/>
      <c r="G364" s="2"/>
      <c r="H364" s="4" t="str">
        <f>IF($I$332="Y","OR","...")</f>
        <v>...</v>
      </c>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row>
    <row r="365" spans="1:59" x14ac:dyDescent="0.25">
      <c r="A365" s="1" t="str">
        <f>IF($J$332="Y",'Population Definitions'!$A$3,"...")</f>
        <v>...</v>
      </c>
      <c r="B365" s="4" t="str">
        <f>IF($J$332="Y","---&gt;","...")</f>
        <v>...</v>
      </c>
      <c r="C365" s="1" t="str">
        <f>IF($J$332="Y",'Population Definitions'!$A$10,"...")</f>
        <v>...</v>
      </c>
      <c r="E365" s="2"/>
      <c r="F365" s="3"/>
      <c r="G365" s="2"/>
      <c r="H365" s="4" t="str">
        <f>IF($J$332="Y","OR","...")</f>
        <v>...</v>
      </c>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row>
    <row r="366" spans="1:59" x14ac:dyDescent="0.25">
      <c r="A366" s="1" t="str">
        <f>IF($K$332="Y",'Population Definitions'!$A$3,"...")</f>
        <v>...</v>
      </c>
      <c r="B366" s="4" t="str">
        <f>IF($K$332="Y","---&gt;","...")</f>
        <v>...</v>
      </c>
      <c r="C366" s="1" t="str">
        <f>IF($K$332="Y",'Population Definitions'!$A$11,"...")</f>
        <v>...</v>
      </c>
      <c r="E366" s="2"/>
      <c r="F366" s="3"/>
      <c r="G366" s="2"/>
      <c r="H366" s="4" t="str">
        <f>IF($K$332="Y","OR","...")</f>
        <v>...</v>
      </c>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row>
    <row r="367" spans="1:59" x14ac:dyDescent="0.25">
      <c r="A367" s="1" t="str">
        <f>IF($L$332="Y",'Population Definitions'!$A$3,"...")</f>
        <v>...</v>
      </c>
      <c r="B367" s="4" t="str">
        <f>IF($L$332="Y","---&gt;","...")</f>
        <v>...</v>
      </c>
      <c r="C367" s="1" t="str">
        <f>IF($L$332="Y",'Population Definitions'!$A$12,"...")</f>
        <v>...</v>
      </c>
      <c r="E367" s="2"/>
      <c r="F367" s="3"/>
      <c r="G367" s="2"/>
      <c r="H367" s="4" t="str">
        <f>IF($L$332="Y","OR","...")</f>
        <v>...</v>
      </c>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row>
    <row r="368" spans="1:59" x14ac:dyDescent="0.25">
      <c r="A368" s="1" t="str">
        <f>IF($M$332="Y",'Population Definitions'!$A$3,"...")</f>
        <v>PWID_females</v>
      </c>
      <c r="B368" s="4" t="str">
        <f>IF($M$332="Y","---&gt;","...")</f>
        <v>---&gt;</v>
      </c>
      <c r="C368" s="1" t="str">
        <f>IF($M$332="Y",'Population Definitions'!$A$13,"...")</f>
        <v>Prisoners_females</v>
      </c>
      <c r="E368" s="3" t="s">
        <v>53</v>
      </c>
      <c r="F368" s="3"/>
      <c r="G368" s="3">
        <v>0.48385133732575109</v>
      </c>
      <c r="H368" s="4" t="str">
        <f>IF($M$332="Y","OR","...")</f>
        <v>OR</v>
      </c>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row>
    <row r="369" spans="1:59" x14ac:dyDescent="0.25">
      <c r="A369" s="1" t="str">
        <f>IF($B$333="Y",'Population Definitions'!$A$4,"...")</f>
        <v>...</v>
      </c>
      <c r="B369" s="4" t="str">
        <f>IF($B$333="Y","---&gt;","...")</f>
        <v>...</v>
      </c>
      <c r="C369" s="1" t="str">
        <f>IF($B$333="Y",'Population Definitions'!$A$2,"...")</f>
        <v>...</v>
      </c>
      <c r="E369" s="2"/>
      <c r="F369" s="3"/>
      <c r="G369" s="2"/>
      <c r="H369" s="4" t="str">
        <f>IF($B$333="Y","OR","...")</f>
        <v>...</v>
      </c>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row>
    <row r="370" spans="1:59" x14ac:dyDescent="0.25">
      <c r="A370" s="1" t="str">
        <f>IF($C$333="Y",'Population Definitions'!$A$4,"...")</f>
        <v>...</v>
      </c>
      <c r="B370" s="4" t="str">
        <f>IF($C$333="Y","---&gt;","...")</f>
        <v>...</v>
      </c>
      <c r="C370" s="1" t="str">
        <f>IF($C$333="Y",'Population Definitions'!$A$3,"...")</f>
        <v>...</v>
      </c>
      <c r="E370" s="2"/>
      <c r="F370" s="3"/>
      <c r="G370" s="2"/>
      <c r="H370" s="4" t="str">
        <f>IF($C$333="Y","OR","...")</f>
        <v>...</v>
      </c>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row>
    <row r="371" spans="1:59" x14ac:dyDescent="0.25">
      <c r="A371" s="1" t="str">
        <f>IF($D$333="Y",'Population Definitions'!$A$4,"...")</f>
        <v>...</v>
      </c>
      <c r="B371" s="4" t="str">
        <f>IF($D$333="Y","---&gt;","...")</f>
        <v>...</v>
      </c>
      <c r="C371" s="1" t="str">
        <f>IF($D$333="Y",'Population Definitions'!$A$4,"...")</f>
        <v>...</v>
      </c>
      <c r="E371" s="2"/>
      <c r="F371" s="3"/>
      <c r="G371" s="2"/>
      <c r="H371" s="4" t="str">
        <f>IF($D$333="Y","OR","...")</f>
        <v>...</v>
      </c>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row>
    <row r="372" spans="1:59" x14ac:dyDescent="0.25">
      <c r="A372" s="1" t="str">
        <f>IF($E$333="Y",'Population Definitions'!$A$4,"...")</f>
        <v>...</v>
      </c>
      <c r="B372" s="4" t="str">
        <f>IF($E$333="Y","---&gt;","...")</f>
        <v>...</v>
      </c>
      <c r="C372" s="1" t="str">
        <f>IF($E$333="Y",'Population Definitions'!$A$5,"...")</f>
        <v>...</v>
      </c>
      <c r="E372" s="2"/>
      <c r="F372" s="3"/>
      <c r="G372" s="2"/>
      <c r="H372" s="4" t="str">
        <f>IF($E$333="Y","OR","...")</f>
        <v>...</v>
      </c>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row>
    <row r="373" spans="1:59" x14ac:dyDescent="0.25">
      <c r="A373" s="1" t="str">
        <f>IF($F$333="Y",'Population Definitions'!$A$4,"...")</f>
        <v>...</v>
      </c>
      <c r="B373" s="4" t="str">
        <f>IF($F$333="Y","---&gt;","...")</f>
        <v>...</v>
      </c>
      <c r="C373" s="1" t="str">
        <f>IF($F$333="Y",'Population Definitions'!$A$6,"...")</f>
        <v>...</v>
      </c>
      <c r="E373" s="2"/>
      <c r="F373" s="3"/>
      <c r="G373" s="2"/>
      <c r="H373" s="4" t="str">
        <f>IF($F$333="Y","OR","...")</f>
        <v>...</v>
      </c>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row>
    <row r="374" spans="1:59" x14ac:dyDescent="0.25">
      <c r="A374" s="1" t="str">
        <f>IF($G$333="Y",'Population Definitions'!$A$4,"...")</f>
        <v>...</v>
      </c>
      <c r="B374" s="4" t="str">
        <f>IF($G$333="Y","---&gt;","...")</f>
        <v>...</v>
      </c>
      <c r="C374" s="1" t="str">
        <f>IF($G$333="Y",'Population Definitions'!$A$7,"...")</f>
        <v>...</v>
      </c>
      <c r="E374" s="2"/>
      <c r="F374" s="3"/>
      <c r="G374" s="2"/>
      <c r="H374" s="4" t="str">
        <f>IF($G$333="Y","OR","...")</f>
        <v>...</v>
      </c>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row>
    <row r="375" spans="1:59" x14ac:dyDescent="0.25">
      <c r="A375" s="1" t="str">
        <f>IF($H$333="Y",'Population Definitions'!$A$4,"...")</f>
        <v>...</v>
      </c>
      <c r="B375" s="4" t="str">
        <f>IF($H$333="Y","---&gt;","...")</f>
        <v>...</v>
      </c>
      <c r="C375" s="1" t="str">
        <f>IF($H$333="Y",'Population Definitions'!$A$8,"...")</f>
        <v>...</v>
      </c>
      <c r="E375" s="2"/>
      <c r="F375" s="3"/>
      <c r="G375" s="2"/>
      <c r="H375" s="4" t="str">
        <f>IF($H$333="Y","OR","...")</f>
        <v>...</v>
      </c>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row>
    <row r="376" spans="1:59" x14ac:dyDescent="0.25">
      <c r="A376" s="1" t="str">
        <f>IF($I$333="Y",'Population Definitions'!$A$4,"...")</f>
        <v>...</v>
      </c>
      <c r="B376" s="4" t="str">
        <f>IF($I$333="Y","---&gt;","...")</f>
        <v>...</v>
      </c>
      <c r="C376" s="1" t="str">
        <f>IF($I$333="Y",'Population Definitions'!$A$9,"...")</f>
        <v>...</v>
      </c>
      <c r="E376" s="2"/>
      <c r="F376" s="3"/>
      <c r="G376" s="2"/>
      <c r="H376" s="4" t="str">
        <f>IF($I$333="Y","OR","...")</f>
        <v>...</v>
      </c>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row>
    <row r="377" spans="1:59" x14ac:dyDescent="0.25">
      <c r="A377" s="1" t="str">
        <f>IF($J$333="Y",'Population Definitions'!$A$4,"...")</f>
        <v>...</v>
      </c>
      <c r="B377" s="4" t="str">
        <f>IF($J$333="Y","---&gt;","...")</f>
        <v>...</v>
      </c>
      <c r="C377" s="1" t="str">
        <f>IF($J$333="Y",'Population Definitions'!$A$10,"...")</f>
        <v>...</v>
      </c>
      <c r="E377" s="2"/>
      <c r="F377" s="3"/>
      <c r="G377" s="2"/>
      <c r="H377" s="4" t="str">
        <f>IF($J$333="Y","OR","...")</f>
        <v>...</v>
      </c>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row>
    <row r="378" spans="1:59" x14ac:dyDescent="0.25">
      <c r="A378" s="1" t="str">
        <f>IF($K$333="Y",'Population Definitions'!$A$4,"...")</f>
        <v>...</v>
      </c>
      <c r="B378" s="4" t="str">
        <f>IF($K$333="Y","---&gt;","...")</f>
        <v>...</v>
      </c>
      <c r="C378" s="1" t="str">
        <f>IF($K$333="Y",'Population Definitions'!$A$11,"...")</f>
        <v>...</v>
      </c>
      <c r="E378" s="2"/>
      <c r="F378" s="3"/>
      <c r="G378" s="2"/>
      <c r="H378" s="4" t="str">
        <f>IF($K$333="Y","OR","...")</f>
        <v>...</v>
      </c>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row>
    <row r="379" spans="1:59" x14ac:dyDescent="0.25">
      <c r="A379" s="1" t="str">
        <f>IF($L$333="Y",'Population Definitions'!$A$4,"...")</f>
        <v>...</v>
      </c>
      <c r="B379" s="4" t="str">
        <f>IF($L$333="Y","---&gt;","...")</f>
        <v>...</v>
      </c>
      <c r="C379" s="1" t="str">
        <f>IF($L$333="Y",'Population Definitions'!$A$12,"...")</f>
        <v>...</v>
      </c>
      <c r="E379" s="2"/>
      <c r="F379" s="3"/>
      <c r="G379" s="2"/>
      <c r="H379" s="4" t="str">
        <f>IF($L$333="Y","OR","...")</f>
        <v>...</v>
      </c>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row>
    <row r="380" spans="1:59" x14ac:dyDescent="0.25">
      <c r="A380" s="1" t="str">
        <f>IF($M$333="Y",'Population Definitions'!$A$4,"...")</f>
        <v>...</v>
      </c>
      <c r="B380" s="4" t="str">
        <f>IF($M$333="Y","---&gt;","...")</f>
        <v>...</v>
      </c>
      <c r="C380" s="1" t="str">
        <f>IF($M$333="Y",'Population Definitions'!$A$13,"...")</f>
        <v>...</v>
      </c>
      <c r="E380" s="2"/>
      <c r="F380" s="3"/>
      <c r="G380" s="2"/>
      <c r="H380" s="4" t="str">
        <f>IF($M$333="Y","OR","...")</f>
        <v>...</v>
      </c>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row>
    <row r="381" spans="1:59" x14ac:dyDescent="0.25">
      <c r="A381" s="1" t="str">
        <f>IF($B$334="Y",'Population Definitions'!$A$5,"...")</f>
        <v>...</v>
      </c>
      <c r="B381" s="4" t="str">
        <f>IF($B$334="Y","---&gt;","...")</f>
        <v>...</v>
      </c>
      <c r="C381" s="1" t="str">
        <f>IF($B$334="Y",'Population Definitions'!$A$2,"...")</f>
        <v>...</v>
      </c>
      <c r="E381" s="2"/>
      <c r="F381" s="3"/>
      <c r="G381" s="2"/>
      <c r="H381" s="4" t="str">
        <f>IF($B$334="Y","OR","...")</f>
        <v>...</v>
      </c>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row>
    <row r="382" spans="1:59" x14ac:dyDescent="0.25">
      <c r="A382" s="1" t="str">
        <f>IF($C$334="Y",'Population Definitions'!$A$5,"...")</f>
        <v>...</v>
      </c>
      <c r="B382" s="4" t="str">
        <f>IF($C$334="Y","---&gt;","...")</f>
        <v>...</v>
      </c>
      <c r="C382" s="1" t="str">
        <f>IF($C$334="Y",'Population Definitions'!$A$3,"...")</f>
        <v>...</v>
      </c>
      <c r="E382" s="2"/>
      <c r="F382" s="3"/>
      <c r="G382" s="2"/>
      <c r="H382" s="4" t="str">
        <f>IF($C$334="Y","OR","...")</f>
        <v>...</v>
      </c>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row>
    <row r="383" spans="1:59" x14ac:dyDescent="0.25">
      <c r="A383" s="1" t="str">
        <f>IF($D$334="Y",'Population Definitions'!$A$5,"...")</f>
        <v>...</v>
      </c>
      <c r="B383" s="4" t="str">
        <f>IF($D$334="Y","---&gt;","...")</f>
        <v>...</v>
      </c>
      <c r="C383" s="1" t="str">
        <f>IF($D$334="Y",'Population Definitions'!$A$4,"...")</f>
        <v>...</v>
      </c>
      <c r="E383" s="2"/>
      <c r="F383" s="3"/>
      <c r="G383" s="2"/>
      <c r="H383" s="4" t="str">
        <f>IF($D$334="Y","OR","...")</f>
        <v>...</v>
      </c>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row>
    <row r="384" spans="1:59" x14ac:dyDescent="0.25">
      <c r="A384" s="1" t="str">
        <f>IF($E$334="Y",'Population Definitions'!$A$5,"...")</f>
        <v>...</v>
      </c>
      <c r="B384" s="4" t="str">
        <f>IF($E$334="Y","---&gt;","...")</f>
        <v>...</v>
      </c>
      <c r="C384" s="1" t="str">
        <f>IF($E$334="Y",'Population Definitions'!$A$5,"...")</f>
        <v>...</v>
      </c>
      <c r="E384" s="2"/>
      <c r="F384" s="3"/>
      <c r="G384" s="2"/>
      <c r="H384" s="4" t="str">
        <f>IF($E$334="Y","OR","...")</f>
        <v>...</v>
      </c>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row>
    <row r="385" spans="1:59" x14ac:dyDescent="0.25">
      <c r="A385" s="1" t="str">
        <f>IF($F$334="Y",'Population Definitions'!$A$5,"...")</f>
        <v>...</v>
      </c>
      <c r="B385" s="4" t="str">
        <f>IF($F$334="Y","---&gt;","...")</f>
        <v>...</v>
      </c>
      <c r="C385" s="1" t="str">
        <f>IF($F$334="Y",'Population Definitions'!$A$6,"...")</f>
        <v>...</v>
      </c>
      <c r="E385" s="2"/>
      <c r="F385" s="3"/>
      <c r="G385" s="2"/>
      <c r="H385" s="4" t="str">
        <f>IF($F$334="Y","OR","...")</f>
        <v>...</v>
      </c>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row>
    <row r="386" spans="1:59" x14ac:dyDescent="0.25">
      <c r="A386" s="1" t="str">
        <f>IF($G$334="Y",'Population Definitions'!$A$5,"...")</f>
        <v>...</v>
      </c>
      <c r="B386" s="4" t="str">
        <f>IF($G$334="Y","---&gt;","...")</f>
        <v>...</v>
      </c>
      <c r="C386" s="1" t="str">
        <f>IF($G$334="Y",'Population Definitions'!$A$7,"...")</f>
        <v>...</v>
      </c>
      <c r="E386" s="2"/>
      <c r="F386" s="3"/>
      <c r="G386" s="2"/>
      <c r="H386" s="4" t="str">
        <f>IF($G$334="Y","OR","...")</f>
        <v>...</v>
      </c>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row>
    <row r="387" spans="1:59" x14ac:dyDescent="0.25">
      <c r="A387" s="1" t="str">
        <f>IF($H$334="Y",'Population Definitions'!$A$5,"...")</f>
        <v>...</v>
      </c>
      <c r="B387" s="4" t="str">
        <f>IF($H$334="Y","---&gt;","...")</f>
        <v>...</v>
      </c>
      <c r="C387" s="1" t="str">
        <f>IF($H$334="Y",'Population Definitions'!$A$8,"...")</f>
        <v>...</v>
      </c>
      <c r="E387" s="2"/>
      <c r="F387" s="3"/>
      <c r="G387" s="2"/>
      <c r="H387" s="4" t="str">
        <f>IF($H$334="Y","OR","...")</f>
        <v>...</v>
      </c>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row>
    <row r="388" spans="1:59" x14ac:dyDescent="0.25">
      <c r="A388" s="1" t="str">
        <f>IF($I$334="Y",'Population Definitions'!$A$5,"...")</f>
        <v>...</v>
      </c>
      <c r="B388" s="4" t="str">
        <f>IF($I$334="Y","---&gt;","...")</f>
        <v>...</v>
      </c>
      <c r="C388" s="1" t="str">
        <f>IF($I$334="Y",'Population Definitions'!$A$9,"...")</f>
        <v>...</v>
      </c>
      <c r="E388" s="2"/>
      <c r="F388" s="3"/>
      <c r="G388" s="2"/>
      <c r="H388" s="4" t="str">
        <f>IF($I$334="Y","OR","...")</f>
        <v>...</v>
      </c>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row>
    <row r="389" spans="1:59" x14ac:dyDescent="0.25">
      <c r="A389" s="1" t="str">
        <f>IF($J$334="Y",'Population Definitions'!$A$5,"...")</f>
        <v>...</v>
      </c>
      <c r="B389" s="4" t="str">
        <f>IF($J$334="Y","---&gt;","...")</f>
        <v>...</v>
      </c>
      <c r="C389" s="1" t="str">
        <f>IF($J$334="Y",'Population Definitions'!$A$10,"...")</f>
        <v>...</v>
      </c>
      <c r="E389" s="2"/>
      <c r="F389" s="3"/>
      <c r="G389" s="2"/>
      <c r="H389" s="4" t="str">
        <f>IF($J$334="Y","OR","...")</f>
        <v>...</v>
      </c>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row>
    <row r="390" spans="1:59" x14ac:dyDescent="0.25">
      <c r="A390" s="1" t="str">
        <f>IF($K$334="Y",'Population Definitions'!$A$5,"...")</f>
        <v>...</v>
      </c>
      <c r="B390" s="4" t="str">
        <f>IF($K$334="Y","---&gt;","...")</f>
        <v>...</v>
      </c>
      <c r="C390" s="1" t="str">
        <f>IF($K$334="Y",'Population Definitions'!$A$11,"...")</f>
        <v>...</v>
      </c>
      <c r="E390" s="2"/>
      <c r="F390" s="3"/>
      <c r="G390" s="2"/>
      <c r="H390" s="4" t="str">
        <f>IF($K$334="Y","OR","...")</f>
        <v>...</v>
      </c>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row>
    <row r="391" spans="1:59" x14ac:dyDescent="0.25">
      <c r="A391" s="1" t="str">
        <f>IF($L$334="Y",'Population Definitions'!$A$5,"...")</f>
        <v>...</v>
      </c>
      <c r="B391" s="4" t="str">
        <f>IF($L$334="Y","---&gt;","...")</f>
        <v>...</v>
      </c>
      <c r="C391" s="1" t="str">
        <f>IF($L$334="Y",'Population Definitions'!$A$12,"...")</f>
        <v>...</v>
      </c>
      <c r="E391" s="2"/>
      <c r="F391" s="3"/>
      <c r="G391" s="2"/>
      <c r="H391" s="4" t="str">
        <f>IF($L$334="Y","OR","...")</f>
        <v>...</v>
      </c>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row>
    <row r="392" spans="1:59" x14ac:dyDescent="0.25">
      <c r="A392" s="1" t="str">
        <f>IF($M$334="Y",'Population Definitions'!$A$5,"...")</f>
        <v>...</v>
      </c>
      <c r="B392" s="4" t="str">
        <f>IF($M$334="Y","---&gt;","...")</f>
        <v>...</v>
      </c>
      <c r="C392" s="1" t="str">
        <f>IF($M$334="Y",'Population Definitions'!$A$13,"...")</f>
        <v>...</v>
      </c>
      <c r="E392" s="2"/>
      <c r="F392" s="3"/>
      <c r="G392" s="2"/>
      <c r="H392" s="4" t="str">
        <f>IF($M$334="Y","OR","...")</f>
        <v>...</v>
      </c>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row>
    <row r="393" spans="1:59" x14ac:dyDescent="0.25">
      <c r="A393" s="1" t="str">
        <f>IF($B$335="Y",'Population Definitions'!$A$6,"...")</f>
        <v>...</v>
      </c>
      <c r="B393" s="4" t="str">
        <f>IF($B$335="Y","---&gt;","...")</f>
        <v>...</v>
      </c>
      <c r="C393" s="1" t="str">
        <f>IF($B$335="Y",'Population Definitions'!$A$2,"...")</f>
        <v>...</v>
      </c>
      <c r="E393" s="2"/>
      <c r="F393" s="3"/>
      <c r="G393" s="2"/>
      <c r="H393" s="4" t="str">
        <f>IF($B$335="Y","OR","...")</f>
        <v>...</v>
      </c>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row>
    <row r="394" spans="1:59" x14ac:dyDescent="0.25">
      <c r="A394" s="1" t="str">
        <f>IF($C$335="Y",'Population Definitions'!$A$6,"...")</f>
        <v>...</v>
      </c>
      <c r="B394" s="4" t="str">
        <f>IF($C$335="Y","---&gt;","...")</f>
        <v>...</v>
      </c>
      <c r="C394" s="1" t="str">
        <f>IF($C$335="Y",'Population Definitions'!$A$3,"...")</f>
        <v>...</v>
      </c>
      <c r="E394" s="2"/>
      <c r="F394" s="3"/>
      <c r="G394" s="2"/>
      <c r="H394" s="4" t="str">
        <f>IF($C$335="Y","OR","...")</f>
        <v>...</v>
      </c>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row>
    <row r="395" spans="1:59" x14ac:dyDescent="0.25">
      <c r="A395" s="1" t="str">
        <f>IF($D$335="Y",'Population Definitions'!$A$6,"...")</f>
        <v>...</v>
      </c>
      <c r="B395" s="4" t="str">
        <f>IF($D$335="Y","---&gt;","...")</f>
        <v>...</v>
      </c>
      <c r="C395" s="1" t="str">
        <f>IF($D$335="Y",'Population Definitions'!$A$4,"...")</f>
        <v>...</v>
      </c>
      <c r="E395" s="2"/>
      <c r="F395" s="3"/>
      <c r="G395" s="2"/>
      <c r="H395" s="4" t="str">
        <f>IF($D$335="Y","OR","...")</f>
        <v>...</v>
      </c>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row>
    <row r="396" spans="1:59" x14ac:dyDescent="0.25">
      <c r="A396" s="1" t="str">
        <f>IF($E$335="Y",'Population Definitions'!$A$6,"...")</f>
        <v>...</v>
      </c>
      <c r="B396" s="4" t="str">
        <f>IF($E$335="Y","---&gt;","...")</f>
        <v>...</v>
      </c>
      <c r="C396" s="1" t="str">
        <f>IF($E$335="Y",'Population Definitions'!$A$5,"...")</f>
        <v>...</v>
      </c>
      <c r="E396" s="2"/>
      <c r="F396" s="3"/>
      <c r="G396" s="2"/>
      <c r="H396" s="4" t="str">
        <f>IF($E$335="Y","OR","...")</f>
        <v>...</v>
      </c>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row>
    <row r="397" spans="1:59" x14ac:dyDescent="0.25">
      <c r="A397" s="1" t="str">
        <f>IF($F$335="Y",'Population Definitions'!$A$6,"...")</f>
        <v>...</v>
      </c>
      <c r="B397" s="4" t="str">
        <f>IF($F$335="Y","---&gt;","...")</f>
        <v>...</v>
      </c>
      <c r="C397" s="1" t="str">
        <f>IF($F$335="Y",'Population Definitions'!$A$6,"...")</f>
        <v>...</v>
      </c>
      <c r="E397" s="2"/>
      <c r="F397" s="3"/>
      <c r="G397" s="2"/>
      <c r="H397" s="4" t="str">
        <f>IF($F$335="Y","OR","...")</f>
        <v>...</v>
      </c>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row>
    <row r="398" spans="1:59" x14ac:dyDescent="0.25">
      <c r="A398" s="1" t="str">
        <f>IF($G$335="Y",'Population Definitions'!$A$6,"...")</f>
        <v>...</v>
      </c>
      <c r="B398" s="4" t="str">
        <f>IF($G$335="Y","---&gt;","...")</f>
        <v>...</v>
      </c>
      <c r="C398" s="1" t="str">
        <f>IF($G$335="Y",'Population Definitions'!$A$7,"...")</f>
        <v>...</v>
      </c>
      <c r="E398" s="2"/>
      <c r="F398" s="3"/>
      <c r="G398" s="2"/>
      <c r="H398" s="4" t="str">
        <f>IF($G$335="Y","OR","...")</f>
        <v>...</v>
      </c>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row>
    <row r="399" spans="1:59" x14ac:dyDescent="0.25">
      <c r="A399" s="1" t="str">
        <f>IF($H$335="Y",'Population Definitions'!$A$6,"...")</f>
        <v>...</v>
      </c>
      <c r="B399" s="4" t="str">
        <f>IF($H$335="Y","---&gt;","...")</f>
        <v>...</v>
      </c>
      <c r="C399" s="1" t="str">
        <f>IF($H$335="Y",'Population Definitions'!$A$8,"...")</f>
        <v>...</v>
      </c>
      <c r="E399" s="2"/>
      <c r="F399" s="3"/>
      <c r="G399" s="2"/>
      <c r="H399" s="4" t="str">
        <f>IF($H$335="Y","OR","...")</f>
        <v>...</v>
      </c>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row>
    <row r="400" spans="1:59" x14ac:dyDescent="0.25">
      <c r="A400" s="1" t="str">
        <f>IF($I$335="Y",'Population Definitions'!$A$6,"...")</f>
        <v>...</v>
      </c>
      <c r="B400" s="4" t="str">
        <f>IF($I$335="Y","---&gt;","...")</f>
        <v>...</v>
      </c>
      <c r="C400" s="1" t="str">
        <f>IF($I$335="Y",'Population Definitions'!$A$9,"...")</f>
        <v>...</v>
      </c>
      <c r="E400" s="2"/>
      <c r="F400" s="3"/>
      <c r="G400" s="2"/>
      <c r="H400" s="4" t="str">
        <f>IF($I$335="Y","OR","...")</f>
        <v>...</v>
      </c>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row>
    <row r="401" spans="1:59" x14ac:dyDescent="0.25">
      <c r="A401" s="1" t="str">
        <f>IF($J$335="Y",'Population Definitions'!$A$6,"...")</f>
        <v>...</v>
      </c>
      <c r="B401" s="4" t="str">
        <f>IF($J$335="Y","---&gt;","...")</f>
        <v>...</v>
      </c>
      <c r="C401" s="1" t="str">
        <f>IF($J$335="Y",'Population Definitions'!$A$10,"...")</f>
        <v>...</v>
      </c>
      <c r="E401" s="2"/>
      <c r="F401" s="3"/>
      <c r="G401" s="2"/>
      <c r="H401" s="4" t="str">
        <f>IF($J$335="Y","OR","...")</f>
        <v>...</v>
      </c>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row>
    <row r="402" spans="1:59" x14ac:dyDescent="0.25">
      <c r="A402" s="1" t="str">
        <f>IF($K$335="Y",'Population Definitions'!$A$6,"...")</f>
        <v>...</v>
      </c>
      <c r="B402" s="4" t="str">
        <f>IF($K$335="Y","---&gt;","...")</f>
        <v>...</v>
      </c>
      <c r="C402" s="1" t="str">
        <f>IF($K$335="Y",'Population Definitions'!$A$11,"...")</f>
        <v>...</v>
      </c>
      <c r="E402" s="2"/>
      <c r="F402" s="3"/>
      <c r="G402" s="2"/>
      <c r="H402" s="4" t="str">
        <f>IF($K$335="Y","OR","...")</f>
        <v>...</v>
      </c>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row>
    <row r="403" spans="1:59" x14ac:dyDescent="0.25">
      <c r="A403" s="1" t="str">
        <f>IF($L$335="Y",'Population Definitions'!$A$6,"...")</f>
        <v>...</v>
      </c>
      <c r="B403" s="4" t="str">
        <f>IF($L$335="Y","---&gt;","...")</f>
        <v>...</v>
      </c>
      <c r="C403" s="1" t="str">
        <f>IF($L$335="Y",'Population Definitions'!$A$12,"...")</f>
        <v>...</v>
      </c>
      <c r="E403" s="2"/>
      <c r="F403" s="3"/>
      <c r="G403" s="2"/>
      <c r="H403" s="4" t="str">
        <f>IF($L$335="Y","OR","...")</f>
        <v>...</v>
      </c>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row>
    <row r="404" spans="1:59" x14ac:dyDescent="0.25">
      <c r="A404" s="1" t="str">
        <f>IF($M$335="Y",'Population Definitions'!$A$6,"...")</f>
        <v>...</v>
      </c>
      <c r="B404" s="4" t="str">
        <f>IF($M$335="Y","---&gt;","...")</f>
        <v>...</v>
      </c>
      <c r="C404" s="1" t="str">
        <f>IF($M$335="Y",'Population Definitions'!$A$13,"...")</f>
        <v>...</v>
      </c>
      <c r="E404" s="2"/>
      <c r="F404" s="3"/>
      <c r="G404" s="2"/>
      <c r="H404" s="4" t="str">
        <f>IF($M$335="Y","OR","...")</f>
        <v>...</v>
      </c>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row>
    <row r="405" spans="1:59" x14ac:dyDescent="0.25">
      <c r="A405" s="1" t="str">
        <f>IF($B$336="Y",'Population Definitions'!$A$7,"...")</f>
        <v>...</v>
      </c>
      <c r="B405" s="4" t="str">
        <f>IF($B$336="Y","---&gt;","...")</f>
        <v>...</v>
      </c>
      <c r="C405" s="1" t="str">
        <f>IF($B$336="Y",'Population Definitions'!$A$2,"...")</f>
        <v>...</v>
      </c>
      <c r="E405" s="2"/>
      <c r="F405" s="3"/>
      <c r="G405" s="2"/>
      <c r="H405" s="4" t="str">
        <f>IF($B$336="Y","OR","...")</f>
        <v>...</v>
      </c>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row>
    <row r="406" spans="1:59" x14ac:dyDescent="0.25">
      <c r="A406" s="1" t="str">
        <f>IF($C$336="Y",'Population Definitions'!$A$7,"...")</f>
        <v>...</v>
      </c>
      <c r="B406" s="4" t="str">
        <f>IF($C$336="Y","---&gt;","...")</f>
        <v>...</v>
      </c>
      <c r="C406" s="1" t="str">
        <f>IF($C$336="Y",'Population Definitions'!$A$3,"...")</f>
        <v>...</v>
      </c>
      <c r="E406" s="2"/>
      <c r="F406" s="3"/>
      <c r="G406" s="2"/>
      <c r="H406" s="4" t="str">
        <f>IF($C$336="Y","OR","...")</f>
        <v>...</v>
      </c>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row>
    <row r="407" spans="1:59" x14ac:dyDescent="0.25">
      <c r="A407" s="1" t="str">
        <f>IF($D$336="Y",'Population Definitions'!$A$7,"...")</f>
        <v>...</v>
      </c>
      <c r="B407" s="4" t="str">
        <f>IF($D$336="Y","---&gt;","...")</f>
        <v>...</v>
      </c>
      <c r="C407" s="1" t="str">
        <f>IF($D$336="Y",'Population Definitions'!$A$4,"...")</f>
        <v>...</v>
      </c>
      <c r="E407" s="2"/>
      <c r="F407" s="3"/>
      <c r="G407" s="2"/>
      <c r="H407" s="4" t="str">
        <f>IF($D$336="Y","OR","...")</f>
        <v>...</v>
      </c>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row>
    <row r="408" spans="1:59" x14ac:dyDescent="0.25">
      <c r="A408" s="1" t="str">
        <f>IF($E$336="Y",'Population Definitions'!$A$7,"...")</f>
        <v>...</v>
      </c>
      <c r="B408" s="4" t="str">
        <f>IF($E$336="Y","---&gt;","...")</f>
        <v>...</v>
      </c>
      <c r="C408" s="1" t="str">
        <f>IF($E$336="Y",'Population Definitions'!$A$5,"...")</f>
        <v>...</v>
      </c>
      <c r="E408" s="2"/>
      <c r="F408" s="3"/>
      <c r="G408" s="2"/>
      <c r="H408" s="4" t="str">
        <f>IF($E$336="Y","OR","...")</f>
        <v>...</v>
      </c>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row>
    <row r="409" spans="1:59" x14ac:dyDescent="0.25">
      <c r="A409" s="1" t="str">
        <f>IF($F$336="Y",'Population Definitions'!$A$7,"...")</f>
        <v>...</v>
      </c>
      <c r="B409" s="4" t="str">
        <f>IF($F$336="Y","---&gt;","...")</f>
        <v>...</v>
      </c>
      <c r="C409" s="1" t="str">
        <f>IF($F$336="Y",'Population Definitions'!$A$6,"...")</f>
        <v>...</v>
      </c>
      <c r="E409" s="2"/>
      <c r="F409" s="3"/>
      <c r="G409" s="2"/>
      <c r="H409" s="4" t="str">
        <f>IF($F$336="Y","OR","...")</f>
        <v>...</v>
      </c>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row>
    <row r="410" spans="1:59" x14ac:dyDescent="0.25">
      <c r="A410" s="1" t="str">
        <f>IF($G$336="Y",'Population Definitions'!$A$7,"...")</f>
        <v>...</v>
      </c>
      <c r="B410" s="4" t="str">
        <f>IF($G$336="Y","---&gt;","...")</f>
        <v>...</v>
      </c>
      <c r="C410" s="1" t="str">
        <f>IF($G$336="Y",'Population Definitions'!$A$7,"...")</f>
        <v>...</v>
      </c>
      <c r="E410" s="2"/>
      <c r="F410" s="3"/>
      <c r="G410" s="2"/>
      <c r="H410" s="4" t="str">
        <f>IF($G$336="Y","OR","...")</f>
        <v>...</v>
      </c>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row>
    <row r="411" spans="1:59" x14ac:dyDescent="0.25">
      <c r="A411" s="1" t="str">
        <f>IF($H$336="Y",'Population Definitions'!$A$7,"...")</f>
        <v>...</v>
      </c>
      <c r="B411" s="4" t="str">
        <f>IF($H$336="Y","---&gt;","...")</f>
        <v>...</v>
      </c>
      <c r="C411" s="1" t="str">
        <f>IF($H$336="Y",'Population Definitions'!$A$8,"...")</f>
        <v>...</v>
      </c>
      <c r="E411" s="2"/>
      <c r="F411" s="3"/>
      <c r="G411" s="2"/>
      <c r="H411" s="4" t="str">
        <f>IF($H$336="Y","OR","...")</f>
        <v>...</v>
      </c>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row>
    <row r="412" spans="1:59" x14ac:dyDescent="0.25">
      <c r="A412" s="1" t="str">
        <f>IF($I$336="Y",'Population Definitions'!$A$7,"...")</f>
        <v>...</v>
      </c>
      <c r="B412" s="4" t="str">
        <f>IF($I$336="Y","---&gt;","...")</f>
        <v>...</v>
      </c>
      <c r="C412" s="1" t="str">
        <f>IF($I$336="Y",'Population Definitions'!$A$9,"...")</f>
        <v>...</v>
      </c>
      <c r="E412" s="2"/>
      <c r="F412" s="3"/>
      <c r="G412" s="2"/>
      <c r="H412" s="4" t="str">
        <f>IF($I$336="Y","OR","...")</f>
        <v>...</v>
      </c>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row>
    <row r="413" spans="1:59" x14ac:dyDescent="0.25">
      <c r="A413" s="1" t="str">
        <f>IF($J$336="Y",'Population Definitions'!$A$7,"...")</f>
        <v>...</v>
      </c>
      <c r="B413" s="4" t="str">
        <f>IF($J$336="Y","---&gt;","...")</f>
        <v>...</v>
      </c>
      <c r="C413" s="1" t="str">
        <f>IF($J$336="Y",'Population Definitions'!$A$10,"...")</f>
        <v>...</v>
      </c>
      <c r="E413" s="2"/>
      <c r="F413" s="3"/>
      <c r="G413" s="2"/>
      <c r="H413" s="4" t="str">
        <f>IF($J$336="Y","OR","...")</f>
        <v>...</v>
      </c>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row>
    <row r="414" spans="1:59" x14ac:dyDescent="0.25">
      <c r="A414" s="1" t="str">
        <f>IF($K$336="Y",'Population Definitions'!$A$7,"...")</f>
        <v>...</v>
      </c>
      <c r="B414" s="4" t="str">
        <f>IF($K$336="Y","---&gt;","...")</f>
        <v>...</v>
      </c>
      <c r="C414" s="1" t="str">
        <f>IF($K$336="Y",'Population Definitions'!$A$11,"...")</f>
        <v>...</v>
      </c>
      <c r="E414" s="2"/>
      <c r="F414" s="3"/>
      <c r="G414" s="2"/>
      <c r="H414" s="4" t="str">
        <f>IF($K$336="Y","OR","...")</f>
        <v>...</v>
      </c>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row>
    <row r="415" spans="1:59" x14ac:dyDescent="0.25">
      <c r="A415" s="1" t="str">
        <f>IF($L$336="Y",'Population Definitions'!$A$7,"...")</f>
        <v>...</v>
      </c>
      <c r="B415" s="4" t="str">
        <f>IF($L$336="Y","---&gt;","...")</f>
        <v>...</v>
      </c>
      <c r="C415" s="1" t="str">
        <f>IF($L$336="Y",'Population Definitions'!$A$12,"...")</f>
        <v>...</v>
      </c>
      <c r="E415" s="2"/>
      <c r="F415" s="3"/>
      <c r="G415" s="2"/>
      <c r="H415" s="4" t="str">
        <f>IF($L$336="Y","OR","...")</f>
        <v>...</v>
      </c>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row>
    <row r="416" spans="1:59" x14ac:dyDescent="0.25">
      <c r="A416" s="1" t="str">
        <f>IF($M$336="Y",'Population Definitions'!$A$7,"...")</f>
        <v>...</v>
      </c>
      <c r="B416" s="4" t="str">
        <f>IF($M$336="Y","---&gt;","...")</f>
        <v>...</v>
      </c>
      <c r="C416" s="1" t="str">
        <f>IF($M$336="Y",'Population Definitions'!$A$13,"...")</f>
        <v>...</v>
      </c>
      <c r="E416" s="2"/>
      <c r="F416" s="3"/>
      <c r="G416" s="2"/>
      <c r="H416" s="4" t="str">
        <f>IF($M$336="Y","OR","...")</f>
        <v>...</v>
      </c>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row>
    <row r="417" spans="1:59" x14ac:dyDescent="0.25">
      <c r="A417" s="1" t="str">
        <f>IF($B$337="Y",'Population Definitions'!$A$8,"...")</f>
        <v>...</v>
      </c>
      <c r="B417" s="4" t="str">
        <f>IF($B$337="Y","---&gt;","...")</f>
        <v>...</v>
      </c>
      <c r="C417" s="1" t="str">
        <f>IF($B$337="Y",'Population Definitions'!$A$2,"...")</f>
        <v>...</v>
      </c>
      <c r="E417" s="2"/>
      <c r="F417" s="3"/>
      <c r="G417" s="2"/>
      <c r="H417" s="4" t="str">
        <f>IF($B$337="Y","OR","...")</f>
        <v>...</v>
      </c>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row>
    <row r="418" spans="1:59" x14ac:dyDescent="0.25">
      <c r="A418" s="1" t="str">
        <f>IF($C$337="Y",'Population Definitions'!$A$8,"...")</f>
        <v>...</v>
      </c>
      <c r="B418" s="4" t="str">
        <f>IF($C$337="Y","---&gt;","...")</f>
        <v>...</v>
      </c>
      <c r="C418" s="1" t="str">
        <f>IF($C$337="Y",'Population Definitions'!$A$3,"...")</f>
        <v>...</v>
      </c>
      <c r="E418" s="2"/>
      <c r="F418" s="3"/>
      <c r="G418" s="2"/>
      <c r="H418" s="4" t="str">
        <f>IF($C$337="Y","OR","...")</f>
        <v>...</v>
      </c>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row>
    <row r="419" spans="1:59" x14ac:dyDescent="0.25">
      <c r="A419" s="1" t="str">
        <f>IF($D$337="Y",'Population Definitions'!$A$8,"...")</f>
        <v>...</v>
      </c>
      <c r="B419" s="4" t="str">
        <f>IF($D$337="Y","---&gt;","...")</f>
        <v>...</v>
      </c>
      <c r="C419" s="1" t="str">
        <f>IF($D$337="Y",'Population Definitions'!$A$4,"...")</f>
        <v>...</v>
      </c>
      <c r="E419" s="2"/>
      <c r="F419" s="3"/>
      <c r="G419" s="2"/>
      <c r="H419" s="4" t="str">
        <f>IF($D$337="Y","OR","...")</f>
        <v>...</v>
      </c>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row>
    <row r="420" spans="1:59" x14ac:dyDescent="0.25">
      <c r="A420" s="1" t="str">
        <f>IF($E$337="Y",'Population Definitions'!$A$8,"...")</f>
        <v>...</v>
      </c>
      <c r="B420" s="4" t="str">
        <f>IF($E$337="Y","---&gt;","...")</f>
        <v>...</v>
      </c>
      <c r="C420" s="1" t="str">
        <f>IF($E$337="Y",'Population Definitions'!$A$5,"...")</f>
        <v>...</v>
      </c>
      <c r="E420" s="2"/>
      <c r="F420" s="3"/>
      <c r="G420" s="2"/>
      <c r="H420" s="4" t="str">
        <f>IF($E$337="Y","OR","...")</f>
        <v>...</v>
      </c>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row>
    <row r="421" spans="1:59" x14ac:dyDescent="0.25">
      <c r="A421" s="1" t="str">
        <f>IF($F$337="Y",'Population Definitions'!$A$8,"...")</f>
        <v>...</v>
      </c>
      <c r="B421" s="4" t="str">
        <f>IF($F$337="Y","---&gt;","...")</f>
        <v>...</v>
      </c>
      <c r="C421" s="1" t="str">
        <f>IF($F$337="Y",'Population Definitions'!$A$6,"...")</f>
        <v>...</v>
      </c>
      <c r="E421" s="2"/>
      <c r="F421" s="3"/>
      <c r="G421" s="2"/>
      <c r="H421" s="4" t="str">
        <f>IF($F$337="Y","OR","...")</f>
        <v>...</v>
      </c>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row>
    <row r="422" spans="1:59" x14ac:dyDescent="0.25">
      <c r="A422" s="1" t="str">
        <f>IF($G$337="Y",'Population Definitions'!$A$8,"...")</f>
        <v>...</v>
      </c>
      <c r="B422" s="4" t="str">
        <f>IF($G$337="Y","---&gt;","...")</f>
        <v>...</v>
      </c>
      <c r="C422" s="1" t="str">
        <f>IF($G$337="Y",'Population Definitions'!$A$7,"...")</f>
        <v>...</v>
      </c>
      <c r="E422" s="2"/>
      <c r="F422" s="3"/>
      <c r="G422" s="2"/>
      <c r="H422" s="4" t="str">
        <f>IF($G$337="Y","OR","...")</f>
        <v>...</v>
      </c>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row>
    <row r="423" spans="1:59" x14ac:dyDescent="0.25">
      <c r="A423" s="1" t="str">
        <f>IF($H$337="Y",'Population Definitions'!$A$8,"...")</f>
        <v>...</v>
      </c>
      <c r="B423" s="4" t="str">
        <f>IF($H$337="Y","---&gt;","...")</f>
        <v>...</v>
      </c>
      <c r="C423" s="1" t="str">
        <f>IF($H$337="Y",'Population Definitions'!$A$8,"...")</f>
        <v>...</v>
      </c>
      <c r="E423" s="2"/>
      <c r="F423" s="3"/>
      <c r="G423" s="2"/>
      <c r="H423" s="4" t="str">
        <f>IF($H$337="Y","OR","...")</f>
        <v>...</v>
      </c>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row>
    <row r="424" spans="1:59" x14ac:dyDescent="0.25">
      <c r="A424" s="1" t="str">
        <f>IF($I$337="Y",'Population Definitions'!$A$8,"...")</f>
        <v>...</v>
      </c>
      <c r="B424" s="4" t="str">
        <f>IF($I$337="Y","---&gt;","...")</f>
        <v>...</v>
      </c>
      <c r="C424" s="1" t="str">
        <f>IF($I$337="Y",'Population Definitions'!$A$9,"...")</f>
        <v>...</v>
      </c>
      <c r="E424" s="2"/>
      <c r="F424" s="3"/>
      <c r="G424" s="2"/>
      <c r="H424" s="4" t="str">
        <f>IF($I$337="Y","OR","...")</f>
        <v>...</v>
      </c>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row>
    <row r="425" spans="1:59" x14ac:dyDescent="0.25">
      <c r="A425" s="1" t="str">
        <f>IF($J$337="Y",'Population Definitions'!$A$8,"...")</f>
        <v>...</v>
      </c>
      <c r="B425" s="4" t="str">
        <f>IF($J$337="Y","---&gt;","...")</f>
        <v>...</v>
      </c>
      <c r="C425" s="1" t="str">
        <f>IF($J$337="Y",'Population Definitions'!$A$10,"...")</f>
        <v>...</v>
      </c>
      <c r="E425" s="2"/>
      <c r="F425" s="3"/>
      <c r="G425" s="2"/>
      <c r="H425" s="4" t="str">
        <f>IF($J$337="Y","OR","...")</f>
        <v>...</v>
      </c>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row>
    <row r="426" spans="1:59" x14ac:dyDescent="0.25">
      <c r="A426" s="1" t="str">
        <f>IF($K$337="Y",'Population Definitions'!$A$8,"...")</f>
        <v>...</v>
      </c>
      <c r="B426" s="4" t="str">
        <f>IF($K$337="Y","---&gt;","...")</f>
        <v>...</v>
      </c>
      <c r="C426" s="1" t="str">
        <f>IF($K$337="Y",'Population Definitions'!$A$11,"...")</f>
        <v>...</v>
      </c>
      <c r="E426" s="2"/>
      <c r="F426" s="3"/>
      <c r="G426" s="2"/>
      <c r="H426" s="4" t="str">
        <f>IF($K$337="Y","OR","...")</f>
        <v>...</v>
      </c>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row>
    <row r="427" spans="1:59" x14ac:dyDescent="0.25">
      <c r="A427" s="1" t="str">
        <f>IF($L$337="Y",'Population Definitions'!$A$8,"...")</f>
        <v>18-64_males</v>
      </c>
      <c r="B427" s="4" t="str">
        <f>IF($L$337="Y","---&gt;","...")</f>
        <v>---&gt;</v>
      </c>
      <c r="C427" s="1" t="str">
        <f>IF($L$337="Y",'Population Definitions'!$A$12,"...")</f>
        <v>Prisoners_males</v>
      </c>
      <c r="E427" s="3" t="s">
        <v>53</v>
      </c>
      <c r="F427" s="3"/>
      <c r="G427" s="3">
        <v>1.734306173412371E-3</v>
      </c>
      <c r="H427" s="4" t="str">
        <f>IF($L$337="Y","OR","...")</f>
        <v>OR</v>
      </c>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row>
    <row r="428" spans="1:59" x14ac:dyDescent="0.25">
      <c r="A428" s="1" t="str">
        <f>IF($M$337="Y",'Population Definitions'!$A$8,"...")</f>
        <v>...</v>
      </c>
      <c r="B428" s="4" t="str">
        <f>IF($M$337="Y","---&gt;","...")</f>
        <v>...</v>
      </c>
      <c r="C428" s="1" t="str">
        <f>IF($M$337="Y",'Population Definitions'!$A$13,"...")</f>
        <v>...</v>
      </c>
      <c r="E428" s="2"/>
      <c r="F428" s="3"/>
      <c r="G428" s="2"/>
      <c r="H428" s="4" t="str">
        <f>IF($M$337="Y","OR","...")</f>
        <v>...</v>
      </c>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row>
    <row r="429" spans="1:59" x14ac:dyDescent="0.25">
      <c r="A429" s="1" t="str">
        <f>IF($B$338="Y",'Population Definitions'!$A$9,"...")</f>
        <v>...</v>
      </c>
      <c r="B429" s="4" t="str">
        <f>IF($B$338="Y","---&gt;","...")</f>
        <v>...</v>
      </c>
      <c r="C429" s="1" t="str">
        <f>IF($B$338="Y",'Population Definitions'!$A$2,"...")</f>
        <v>...</v>
      </c>
      <c r="E429" s="2"/>
      <c r="F429" s="3"/>
      <c r="G429" s="2"/>
      <c r="H429" s="4" t="str">
        <f>IF($B$338="Y","OR","...")</f>
        <v>...</v>
      </c>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row>
    <row r="430" spans="1:59" x14ac:dyDescent="0.25">
      <c r="A430" s="1" t="str">
        <f>IF($C$338="Y",'Population Definitions'!$A$9,"...")</f>
        <v>...</v>
      </c>
      <c r="B430" s="4" t="str">
        <f>IF($C$338="Y","---&gt;","...")</f>
        <v>...</v>
      </c>
      <c r="C430" s="1" t="str">
        <f>IF($C$338="Y",'Population Definitions'!$A$3,"...")</f>
        <v>...</v>
      </c>
      <c r="E430" s="2"/>
      <c r="F430" s="3"/>
      <c r="G430" s="2"/>
      <c r="H430" s="4" t="str">
        <f>IF($C$338="Y","OR","...")</f>
        <v>...</v>
      </c>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row>
    <row r="431" spans="1:59" x14ac:dyDescent="0.25">
      <c r="A431" s="1" t="str">
        <f>IF($D$338="Y",'Population Definitions'!$A$9,"...")</f>
        <v>...</v>
      </c>
      <c r="B431" s="4" t="str">
        <f>IF($D$338="Y","---&gt;","...")</f>
        <v>...</v>
      </c>
      <c r="C431" s="1" t="str">
        <f>IF($D$338="Y",'Population Definitions'!$A$4,"...")</f>
        <v>...</v>
      </c>
      <c r="E431" s="2"/>
      <c r="F431" s="3"/>
      <c r="G431" s="2"/>
      <c r="H431" s="4" t="str">
        <f>IF($D$338="Y","OR","...")</f>
        <v>...</v>
      </c>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row>
    <row r="432" spans="1:59" x14ac:dyDescent="0.25">
      <c r="A432" s="1" t="str">
        <f>IF($E$338="Y",'Population Definitions'!$A$9,"...")</f>
        <v>...</v>
      </c>
      <c r="B432" s="4" t="str">
        <f>IF($E$338="Y","---&gt;","...")</f>
        <v>...</v>
      </c>
      <c r="C432" s="1" t="str">
        <f>IF($E$338="Y",'Population Definitions'!$A$5,"...")</f>
        <v>...</v>
      </c>
      <c r="E432" s="2"/>
      <c r="F432" s="3"/>
      <c r="G432" s="2"/>
      <c r="H432" s="4" t="str">
        <f>IF($E$338="Y","OR","...")</f>
        <v>...</v>
      </c>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row>
    <row r="433" spans="1:59" x14ac:dyDescent="0.25">
      <c r="A433" s="1" t="str">
        <f>IF($F$338="Y",'Population Definitions'!$A$9,"...")</f>
        <v>...</v>
      </c>
      <c r="B433" s="4" t="str">
        <f>IF($F$338="Y","---&gt;","...")</f>
        <v>...</v>
      </c>
      <c r="C433" s="1" t="str">
        <f>IF($F$338="Y",'Population Definitions'!$A$6,"...")</f>
        <v>...</v>
      </c>
      <c r="E433" s="2"/>
      <c r="F433" s="3"/>
      <c r="G433" s="2"/>
      <c r="H433" s="4" t="str">
        <f>IF($F$338="Y","OR","...")</f>
        <v>...</v>
      </c>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row>
    <row r="434" spans="1:59" x14ac:dyDescent="0.25">
      <c r="A434" s="1" t="str">
        <f>IF($G$338="Y",'Population Definitions'!$A$9,"...")</f>
        <v>...</v>
      </c>
      <c r="B434" s="4" t="str">
        <f>IF($G$338="Y","---&gt;","...")</f>
        <v>...</v>
      </c>
      <c r="C434" s="1" t="str">
        <f>IF($G$338="Y",'Population Definitions'!$A$7,"...")</f>
        <v>...</v>
      </c>
      <c r="E434" s="2"/>
      <c r="F434" s="3"/>
      <c r="G434" s="2"/>
      <c r="H434" s="4" t="str">
        <f>IF($G$338="Y","OR","...")</f>
        <v>...</v>
      </c>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row>
    <row r="435" spans="1:59" x14ac:dyDescent="0.25">
      <c r="A435" s="1" t="str">
        <f>IF($H$338="Y",'Population Definitions'!$A$9,"...")</f>
        <v>...</v>
      </c>
      <c r="B435" s="4" t="str">
        <f>IF($H$338="Y","---&gt;","...")</f>
        <v>...</v>
      </c>
      <c r="C435" s="1" t="str">
        <f>IF($H$338="Y",'Population Definitions'!$A$8,"...")</f>
        <v>...</v>
      </c>
      <c r="E435" s="2"/>
      <c r="F435" s="3"/>
      <c r="G435" s="2"/>
      <c r="H435" s="4" t="str">
        <f>IF($H$338="Y","OR","...")</f>
        <v>...</v>
      </c>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row>
    <row r="436" spans="1:59" x14ac:dyDescent="0.25">
      <c r="A436" s="1" t="str">
        <f>IF($I$338="Y",'Population Definitions'!$A$9,"...")</f>
        <v>...</v>
      </c>
      <c r="B436" s="4" t="str">
        <f>IF($I$338="Y","---&gt;","...")</f>
        <v>...</v>
      </c>
      <c r="C436" s="1" t="str">
        <f>IF($I$338="Y",'Population Definitions'!$A$9,"...")</f>
        <v>...</v>
      </c>
      <c r="E436" s="2"/>
      <c r="F436" s="3"/>
      <c r="G436" s="2"/>
      <c r="H436" s="4" t="str">
        <f>IF($I$338="Y","OR","...")</f>
        <v>...</v>
      </c>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row>
    <row r="437" spans="1:59" x14ac:dyDescent="0.25">
      <c r="A437" s="1" t="str">
        <f>IF($J$338="Y",'Population Definitions'!$A$9,"...")</f>
        <v>...</v>
      </c>
      <c r="B437" s="4" t="str">
        <f>IF($J$338="Y","---&gt;","...")</f>
        <v>...</v>
      </c>
      <c r="C437" s="1" t="str">
        <f>IF($J$338="Y",'Population Definitions'!$A$10,"...")</f>
        <v>...</v>
      </c>
      <c r="E437" s="2"/>
      <c r="F437" s="3"/>
      <c r="G437" s="2"/>
      <c r="H437" s="4" t="str">
        <f>IF($J$338="Y","OR","...")</f>
        <v>...</v>
      </c>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row>
    <row r="438" spans="1:59" x14ac:dyDescent="0.25">
      <c r="A438" s="1" t="str">
        <f>IF($K$338="Y",'Population Definitions'!$A$9,"...")</f>
        <v>...</v>
      </c>
      <c r="B438" s="4" t="str">
        <f>IF($K$338="Y","---&gt;","...")</f>
        <v>...</v>
      </c>
      <c r="C438" s="1" t="str">
        <f>IF($K$338="Y",'Population Definitions'!$A$11,"...")</f>
        <v>...</v>
      </c>
      <c r="E438" s="2"/>
      <c r="F438" s="3"/>
      <c r="G438" s="2"/>
      <c r="H438" s="4" t="str">
        <f>IF($K$338="Y","OR","...")</f>
        <v>...</v>
      </c>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row>
    <row r="439" spans="1:59" x14ac:dyDescent="0.25">
      <c r="A439" s="1" t="str">
        <f>IF($L$338="Y",'Population Definitions'!$A$9,"...")</f>
        <v>...</v>
      </c>
      <c r="B439" s="4" t="str">
        <f>IF($L$338="Y","---&gt;","...")</f>
        <v>...</v>
      </c>
      <c r="C439" s="1" t="str">
        <f>IF($L$338="Y",'Population Definitions'!$A$12,"...")</f>
        <v>...</v>
      </c>
      <c r="E439" s="2"/>
      <c r="F439" s="3"/>
      <c r="G439" s="2"/>
      <c r="H439" s="4" t="str">
        <f>IF($L$338="Y","OR","...")</f>
        <v>...</v>
      </c>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row>
    <row r="440" spans="1:59" x14ac:dyDescent="0.25">
      <c r="A440" s="1" t="str">
        <f>IF($M$338="Y",'Population Definitions'!$A$9,"...")</f>
        <v>18-64_females</v>
      </c>
      <c r="B440" s="4" t="str">
        <f>IF($M$338="Y","---&gt;","...")</f>
        <v>---&gt;</v>
      </c>
      <c r="C440" s="1" t="str">
        <f>IF($M$338="Y",'Population Definitions'!$A$13,"...")</f>
        <v>Prisoners_females</v>
      </c>
      <c r="E440" s="3" t="s">
        <v>53</v>
      </c>
      <c r="F440" s="3"/>
      <c r="G440" s="3">
        <v>6.7053856603403739E-5</v>
      </c>
      <c r="H440" s="4" t="str">
        <f>IF($M$338="Y","OR","...")</f>
        <v>OR</v>
      </c>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row>
    <row r="441" spans="1:59" x14ac:dyDescent="0.25">
      <c r="A441" s="1" t="str">
        <f>IF($B$339="Y",'Population Definitions'!$A$10,"...")</f>
        <v>...</v>
      </c>
      <c r="B441" s="4" t="str">
        <f>IF($B$339="Y","---&gt;","...")</f>
        <v>...</v>
      </c>
      <c r="C441" s="1" t="str">
        <f>IF($B$339="Y",'Population Definitions'!$A$2,"...")</f>
        <v>...</v>
      </c>
      <c r="E441" s="2"/>
      <c r="F441" s="3"/>
      <c r="G441" s="2"/>
      <c r="H441" s="4" t="str">
        <f>IF($B$339="Y","OR","...")</f>
        <v>...</v>
      </c>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row>
    <row r="442" spans="1:59" x14ac:dyDescent="0.25">
      <c r="A442" s="1" t="str">
        <f>IF($C$339="Y",'Population Definitions'!$A$10,"...")</f>
        <v>...</v>
      </c>
      <c r="B442" s="4" t="str">
        <f>IF($C$339="Y","---&gt;","...")</f>
        <v>...</v>
      </c>
      <c r="C442" s="1" t="str">
        <f>IF($C$339="Y",'Population Definitions'!$A$3,"...")</f>
        <v>...</v>
      </c>
      <c r="E442" s="2"/>
      <c r="F442" s="3"/>
      <c r="G442" s="2"/>
      <c r="H442" s="4" t="str">
        <f>IF($C$339="Y","OR","...")</f>
        <v>...</v>
      </c>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row>
    <row r="443" spans="1:59" x14ac:dyDescent="0.25">
      <c r="A443" s="1" t="str">
        <f>IF($D$339="Y",'Population Definitions'!$A$10,"...")</f>
        <v>...</v>
      </c>
      <c r="B443" s="4" t="str">
        <f>IF($D$339="Y","---&gt;","...")</f>
        <v>...</v>
      </c>
      <c r="C443" s="1" t="str">
        <f>IF($D$339="Y",'Population Definitions'!$A$4,"...")</f>
        <v>...</v>
      </c>
      <c r="E443" s="2"/>
      <c r="F443" s="3"/>
      <c r="G443" s="2"/>
      <c r="H443" s="4" t="str">
        <f>IF($D$339="Y","OR","...")</f>
        <v>...</v>
      </c>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row>
    <row r="444" spans="1:59" x14ac:dyDescent="0.25">
      <c r="A444" s="1" t="str">
        <f>IF($E$339="Y",'Population Definitions'!$A$10,"...")</f>
        <v>...</v>
      </c>
      <c r="B444" s="4" t="str">
        <f>IF($E$339="Y","---&gt;","...")</f>
        <v>...</v>
      </c>
      <c r="C444" s="1" t="str">
        <f>IF($E$339="Y",'Population Definitions'!$A$5,"...")</f>
        <v>...</v>
      </c>
      <c r="E444" s="2"/>
      <c r="F444" s="3"/>
      <c r="G444" s="2"/>
      <c r="H444" s="4" t="str">
        <f>IF($E$339="Y","OR","...")</f>
        <v>...</v>
      </c>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row>
    <row r="445" spans="1:59" x14ac:dyDescent="0.25">
      <c r="A445" s="1" t="str">
        <f>IF($F$339="Y",'Population Definitions'!$A$10,"...")</f>
        <v>...</v>
      </c>
      <c r="B445" s="4" t="str">
        <f>IF($F$339="Y","---&gt;","...")</f>
        <v>...</v>
      </c>
      <c r="C445" s="1" t="str">
        <f>IF($F$339="Y",'Population Definitions'!$A$6,"...")</f>
        <v>...</v>
      </c>
      <c r="E445" s="2"/>
      <c r="F445" s="3"/>
      <c r="G445" s="2"/>
      <c r="H445" s="4" t="str">
        <f>IF($F$339="Y","OR","...")</f>
        <v>...</v>
      </c>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row>
    <row r="446" spans="1:59" x14ac:dyDescent="0.25">
      <c r="A446" s="1" t="str">
        <f>IF($G$339="Y",'Population Definitions'!$A$10,"...")</f>
        <v>...</v>
      </c>
      <c r="B446" s="4" t="str">
        <f>IF($G$339="Y","---&gt;","...")</f>
        <v>...</v>
      </c>
      <c r="C446" s="1" t="str">
        <f>IF($G$339="Y",'Population Definitions'!$A$7,"...")</f>
        <v>...</v>
      </c>
      <c r="E446" s="2"/>
      <c r="F446" s="3"/>
      <c r="G446" s="2"/>
      <c r="H446" s="4" t="str">
        <f>IF($G$339="Y","OR","...")</f>
        <v>...</v>
      </c>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row>
    <row r="447" spans="1:59" x14ac:dyDescent="0.25">
      <c r="A447" s="1" t="str">
        <f>IF($H$339="Y",'Population Definitions'!$A$10,"...")</f>
        <v>...</v>
      </c>
      <c r="B447" s="4" t="str">
        <f>IF($H$339="Y","---&gt;","...")</f>
        <v>...</v>
      </c>
      <c r="C447" s="1" t="str">
        <f>IF($H$339="Y",'Population Definitions'!$A$8,"...")</f>
        <v>...</v>
      </c>
      <c r="E447" s="2"/>
      <c r="F447" s="3"/>
      <c r="G447" s="2"/>
      <c r="H447" s="4" t="str">
        <f>IF($H$339="Y","OR","...")</f>
        <v>...</v>
      </c>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row>
    <row r="448" spans="1:59" x14ac:dyDescent="0.25">
      <c r="A448" s="1" t="str">
        <f>IF($I$339="Y",'Population Definitions'!$A$10,"...")</f>
        <v>...</v>
      </c>
      <c r="B448" s="4" t="str">
        <f>IF($I$339="Y","---&gt;","...")</f>
        <v>...</v>
      </c>
      <c r="C448" s="1" t="str">
        <f>IF($I$339="Y",'Population Definitions'!$A$9,"...")</f>
        <v>...</v>
      </c>
      <c r="E448" s="2"/>
      <c r="F448" s="3"/>
      <c r="G448" s="2"/>
      <c r="H448" s="4" t="str">
        <f>IF($I$339="Y","OR","...")</f>
        <v>...</v>
      </c>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row>
    <row r="449" spans="1:59" x14ac:dyDescent="0.25">
      <c r="A449" s="1" t="str">
        <f>IF($J$339="Y",'Population Definitions'!$A$10,"...")</f>
        <v>...</v>
      </c>
      <c r="B449" s="4" t="str">
        <f>IF($J$339="Y","---&gt;","...")</f>
        <v>...</v>
      </c>
      <c r="C449" s="1" t="str">
        <f>IF($J$339="Y",'Population Definitions'!$A$10,"...")</f>
        <v>...</v>
      </c>
      <c r="E449" s="2"/>
      <c r="F449" s="3"/>
      <c r="G449" s="2"/>
      <c r="H449" s="4" t="str">
        <f>IF($J$339="Y","OR","...")</f>
        <v>...</v>
      </c>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row>
    <row r="450" spans="1:59" x14ac:dyDescent="0.25">
      <c r="A450" s="1" t="str">
        <f>IF($K$339="Y",'Population Definitions'!$A$10,"...")</f>
        <v>...</v>
      </c>
      <c r="B450" s="4" t="str">
        <f>IF($K$339="Y","---&gt;","...")</f>
        <v>...</v>
      </c>
      <c r="C450" s="1" t="str">
        <f>IF($K$339="Y",'Population Definitions'!$A$11,"...")</f>
        <v>...</v>
      </c>
      <c r="E450" s="2"/>
      <c r="F450" s="3"/>
      <c r="G450" s="2"/>
      <c r="H450" s="4" t="str">
        <f>IF($K$339="Y","OR","...")</f>
        <v>...</v>
      </c>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row>
    <row r="451" spans="1:59" x14ac:dyDescent="0.25">
      <c r="A451" s="1" t="str">
        <f>IF($L$339="Y",'Population Definitions'!$A$10,"...")</f>
        <v>...</v>
      </c>
      <c r="B451" s="4" t="str">
        <f>IF($L$339="Y","---&gt;","...")</f>
        <v>...</v>
      </c>
      <c r="C451" s="1" t="str">
        <f>IF($L$339="Y",'Population Definitions'!$A$12,"...")</f>
        <v>...</v>
      </c>
      <c r="E451" s="2"/>
      <c r="F451" s="3"/>
      <c r="G451" s="2"/>
      <c r="H451" s="4" t="str">
        <f>IF($L$339="Y","OR","...")</f>
        <v>...</v>
      </c>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row>
    <row r="452" spans="1:59" x14ac:dyDescent="0.25">
      <c r="A452" s="1" t="str">
        <f>IF($M$339="Y",'Population Definitions'!$A$10,"...")</f>
        <v>...</v>
      </c>
      <c r="B452" s="4" t="str">
        <f>IF($M$339="Y","---&gt;","...")</f>
        <v>...</v>
      </c>
      <c r="C452" s="1" t="str">
        <f>IF($M$339="Y",'Population Definitions'!$A$13,"...")</f>
        <v>...</v>
      </c>
      <c r="E452" s="2"/>
      <c r="F452" s="3"/>
      <c r="G452" s="2"/>
      <c r="H452" s="4" t="str">
        <f>IF($M$339="Y","OR","...")</f>
        <v>...</v>
      </c>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row>
    <row r="453" spans="1:59" x14ac:dyDescent="0.25">
      <c r="A453" s="1" t="str">
        <f>IF($B$340="Y",'Population Definitions'!$A$11,"...")</f>
        <v>...</v>
      </c>
      <c r="B453" s="4" t="str">
        <f>IF($B$340="Y","---&gt;","...")</f>
        <v>...</v>
      </c>
      <c r="C453" s="1" t="str">
        <f>IF($B$340="Y",'Population Definitions'!$A$2,"...")</f>
        <v>...</v>
      </c>
      <c r="E453" s="2"/>
      <c r="F453" s="3"/>
      <c r="G453" s="2"/>
      <c r="H453" s="4" t="str">
        <f>IF($B$340="Y","OR","...")</f>
        <v>...</v>
      </c>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row>
    <row r="454" spans="1:59" x14ac:dyDescent="0.25">
      <c r="A454" s="1" t="str">
        <f>IF($C$340="Y",'Population Definitions'!$A$11,"...")</f>
        <v>...</v>
      </c>
      <c r="B454" s="4" t="str">
        <f>IF($C$340="Y","---&gt;","...")</f>
        <v>...</v>
      </c>
      <c r="C454" s="1" t="str">
        <f>IF($C$340="Y",'Population Definitions'!$A$3,"...")</f>
        <v>...</v>
      </c>
      <c r="E454" s="2"/>
      <c r="F454" s="3"/>
      <c r="G454" s="2"/>
      <c r="H454" s="4" t="str">
        <f>IF($C$340="Y","OR","...")</f>
        <v>...</v>
      </c>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row>
    <row r="455" spans="1:59" x14ac:dyDescent="0.25">
      <c r="A455" s="1" t="str">
        <f>IF($D$340="Y",'Population Definitions'!$A$11,"...")</f>
        <v>...</v>
      </c>
      <c r="B455" s="4" t="str">
        <f>IF($D$340="Y","---&gt;","...")</f>
        <v>...</v>
      </c>
      <c r="C455" s="1" t="str">
        <f>IF($D$340="Y",'Population Definitions'!$A$4,"...")</f>
        <v>...</v>
      </c>
      <c r="E455" s="2"/>
      <c r="F455" s="3"/>
      <c r="G455" s="2"/>
      <c r="H455" s="4" t="str">
        <f>IF($D$340="Y","OR","...")</f>
        <v>...</v>
      </c>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row>
    <row r="456" spans="1:59" x14ac:dyDescent="0.25">
      <c r="A456" s="1" t="str">
        <f>IF($E$340="Y",'Population Definitions'!$A$11,"...")</f>
        <v>...</v>
      </c>
      <c r="B456" s="4" t="str">
        <f>IF($E$340="Y","---&gt;","...")</f>
        <v>...</v>
      </c>
      <c r="C456" s="1" t="str">
        <f>IF($E$340="Y",'Population Definitions'!$A$5,"...")</f>
        <v>...</v>
      </c>
      <c r="E456" s="2"/>
      <c r="F456" s="3"/>
      <c r="G456" s="2"/>
      <c r="H456" s="4" t="str">
        <f>IF($E$340="Y","OR","...")</f>
        <v>...</v>
      </c>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row>
    <row r="457" spans="1:59" x14ac:dyDescent="0.25">
      <c r="A457" s="1" t="str">
        <f>IF($F$340="Y",'Population Definitions'!$A$11,"...")</f>
        <v>...</v>
      </c>
      <c r="B457" s="4" t="str">
        <f>IF($F$340="Y","---&gt;","...")</f>
        <v>...</v>
      </c>
      <c r="C457" s="1" t="str">
        <f>IF($F$340="Y",'Population Definitions'!$A$6,"...")</f>
        <v>...</v>
      </c>
      <c r="E457" s="2"/>
      <c r="F457" s="3"/>
      <c r="G457" s="2"/>
      <c r="H457" s="4" t="str">
        <f>IF($F$340="Y","OR","...")</f>
        <v>...</v>
      </c>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row>
    <row r="458" spans="1:59" x14ac:dyDescent="0.25">
      <c r="A458" s="1" t="str">
        <f>IF($G$340="Y",'Population Definitions'!$A$11,"...")</f>
        <v>...</v>
      </c>
      <c r="B458" s="4" t="str">
        <f>IF($G$340="Y","---&gt;","...")</f>
        <v>...</v>
      </c>
      <c r="C458" s="1" t="str">
        <f>IF($G$340="Y",'Population Definitions'!$A$7,"...")</f>
        <v>...</v>
      </c>
      <c r="E458" s="2"/>
      <c r="F458" s="3"/>
      <c r="G458" s="2"/>
      <c r="H458" s="4" t="str">
        <f>IF($G$340="Y","OR","...")</f>
        <v>...</v>
      </c>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row>
    <row r="459" spans="1:59" x14ac:dyDescent="0.25">
      <c r="A459" s="1" t="str">
        <f>IF($H$340="Y",'Population Definitions'!$A$11,"...")</f>
        <v>...</v>
      </c>
      <c r="B459" s="4" t="str">
        <f>IF($H$340="Y","---&gt;","...")</f>
        <v>...</v>
      </c>
      <c r="C459" s="1" t="str">
        <f>IF($H$340="Y",'Population Definitions'!$A$8,"...")</f>
        <v>...</v>
      </c>
      <c r="E459" s="2"/>
      <c r="F459" s="3"/>
      <c r="G459" s="2"/>
      <c r="H459" s="4" t="str">
        <f>IF($H$340="Y","OR","...")</f>
        <v>...</v>
      </c>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row>
    <row r="460" spans="1:59" x14ac:dyDescent="0.25">
      <c r="A460" s="1" t="str">
        <f>IF($I$340="Y",'Population Definitions'!$A$11,"...")</f>
        <v>...</v>
      </c>
      <c r="B460" s="4" t="str">
        <f>IF($I$340="Y","---&gt;","...")</f>
        <v>...</v>
      </c>
      <c r="C460" s="1" t="str">
        <f>IF($I$340="Y",'Population Definitions'!$A$9,"...")</f>
        <v>...</v>
      </c>
      <c r="E460" s="2"/>
      <c r="F460" s="3"/>
      <c r="G460" s="2"/>
      <c r="H460" s="4" t="str">
        <f>IF($I$340="Y","OR","...")</f>
        <v>...</v>
      </c>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row>
    <row r="461" spans="1:59" x14ac:dyDescent="0.25">
      <c r="A461" s="1" t="str">
        <f>IF($J$340="Y",'Population Definitions'!$A$11,"...")</f>
        <v>...</v>
      </c>
      <c r="B461" s="4" t="str">
        <f>IF($J$340="Y","---&gt;","...")</f>
        <v>...</v>
      </c>
      <c r="C461" s="1" t="str">
        <f>IF($J$340="Y",'Population Definitions'!$A$10,"...")</f>
        <v>...</v>
      </c>
      <c r="E461" s="2"/>
      <c r="F461" s="3"/>
      <c r="G461" s="2"/>
      <c r="H461" s="4" t="str">
        <f>IF($J$340="Y","OR","...")</f>
        <v>...</v>
      </c>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row>
    <row r="462" spans="1:59" x14ac:dyDescent="0.25">
      <c r="A462" s="1" t="str">
        <f>IF($K$340="Y",'Population Definitions'!$A$11,"...")</f>
        <v>...</v>
      </c>
      <c r="B462" s="4" t="str">
        <f>IF($K$340="Y","---&gt;","...")</f>
        <v>...</v>
      </c>
      <c r="C462" s="1" t="str">
        <f>IF($K$340="Y",'Population Definitions'!$A$11,"...")</f>
        <v>...</v>
      </c>
      <c r="E462" s="2"/>
      <c r="F462" s="3"/>
      <c r="G462" s="2"/>
      <c r="H462" s="4" t="str">
        <f>IF($K$340="Y","OR","...")</f>
        <v>...</v>
      </c>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row>
    <row r="463" spans="1:59" x14ac:dyDescent="0.25">
      <c r="A463" s="1" t="str">
        <f>IF($L$340="Y",'Population Definitions'!$A$11,"...")</f>
        <v>...</v>
      </c>
      <c r="B463" s="4" t="str">
        <f>IF($L$340="Y","---&gt;","...")</f>
        <v>...</v>
      </c>
      <c r="C463" s="1" t="str">
        <f>IF($L$340="Y",'Population Definitions'!$A$12,"...")</f>
        <v>...</v>
      </c>
      <c r="E463" s="2"/>
      <c r="F463" s="3"/>
      <c r="G463" s="2"/>
      <c r="H463" s="4" t="str">
        <f>IF($L$340="Y","OR","...")</f>
        <v>...</v>
      </c>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row>
    <row r="464" spans="1:59" x14ac:dyDescent="0.25">
      <c r="A464" s="1" t="str">
        <f>IF($M$340="Y",'Population Definitions'!$A$11,"...")</f>
        <v>...</v>
      </c>
      <c r="B464" s="4" t="str">
        <f>IF($M$340="Y","---&gt;","...")</f>
        <v>...</v>
      </c>
      <c r="C464" s="1" t="str">
        <f>IF($M$340="Y",'Population Definitions'!$A$13,"...")</f>
        <v>...</v>
      </c>
      <c r="E464" s="2"/>
      <c r="F464" s="3"/>
      <c r="G464" s="2"/>
      <c r="H464" s="4" t="str">
        <f>IF($M$340="Y","OR","...")</f>
        <v>...</v>
      </c>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row>
    <row r="465" spans="1:59" x14ac:dyDescent="0.25">
      <c r="A465" s="1" t="str">
        <f>IF($B$341="Y",'Population Definitions'!$A$12,"...")</f>
        <v>Prisoners_males</v>
      </c>
      <c r="B465" s="4" t="str">
        <f>IF($B$341="Y","---&gt;","...")</f>
        <v>---&gt;</v>
      </c>
      <c r="C465" s="1" t="str">
        <f>IF($B$341="Y",'Population Definitions'!$A$2,"...")</f>
        <v>PWID_males</v>
      </c>
      <c r="E465" s="3" t="s">
        <v>53</v>
      </c>
      <c r="F465" s="3"/>
      <c r="G465" s="3">
        <v>1.896488153119918</v>
      </c>
      <c r="H465" s="4" t="str">
        <f>IF($B$341="Y","OR","...")</f>
        <v>OR</v>
      </c>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row>
    <row r="466" spans="1:59" x14ac:dyDescent="0.25">
      <c r="A466" s="1" t="str">
        <f>IF($C$341="Y",'Population Definitions'!$A$12,"...")</f>
        <v>...</v>
      </c>
      <c r="B466" s="4" t="str">
        <f>IF($C$341="Y","---&gt;","...")</f>
        <v>...</v>
      </c>
      <c r="C466" s="1" t="str">
        <f>IF($C$341="Y",'Population Definitions'!$A$3,"...")</f>
        <v>...</v>
      </c>
      <c r="E466" s="2"/>
      <c r="F466" s="3"/>
      <c r="G466" s="2"/>
      <c r="H466" s="4" t="str">
        <f>IF($C$341="Y","OR","...")</f>
        <v>...</v>
      </c>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row>
    <row r="467" spans="1:59" x14ac:dyDescent="0.25">
      <c r="A467" s="1" t="str">
        <f>IF($D$341="Y",'Population Definitions'!$A$12,"...")</f>
        <v>...</v>
      </c>
      <c r="B467" s="4" t="str">
        <f>IF($D$341="Y","---&gt;","...")</f>
        <v>...</v>
      </c>
      <c r="C467" s="1" t="str">
        <f>IF($D$341="Y",'Population Definitions'!$A$4,"...")</f>
        <v>...</v>
      </c>
      <c r="E467" s="2"/>
      <c r="F467" s="3"/>
      <c r="G467" s="2"/>
      <c r="H467" s="4" t="str">
        <f>IF($D$341="Y","OR","...")</f>
        <v>...</v>
      </c>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row>
    <row r="468" spans="1:59" x14ac:dyDescent="0.25">
      <c r="A468" s="1" t="str">
        <f>IF($E$341="Y",'Population Definitions'!$A$12,"...")</f>
        <v>...</v>
      </c>
      <c r="B468" s="4" t="str">
        <f>IF($E$341="Y","---&gt;","...")</f>
        <v>...</v>
      </c>
      <c r="C468" s="1" t="str">
        <f>IF($E$341="Y",'Population Definitions'!$A$5,"...")</f>
        <v>...</v>
      </c>
      <c r="E468" s="2"/>
      <c r="F468" s="3"/>
      <c r="G468" s="2"/>
      <c r="H468" s="4" t="str">
        <f>IF($E$341="Y","OR","...")</f>
        <v>...</v>
      </c>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row>
    <row r="469" spans="1:59" x14ac:dyDescent="0.25">
      <c r="A469" s="1" t="str">
        <f>IF($F$341="Y",'Population Definitions'!$A$12,"...")</f>
        <v>...</v>
      </c>
      <c r="B469" s="4" t="str">
        <f>IF($F$341="Y","---&gt;","...")</f>
        <v>...</v>
      </c>
      <c r="C469" s="1" t="str">
        <f>IF($F$341="Y",'Population Definitions'!$A$6,"...")</f>
        <v>...</v>
      </c>
      <c r="E469" s="2"/>
      <c r="F469" s="3"/>
      <c r="G469" s="2"/>
      <c r="H469" s="4" t="str">
        <f>IF($F$341="Y","OR","...")</f>
        <v>...</v>
      </c>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row>
    <row r="470" spans="1:59" x14ac:dyDescent="0.25">
      <c r="A470" s="1" t="str">
        <f>IF($G$341="Y",'Population Definitions'!$A$12,"...")</f>
        <v>...</v>
      </c>
      <c r="B470" s="4" t="str">
        <f>IF($G$341="Y","---&gt;","...")</f>
        <v>...</v>
      </c>
      <c r="C470" s="1" t="str">
        <f>IF($G$341="Y",'Population Definitions'!$A$7,"...")</f>
        <v>...</v>
      </c>
      <c r="E470" s="2"/>
      <c r="F470" s="3"/>
      <c r="G470" s="2"/>
      <c r="H470" s="4" t="str">
        <f>IF($G$341="Y","OR","...")</f>
        <v>...</v>
      </c>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row>
    <row r="471" spans="1:59" x14ac:dyDescent="0.25">
      <c r="A471" s="1" t="str">
        <f>IF($H$341="Y",'Population Definitions'!$A$12,"...")</f>
        <v>Prisoners_males</v>
      </c>
      <c r="B471" s="4" t="str">
        <f>IF($H$341="Y","---&gt;","...")</f>
        <v>---&gt;</v>
      </c>
      <c r="C471" s="1" t="str">
        <f>IF($H$341="Y",'Population Definitions'!$A$8,"...")</f>
        <v>18-64_males</v>
      </c>
      <c r="E471" s="3" t="s">
        <v>53</v>
      </c>
      <c r="F471" s="3"/>
      <c r="G471" s="3">
        <v>1.0733538687393751</v>
      </c>
      <c r="H471" s="4" t="str">
        <f>IF($H$341="Y","OR","...")</f>
        <v>OR</v>
      </c>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row>
    <row r="472" spans="1:59" x14ac:dyDescent="0.25">
      <c r="A472" s="1" t="str">
        <f>IF($I$341="Y",'Population Definitions'!$A$12,"...")</f>
        <v>...</v>
      </c>
      <c r="B472" s="4" t="str">
        <f>IF($I$341="Y","---&gt;","...")</f>
        <v>...</v>
      </c>
      <c r="C472" s="1" t="str">
        <f>IF($I$341="Y",'Population Definitions'!$A$9,"...")</f>
        <v>...</v>
      </c>
      <c r="E472" s="2"/>
      <c r="F472" s="3"/>
      <c r="G472" s="2"/>
      <c r="H472" s="4" t="str">
        <f>IF($I$341="Y","OR","...")</f>
        <v>...</v>
      </c>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row>
    <row r="473" spans="1:59" x14ac:dyDescent="0.25">
      <c r="A473" s="1" t="str">
        <f>IF($J$341="Y",'Population Definitions'!$A$12,"...")</f>
        <v>...</v>
      </c>
      <c r="B473" s="4" t="str">
        <f>IF($J$341="Y","---&gt;","...")</f>
        <v>...</v>
      </c>
      <c r="C473" s="1" t="str">
        <f>IF($J$341="Y",'Population Definitions'!$A$10,"...")</f>
        <v>...</v>
      </c>
      <c r="E473" s="2"/>
      <c r="F473" s="3"/>
      <c r="G473" s="2"/>
      <c r="H473" s="4" t="str">
        <f>IF($J$341="Y","OR","...")</f>
        <v>...</v>
      </c>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row>
    <row r="474" spans="1:59" x14ac:dyDescent="0.25">
      <c r="A474" s="1" t="str">
        <f>IF($K$341="Y",'Population Definitions'!$A$12,"...")</f>
        <v>...</v>
      </c>
      <c r="B474" s="4" t="str">
        <f>IF($K$341="Y","---&gt;","...")</f>
        <v>...</v>
      </c>
      <c r="C474" s="1" t="str">
        <f>IF($K$341="Y",'Population Definitions'!$A$11,"...")</f>
        <v>...</v>
      </c>
      <c r="E474" s="2"/>
      <c r="F474" s="3"/>
      <c r="G474" s="2"/>
      <c r="H474" s="4" t="str">
        <f>IF($K$341="Y","OR","...")</f>
        <v>...</v>
      </c>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row>
    <row r="475" spans="1:59" x14ac:dyDescent="0.25">
      <c r="A475" s="1" t="str">
        <f>IF($L$341="Y",'Population Definitions'!$A$12,"...")</f>
        <v>...</v>
      </c>
      <c r="B475" s="4" t="str">
        <f>IF($L$341="Y","---&gt;","...")</f>
        <v>...</v>
      </c>
      <c r="C475" s="1" t="str">
        <f>IF($L$341="Y",'Population Definitions'!$A$12,"...")</f>
        <v>...</v>
      </c>
      <c r="E475" s="2"/>
      <c r="F475" s="3"/>
      <c r="G475" s="2"/>
      <c r="H475" s="4" t="str">
        <f>IF($L$341="Y","OR","...")</f>
        <v>...</v>
      </c>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row>
    <row r="476" spans="1:59" x14ac:dyDescent="0.25">
      <c r="A476" s="1" t="str">
        <f>IF($M$341="Y",'Population Definitions'!$A$12,"...")</f>
        <v>...</v>
      </c>
      <c r="B476" s="4" t="str">
        <f>IF($M$341="Y","---&gt;","...")</f>
        <v>...</v>
      </c>
      <c r="C476" s="1" t="str">
        <f>IF($M$341="Y",'Population Definitions'!$A$13,"...")</f>
        <v>...</v>
      </c>
      <c r="E476" s="2"/>
      <c r="F476" s="3"/>
      <c r="G476" s="2"/>
      <c r="H476" s="4" t="str">
        <f>IF($M$341="Y","OR","...")</f>
        <v>...</v>
      </c>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row>
    <row r="477" spans="1:59" x14ac:dyDescent="0.25">
      <c r="A477" s="1" t="str">
        <f>IF($B$342="Y",'Population Definitions'!$A$13,"...")</f>
        <v>...</v>
      </c>
      <c r="B477" s="4" t="str">
        <f>IF($B$342="Y","---&gt;","...")</f>
        <v>...</v>
      </c>
      <c r="C477" s="1" t="str">
        <f>IF($B$342="Y",'Population Definitions'!$A$2,"...")</f>
        <v>...</v>
      </c>
      <c r="E477" s="2"/>
      <c r="F477" s="3"/>
      <c r="G477" s="2"/>
      <c r="H477" s="4" t="str">
        <f>IF($B$342="Y","OR","...")</f>
        <v>...</v>
      </c>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row>
    <row r="478" spans="1:59" x14ac:dyDescent="0.25">
      <c r="A478" s="1" t="str">
        <f>IF($C$342="Y",'Population Definitions'!$A$13,"...")</f>
        <v>Prisoners_females</v>
      </c>
      <c r="B478" s="4" t="str">
        <f>IF($C$342="Y","---&gt;","...")</f>
        <v>---&gt;</v>
      </c>
      <c r="C478" s="1" t="str">
        <f>IF($C$342="Y",'Population Definitions'!$A$3,"...")</f>
        <v>PWID_females</v>
      </c>
      <c r="E478" s="3" t="s">
        <v>53</v>
      </c>
      <c r="F478" s="3"/>
      <c r="G478" s="3">
        <v>0.62580932355883356</v>
      </c>
      <c r="H478" s="4" t="str">
        <f>IF($C$342="Y","OR","...")</f>
        <v>OR</v>
      </c>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row>
    <row r="479" spans="1:59" x14ac:dyDescent="0.25">
      <c r="A479" s="1" t="str">
        <f>IF($D$342="Y",'Population Definitions'!$A$13,"...")</f>
        <v>...</v>
      </c>
      <c r="B479" s="4" t="str">
        <f>IF($D$342="Y","---&gt;","...")</f>
        <v>...</v>
      </c>
      <c r="C479" s="1" t="str">
        <f>IF($D$342="Y",'Population Definitions'!$A$4,"...")</f>
        <v>...</v>
      </c>
      <c r="E479" s="2"/>
      <c r="F479" s="3"/>
      <c r="G479" s="2"/>
      <c r="H479" s="4" t="str">
        <f>IF($D$342="Y","OR","...")</f>
        <v>...</v>
      </c>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row>
    <row r="480" spans="1:59" x14ac:dyDescent="0.25">
      <c r="A480" s="1" t="str">
        <f>IF($E$342="Y",'Population Definitions'!$A$13,"...")</f>
        <v>...</v>
      </c>
      <c r="B480" s="4" t="str">
        <f>IF($E$342="Y","---&gt;","...")</f>
        <v>...</v>
      </c>
      <c r="C480" s="1" t="str">
        <f>IF($E$342="Y",'Population Definitions'!$A$5,"...")</f>
        <v>...</v>
      </c>
      <c r="E480" s="2"/>
      <c r="F480" s="3"/>
      <c r="G480" s="2"/>
      <c r="H480" s="4" t="str">
        <f>IF($E$342="Y","OR","...")</f>
        <v>...</v>
      </c>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row>
    <row r="481" spans="1:59" x14ac:dyDescent="0.25">
      <c r="A481" s="1" t="str">
        <f>IF($F$342="Y",'Population Definitions'!$A$13,"...")</f>
        <v>...</v>
      </c>
      <c r="B481" s="4" t="str">
        <f>IF($F$342="Y","---&gt;","...")</f>
        <v>...</v>
      </c>
      <c r="C481" s="1" t="str">
        <f>IF($F$342="Y",'Population Definitions'!$A$6,"...")</f>
        <v>...</v>
      </c>
      <c r="E481" s="2"/>
      <c r="F481" s="3"/>
      <c r="G481" s="2"/>
      <c r="H481" s="4" t="str">
        <f>IF($F$342="Y","OR","...")</f>
        <v>...</v>
      </c>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row>
    <row r="482" spans="1:59" x14ac:dyDescent="0.25">
      <c r="A482" s="1" t="str">
        <f>IF($G$342="Y",'Population Definitions'!$A$13,"...")</f>
        <v>...</v>
      </c>
      <c r="B482" s="4" t="str">
        <f>IF($G$342="Y","---&gt;","...")</f>
        <v>...</v>
      </c>
      <c r="C482" s="1" t="str">
        <f>IF($G$342="Y",'Population Definitions'!$A$7,"...")</f>
        <v>...</v>
      </c>
      <c r="E482" s="2"/>
      <c r="F482" s="3"/>
      <c r="G482" s="2"/>
      <c r="H482" s="4" t="str">
        <f>IF($G$342="Y","OR","...")</f>
        <v>...</v>
      </c>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row>
    <row r="483" spans="1:59" x14ac:dyDescent="0.25">
      <c r="A483" s="1" t="str">
        <f>IF($H$342="Y",'Population Definitions'!$A$13,"...")</f>
        <v>...</v>
      </c>
      <c r="B483" s="4" t="str">
        <f>IF($H$342="Y","---&gt;","...")</f>
        <v>...</v>
      </c>
      <c r="C483" s="1" t="str">
        <f>IF($H$342="Y",'Population Definitions'!$A$8,"...")</f>
        <v>...</v>
      </c>
      <c r="E483" s="2"/>
      <c r="F483" s="3"/>
      <c r="G483" s="2"/>
      <c r="H483" s="4" t="str">
        <f>IF($H$342="Y","OR","...")</f>
        <v>...</v>
      </c>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row>
    <row r="484" spans="1:59" x14ac:dyDescent="0.25">
      <c r="A484" s="1" t="str">
        <f>IF($I$342="Y",'Population Definitions'!$A$13,"...")</f>
        <v>Prisoners_females</v>
      </c>
      <c r="B484" s="4" t="str">
        <f>IF($I$342="Y","---&gt;","...")</f>
        <v>---&gt;</v>
      </c>
      <c r="C484" s="1" t="str">
        <f>IF($I$342="Y",'Population Definitions'!$A$9,"...")</f>
        <v>18-64_females</v>
      </c>
      <c r="E484" s="3" t="s">
        <v>53</v>
      </c>
      <c r="F484" s="3"/>
      <c r="G484" s="3">
        <v>2.3440326983004591</v>
      </c>
      <c r="H484" s="4" t="str">
        <f>IF($I$342="Y","OR","...")</f>
        <v>OR</v>
      </c>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row>
    <row r="485" spans="1:59" x14ac:dyDescent="0.25">
      <c r="A485" s="1" t="str">
        <f>IF($J$342="Y",'Population Definitions'!$A$13,"...")</f>
        <v>...</v>
      </c>
      <c r="B485" s="4" t="str">
        <f>IF($J$342="Y","---&gt;","...")</f>
        <v>...</v>
      </c>
      <c r="C485" s="1" t="str">
        <f>IF($J$342="Y",'Population Definitions'!$A$10,"...")</f>
        <v>...</v>
      </c>
      <c r="E485" s="2"/>
      <c r="F485" s="3"/>
      <c r="G485" s="2"/>
      <c r="H485" s="4" t="str">
        <f>IF($J$342="Y","OR","...")</f>
        <v>...</v>
      </c>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row>
    <row r="486" spans="1:59" x14ac:dyDescent="0.25">
      <c r="A486" s="1" t="str">
        <f>IF($K$342="Y",'Population Definitions'!$A$13,"...")</f>
        <v>...</v>
      </c>
      <c r="B486" s="4" t="str">
        <f>IF($K$342="Y","---&gt;","...")</f>
        <v>...</v>
      </c>
      <c r="C486" s="1" t="str">
        <f>IF($K$342="Y",'Population Definitions'!$A$11,"...")</f>
        <v>...</v>
      </c>
      <c r="E486" s="2"/>
      <c r="F486" s="3"/>
      <c r="G486" s="2"/>
      <c r="H486" s="4" t="str">
        <f>IF($K$342="Y","OR","...")</f>
        <v>...</v>
      </c>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row>
    <row r="487" spans="1:59" x14ac:dyDescent="0.25">
      <c r="A487" s="1" t="str">
        <f>IF($L$342="Y",'Population Definitions'!$A$13,"...")</f>
        <v>...</v>
      </c>
      <c r="B487" s="4" t="str">
        <f>IF($L$342="Y","---&gt;","...")</f>
        <v>...</v>
      </c>
      <c r="C487" s="1" t="str">
        <f>IF($L$342="Y",'Population Definitions'!$A$12,"...")</f>
        <v>...</v>
      </c>
      <c r="E487" s="2"/>
      <c r="F487" s="3"/>
      <c r="G487" s="2"/>
      <c r="H487" s="4" t="str">
        <f>IF($L$342="Y","OR","...")</f>
        <v>...</v>
      </c>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row>
    <row r="488" spans="1:59" x14ac:dyDescent="0.25">
      <c r="A488" s="1" t="str">
        <f>IF($M$342="Y",'Population Definitions'!$A$13,"...")</f>
        <v>...</v>
      </c>
      <c r="B488" s="4" t="str">
        <f>IF($M$342="Y","---&gt;","...")</f>
        <v>...</v>
      </c>
      <c r="C488" s="1" t="str">
        <f>IF($M$342="Y",'Population Definitions'!$A$13,"...")</f>
        <v>...</v>
      </c>
      <c r="E488" s="2"/>
      <c r="F488" s="3"/>
      <c r="G488" s="2"/>
      <c r="H488" s="4" t="str">
        <f>IF($M$342="Y","OR","...")</f>
        <v>...</v>
      </c>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row>
  </sheetData>
  <conditionalFormatting sqref="B6:B16">
    <cfRule type="cellIs" dxfId="569" priority="23" operator="equal">
      <formula>"Y"</formula>
    </cfRule>
    <cfRule type="cellIs" dxfId="568" priority="24" operator="equal">
      <formula>"N"</formula>
    </cfRule>
  </conditionalFormatting>
  <conditionalFormatting sqref="B169:B179">
    <cfRule type="cellIs" dxfId="567" priority="720" operator="equal">
      <formula>"N"</formula>
    </cfRule>
    <cfRule type="cellIs" dxfId="566" priority="719" operator="equal">
      <formula>"Y"</formula>
    </cfRule>
  </conditionalFormatting>
  <conditionalFormatting sqref="B332:B342">
    <cfRule type="cellIs" dxfId="565" priority="1416" operator="equal">
      <formula>"N"</formula>
    </cfRule>
    <cfRule type="cellIs" dxfId="564" priority="1415" operator="equal">
      <formula>"Y"</formula>
    </cfRule>
  </conditionalFormatting>
  <conditionalFormatting sqref="C5">
    <cfRule type="cellIs" dxfId="563" priority="2" operator="equal">
      <formula>"N"</formula>
    </cfRule>
    <cfRule type="cellIs" dxfId="562" priority="1" operator="equal">
      <formula>"Y"</formula>
    </cfRule>
  </conditionalFormatting>
  <conditionalFormatting sqref="C7:C16">
    <cfRule type="cellIs" dxfId="561" priority="47" operator="equal">
      <formula>"Y"</formula>
    </cfRule>
    <cfRule type="cellIs" dxfId="560" priority="48" operator="equal">
      <formula>"N"</formula>
    </cfRule>
  </conditionalFormatting>
  <conditionalFormatting sqref="C168">
    <cfRule type="cellIs" dxfId="559" priority="698" operator="equal">
      <formula>"N"</formula>
    </cfRule>
    <cfRule type="cellIs" dxfId="558" priority="697" operator="equal">
      <formula>"Y"</formula>
    </cfRule>
  </conditionalFormatting>
  <conditionalFormatting sqref="C170:C179">
    <cfRule type="cellIs" dxfId="557" priority="744" operator="equal">
      <formula>"N"</formula>
    </cfRule>
    <cfRule type="cellIs" dxfId="556" priority="743" operator="equal">
      <formula>"Y"</formula>
    </cfRule>
  </conditionalFormatting>
  <conditionalFormatting sqref="C331">
    <cfRule type="cellIs" dxfId="555" priority="1394" operator="equal">
      <formula>"N"</formula>
    </cfRule>
    <cfRule type="cellIs" dxfId="554" priority="1393" operator="equal">
      <formula>"Y"</formula>
    </cfRule>
  </conditionalFormatting>
  <conditionalFormatting sqref="C333:C342">
    <cfRule type="cellIs" dxfId="553" priority="1440" operator="equal">
      <formula>"N"</formula>
    </cfRule>
    <cfRule type="cellIs" dxfId="552" priority="1439" operator="equal">
      <formula>"Y"</formula>
    </cfRule>
  </conditionalFormatting>
  <conditionalFormatting sqref="D5:D6">
    <cfRule type="cellIs" dxfId="551" priority="3" operator="equal">
      <formula>"Y"</formula>
    </cfRule>
    <cfRule type="cellIs" dxfId="550" priority="4" operator="equal">
      <formula>"N"</formula>
    </cfRule>
  </conditionalFormatting>
  <conditionalFormatting sqref="D8:D16">
    <cfRule type="cellIs" dxfId="549" priority="71" operator="equal">
      <formula>"Y"</formula>
    </cfRule>
    <cfRule type="cellIs" dxfId="548" priority="72" operator="equal">
      <formula>"N"</formula>
    </cfRule>
  </conditionalFormatting>
  <conditionalFormatting sqref="D168:D169">
    <cfRule type="cellIs" dxfId="547" priority="700" operator="equal">
      <formula>"N"</formula>
    </cfRule>
    <cfRule type="cellIs" dxfId="546" priority="699" operator="equal">
      <formula>"Y"</formula>
    </cfRule>
  </conditionalFormatting>
  <conditionalFormatting sqref="D171:D179">
    <cfRule type="cellIs" dxfId="545" priority="768" operator="equal">
      <formula>"N"</formula>
    </cfRule>
    <cfRule type="cellIs" dxfId="544" priority="767" operator="equal">
      <formula>"Y"</formula>
    </cfRule>
  </conditionalFormatting>
  <conditionalFormatting sqref="D331:D332">
    <cfRule type="cellIs" dxfId="543" priority="1396" operator="equal">
      <formula>"N"</formula>
    </cfRule>
    <cfRule type="cellIs" dxfId="542" priority="1395" operator="equal">
      <formula>"Y"</formula>
    </cfRule>
  </conditionalFormatting>
  <conditionalFormatting sqref="D334:D342">
    <cfRule type="cellIs" dxfId="541" priority="1464" operator="equal">
      <formula>"N"</formula>
    </cfRule>
    <cfRule type="cellIs" dxfId="540" priority="1463" operator="equal">
      <formula>"Y"</formula>
    </cfRule>
  </conditionalFormatting>
  <conditionalFormatting sqref="D19:BG19">
    <cfRule type="expression" dxfId="539" priority="267">
      <formula>$B$5&lt;&gt;"Y"</formula>
    </cfRule>
  </conditionalFormatting>
  <conditionalFormatting sqref="D20:BG20">
    <cfRule type="expression" dxfId="538" priority="270">
      <formula>$C$5&lt;&gt;"Y"</formula>
    </cfRule>
  </conditionalFormatting>
  <conditionalFormatting sqref="D21:BG21">
    <cfRule type="expression" dxfId="537" priority="273">
      <formula>$D$5&lt;&gt;"Y"</formula>
    </cfRule>
  </conditionalFormatting>
  <conditionalFormatting sqref="D22:BG22">
    <cfRule type="expression" dxfId="536" priority="276">
      <formula>$E$5&lt;&gt;"Y"</formula>
    </cfRule>
  </conditionalFormatting>
  <conditionalFormatting sqref="D23:BG23">
    <cfRule type="expression" dxfId="535" priority="279">
      <formula>$F$5&lt;&gt;"Y"</formula>
    </cfRule>
  </conditionalFormatting>
  <conditionalFormatting sqref="D24:BG24">
    <cfRule type="expression" dxfId="534" priority="282">
      <formula>$G$5&lt;&gt;"Y"</formula>
    </cfRule>
  </conditionalFormatting>
  <conditionalFormatting sqref="D25:BG25">
    <cfRule type="expression" dxfId="533" priority="285">
      <formula>$H$5&lt;&gt;"Y"</formula>
    </cfRule>
  </conditionalFormatting>
  <conditionalFormatting sqref="D26:BG26">
    <cfRule type="expression" dxfId="532" priority="288">
      <formula>$I$5&lt;&gt;"Y"</formula>
    </cfRule>
  </conditionalFormatting>
  <conditionalFormatting sqref="D27:BG27">
    <cfRule type="expression" dxfId="531" priority="291">
      <formula>$J$5&lt;&gt;"Y"</formula>
    </cfRule>
  </conditionalFormatting>
  <conditionalFormatting sqref="D28:BG28">
    <cfRule type="expression" dxfId="530" priority="294">
      <formula>$K$5&lt;&gt;"Y"</formula>
    </cfRule>
  </conditionalFormatting>
  <conditionalFormatting sqref="D29:BG29">
    <cfRule type="expression" dxfId="529" priority="297">
      <formula>$L$5&lt;&gt;"Y"</formula>
    </cfRule>
  </conditionalFormatting>
  <conditionalFormatting sqref="D30:BG30">
    <cfRule type="expression" dxfId="528" priority="300">
      <formula>$M$5&lt;&gt;"Y"</formula>
    </cfRule>
  </conditionalFormatting>
  <conditionalFormatting sqref="D31:BG31">
    <cfRule type="expression" dxfId="527" priority="303">
      <formula>$B$6&lt;&gt;"Y"</formula>
    </cfRule>
  </conditionalFormatting>
  <conditionalFormatting sqref="D32:BG32">
    <cfRule type="expression" dxfId="526" priority="306">
      <formula>$C$6&lt;&gt;"Y"</formula>
    </cfRule>
  </conditionalFormatting>
  <conditionalFormatting sqref="D33:BG33">
    <cfRule type="expression" dxfId="525" priority="309">
      <formula>$D$6&lt;&gt;"Y"</formula>
    </cfRule>
  </conditionalFormatting>
  <conditionalFormatting sqref="D34:BG34">
    <cfRule type="expression" dxfId="524" priority="312">
      <formula>$E$6&lt;&gt;"Y"</formula>
    </cfRule>
  </conditionalFormatting>
  <conditionalFormatting sqref="D35:BG35">
    <cfRule type="expression" dxfId="523" priority="315">
      <formula>$F$6&lt;&gt;"Y"</formula>
    </cfRule>
  </conditionalFormatting>
  <conditionalFormatting sqref="D36:BG36">
    <cfRule type="expression" dxfId="522" priority="318">
      <formula>$G$6&lt;&gt;"Y"</formula>
    </cfRule>
  </conditionalFormatting>
  <conditionalFormatting sqref="D37:BG37">
    <cfRule type="expression" dxfId="521" priority="321">
      <formula>$H$6&lt;&gt;"Y"</formula>
    </cfRule>
  </conditionalFormatting>
  <conditionalFormatting sqref="D38:BG38">
    <cfRule type="expression" dxfId="520" priority="324">
      <formula>$I$6&lt;&gt;"Y"</formula>
    </cfRule>
  </conditionalFormatting>
  <conditionalFormatting sqref="D39:BG39">
    <cfRule type="expression" dxfId="519" priority="327">
      <formula>$J$6&lt;&gt;"Y"</formula>
    </cfRule>
  </conditionalFormatting>
  <conditionalFormatting sqref="D40:BG40">
    <cfRule type="expression" dxfId="518" priority="330">
      <formula>$K$6&lt;&gt;"Y"</formula>
    </cfRule>
  </conditionalFormatting>
  <conditionalFormatting sqref="D41:BG41">
    <cfRule type="expression" dxfId="517" priority="333">
      <formula>$L$6&lt;&gt;"Y"</formula>
    </cfRule>
  </conditionalFormatting>
  <conditionalFormatting sqref="D42:BG42">
    <cfRule type="expression" dxfId="516" priority="336">
      <formula>$M$6&lt;&gt;"Y"</formula>
    </cfRule>
  </conditionalFormatting>
  <conditionalFormatting sqref="D43:BG43">
    <cfRule type="expression" dxfId="515" priority="339">
      <formula>$B$7&lt;&gt;"Y"</formula>
    </cfRule>
  </conditionalFormatting>
  <conditionalFormatting sqref="D44:BG44">
    <cfRule type="expression" dxfId="514" priority="342">
      <formula>$C$7&lt;&gt;"Y"</formula>
    </cfRule>
  </conditionalFormatting>
  <conditionalFormatting sqref="D45:BG45">
    <cfRule type="expression" dxfId="513" priority="345">
      <formula>$D$7&lt;&gt;"Y"</formula>
    </cfRule>
  </conditionalFormatting>
  <conditionalFormatting sqref="D46:BG46">
    <cfRule type="expression" dxfId="512" priority="348">
      <formula>$E$7&lt;&gt;"Y"</formula>
    </cfRule>
  </conditionalFormatting>
  <conditionalFormatting sqref="D47:BG47">
    <cfRule type="expression" dxfId="511" priority="351">
      <formula>$F$7&lt;&gt;"Y"</formula>
    </cfRule>
  </conditionalFormatting>
  <conditionalFormatting sqref="D48:BG48">
    <cfRule type="expression" dxfId="510" priority="354">
      <formula>$G$7&lt;&gt;"Y"</formula>
    </cfRule>
  </conditionalFormatting>
  <conditionalFormatting sqref="D49:BG49">
    <cfRule type="expression" dxfId="509" priority="357">
      <formula>$H$7&lt;&gt;"Y"</formula>
    </cfRule>
  </conditionalFormatting>
  <conditionalFormatting sqref="D50:BG50">
    <cfRule type="expression" dxfId="508" priority="360">
      <formula>$I$7&lt;&gt;"Y"</formula>
    </cfRule>
  </conditionalFormatting>
  <conditionalFormatting sqref="D51:BG51">
    <cfRule type="expression" dxfId="507" priority="363">
      <formula>$J$7&lt;&gt;"Y"</formula>
    </cfRule>
  </conditionalFormatting>
  <conditionalFormatting sqref="D52:BG52">
    <cfRule type="expression" dxfId="506" priority="366">
      <formula>$K$7&lt;&gt;"Y"</formula>
    </cfRule>
  </conditionalFormatting>
  <conditionalFormatting sqref="D53:BG53">
    <cfRule type="expression" dxfId="505" priority="369">
      <formula>$L$7&lt;&gt;"Y"</formula>
    </cfRule>
  </conditionalFormatting>
  <conditionalFormatting sqref="D54:BG54">
    <cfRule type="expression" dxfId="504" priority="372">
      <formula>$M$7&lt;&gt;"Y"</formula>
    </cfRule>
  </conditionalFormatting>
  <conditionalFormatting sqref="D55:BG55">
    <cfRule type="expression" dxfId="503" priority="375">
      <formula>$B$8&lt;&gt;"Y"</formula>
    </cfRule>
  </conditionalFormatting>
  <conditionalFormatting sqref="D56:BG56">
    <cfRule type="expression" dxfId="502" priority="378">
      <formula>$C$8&lt;&gt;"Y"</formula>
    </cfRule>
  </conditionalFormatting>
  <conditionalFormatting sqref="D57:BG57">
    <cfRule type="expression" dxfId="501" priority="381">
      <formula>$D$8&lt;&gt;"Y"</formula>
    </cfRule>
  </conditionalFormatting>
  <conditionalFormatting sqref="D58:BG58">
    <cfRule type="expression" dxfId="500" priority="384">
      <formula>$E$8&lt;&gt;"Y"</formula>
    </cfRule>
  </conditionalFormatting>
  <conditionalFormatting sqref="D59:BG59">
    <cfRule type="expression" dxfId="499" priority="387">
      <formula>$F$8&lt;&gt;"Y"</formula>
    </cfRule>
  </conditionalFormatting>
  <conditionalFormatting sqref="D60:BG60">
    <cfRule type="expression" dxfId="498" priority="390">
      <formula>$G$8&lt;&gt;"Y"</formula>
    </cfRule>
  </conditionalFormatting>
  <conditionalFormatting sqref="D61:BG61">
    <cfRule type="expression" dxfId="497" priority="393">
      <formula>$H$8&lt;&gt;"Y"</formula>
    </cfRule>
  </conditionalFormatting>
  <conditionalFormatting sqref="D62:BG62">
    <cfRule type="expression" dxfId="496" priority="396">
      <formula>$I$8&lt;&gt;"Y"</formula>
    </cfRule>
  </conditionalFormatting>
  <conditionalFormatting sqref="D63:BG63">
    <cfRule type="expression" dxfId="495" priority="399">
      <formula>$J$8&lt;&gt;"Y"</formula>
    </cfRule>
  </conditionalFormatting>
  <conditionalFormatting sqref="D64:BG64">
    <cfRule type="expression" dxfId="494" priority="402">
      <formula>$K$8&lt;&gt;"Y"</formula>
    </cfRule>
  </conditionalFormatting>
  <conditionalFormatting sqref="D65:BG65">
    <cfRule type="expression" dxfId="493" priority="405">
      <formula>$L$8&lt;&gt;"Y"</formula>
    </cfRule>
  </conditionalFormatting>
  <conditionalFormatting sqref="D66:BG66">
    <cfRule type="expression" dxfId="492" priority="408">
      <formula>$M$8&lt;&gt;"Y"</formula>
    </cfRule>
  </conditionalFormatting>
  <conditionalFormatting sqref="D67:BG67">
    <cfRule type="expression" dxfId="491" priority="411">
      <formula>$B$9&lt;&gt;"Y"</formula>
    </cfRule>
  </conditionalFormatting>
  <conditionalFormatting sqref="D68:BG68">
    <cfRule type="expression" dxfId="490" priority="414">
      <formula>$C$9&lt;&gt;"Y"</formula>
    </cfRule>
  </conditionalFormatting>
  <conditionalFormatting sqref="D69:BG69">
    <cfRule type="expression" dxfId="489" priority="417">
      <formula>$D$9&lt;&gt;"Y"</formula>
    </cfRule>
  </conditionalFormatting>
  <conditionalFormatting sqref="D70:BG70">
    <cfRule type="expression" dxfId="488" priority="420">
      <formula>$E$9&lt;&gt;"Y"</formula>
    </cfRule>
  </conditionalFormatting>
  <conditionalFormatting sqref="D71:BG71">
    <cfRule type="expression" dxfId="487" priority="423">
      <formula>$F$9&lt;&gt;"Y"</formula>
    </cfRule>
  </conditionalFormatting>
  <conditionalFormatting sqref="D72:BG72">
    <cfRule type="expression" dxfId="486" priority="426">
      <formula>$G$9&lt;&gt;"Y"</formula>
    </cfRule>
  </conditionalFormatting>
  <conditionalFormatting sqref="D73:BG73">
    <cfRule type="expression" dxfId="485" priority="429">
      <formula>$H$9&lt;&gt;"Y"</formula>
    </cfRule>
  </conditionalFormatting>
  <conditionalFormatting sqref="D74:BG74">
    <cfRule type="expression" dxfId="484" priority="432">
      <formula>$I$9&lt;&gt;"Y"</formula>
    </cfRule>
  </conditionalFormatting>
  <conditionalFormatting sqref="D75:BG75">
    <cfRule type="expression" dxfId="483" priority="435">
      <formula>$J$9&lt;&gt;"Y"</formula>
    </cfRule>
  </conditionalFormatting>
  <conditionalFormatting sqref="D76:BG76">
    <cfRule type="expression" dxfId="482" priority="438">
      <formula>$K$9&lt;&gt;"Y"</formula>
    </cfRule>
  </conditionalFormatting>
  <conditionalFormatting sqref="D77:BG77">
    <cfRule type="expression" dxfId="481" priority="441">
      <formula>$L$9&lt;&gt;"Y"</formula>
    </cfRule>
  </conditionalFormatting>
  <conditionalFormatting sqref="D78:BG78">
    <cfRule type="expression" dxfId="480" priority="444">
      <formula>$M$9&lt;&gt;"Y"</formula>
    </cfRule>
  </conditionalFormatting>
  <conditionalFormatting sqref="D79:BG79">
    <cfRule type="expression" dxfId="479" priority="447">
      <formula>$B$10&lt;&gt;"Y"</formula>
    </cfRule>
  </conditionalFormatting>
  <conditionalFormatting sqref="D80:BG80">
    <cfRule type="expression" dxfId="478" priority="450">
      <formula>$C$10&lt;&gt;"Y"</formula>
    </cfRule>
  </conditionalFormatting>
  <conditionalFormatting sqref="D81:BG81">
    <cfRule type="expression" dxfId="477" priority="453">
      <formula>$D$10&lt;&gt;"Y"</formula>
    </cfRule>
  </conditionalFormatting>
  <conditionalFormatting sqref="D82:BG82">
    <cfRule type="expression" dxfId="476" priority="456">
      <formula>$E$10&lt;&gt;"Y"</formula>
    </cfRule>
  </conditionalFormatting>
  <conditionalFormatting sqref="D83:BG83">
    <cfRule type="expression" dxfId="475" priority="459">
      <formula>$F$10&lt;&gt;"Y"</formula>
    </cfRule>
  </conditionalFormatting>
  <conditionalFormatting sqref="D84:BG84">
    <cfRule type="expression" dxfId="474" priority="462">
      <formula>$G$10&lt;&gt;"Y"</formula>
    </cfRule>
  </conditionalFormatting>
  <conditionalFormatting sqref="D85:BG85">
    <cfRule type="expression" dxfId="473" priority="465">
      <formula>$H$10&lt;&gt;"Y"</formula>
    </cfRule>
  </conditionalFormatting>
  <conditionalFormatting sqref="D86:BG86">
    <cfRule type="expression" dxfId="472" priority="468">
      <formula>$I$10&lt;&gt;"Y"</formula>
    </cfRule>
  </conditionalFormatting>
  <conditionalFormatting sqref="D87:BG87">
    <cfRule type="expression" dxfId="471" priority="471">
      <formula>$J$10&lt;&gt;"Y"</formula>
    </cfRule>
  </conditionalFormatting>
  <conditionalFormatting sqref="D88:BG88">
    <cfRule type="expression" dxfId="470" priority="474">
      <formula>$K$10&lt;&gt;"Y"</formula>
    </cfRule>
  </conditionalFormatting>
  <conditionalFormatting sqref="D89:BG89">
    <cfRule type="expression" dxfId="469" priority="477">
      <formula>$L$10&lt;&gt;"Y"</formula>
    </cfRule>
  </conditionalFormatting>
  <conditionalFormatting sqref="D90:BG90">
    <cfRule type="expression" dxfId="468" priority="480">
      <formula>$M$10&lt;&gt;"Y"</formula>
    </cfRule>
  </conditionalFormatting>
  <conditionalFormatting sqref="D91:BG91">
    <cfRule type="expression" dxfId="467" priority="483">
      <formula>$B$11&lt;&gt;"Y"</formula>
    </cfRule>
  </conditionalFormatting>
  <conditionalFormatting sqref="D92:BG92">
    <cfRule type="expression" dxfId="466" priority="486">
      <formula>$C$11&lt;&gt;"Y"</formula>
    </cfRule>
  </conditionalFormatting>
  <conditionalFormatting sqref="D93:BG93">
    <cfRule type="expression" dxfId="465" priority="489">
      <formula>$D$11&lt;&gt;"Y"</formula>
    </cfRule>
  </conditionalFormatting>
  <conditionalFormatting sqref="D94:BG94">
    <cfRule type="expression" dxfId="464" priority="492">
      <formula>$E$11&lt;&gt;"Y"</formula>
    </cfRule>
  </conditionalFormatting>
  <conditionalFormatting sqref="D95:BG95">
    <cfRule type="expression" dxfId="463" priority="495">
      <formula>$F$11&lt;&gt;"Y"</formula>
    </cfRule>
  </conditionalFormatting>
  <conditionalFormatting sqref="D96:BG96">
    <cfRule type="expression" dxfId="462" priority="498">
      <formula>$G$11&lt;&gt;"Y"</formula>
    </cfRule>
  </conditionalFormatting>
  <conditionalFormatting sqref="D97:BG97">
    <cfRule type="expression" dxfId="461" priority="501">
      <formula>$H$11&lt;&gt;"Y"</formula>
    </cfRule>
  </conditionalFormatting>
  <conditionalFormatting sqref="D98:BG98">
    <cfRule type="expression" dxfId="460" priority="504">
      <formula>$I$11&lt;&gt;"Y"</formula>
    </cfRule>
  </conditionalFormatting>
  <conditionalFormatting sqref="D99:BG99">
    <cfRule type="expression" dxfId="459" priority="507">
      <formula>$J$11&lt;&gt;"Y"</formula>
    </cfRule>
  </conditionalFormatting>
  <conditionalFormatting sqref="D100:BG100">
    <cfRule type="expression" dxfId="458" priority="510">
      <formula>$K$11&lt;&gt;"Y"</formula>
    </cfRule>
  </conditionalFormatting>
  <conditionalFormatting sqref="D101:BG101">
    <cfRule type="expression" dxfId="457" priority="513">
      <formula>$L$11&lt;&gt;"Y"</formula>
    </cfRule>
  </conditionalFormatting>
  <conditionalFormatting sqref="D102:BG102">
    <cfRule type="expression" dxfId="456" priority="516">
      <formula>$M$11&lt;&gt;"Y"</formula>
    </cfRule>
  </conditionalFormatting>
  <conditionalFormatting sqref="D103:BG103">
    <cfRule type="expression" dxfId="455" priority="519">
      <formula>$B$12&lt;&gt;"Y"</formula>
    </cfRule>
  </conditionalFormatting>
  <conditionalFormatting sqref="D104:BG104">
    <cfRule type="expression" dxfId="454" priority="522">
      <formula>$C$12&lt;&gt;"Y"</formula>
    </cfRule>
  </conditionalFormatting>
  <conditionalFormatting sqref="D105:BG105">
    <cfRule type="expression" dxfId="453" priority="525">
      <formula>$D$12&lt;&gt;"Y"</formula>
    </cfRule>
  </conditionalFormatting>
  <conditionalFormatting sqref="D106:BG106">
    <cfRule type="expression" dxfId="452" priority="528">
      <formula>$E$12&lt;&gt;"Y"</formula>
    </cfRule>
  </conditionalFormatting>
  <conditionalFormatting sqref="D107:BG107">
    <cfRule type="expression" dxfId="451" priority="531">
      <formula>$F$12&lt;&gt;"Y"</formula>
    </cfRule>
  </conditionalFormatting>
  <conditionalFormatting sqref="D108:BG108">
    <cfRule type="expression" dxfId="450" priority="534">
      <formula>$G$12&lt;&gt;"Y"</formula>
    </cfRule>
  </conditionalFormatting>
  <conditionalFormatting sqref="D109:BG109">
    <cfRule type="expression" dxfId="449" priority="537">
      <formula>$H$12&lt;&gt;"Y"</formula>
    </cfRule>
  </conditionalFormatting>
  <conditionalFormatting sqref="D110:BG110">
    <cfRule type="expression" dxfId="448" priority="540">
      <formula>$I$12&lt;&gt;"Y"</formula>
    </cfRule>
  </conditionalFormatting>
  <conditionalFormatting sqref="D111:BG111">
    <cfRule type="expression" dxfId="447" priority="543">
      <formula>$J$12&lt;&gt;"Y"</formula>
    </cfRule>
  </conditionalFormatting>
  <conditionalFormatting sqref="D112:BG112">
    <cfRule type="expression" dxfId="446" priority="546">
      <formula>$K$12&lt;&gt;"Y"</formula>
    </cfRule>
  </conditionalFormatting>
  <conditionalFormatting sqref="D113:BG113">
    <cfRule type="expression" dxfId="445" priority="549">
      <formula>$L$12&lt;&gt;"Y"</formula>
    </cfRule>
  </conditionalFormatting>
  <conditionalFormatting sqref="D114:BG114">
    <cfRule type="expression" dxfId="444" priority="552">
      <formula>$M$12&lt;&gt;"Y"</formula>
    </cfRule>
  </conditionalFormatting>
  <conditionalFormatting sqref="D115:BG115">
    <cfRule type="expression" dxfId="443" priority="555">
      <formula>$B$13&lt;&gt;"Y"</formula>
    </cfRule>
  </conditionalFormatting>
  <conditionalFormatting sqref="D116:BG116">
    <cfRule type="expression" dxfId="442" priority="558">
      <formula>$C$13&lt;&gt;"Y"</formula>
    </cfRule>
  </conditionalFormatting>
  <conditionalFormatting sqref="D117:BG117">
    <cfRule type="expression" dxfId="441" priority="561">
      <formula>$D$13&lt;&gt;"Y"</formula>
    </cfRule>
  </conditionalFormatting>
  <conditionalFormatting sqref="D118:BG118">
    <cfRule type="expression" dxfId="440" priority="564">
      <formula>$E$13&lt;&gt;"Y"</formula>
    </cfRule>
  </conditionalFormatting>
  <conditionalFormatting sqref="D119:BG119">
    <cfRule type="expression" dxfId="439" priority="567">
      <formula>$F$13&lt;&gt;"Y"</formula>
    </cfRule>
  </conditionalFormatting>
  <conditionalFormatting sqref="D120:BG120">
    <cfRule type="expression" dxfId="438" priority="570">
      <formula>$G$13&lt;&gt;"Y"</formula>
    </cfRule>
  </conditionalFormatting>
  <conditionalFormatting sqref="D121:BG121">
    <cfRule type="expression" dxfId="437" priority="573">
      <formula>$H$13&lt;&gt;"Y"</formula>
    </cfRule>
  </conditionalFormatting>
  <conditionalFormatting sqref="D122:BG122">
    <cfRule type="expression" dxfId="436" priority="576">
      <formula>$I$13&lt;&gt;"Y"</formula>
    </cfRule>
  </conditionalFormatting>
  <conditionalFormatting sqref="D123:BG123">
    <cfRule type="expression" dxfId="435" priority="579">
      <formula>$J$13&lt;&gt;"Y"</formula>
    </cfRule>
  </conditionalFormatting>
  <conditionalFormatting sqref="D124:BG124">
    <cfRule type="expression" dxfId="434" priority="582">
      <formula>$K$13&lt;&gt;"Y"</formula>
    </cfRule>
  </conditionalFormatting>
  <conditionalFormatting sqref="D125:BG125">
    <cfRule type="expression" dxfId="433" priority="585">
      <formula>$L$13&lt;&gt;"Y"</formula>
    </cfRule>
  </conditionalFormatting>
  <conditionalFormatting sqref="D126:BG126">
    <cfRule type="expression" dxfId="432" priority="588">
      <formula>$M$13&lt;&gt;"Y"</formula>
    </cfRule>
  </conditionalFormatting>
  <conditionalFormatting sqref="D127:BG127">
    <cfRule type="expression" dxfId="431" priority="591">
      <formula>$B$14&lt;&gt;"Y"</formula>
    </cfRule>
  </conditionalFormatting>
  <conditionalFormatting sqref="D128:BG128">
    <cfRule type="expression" dxfId="430" priority="594">
      <formula>$C$14&lt;&gt;"Y"</formula>
    </cfRule>
  </conditionalFormatting>
  <conditionalFormatting sqref="D129:BG129">
    <cfRule type="expression" dxfId="429" priority="597">
      <formula>$D$14&lt;&gt;"Y"</formula>
    </cfRule>
  </conditionalFormatting>
  <conditionalFormatting sqref="D130:BG130">
    <cfRule type="expression" dxfId="428" priority="600">
      <formula>$E$14&lt;&gt;"Y"</formula>
    </cfRule>
  </conditionalFormatting>
  <conditionalFormatting sqref="D131:BG131">
    <cfRule type="expression" dxfId="427" priority="603">
      <formula>$F$14&lt;&gt;"Y"</formula>
    </cfRule>
  </conditionalFormatting>
  <conditionalFormatting sqref="D132:BG132">
    <cfRule type="expression" dxfId="426" priority="606">
      <formula>$G$14&lt;&gt;"Y"</formula>
    </cfRule>
  </conditionalFormatting>
  <conditionalFormatting sqref="D133:BG133">
    <cfRule type="expression" dxfId="425" priority="609">
      <formula>$H$14&lt;&gt;"Y"</formula>
    </cfRule>
  </conditionalFormatting>
  <conditionalFormatting sqref="D134:BG134">
    <cfRule type="expression" dxfId="424" priority="612">
      <formula>$I$14&lt;&gt;"Y"</formula>
    </cfRule>
  </conditionalFormatting>
  <conditionalFormatting sqref="D135:BG135">
    <cfRule type="expression" dxfId="423" priority="615">
      <formula>$J$14&lt;&gt;"Y"</formula>
    </cfRule>
  </conditionalFormatting>
  <conditionalFormatting sqref="D136:BG136">
    <cfRule type="expression" dxfId="422" priority="618">
      <formula>$K$14&lt;&gt;"Y"</formula>
    </cfRule>
  </conditionalFormatting>
  <conditionalFormatting sqref="D137:BG137">
    <cfRule type="expression" dxfId="421" priority="621">
      <formula>$L$14&lt;&gt;"Y"</formula>
    </cfRule>
  </conditionalFormatting>
  <conditionalFormatting sqref="D138:BG138">
    <cfRule type="expression" dxfId="420" priority="624">
      <formula>$M$14&lt;&gt;"Y"</formula>
    </cfRule>
  </conditionalFormatting>
  <conditionalFormatting sqref="D139:BG139">
    <cfRule type="expression" dxfId="419" priority="627">
      <formula>$B$15&lt;&gt;"Y"</formula>
    </cfRule>
  </conditionalFormatting>
  <conditionalFormatting sqref="D140:BG140">
    <cfRule type="expression" dxfId="418" priority="630">
      <formula>$C$15&lt;&gt;"Y"</formula>
    </cfRule>
  </conditionalFormatting>
  <conditionalFormatting sqref="D141:BG141">
    <cfRule type="expression" dxfId="417" priority="633">
      <formula>$D$15&lt;&gt;"Y"</formula>
    </cfRule>
  </conditionalFormatting>
  <conditionalFormatting sqref="D142:BG142">
    <cfRule type="expression" dxfId="416" priority="636">
      <formula>$E$15&lt;&gt;"Y"</formula>
    </cfRule>
  </conditionalFormatting>
  <conditionalFormatting sqref="D143:BG143">
    <cfRule type="expression" dxfId="415" priority="639">
      <formula>$F$15&lt;&gt;"Y"</formula>
    </cfRule>
  </conditionalFormatting>
  <conditionalFormatting sqref="D144:BG144">
    <cfRule type="expression" dxfId="414" priority="642">
      <formula>$G$15&lt;&gt;"Y"</formula>
    </cfRule>
  </conditionalFormatting>
  <conditionalFormatting sqref="D145:BG145">
    <cfRule type="expression" dxfId="413" priority="645">
      <formula>$H$15&lt;&gt;"Y"</formula>
    </cfRule>
  </conditionalFormatting>
  <conditionalFormatting sqref="D146:BG146">
    <cfRule type="expression" dxfId="412" priority="648">
      <formula>$I$15&lt;&gt;"Y"</formula>
    </cfRule>
  </conditionalFormatting>
  <conditionalFormatting sqref="D147:BG147">
    <cfRule type="expression" dxfId="411" priority="651">
      <formula>$J$15&lt;&gt;"Y"</formula>
    </cfRule>
  </conditionalFormatting>
  <conditionalFormatting sqref="D148:BG148">
    <cfRule type="expression" dxfId="410" priority="654">
      <formula>$K$15&lt;&gt;"Y"</formula>
    </cfRule>
  </conditionalFormatting>
  <conditionalFormatting sqref="D149:BG149">
    <cfRule type="expression" dxfId="409" priority="657">
      <formula>$L$15&lt;&gt;"Y"</formula>
    </cfRule>
  </conditionalFormatting>
  <conditionalFormatting sqref="D150:BG150">
    <cfRule type="expression" dxfId="408" priority="660">
      <formula>$M$15&lt;&gt;"Y"</formula>
    </cfRule>
  </conditionalFormatting>
  <conditionalFormatting sqref="D151:BG151">
    <cfRule type="expression" dxfId="407" priority="663">
      <formula>$B$16&lt;&gt;"Y"</formula>
    </cfRule>
  </conditionalFormatting>
  <conditionalFormatting sqref="D152:BG152">
    <cfRule type="expression" dxfId="406" priority="666">
      <formula>$C$16&lt;&gt;"Y"</formula>
    </cfRule>
  </conditionalFormatting>
  <conditionalFormatting sqref="D153:BG153">
    <cfRule type="expression" dxfId="405" priority="669">
      <formula>$D$16&lt;&gt;"Y"</formula>
    </cfRule>
  </conditionalFormatting>
  <conditionalFormatting sqref="D154:BG154">
    <cfRule type="expression" dxfId="404" priority="672">
      <formula>$E$16&lt;&gt;"Y"</formula>
    </cfRule>
  </conditionalFormatting>
  <conditionalFormatting sqref="D155:BG155">
    <cfRule type="expression" dxfId="403" priority="675">
      <formula>$F$16&lt;&gt;"Y"</formula>
    </cfRule>
  </conditionalFormatting>
  <conditionalFormatting sqref="D156:BG156">
    <cfRule type="expression" dxfId="402" priority="678">
      <formula>$G$16&lt;&gt;"Y"</formula>
    </cfRule>
  </conditionalFormatting>
  <conditionalFormatting sqref="D157:BG157">
    <cfRule type="expression" dxfId="401" priority="681">
      <formula>$H$16&lt;&gt;"Y"</formula>
    </cfRule>
  </conditionalFormatting>
  <conditionalFormatting sqref="D158:BG158">
    <cfRule type="expression" dxfId="400" priority="684">
      <formula>$I$16&lt;&gt;"Y"</formula>
    </cfRule>
  </conditionalFormatting>
  <conditionalFormatting sqref="D159:BG159">
    <cfRule type="expression" dxfId="399" priority="687">
      <formula>$J$16&lt;&gt;"Y"</formula>
    </cfRule>
  </conditionalFormatting>
  <conditionalFormatting sqref="D160:BG160">
    <cfRule type="expression" dxfId="398" priority="690">
      <formula>$K$16&lt;&gt;"Y"</formula>
    </cfRule>
  </conditionalFormatting>
  <conditionalFormatting sqref="D161:BG161">
    <cfRule type="expression" dxfId="397" priority="693">
      <formula>$L$16&lt;&gt;"Y"</formula>
    </cfRule>
  </conditionalFormatting>
  <conditionalFormatting sqref="D162:BG162">
    <cfRule type="expression" dxfId="396" priority="696">
      <formula>$M$16&lt;&gt;"Y"</formula>
    </cfRule>
  </conditionalFormatting>
  <conditionalFormatting sqref="D182:BG182">
    <cfRule type="expression" dxfId="395" priority="963">
      <formula>$B$168&lt;&gt;"Y"</formula>
    </cfRule>
  </conditionalFormatting>
  <conditionalFormatting sqref="D183:BG183">
    <cfRule type="expression" dxfId="394" priority="966">
      <formula>$C$168&lt;&gt;"Y"</formula>
    </cfRule>
  </conditionalFormatting>
  <conditionalFormatting sqref="D184:BG184">
    <cfRule type="expression" dxfId="393" priority="969">
      <formula>$D$168&lt;&gt;"Y"</formula>
    </cfRule>
  </conditionalFormatting>
  <conditionalFormatting sqref="D185:BG185">
    <cfRule type="expression" dxfId="392" priority="972">
      <formula>$E$168&lt;&gt;"Y"</formula>
    </cfRule>
  </conditionalFormatting>
  <conditionalFormatting sqref="D186:BG186">
    <cfRule type="expression" dxfId="391" priority="975">
      <formula>$F$168&lt;&gt;"Y"</formula>
    </cfRule>
  </conditionalFormatting>
  <conditionalFormatting sqref="D187:BG187">
    <cfRule type="expression" dxfId="390" priority="978">
      <formula>$G$168&lt;&gt;"Y"</formula>
    </cfRule>
  </conditionalFormatting>
  <conditionalFormatting sqref="D188:BG188">
    <cfRule type="expression" dxfId="389" priority="981">
      <formula>$H$168&lt;&gt;"Y"</formula>
    </cfRule>
  </conditionalFormatting>
  <conditionalFormatting sqref="D189:BG189">
    <cfRule type="expression" dxfId="388" priority="984">
      <formula>$I$168&lt;&gt;"Y"</formula>
    </cfRule>
  </conditionalFormatting>
  <conditionalFormatting sqref="D190:BG190">
    <cfRule type="expression" dxfId="387" priority="987">
      <formula>$J$168&lt;&gt;"Y"</formula>
    </cfRule>
  </conditionalFormatting>
  <conditionalFormatting sqref="D191:BG191">
    <cfRule type="expression" dxfId="386" priority="990">
      <formula>$K$168&lt;&gt;"Y"</formula>
    </cfRule>
  </conditionalFormatting>
  <conditionalFormatting sqref="D192:BG192">
    <cfRule type="expression" dxfId="385" priority="993">
      <formula>$L$168&lt;&gt;"Y"</formula>
    </cfRule>
  </conditionalFormatting>
  <conditionalFormatting sqref="D193:BG193">
    <cfRule type="expression" dxfId="384" priority="996">
      <formula>$M$168&lt;&gt;"Y"</formula>
    </cfRule>
  </conditionalFormatting>
  <conditionalFormatting sqref="D194:BG194">
    <cfRule type="expression" dxfId="383" priority="999">
      <formula>$B$169&lt;&gt;"Y"</formula>
    </cfRule>
  </conditionalFormatting>
  <conditionalFormatting sqref="D195:BG195">
    <cfRule type="expression" dxfId="382" priority="1002">
      <formula>$C$169&lt;&gt;"Y"</formula>
    </cfRule>
  </conditionalFormatting>
  <conditionalFormatting sqref="D196:BG196">
    <cfRule type="expression" dxfId="381" priority="1005">
      <formula>$D$169&lt;&gt;"Y"</formula>
    </cfRule>
  </conditionalFormatting>
  <conditionalFormatting sqref="D197:BG197">
    <cfRule type="expression" dxfId="380" priority="1008">
      <formula>$E$169&lt;&gt;"Y"</formula>
    </cfRule>
  </conditionalFormatting>
  <conditionalFormatting sqref="D198:BG198">
    <cfRule type="expression" dxfId="379" priority="1011">
      <formula>$F$169&lt;&gt;"Y"</formula>
    </cfRule>
  </conditionalFormatting>
  <conditionalFormatting sqref="D199:BG199">
    <cfRule type="expression" dxfId="378" priority="1014">
      <formula>$G$169&lt;&gt;"Y"</formula>
    </cfRule>
  </conditionalFormatting>
  <conditionalFormatting sqref="D200:BG200">
    <cfRule type="expression" dxfId="377" priority="1017">
      <formula>$H$169&lt;&gt;"Y"</formula>
    </cfRule>
  </conditionalFormatting>
  <conditionalFormatting sqref="D201:BG201">
    <cfRule type="expression" dxfId="376" priority="1020">
      <formula>$I$169&lt;&gt;"Y"</formula>
    </cfRule>
  </conditionalFormatting>
  <conditionalFormatting sqref="D202:BG202">
    <cfRule type="expression" dxfId="375" priority="1023">
      <formula>$J$169&lt;&gt;"Y"</formula>
    </cfRule>
  </conditionalFormatting>
  <conditionalFormatting sqref="D203:BG203">
    <cfRule type="expression" dxfId="374" priority="1026">
      <formula>$K$169&lt;&gt;"Y"</formula>
    </cfRule>
  </conditionalFormatting>
  <conditionalFormatting sqref="D204:BG204">
    <cfRule type="expression" dxfId="373" priority="1029">
      <formula>$L$169&lt;&gt;"Y"</formula>
    </cfRule>
  </conditionalFormatting>
  <conditionalFormatting sqref="D205:BG205">
    <cfRule type="expression" dxfId="372" priority="1032">
      <formula>$M$169&lt;&gt;"Y"</formula>
    </cfRule>
  </conditionalFormatting>
  <conditionalFormatting sqref="D206:BG206">
    <cfRule type="expression" dxfId="371" priority="1035">
      <formula>$B$170&lt;&gt;"Y"</formula>
    </cfRule>
  </conditionalFormatting>
  <conditionalFormatting sqref="D207:BG207">
    <cfRule type="expression" dxfId="370" priority="1038">
      <formula>$C$170&lt;&gt;"Y"</formula>
    </cfRule>
  </conditionalFormatting>
  <conditionalFormatting sqref="D208:BG208">
    <cfRule type="expression" dxfId="369" priority="1041">
      <formula>$D$170&lt;&gt;"Y"</formula>
    </cfRule>
  </conditionalFormatting>
  <conditionalFormatting sqref="D209:BG209">
    <cfRule type="expression" dxfId="368" priority="1044">
      <formula>$E$170&lt;&gt;"Y"</formula>
    </cfRule>
  </conditionalFormatting>
  <conditionalFormatting sqref="D210:BG210">
    <cfRule type="expression" dxfId="367" priority="1047">
      <formula>$F$170&lt;&gt;"Y"</formula>
    </cfRule>
  </conditionalFormatting>
  <conditionalFormatting sqref="D211:BG211">
    <cfRule type="expression" dxfId="366" priority="1050">
      <formula>$G$170&lt;&gt;"Y"</formula>
    </cfRule>
  </conditionalFormatting>
  <conditionalFormatting sqref="D212:BG212">
    <cfRule type="expression" dxfId="365" priority="1053">
      <formula>$H$170&lt;&gt;"Y"</formula>
    </cfRule>
  </conditionalFormatting>
  <conditionalFormatting sqref="D213:BG213">
    <cfRule type="expression" dxfId="364" priority="1056">
      <formula>$I$170&lt;&gt;"Y"</formula>
    </cfRule>
  </conditionalFormatting>
  <conditionalFormatting sqref="D214:BG214">
    <cfRule type="expression" dxfId="363" priority="1059">
      <formula>$J$170&lt;&gt;"Y"</formula>
    </cfRule>
  </conditionalFormatting>
  <conditionalFormatting sqref="D215:BG215">
    <cfRule type="expression" dxfId="362" priority="1062">
      <formula>$K$170&lt;&gt;"Y"</formula>
    </cfRule>
  </conditionalFormatting>
  <conditionalFormatting sqref="D216:BG216">
    <cfRule type="expression" dxfId="361" priority="1065">
      <formula>$L$170&lt;&gt;"Y"</formula>
    </cfRule>
  </conditionalFormatting>
  <conditionalFormatting sqref="D217:BG217">
    <cfRule type="expression" dxfId="360" priority="1068">
      <formula>$M$170&lt;&gt;"Y"</formula>
    </cfRule>
  </conditionalFormatting>
  <conditionalFormatting sqref="D218:BG218">
    <cfRule type="expression" dxfId="359" priority="1071">
      <formula>$B$171&lt;&gt;"Y"</formula>
    </cfRule>
  </conditionalFormatting>
  <conditionalFormatting sqref="D219:BG219">
    <cfRule type="expression" dxfId="358" priority="1074">
      <formula>$C$171&lt;&gt;"Y"</formula>
    </cfRule>
  </conditionalFormatting>
  <conditionalFormatting sqref="D220:BG220">
    <cfRule type="expression" dxfId="357" priority="1077">
      <formula>$D$171&lt;&gt;"Y"</formula>
    </cfRule>
  </conditionalFormatting>
  <conditionalFormatting sqref="D221:BG221">
    <cfRule type="expression" dxfId="356" priority="1080">
      <formula>$E$171&lt;&gt;"Y"</formula>
    </cfRule>
  </conditionalFormatting>
  <conditionalFormatting sqref="D222:BG222">
    <cfRule type="expression" dxfId="355" priority="1083">
      <formula>$F$171&lt;&gt;"Y"</formula>
    </cfRule>
  </conditionalFormatting>
  <conditionalFormatting sqref="D223:BG223">
    <cfRule type="expression" dxfId="354" priority="1086">
      <formula>$G$171&lt;&gt;"Y"</formula>
    </cfRule>
  </conditionalFormatting>
  <conditionalFormatting sqref="D224:BG224">
    <cfRule type="expression" dxfId="353" priority="1089">
      <formula>$H$171&lt;&gt;"Y"</formula>
    </cfRule>
  </conditionalFormatting>
  <conditionalFormatting sqref="D225:BG225">
    <cfRule type="expression" dxfId="352" priority="1092">
      <formula>$I$171&lt;&gt;"Y"</formula>
    </cfRule>
  </conditionalFormatting>
  <conditionalFormatting sqref="D226:BG226">
    <cfRule type="expression" dxfId="351" priority="1095">
      <formula>$J$171&lt;&gt;"Y"</formula>
    </cfRule>
  </conditionalFormatting>
  <conditionalFormatting sqref="D227:BG227">
    <cfRule type="expression" dxfId="350" priority="1098">
      <formula>$K$171&lt;&gt;"Y"</formula>
    </cfRule>
  </conditionalFormatting>
  <conditionalFormatting sqref="D228:BG228">
    <cfRule type="expression" dxfId="349" priority="1101">
      <formula>$L$171&lt;&gt;"Y"</formula>
    </cfRule>
  </conditionalFormatting>
  <conditionalFormatting sqref="D229:BG229">
    <cfRule type="expression" dxfId="348" priority="1104">
      <formula>$M$171&lt;&gt;"Y"</formula>
    </cfRule>
  </conditionalFormatting>
  <conditionalFormatting sqref="D230:BG230">
    <cfRule type="expression" dxfId="347" priority="1107">
      <formula>$B$172&lt;&gt;"Y"</formula>
    </cfRule>
  </conditionalFormatting>
  <conditionalFormatting sqref="D231:BG231">
    <cfRule type="expression" dxfId="346" priority="1110">
      <formula>$C$172&lt;&gt;"Y"</formula>
    </cfRule>
  </conditionalFormatting>
  <conditionalFormatting sqref="D232:BG232">
    <cfRule type="expression" dxfId="345" priority="1113">
      <formula>$D$172&lt;&gt;"Y"</formula>
    </cfRule>
  </conditionalFormatting>
  <conditionalFormatting sqref="D233:BG233">
    <cfRule type="expression" dxfId="344" priority="1116">
      <formula>$E$172&lt;&gt;"Y"</formula>
    </cfRule>
  </conditionalFormatting>
  <conditionalFormatting sqref="D234:BG234">
    <cfRule type="expression" dxfId="343" priority="1119">
      <formula>$F$172&lt;&gt;"Y"</formula>
    </cfRule>
  </conditionalFormatting>
  <conditionalFormatting sqref="D235:BG235">
    <cfRule type="expression" dxfId="342" priority="1122">
      <formula>$G$172&lt;&gt;"Y"</formula>
    </cfRule>
  </conditionalFormatting>
  <conditionalFormatting sqref="D236:BG236">
    <cfRule type="expression" dxfId="341" priority="1125">
      <formula>$H$172&lt;&gt;"Y"</formula>
    </cfRule>
  </conditionalFormatting>
  <conditionalFormatting sqref="D237:BG237">
    <cfRule type="expression" dxfId="340" priority="1128">
      <formula>$I$172&lt;&gt;"Y"</formula>
    </cfRule>
  </conditionalFormatting>
  <conditionalFormatting sqref="D238:BG238">
    <cfRule type="expression" dxfId="339" priority="1131">
      <formula>$J$172&lt;&gt;"Y"</formula>
    </cfRule>
  </conditionalFormatting>
  <conditionalFormatting sqref="D239:BG239">
    <cfRule type="expression" dxfId="338" priority="1134">
      <formula>$K$172&lt;&gt;"Y"</formula>
    </cfRule>
  </conditionalFormatting>
  <conditionalFormatting sqref="D240:BG240">
    <cfRule type="expression" dxfId="337" priority="1137">
      <formula>$L$172&lt;&gt;"Y"</formula>
    </cfRule>
  </conditionalFormatting>
  <conditionalFormatting sqref="D241:BG241">
    <cfRule type="expression" dxfId="336" priority="1140">
      <formula>$M$172&lt;&gt;"Y"</formula>
    </cfRule>
  </conditionalFormatting>
  <conditionalFormatting sqref="D242:BG242">
    <cfRule type="expression" dxfId="335" priority="1143">
      <formula>$B$173&lt;&gt;"Y"</formula>
    </cfRule>
  </conditionalFormatting>
  <conditionalFormatting sqref="D243:BG243">
    <cfRule type="expression" dxfId="334" priority="1146">
      <formula>$C$173&lt;&gt;"Y"</formula>
    </cfRule>
  </conditionalFormatting>
  <conditionalFormatting sqref="D244:BG244">
    <cfRule type="expression" dxfId="333" priority="1149">
      <formula>$D$173&lt;&gt;"Y"</formula>
    </cfRule>
  </conditionalFormatting>
  <conditionalFormatting sqref="D245:BG245">
    <cfRule type="expression" dxfId="332" priority="1152">
      <formula>$E$173&lt;&gt;"Y"</formula>
    </cfRule>
  </conditionalFormatting>
  <conditionalFormatting sqref="D246:BG246">
    <cfRule type="expression" dxfId="331" priority="1155">
      <formula>$F$173&lt;&gt;"Y"</formula>
    </cfRule>
  </conditionalFormatting>
  <conditionalFormatting sqref="D247:BG247">
    <cfRule type="expression" dxfId="330" priority="1158">
      <formula>$G$173&lt;&gt;"Y"</formula>
    </cfRule>
  </conditionalFormatting>
  <conditionalFormatting sqref="D248:BG248">
    <cfRule type="expression" dxfId="329" priority="1161">
      <formula>$H$173&lt;&gt;"Y"</formula>
    </cfRule>
  </conditionalFormatting>
  <conditionalFormatting sqref="D249:BG249">
    <cfRule type="expression" dxfId="328" priority="1164">
      <formula>$I$173&lt;&gt;"Y"</formula>
    </cfRule>
  </conditionalFormatting>
  <conditionalFormatting sqref="D250:BG250">
    <cfRule type="expression" dxfId="327" priority="1167">
      <formula>$J$173&lt;&gt;"Y"</formula>
    </cfRule>
  </conditionalFormatting>
  <conditionalFormatting sqref="D251:BG251">
    <cfRule type="expression" dxfId="326" priority="1170">
      <formula>$K$173&lt;&gt;"Y"</formula>
    </cfRule>
  </conditionalFormatting>
  <conditionalFormatting sqref="D252:BG252">
    <cfRule type="expression" dxfId="325" priority="1173">
      <formula>$L$173&lt;&gt;"Y"</formula>
    </cfRule>
  </conditionalFormatting>
  <conditionalFormatting sqref="D253:BG253">
    <cfRule type="expression" dxfId="324" priority="1176">
      <formula>$M$173&lt;&gt;"Y"</formula>
    </cfRule>
  </conditionalFormatting>
  <conditionalFormatting sqref="D254:BG254">
    <cfRule type="expression" dxfId="323" priority="1179">
      <formula>$B$174&lt;&gt;"Y"</formula>
    </cfRule>
  </conditionalFormatting>
  <conditionalFormatting sqref="D255:BG255">
    <cfRule type="expression" dxfId="322" priority="1182">
      <formula>$C$174&lt;&gt;"Y"</formula>
    </cfRule>
  </conditionalFormatting>
  <conditionalFormatting sqref="D256:BG256">
    <cfRule type="expression" dxfId="321" priority="1185">
      <formula>$D$174&lt;&gt;"Y"</formula>
    </cfRule>
  </conditionalFormatting>
  <conditionalFormatting sqref="D257:BG257">
    <cfRule type="expression" dxfId="320" priority="1188">
      <formula>$E$174&lt;&gt;"Y"</formula>
    </cfRule>
  </conditionalFormatting>
  <conditionalFormatting sqref="D258:BG258">
    <cfRule type="expression" dxfId="319" priority="1191">
      <formula>$F$174&lt;&gt;"Y"</formula>
    </cfRule>
  </conditionalFormatting>
  <conditionalFormatting sqref="D259:BG259">
    <cfRule type="expression" dxfId="318" priority="1194">
      <formula>$G$174&lt;&gt;"Y"</formula>
    </cfRule>
  </conditionalFormatting>
  <conditionalFormatting sqref="D260:BG260">
    <cfRule type="expression" dxfId="317" priority="1197">
      <formula>$H$174&lt;&gt;"Y"</formula>
    </cfRule>
  </conditionalFormatting>
  <conditionalFormatting sqref="D261:BG261">
    <cfRule type="expression" dxfId="316" priority="1200">
      <formula>$I$174&lt;&gt;"Y"</formula>
    </cfRule>
  </conditionalFormatting>
  <conditionalFormatting sqref="D262:BG262">
    <cfRule type="expression" dxfId="315" priority="1203">
      <formula>$J$174&lt;&gt;"Y"</formula>
    </cfRule>
  </conditionalFormatting>
  <conditionalFormatting sqref="D263:BG263">
    <cfRule type="expression" dxfId="314" priority="1206">
      <formula>$K$174&lt;&gt;"Y"</formula>
    </cfRule>
  </conditionalFormatting>
  <conditionalFormatting sqref="D264:BG264">
    <cfRule type="expression" dxfId="313" priority="1209">
      <formula>$L$174&lt;&gt;"Y"</formula>
    </cfRule>
  </conditionalFormatting>
  <conditionalFormatting sqref="D265:BG265">
    <cfRule type="expression" dxfId="312" priority="1212">
      <formula>$M$174&lt;&gt;"Y"</formula>
    </cfRule>
  </conditionalFormatting>
  <conditionalFormatting sqref="D266:BG266">
    <cfRule type="expression" dxfId="311" priority="1215">
      <formula>$B$175&lt;&gt;"Y"</formula>
    </cfRule>
  </conditionalFormatting>
  <conditionalFormatting sqref="D267:BG267">
    <cfRule type="expression" dxfId="310" priority="1218">
      <formula>$C$175&lt;&gt;"Y"</formula>
    </cfRule>
  </conditionalFormatting>
  <conditionalFormatting sqref="D268:BG268">
    <cfRule type="expression" dxfId="309" priority="1221">
      <formula>$D$175&lt;&gt;"Y"</formula>
    </cfRule>
  </conditionalFormatting>
  <conditionalFormatting sqref="D269:BG269">
    <cfRule type="expression" dxfId="308" priority="1224">
      <formula>$E$175&lt;&gt;"Y"</formula>
    </cfRule>
  </conditionalFormatting>
  <conditionalFormatting sqref="D270:BG270">
    <cfRule type="expression" dxfId="307" priority="1227">
      <formula>$F$175&lt;&gt;"Y"</formula>
    </cfRule>
  </conditionalFormatting>
  <conditionalFormatting sqref="D271:BG271">
    <cfRule type="expression" dxfId="306" priority="1230">
      <formula>$G$175&lt;&gt;"Y"</formula>
    </cfRule>
  </conditionalFormatting>
  <conditionalFormatting sqref="D272:BG272">
    <cfRule type="expression" dxfId="305" priority="1233">
      <formula>$H$175&lt;&gt;"Y"</formula>
    </cfRule>
  </conditionalFormatting>
  <conditionalFormatting sqref="D273:BG273">
    <cfRule type="expression" dxfId="304" priority="1236">
      <formula>$I$175&lt;&gt;"Y"</formula>
    </cfRule>
  </conditionalFormatting>
  <conditionalFormatting sqref="D274:BG274">
    <cfRule type="expression" dxfId="303" priority="1239">
      <formula>$J$175&lt;&gt;"Y"</formula>
    </cfRule>
  </conditionalFormatting>
  <conditionalFormatting sqref="D275:BG275">
    <cfRule type="expression" dxfId="302" priority="1242">
      <formula>$K$175&lt;&gt;"Y"</formula>
    </cfRule>
  </conditionalFormatting>
  <conditionalFormatting sqref="D276:BG276">
    <cfRule type="expression" dxfId="301" priority="1245">
      <formula>$L$175&lt;&gt;"Y"</formula>
    </cfRule>
  </conditionalFormatting>
  <conditionalFormatting sqref="D277:BG277">
    <cfRule type="expression" dxfId="300" priority="1248">
      <formula>$M$175&lt;&gt;"Y"</formula>
    </cfRule>
  </conditionalFormatting>
  <conditionalFormatting sqref="D278:BG278">
    <cfRule type="expression" dxfId="299" priority="1251">
      <formula>$B$176&lt;&gt;"Y"</formula>
    </cfRule>
  </conditionalFormatting>
  <conditionalFormatting sqref="D279:BG279">
    <cfRule type="expression" dxfId="298" priority="1254">
      <formula>$C$176&lt;&gt;"Y"</formula>
    </cfRule>
  </conditionalFormatting>
  <conditionalFormatting sqref="D280:BG280">
    <cfRule type="expression" dxfId="297" priority="1257">
      <formula>$D$176&lt;&gt;"Y"</formula>
    </cfRule>
  </conditionalFormatting>
  <conditionalFormatting sqref="D281:BG281">
    <cfRule type="expression" dxfId="296" priority="1260">
      <formula>$E$176&lt;&gt;"Y"</formula>
    </cfRule>
  </conditionalFormatting>
  <conditionalFormatting sqref="D282:BG282">
    <cfRule type="expression" dxfId="295" priority="1263">
      <formula>$F$176&lt;&gt;"Y"</formula>
    </cfRule>
  </conditionalFormatting>
  <conditionalFormatting sqref="D283:BG283">
    <cfRule type="expression" dxfId="294" priority="1266">
      <formula>$G$176&lt;&gt;"Y"</formula>
    </cfRule>
  </conditionalFormatting>
  <conditionalFormatting sqref="D284:BG284">
    <cfRule type="expression" dxfId="293" priority="1269">
      <formula>$H$176&lt;&gt;"Y"</formula>
    </cfRule>
  </conditionalFormatting>
  <conditionalFormatting sqref="D285:BG285">
    <cfRule type="expression" dxfId="292" priority="1272">
      <formula>$I$176&lt;&gt;"Y"</formula>
    </cfRule>
  </conditionalFormatting>
  <conditionalFormatting sqref="D286:BG286">
    <cfRule type="expression" dxfId="291" priority="1275">
      <formula>$J$176&lt;&gt;"Y"</formula>
    </cfRule>
  </conditionalFormatting>
  <conditionalFormatting sqref="D287:BG287">
    <cfRule type="expression" dxfId="290" priority="1278">
      <formula>$K$176&lt;&gt;"Y"</formula>
    </cfRule>
  </conditionalFormatting>
  <conditionalFormatting sqref="D288:BG288">
    <cfRule type="expression" dxfId="289" priority="1281">
      <formula>$L$176&lt;&gt;"Y"</formula>
    </cfRule>
  </conditionalFormatting>
  <conditionalFormatting sqref="D289:BG289">
    <cfRule type="expression" dxfId="288" priority="1284">
      <formula>$M$176&lt;&gt;"Y"</formula>
    </cfRule>
  </conditionalFormatting>
  <conditionalFormatting sqref="D290:BG290">
    <cfRule type="expression" dxfId="287" priority="1287">
      <formula>$B$177&lt;&gt;"Y"</formula>
    </cfRule>
  </conditionalFormatting>
  <conditionalFormatting sqref="D291:BG291">
    <cfRule type="expression" dxfId="286" priority="1290">
      <formula>$C$177&lt;&gt;"Y"</formula>
    </cfRule>
  </conditionalFormatting>
  <conditionalFormatting sqref="D292:BG292">
    <cfRule type="expression" dxfId="285" priority="1293">
      <formula>$D$177&lt;&gt;"Y"</formula>
    </cfRule>
  </conditionalFormatting>
  <conditionalFormatting sqref="D293:BG293">
    <cfRule type="expression" dxfId="284" priority="1296">
      <formula>$E$177&lt;&gt;"Y"</formula>
    </cfRule>
  </conditionalFormatting>
  <conditionalFormatting sqref="D294:BG294">
    <cfRule type="expression" dxfId="283" priority="1299">
      <formula>$F$177&lt;&gt;"Y"</formula>
    </cfRule>
  </conditionalFormatting>
  <conditionalFormatting sqref="D295:BG295">
    <cfRule type="expression" dxfId="282" priority="1302">
      <formula>$G$177&lt;&gt;"Y"</formula>
    </cfRule>
  </conditionalFormatting>
  <conditionalFormatting sqref="D296:BG296">
    <cfRule type="expression" dxfId="281" priority="1305">
      <formula>$H$177&lt;&gt;"Y"</formula>
    </cfRule>
  </conditionalFormatting>
  <conditionalFormatting sqref="D297:BG297">
    <cfRule type="expression" dxfId="280" priority="1308">
      <formula>$I$177&lt;&gt;"Y"</formula>
    </cfRule>
  </conditionalFormatting>
  <conditionalFormatting sqref="D298:BG298">
    <cfRule type="expression" dxfId="279" priority="1311">
      <formula>$J$177&lt;&gt;"Y"</formula>
    </cfRule>
  </conditionalFormatting>
  <conditionalFormatting sqref="D299:BG299">
    <cfRule type="expression" dxfId="278" priority="1314">
      <formula>$K$177&lt;&gt;"Y"</formula>
    </cfRule>
  </conditionalFormatting>
  <conditionalFormatting sqref="D300:BG300">
    <cfRule type="expression" dxfId="277" priority="1317">
      <formula>$L$177&lt;&gt;"Y"</formula>
    </cfRule>
  </conditionalFormatting>
  <conditionalFormatting sqref="D301:BG301">
    <cfRule type="expression" dxfId="276" priority="1320">
      <formula>$M$177&lt;&gt;"Y"</formula>
    </cfRule>
  </conditionalFormatting>
  <conditionalFormatting sqref="D302:BG302">
    <cfRule type="expression" dxfId="275" priority="1323">
      <formula>$B$178&lt;&gt;"Y"</formula>
    </cfRule>
  </conditionalFormatting>
  <conditionalFormatting sqref="D303:BG303">
    <cfRule type="expression" dxfId="274" priority="1326">
      <formula>$C$178&lt;&gt;"Y"</formula>
    </cfRule>
  </conditionalFormatting>
  <conditionalFormatting sqref="D304:BG304">
    <cfRule type="expression" dxfId="273" priority="1329">
      <formula>$D$178&lt;&gt;"Y"</formula>
    </cfRule>
  </conditionalFormatting>
  <conditionalFormatting sqref="D305:BG305">
    <cfRule type="expression" dxfId="272" priority="1332">
      <formula>$E$178&lt;&gt;"Y"</formula>
    </cfRule>
  </conditionalFormatting>
  <conditionalFormatting sqref="D306:BG306">
    <cfRule type="expression" dxfId="271" priority="1335">
      <formula>$F$178&lt;&gt;"Y"</formula>
    </cfRule>
  </conditionalFormatting>
  <conditionalFormatting sqref="D307:BG307">
    <cfRule type="expression" dxfId="270" priority="1338">
      <formula>$G$178&lt;&gt;"Y"</formula>
    </cfRule>
  </conditionalFormatting>
  <conditionalFormatting sqref="D308:BG308">
    <cfRule type="expression" dxfId="269" priority="1341">
      <formula>$H$178&lt;&gt;"Y"</formula>
    </cfRule>
  </conditionalFormatting>
  <conditionalFormatting sqref="D309:BG309">
    <cfRule type="expression" dxfId="268" priority="1344">
      <formula>$I$178&lt;&gt;"Y"</formula>
    </cfRule>
  </conditionalFormatting>
  <conditionalFormatting sqref="D310:BG310">
    <cfRule type="expression" dxfId="267" priority="1347">
      <formula>$J$178&lt;&gt;"Y"</formula>
    </cfRule>
  </conditionalFormatting>
  <conditionalFormatting sqref="D311:BG311">
    <cfRule type="expression" dxfId="266" priority="1350">
      <formula>$K$178&lt;&gt;"Y"</formula>
    </cfRule>
  </conditionalFormatting>
  <conditionalFormatting sqref="D312:BG312">
    <cfRule type="expression" dxfId="265" priority="1353">
      <formula>$L$178&lt;&gt;"Y"</formula>
    </cfRule>
  </conditionalFormatting>
  <conditionalFormatting sqref="D313:BG313">
    <cfRule type="expression" dxfId="264" priority="1356">
      <formula>$M$178&lt;&gt;"Y"</formula>
    </cfRule>
  </conditionalFormatting>
  <conditionalFormatting sqref="D314:BG314">
    <cfRule type="expression" dxfId="263" priority="1359">
      <formula>$B$179&lt;&gt;"Y"</formula>
    </cfRule>
  </conditionalFormatting>
  <conditionalFormatting sqref="D315:BG315">
    <cfRule type="expression" dxfId="262" priority="1362">
      <formula>$C$179&lt;&gt;"Y"</formula>
    </cfRule>
  </conditionalFormatting>
  <conditionalFormatting sqref="D316:BG316">
    <cfRule type="expression" dxfId="261" priority="1365">
      <formula>$D$179&lt;&gt;"Y"</formula>
    </cfRule>
  </conditionalFormatting>
  <conditionalFormatting sqref="D317:BG317">
    <cfRule type="expression" dxfId="260" priority="1368">
      <formula>$E$179&lt;&gt;"Y"</formula>
    </cfRule>
  </conditionalFormatting>
  <conditionalFormatting sqref="D318:BG318">
    <cfRule type="expression" dxfId="259" priority="1371">
      <formula>$F$179&lt;&gt;"Y"</formula>
    </cfRule>
  </conditionalFormatting>
  <conditionalFormatting sqref="D319:BG319">
    <cfRule type="expression" dxfId="258" priority="1374">
      <formula>$G$179&lt;&gt;"Y"</formula>
    </cfRule>
  </conditionalFormatting>
  <conditionalFormatting sqref="D320:BG320">
    <cfRule type="expression" dxfId="257" priority="1377">
      <formula>$H$179&lt;&gt;"Y"</formula>
    </cfRule>
  </conditionalFormatting>
  <conditionalFormatting sqref="D321:BG321">
    <cfRule type="expression" dxfId="256" priority="1380">
      <formula>$I$179&lt;&gt;"Y"</formula>
    </cfRule>
  </conditionalFormatting>
  <conditionalFormatting sqref="D322:BG322">
    <cfRule type="expression" dxfId="255" priority="1383">
      <formula>$J$179&lt;&gt;"Y"</formula>
    </cfRule>
  </conditionalFormatting>
  <conditionalFormatting sqref="D323:BG323">
    <cfRule type="expression" dxfId="254" priority="1386">
      <formula>$K$179&lt;&gt;"Y"</formula>
    </cfRule>
  </conditionalFormatting>
  <conditionalFormatting sqref="D324:BG324">
    <cfRule type="expression" dxfId="253" priority="1389">
      <formula>$L$179&lt;&gt;"Y"</formula>
    </cfRule>
  </conditionalFormatting>
  <conditionalFormatting sqref="D325:BG325">
    <cfRule type="expression" dxfId="252" priority="1392">
      <formula>$M$179&lt;&gt;"Y"</formula>
    </cfRule>
  </conditionalFormatting>
  <conditionalFormatting sqref="D345:BG345">
    <cfRule type="expression" dxfId="251" priority="1659">
      <formula>$B$331&lt;&gt;"Y"</formula>
    </cfRule>
  </conditionalFormatting>
  <conditionalFormatting sqref="D346:BG346">
    <cfRule type="expression" dxfId="250" priority="1662">
      <formula>$C$331&lt;&gt;"Y"</formula>
    </cfRule>
  </conditionalFormatting>
  <conditionalFormatting sqref="D347:BG347">
    <cfRule type="expression" dxfId="249" priority="1665">
      <formula>$D$331&lt;&gt;"Y"</formula>
    </cfRule>
  </conditionalFormatting>
  <conditionalFormatting sqref="D348:BG348">
    <cfRule type="expression" dxfId="248" priority="1668">
      <formula>$E$331&lt;&gt;"Y"</formula>
    </cfRule>
  </conditionalFormatting>
  <conditionalFormatting sqref="D349:BG349">
    <cfRule type="expression" dxfId="247" priority="1671">
      <formula>$F$331&lt;&gt;"Y"</formula>
    </cfRule>
  </conditionalFormatting>
  <conditionalFormatting sqref="D350:BG350">
    <cfRule type="expression" dxfId="246" priority="1674">
      <formula>$G$331&lt;&gt;"Y"</formula>
    </cfRule>
  </conditionalFormatting>
  <conditionalFormatting sqref="D351:BG351">
    <cfRule type="expression" dxfId="245" priority="1677">
      <formula>$H$331&lt;&gt;"Y"</formula>
    </cfRule>
  </conditionalFormatting>
  <conditionalFormatting sqref="D352:BG352">
    <cfRule type="expression" dxfId="244" priority="1680">
      <formula>$I$331&lt;&gt;"Y"</formula>
    </cfRule>
  </conditionalFormatting>
  <conditionalFormatting sqref="D353:BG353">
    <cfRule type="expression" dxfId="243" priority="1683">
      <formula>$J$331&lt;&gt;"Y"</formula>
    </cfRule>
  </conditionalFormatting>
  <conditionalFormatting sqref="D354:BG354">
    <cfRule type="expression" dxfId="242" priority="1686">
      <formula>$K$331&lt;&gt;"Y"</formula>
    </cfRule>
  </conditionalFormatting>
  <conditionalFormatting sqref="D355:BG355">
    <cfRule type="expression" dxfId="241" priority="1689">
      <formula>$L$331&lt;&gt;"Y"</formula>
    </cfRule>
  </conditionalFormatting>
  <conditionalFormatting sqref="D356:BG356">
    <cfRule type="expression" dxfId="240" priority="1692">
      <formula>$M$331&lt;&gt;"Y"</formula>
    </cfRule>
  </conditionalFormatting>
  <conditionalFormatting sqref="D357:BG357">
    <cfRule type="expression" dxfId="239" priority="1695">
      <formula>$B$332&lt;&gt;"Y"</formula>
    </cfRule>
  </conditionalFormatting>
  <conditionalFormatting sqref="D358:BG358">
    <cfRule type="expression" dxfId="238" priority="1698">
      <formula>$C$332&lt;&gt;"Y"</formula>
    </cfRule>
  </conditionalFormatting>
  <conditionalFormatting sqref="D359:BG359">
    <cfRule type="expression" dxfId="237" priority="1701">
      <formula>$D$332&lt;&gt;"Y"</formula>
    </cfRule>
  </conditionalFormatting>
  <conditionalFormatting sqref="D360:BG360">
    <cfRule type="expression" dxfId="236" priority="1704">
      <formula>$E$332&lt;&gt;"Y"</formula>
    </cfRule>
  </conditionalFormatting>
  <conditionalFormatting sqref="D361:BG361">
    <cfRule type="expression" dxfId="235" priority="1707">
      <formula>$F$332&lt;&gt;"Y"</formula>
    </cfRule>
  </conditionalFormatting>
  <conditionalFormatting sqref="D362:BG362">
    <cfRule type="expression" dxfId="234" priority="1710">
      <formula>$G$332&lt;&gt;"Y"</formula>
    </cfRule>
  </conditionalFormatting>
  <conditionalFormatting sqref="D363:BG363">
    <cfRule type="expression" dxfId="233" priority="1713">
      <formula>$H$332&lt;&gt;"Y"</formula>
    </cfRule>
  </conditionalFormatting>
  <conditionalFormatting sqref="D364:BG364">
    <cfRule type="expression" dxfId="232" priority="1716">
      <formula>$I$332&lt;&gt;"Y"</formula>
    </cfRule>
  </conditionalFormatting>
  <conditionalFormatting sqref="D365:BG365">
    <cfRule type="expression" dxfId="231" priority="1719">
      <formula>$J$332&lt;&gt;"Y"</formula>
    </cfRule>
  </conditionalFormatting>
  <conditionalFormatting sqref="D366:BG366">
    <cfRule type="expression" dxfId="230" priority="1722">
      <formula>$K$332&lt;&gt;"Y"</formula>
    </cfRule>
  </conditionalFormatting>
  <conditionalFormatting sqref="D367:BG367">
    <cfRule type="expression" dxfId="229" priority="1725">
      <formula>$L$332&lt;&gt;"Y"</formula>
    </cfRule>
  </conditionalFormatting>
  <conditionalFormatting sqref="D368:BG368">
    <cfRule type="expression" dxfId="228" priority="1728">
      <formula>$M$332&lt;&gt;"Y"</formula>
    </cfRule>
  </conditionalFormatting>
  <conditionalFormatting sqref="D369:BG369">
    <cfRule type="expression" dxfId="227" priority="1731">
      <formula>$B$333&lt;&gt;"Y"</formula>
    </cfRule>
  </conditionalFormatting>
  <conditionalFormatting sqref="D370:BG370">
    <cfRule type="expression" dxfId="226" priority="1734">
      <formula>$C$333&lt;&gt;"Y"</formula>
    </cfRule>
  </conditionalFormatting>
  <conditionalFormatting sqref="D371:BG371">
    <cfRule type="expression" dxfId="225" priority="1737">
      <formula>$D$333&lt;&gt;"Y"</formula>
    </cfRule>
  </conditionalFormatting>
  <conditionalFormatting sqref="D372:BG372">
    <cfRule type="expression" dxfId="224" priority="1740">
      <formula>$E$333&lt;&gt;"Y"</formula>
    </cfRule>
  </conditionalFormatting>
  <conditionalFormatting sqref="D373:BG373">
    <cfRule type="expression" dxfId="223" priority="1743">
      <formula>$F$333&lt;&gt;"Y"</formula>
    </cfRule>
  </conditionalFormatting>
  <conditionalFormatting sqref="D374:BG374">
    <cfRule type="expression" dxfId="222" priority="1746">
      <formula>$G$333&lt;&gt;"Y"</formula>
    </cfRule>
  </conditionalFormatting>
  <conditionalFormatting sqref="D375:BG375">
    <cfRule type="expression" dxfId="221" priority="1749">
      <formula>$H$333&lt;&gt;"Y"</formula>
    </cfRule>
  </conditionalFormatting>
  <conditionalFormatting sqref="D376:BG376">
    <cfRule type="expression" dxfId="220" priority="1752">
      <formula>$I$333&lt;&gt;"Y"</formula>
    </cfRule>
  </conditionalFormatting>
  <conditionalFormatting sqref="D377:BG377">
    <cfRule type="expression" dxfId="219" priority="1755">
      <formula>$J$333&lt;&gt;"Y"</formula>
    </cfRule>
  </conditionalFormatting>
  <conditionalFormatting sqref="D378:BG378">
    <cfRule type="expression" dxfId="218" priority="1758">
      <formula>$K$333&lt;&gt;"Y"</formula>
    </cfRule>
  </conditionalFormatting>
  <conditionalFormatting sqref="D379:BG379">
    <cfRule type="expression" dxfId="217" priority="1761">
      <formula>$L$333&lt;&gt;"Y"</formula>
    </cfRule>
  </conditionalFormatting>
  <conditionalFormatting sqref="D380:BG380">
    <cfRule type="expression" dxfId="216" priority="1764">
      <formula>$M$333&lt;&gt;"Y"</formula>
    </cfRule>
  </conditionalFormatting>
  <conditionalFormatting sqref="D381:BG381">
    <cfRule type="expression" dxfId="215" priority="1767">
      <formula>$B$334&lt;&gt;"Y"</formula>
    </cfRule>
  </conditionalFormatting>
  <conditionalFormatting sqref="D382:BG382">
    <cfRule type="expression" dxfId="214" priority="1770">
      <formula>$C$334&lt;&gt;"Y"</formula>
    </cfRule>
  </conditionalFormatting>
  <conditionalFormatting sqref="D383:BG383">
    <cfRule type="expression" dxfId="213" priority="1773">
      <formula>$D$334&lt;&gt;"Y"</formula>
    </cfRule>
  </conditionalFormatting>
  <conditionalFormatting sqref="D384:BG384">
    <cfRule type="expression" dxfId="212" priority="1776">
      <formula>$E$334&lt;&gt;"Y"</formula>
    </cfRule>
  </conditionalFormatting>
  <conditionalFormatting sqref="D385:BG385">
    <cfRule type="expression" dxfId="211" priority="1779">
      <formula>$F$334&lt;&gt;"Y"</formula>
    </cfRule>
  </conditionalFormatting>
  <conditionalFormatting sqref="D386:BG386">
    <cfRule type="expression" dxfId="210" priority="1782">
      <formula>$G$334&lt;&gt;"Y"</formula>
    </cfRule>
  </conditionalFormatting>
  <conditionalFormatting sqref="D387:BG387">
    <cfRule type="expression" dxfId="209" priority="1785">
      <formula>$H$334&lt;&gt;"Y"</formula>
    </cfRule>
  </conditionalFormatting>
  <conditionalFormatting sqref="D388:BG388">
    <cfRule type="expression" dxfId="208" priority="1788">
      <formula>$I$334&lt;&gt;"Y"</formula>
    </cfRule>
  </conditionalFormatting>
  <conditionalFormatting sqref="D389:BG389">
    <cfRule type="expression" dxfId="207" priority="1791">
      <formula>$J$334&lt;&gt;"Y"</formula>
    </cfRule>
  </conditionalFormatting>
  <conditionalFormatting sqref="D390:BG390">
    <cfRule type="expression" dxfId="206" priority="1794">
      <formula>$K$334&lt;&gt;"Y"</formula>
    </cfRule>
  </conditionalFormatting>
  <conditionalFormatting sqref="D391:BG391">
    <cfRule type="expression" dxfId="205" priority="1797">
      <formula>$L$334&lt;&gt;"Y"</formula>
    </cfRule>
  </conditionalFormatting>
  <conditionalFormatting sqref="D392:BG392">
    <cfRule type="expression" dxfId="204" priority="1800">
      <formula>$M$334&lt;&gt;"Y"</formula>
    </cfRule>
  </conditionalFormatting>
  <conditionalFormatting sqref="D393:BG393">
    <cfRule type="expression" dxfId="203" priority="1803">
      <formula>$B$335&lt;&gt;"Y"</formula>
    </cfRule>
  </conditionalFormatting>
  <conditionalFormatting sqref="D394:BG394">
    <cfRule type="expression" dxfId="202" priority="1806">
      <formula>$C$335&lt;&gt;"Y"</formula>
    </cfRule>
  </conditionalFormatting>
  <conditionalFormatting sqref="D395:BG395">
    <cfRule type="expression" dxfId="201" priority="1809">
      <formula>$D$335&lt;&gt;"Y"</formula>
    </cfRule>
  </conditionalFormatting>
  <conditionalFormatting sqref="D396:BG396">
    <cfRule type="expression" dxfId="200" priority="1812">
      <formula>$E$335&lt;&gt;"Y"</formula>
    </cfRule>
  </conditionalFormatting>
  <conditionalFormatting sqref="D397:BG397">
    <cfRule type="expression" dxfId="199" priority="1815">
      <formula>$F$335&lt;&gt;"Y"</formula>
    </cfRule>
  </conditionalFormatting>
  <conditionalFormatting sqref="D398:BG398">
    <cfRule type="expression" dxfId="198" priority="1818">
      <formula>$G$335&lt;&gt;"Y"</formula>
    </cfRule>
  </conditionalFormatting>
  <conditionalFormatting sqref="D399:BG399">
    <cfRule type="expression" dxfId="197" priority="1821">
      <formula>$H$335&lt;&gt;"Y"</formula>
    </cfRule>
  </conditionalFormatting>
  <conditionalFormatting sqref="D400:BG400">
    <cfRule type="expression" dxfId="196" priority="1824">
      <formula>$I$335&lt;&gt;"Y"</formula>
    </cfRule>
  </conditionalFormatting>
  <conditionalFormatting sqref="D401:BG401">
    <cfRule type="expression" dxfId="195" priority="1827">
      <formula>$J$335&lt;&gt;"Y"</formula>
    </cfRule>
  </conditionalFormatting>
  <conditionalFormatting sqref="D402:BG402">
    <cfRule type="expression" dxfId="194" priority="1830">
      <formula>$K$335&lt;&gt;"Y"</formula>
    </cfRule>
  </conditionalFormatting>
  <conditionalFormatting sqref="D403:BG403">
    <cfRule type="expression" dxfId="193" priority="1833">
      <formula>$L$335&lt;&gt;"Y"</formula>
    </cfRule>
  </conditionalFormatting>
  <conditionalFormatting sqref="D404:BG404">
    <cfRule type="expression" dxfId="192" priority="1836">
      <formula>$M$335&lt;&gt;"Y"</formula>
    </cfRule>
  </conditionalFormatting>
  <conditionalFormatting sqref="D405:BG405">
    <cfRule type="expression" dxfId="191" priority="1839">
      <formula>$B$336&lt;&gt;"Y"</formula>
    </cfRule>
  </conditionalFormatting>
  <conditionalFormatting sqref="D406:BG406">
    <cfRule type="expression" dxfId="190" priority="1842">
      <formula>$C$336&lt;&gt;"Y"</formula>
    </cfRule>
  </conditionalFormatting>
  <conditionalFormatting sqref="D407:BG407">
    <cfRule type="expression" dxfId="189" priority="1845">
      <formula>$D$336&lt;&gt;"Y"</formula>
    </cfRule>
  </conditionalFormatting>
  <conditionalFormatting sqref="D408:BG408">
    <cfRule type="expression" dxfId="188" priority="1848">
      <formula>$E$336&lt;&gt;"Y"</formula>
    </cfRule>
  </conditionalFormatting>
  <conditionalFormatting sqref="D409:BG409">
    <cfRule type="expression" dxfId="187" priority="1851">
      <formula>$F$336&lt;&gt;"Y"</formula>
    </cfRule>
  </conditionalFormatting>
  <conditionalFormatting sqref="D410:BG410">
    <cfRule type="expression" dxfId="186" priority="1854">
      <formula>$G$336&lt;&gt;"Y"</formula>
    </cfRule>
  </conditionalFormatting>
  <conditionalFormatting sqref="D411:BG411">
    <cfRule type="expression" dxfId="185" priority="1857">
      <formula>$H$336&lt;&gt;"Y"</formula>
    </cfRule>
  </conditionalFormatting>
  <conditionalFormatting sqref="D412:BG412">
    <cfRule type="expression" dxfId="184" priority="1860">
      <formula>$I$336&lt;&gt;"Y"</formula>
    </cfRule>
  </conditionalFormatting>
  <conditionalFormatting sqref="D413:BG413">
    <cfRule type="expression" dxfId="183" priority="1863">
      <formula>$J$336&lt;&gt;"Y"</formula>
    </cfRule>
  </conditionalFormatting>
  <conditionalFormatting sqref="D414:BG414">
    <cfRule type="expression" dxfId="182" priority="1866">
      <formula>$K$336&lt;&gt;"Y"</formula>
    </cfRule>
  </conditionalFormatting>
  <conditionalFormatting sqref="D415:BG415">
    <cfRule type="expression" dxfId="181" priority="1869">
      <formula>$L$336&lt;&gt;"Y"</formula>
    </cfRule>
  </conditionalFormatting>
  <conditionalFormatting sqref="D416:BG416">
    <cfRule type="expression" dxfId="180" priority="1872">
      <formula>$M$336&lt;&gt;"Y"</formula>
    </cfRule>
  </conditionalFormatting>
  <conditionalFormatting sqref="D417:BG417">
    <cfRule type="expression" dxfId="179" priority="1875">
      <formula>$B$337&lt;&gt;"Y"</formula>
    </cfRule>
  </conditionalFormatting>
  <conditionalFormatting sqref="D418:BG418">
    <cfRule type="expression" dxfId="178" priority="1878">
      <formula>$C$337&lt;&gt;"Y"</formula>
    </cfRule>
  </conditionalFormatting>
  <conditionalFormatting sqref="D419:BG419">
    <cfRule type="expression" dxfId="177" priority="1881">
      <formula>$D$337&lt;&gt;"Y"</formula>
    </cfRule>
  </conditionalFormatting>
  <conditionalFormatting sqref="D420:BG420">
    <cfRule type="expression" dxfId="176" priority="1884">
      <formula>$E$337&lt;&gt;"Y"</formula>
    </cfRule>
  </conditionalFormatting>
  <conditionalFormatting sqref="D421:BG421">
    <cfRule type="expression" dxfId="175" priority="1887">
      <formula>$F$337&lt;&gt;"Y"</formula>
    </cfRule>
  </conditionalFormatting>
  <conditionalFormatting sqref="D422:BG422">
    <cfRule type="expression" dxfId="174" priority="1890">
      <formula>$G$337&lt;&gt;"Y"</formula>
    </cfRule>
  </conditionalFormatting>
  <conditionalFormatting sqref="D423:BG423">
    <cfRule type="expression" dxfId="173" priority="1893">
      <formula>$H$337&lt;&gt;"Y"</formula>
    </cfRule>
  </conditionalFormatting>
  <conditionalFormatting sqref="D424:BG424">
    <cfRule type="expression" dxfId="172" priority="1896">
      <formula>$I$337&lt;&gt;"Y"</formula>
    </cfRule>
  </conditionalFormatting>
  <conditionalFormatting sqref="D425:BG425">
    <cfRule type="expression" dxfId="171" priority="1899">
      <formula>$J$337&lt;&gt;"Y"</formula>
    </cfRule>
  </conditionalFormatting>
  <conditionalFormatting sqref="D426:BG426">
    <cfRule type="expression" dxfId="170" priority="1902">
      <formula>$K$337&lt;&gt;"Y"</formula>
    </cfRule>
  </conditionalFormatting>
  <conditionalFormatting sqref="D427:BG427">
    <cfRule type="expression" dxfId="169" priority="1905">
      <formula>$L$337&lt;&gt;"Y"</formula>
    </cfRule>
  </conditionalFormatting>
  <conditionalFormatting sqref="D428:BG428">
    <cfRule type="expression" dxfId="168" priority="1908">
      <formula>$M$337&lt;&gt;"Y"</formula>
    </cfRule>
  </conditionalFormatting>
  <conditionalFormatting sqref="D429:BG429">
    <cfRule type="expression" dxfId="167" priority="1911">
      <formula>$B$338&lt;&gt;"Y"</formula>
    </cfRule>
  </conditionalFormatting>
  <conditionalFormatting sqref="D430:BG430">
    <cfRule type="expression" dxfId="166" priority="1914">
      <formula>$C$338&lt;&gt;"Y"</formula>
    </cfRule>
  </conditionalFormatting>
  <conditionalFormatting sqref="D431:BG431">
    <cfRule type="expression" dxfId="165" priority="1917">
      <formula>$D$338&lt;&gt;"Y"</formula>
    </cfRule>
  </conditionalFormatting>
  <conditionalFormatting sqref="D432:BG432">
    <cfRule type="expression" dxfId="164" priority="1920">
      <formula>$E$338&lt;&gt;"Y"</formula>
    </cfRule>
  </conditionalFormatting>
  <conditionalFormatting sqref="D433:BG433">
    <cfRule type="expression" dxfId="163" priority="1923">
      <formula>$F$338&lt;&gt;"Y"</formula>
    </cfRule>
  </conditionalFormatting>
  <conditionalFormatting sqref="D434:BG434">
    <cfRule type="expression" dxfId="162" priority="1926">
      <formula>$G$338&lt;&gt;"Y"</formula>
    </cfRule>
  </conditionalFormatting>
  <conditionalFormatting sqref="D435:BG435">
    <cfRule type="expression" dxfId="161" priority="1929">
      <formula>$H$338&lt;&gt;"Y"</formula>
    </cfRule>
  </conditionalFormatting>
  <conditionalFormatting sqref="D436:BG436">
    <cfRule type="expression" dxfId="160" priority="1932">
      <formula>$I$338&lt;&gt;"Y"</formula>
    </cfRule>
  </conditionalFormatting>
  <conditionalFormatting sqref="D437:BG437">
    <cfRule type="expression" dxfId="159" priority="1935">
      <formula>$J$338&lt;&gt;"Y"</formula>
    </cfRule>
  </conditionalFormatting>
  <conditionalFormatting sqref="D438:BG438">
    <cfRule type="expression" dxfId="158" priority="1938">
      <formula>$K$338&lt;&gt;"Y"</formula>
    </cfRule>
  </conditionalFormatting>
  <conditionalFormatting sqref="D439:BG439">
    <cfRule type="expression" dxfId="157" priority="1941">
      <formula>$L$338&lt;&gt;"Y"</formula>
    </cfRule>
  </conditionalFormatting>
  <conditionalFormatting sqref="D440:BG440">
    <cfRule type="expression" dxfId="156" priority="1944">
      <formula>$M$338&lt;&gt;"Y"</formula>
    </cfRule>
  </conditionalFormatting>
  <conditionalFormatting sqref="D441:BG441">
    <cfRule type="expression" dxfId="155" priority="1947">
      <formula>$B$339&lt;&gt;"Y"</formula>
    </cfRule>
  </conditionalFormatting>
  <conditionalFormatting sqref="D442:BG442">
    <cfRule type="expression" dxfId="154" priority="1950">
      <formula>$C$339&lt;&gt;"Y"</formula>
    </cfRule>
  </conditionalFormatting>
  <conditionalFormatting sqref="D443:BG443">
    <cfRule type="expression" dxfId="153" priority="1953">
      <formula>$D$339&lt;&gt;"Y"</formula>
    </cfRule>
  </conditionalFormatting>
  <conditionalFormatting sqref="D444:BG444">
    <cfRule type="expression" dxfId="152" priority="1956">
      <formula>$E$339&lt;&gt;"Y"</formula>
    </cfRule>
  </conditionalFormatting>
  <conditionalFormatting sqref="D445:BG445">
    <cfRule type="expression" dxfId="151" priority="1959">
      <formula>$F$339&lt;&gt;"Y"</formula>
    </cfRule>
  </conditionalFormatting>
  <conditionalFormatting sqref="D446:BG446">
    <cfRule type="expression" dxfId="150" priority="1962">
      <formula>$G$339&lt;&gt;"Y"</formula>
    </cfRule>
  </conditionalFormatting>
  <conditionalFormatting sqref="D447:BG447">
    <cfRule type="expression" dxfId="149" priority="1965">
      <formula>$H$339&lt;&gt;"Y"</formula>
    </cfRule>
  </conditionalFormatting>
  <conditionalFormatting sqref="D448:BG448">
    <cfRule type="expression" dxfId="148" priority="1968">
      <formula>$I$339&lt;&gt;"Y"</formula>
    </cfRule>
  </conditionalFormatting>
  <conditionalFormatting sqref="D449:BG449">
    <cfRule type="expression" dxfId="147" priority="1971">
      <formula>$J$339&lt;&gt;"Y"</formula>
    </cfRule>
  </conditionalFormatting>
  <conditionalFormatting sqref="D450:BG450">
    <cfRule type="expression" dxfId="146" priority="1974">
      <formula>$K$339&lt;&gt;"Y"</formula>
    </cfRule>
  </conditionalFormatting>
  <conditionalFormatting sqref="D451:BG451">
    <cfRule type="expression" dxfId="145" priority="1977">
      <formula>$L$339&lt;&gt;"Y"</formula>
    </cfRule>
  </conditionalFormatting>
  <conditionalFormatting sqref="D452:BG452">
    <cfRule type="expression" dxfId="144" priority="1980">
      <formula>$M$339&lt;&gt;"Y"</formula>
    </cfRule>
  </conditionalFormatting>
  <conditionalFormatting sqref="D453:BG453">
    <cfRule type="expression" dxfId="143" priority="1983">
      <formula>$B$340&lt;&gt;"Y"</formula>
    </cfRule>
  </conditionalFormatting>
  <conditionalFormatting sqref="D454:BG454">
    <cfRule type="expression" dxfId="142" priority="1986">
      <formula>$C$340&lt;&gt;"Y"</formula>
    </cfRule>
  </conditionalFormatting>
  <conditionalFormatting sqref="D455:BG455">
    <cfRule type="expression" dxfId="141" priority="1989">
      <formula>$D$340&lt;&gt;"Y"</formula>
    </cfRule>
  </conditionalFormatting>
  <conditionalFormatting sqref="D456:BG456">
    <cfRule type="expression" dxfId="140" priority="1992">
      <formula>$E$340&lt;&gt;"Y"</formula>
    </cfRule>
  </conditionalFormatting>
  <conditionalFormatting sqref="D457:BG457">
    <cfRule type="expression" dxfId="139" priority="1995">
      <formula>$F$340&lt;&gt;"Y"</formula>
    </cfRule>
  </conditionalFormatting>
  <conditionalFormatting sqref="D458:BG458">
    <cfRule type="expression" dxfId="138" priority="1998">
      <formula>$G$340&lt;&gt;"Y"</formula>
    </cfRule>
  </conditionalFormatting>
  <conditionalFormatting sqref="D459:BG459">
    <cfRule type="expression" dxfId="137" priority="2001">
      <formula>$H$340&lt;&gt;"Y"</formula>
    </cfRule>
  </conditionalFormatting>
  <conditionalFormatting sqref="D460:BG460">
    <cfRule type="expression" dxfId="136" priority="2004">
      <formula>$I$340&lt;&gt;"Y"</formula>
    </cfRule>
  </conditionalFormatting>
  <conditionalFormatting sqref="D461:BG461">
    <cfRule type="expression" dxfId="135" priority="2007">
      <formula>$J$340&lt;&gt;"Y"</formula>
    </cfRule>
  </conditionalFormatting>
  <conditionalFormatting sqref="D462:BG462">
    <cfRule type="expression" dxfId="134" priority="2010">
      <formula>$K$340&lt;&gt;"Y"</formula>
    </cfRule>
  </conditionalFormatting>
  <conditionalFormatting sqref="D463:BG463">
    <cfRule type="expression" dxfId="133" priority="2013">
      <formula>$L$340&lt;&gt;"Y"</formula>
    </cfRule>
  </conditionalFormatting>
  <conditionalFormatting sqref="D464:BG464">
    <cfRule type="expression" dxfId="132" priority="2016">
      <formula>$M$340&lt;&gt;"Y"</formula>
    </cfRule>
  </conditionalFormatting>
  <conditionalFormatting sqref="D465:BG465">
    <cfRule type="expression" dxfId="131" priority="2019">
      <formula>$B$341&lt;&gt;"Y"</formula>
    </cfRule>
  </conditionalFormatting>
  <conditionalFormatting sqref="D466:BG466">
    <cfRule type="expression" dxfId="130" priority="2022">
      <formula>$C$341&lt;&gt;"Y"</formula>
    </cfRule>
  </conditionalFormatting>
  <conditionalFormatting sqref="D467:BG467">
    <cfRule type="expression" dxfId="129" priority="2025">
      <formula>$D$341&lt;&gt;"Y"</formula>
    </cfRule>
  </conditionalFormatting>
  <conditionalFormatting sqref="D468:BG468">
    <cfRule type="expression" dxfId="128" priority="2028">
      <formula>$E$341&lt;&gt;"Y"</formula>
    </cfRule>
  </conditionalFormatting>
  <conditionalFormatting sqref="D469:BG469">
    <cfRule type="expression" dxfId="127" priority="2031">
      <formula>$F$341&lt;&gt;"Y"</formula>
    </cfRule>
  </conditionalFormatting>
  <conditionalFormatting sqref="D470:BG470">
    <cfRule type="expression" dxfId="126" priority="2034">
      <formula>$G$341&lt;&gt;"Y"</formula>
    </cfRule>
  </conditionalFormatting>
  <conditionalFormatting sqref="D471:BG471">
    <cfRule type="expression" dxfId="125" priority="2037">
      <formula>$H$341&lt;&gt;"Y"</formula>
    </cfRule>
  </conditionalFormatting>
  <conditionalFormatting sqref="D472:BG472">
    <cfRule type="expression" dxfId="124" priority="2040">
      <formula>$I$341&lt;&gt;"Y"</formula>
    </cfRule>
  </conditionalFormatting>
  <conditionalFormatting sqref="D473:BG473">
    <cfRule type="expression" dxfId="123" priority="2043">
      <formula>$J$341&lt;&gt;"Y"</formula>
    </cfRule>
  </conditionalFormatting>
  <conditionalFormatting sqref="D474:BG474">
    <cfRule type="expression" dxfId="122" priority="2046">
      <formula>$K$341&lt;&gt;"Y"</formula>
    </cfRule>
  </conditionalFormatting>
  <conditionalFormatting sqref="D475:BG475">
    <cfRule type="expression" dxfId="121" priority="2049">
      <formula>$L$341&lt;&gt;"Y"</formula>
    </cfRule>
  </conditionalFormatting>
  <conditionalFormatting sqref="D476:BG476">
    <cfRule type="expression" dxfId="120" priority="2052">
      <formula>$M$341&lt;&gt;"Y"</formula>
    </cfRule>
  </conditionalFormatting>
  <conditionalFormatting sqref="D477:BG477">
    <cfRule type="expression" dxfId="119" priority="2055">
      <formula>$B$342&lt;&gt;"Y"</formula>
    </cfRule>
  </conditionalFormatting>
  <conditionalFormatting sqref="D478:BG478">
    <cfRule type="expression" dxfId="118" priority="2058">
      <formula>$C$342&lt;&gt;"Y"</formula>
    </cfRule>
  </conditionalFormatting>
  <conditionalFormatting sqref="D479:BG479">
    <cfRule type="expression" dxfId="117" priority="2061">
      <formula>$D$342&lt;&gt;"Y"</formula>
    </cfRule>
  </conditionalFormatting>
  <conditionalFormatting sqref="D480:BG480">
    <cfRule type="expression" dxfId="116" priority="2064">
      <formula>$E$342&lt;&gt;"Y"</formula>
    </cfRule>
  </conditionalFormatting>
  <conditionalFormatting sqref="D481:BG481">
    <cfRule type="expression" dxfId="115" priority="2067">
      <formula>$F$342&lt;&gt;"Y"</formula>
    </cfRule>
  </conditionalFormatting>
  <conditionalFormatting sqref="D482:BG482">
    <cfRule type="expression" dxfId="114" priority="2070">
      <formula>$G$342&lt;&gt;"Y"</formula>
    </cfRule>
  </conditionalFormatting>
  <conditionalFormatting sqref="D483:BG483">
    <cfRule type="expression" dxfId="113" priority="2073">
      <formula>$H$342&lt;&gt;"Y"</formula>
    </cfRule>
  </conditionalFormatting>
  <conditionalFormatting sqref="D484:BG484">
    <cfRule type="expression" dxfId="112" priority="2076">
      <formula>$I$342&lt;&gt;"Y"</formula>
    </cfRule>
  </conditionalFormatting>
  <conditionalFormatting sqref="D485:BG485">
    <cfRule type="expression" dxfId="111" priority="2079">
      <formula>$J$342&lt;&gt;"Y"</formula>
    </cfRule>
  </conditionalFormatting>
  <conditionalFormatting sqref="D486:BG486">
    <cfRule type="expression" dxfId="110" priority="2082">
      <formula>$K$342&lt;&gt;"Y"</formula>
    </cfRule>
  </conditionalFormatting>
  <conditionalFormatting sqref="D487:BG487">
    <cfRule type="expression" dxfId="109" priority="2085">
      <formula>$L$342&lt;&gt;"Y"</formula>
    </cfRule>
  </conditionalFormatting>
  <conditionalFormatting sqref="D488:BG488">
    <cfRule type="expression" dxfId="108" priority="2088">
      <formula>$M$342&lt;&gt;"Y"</formula>
    </cfRule>
  </conditionalFormatting>
  <conditionalFormatting sqref="E5:E7">
    <cfRule type="cellIs" dxfId="107" priority="5" operator="equal">
      <formula>"Y"</formula>
    </cfRule>
    <cfRule type="cellIs" dxfId="106" priority="6" operator="equal">
      <formula>"N"</formula>
    </cfRule>
  </conditionalFormatting>
  <conditionalFormatting sqref="E9:E16">
    <cfRule type="cellIs" dxfId="105" priority="96" operator="equal">
      <formula>"N"</formula>
    </cfRule>
    <cfRule type="cellIs" dxfId="104" priority="95" operator="equal">
      <formula>"Y"</formula>
    </cfRule>
  </conditionalFormatting>
  <conditionalFormatting sqref="E168:E170">
    <cfRule type="cellIs" dxfId="103" priority="702" operator="equal">
      <formula>"N"</formula>
    </cfRule>
    <cfRule type="cellIs" dxfId="102" priority="701" operator="equal">
      <formula>"Y"</formula>
    </cfRule>
  </conditionalFormatting>
  <conditionalFormatting sqref="E172:E179">
    <cfRule type="cellIs" dxfId="101" priority="791" operator="equal">
      <formula>"Y"</formula>
    </cfRule>
    <cfRule type="cellIs" dxfId="100" priority="792" operator="equal">
      <formula>"N"</formula>
    </cfRule>
  </conditionalFormatting>
  <conditionalFormatting sqref="E331:E333">
    <cfRule type="cellIs" dxfId="99" priority="1397" operator="equal">
      <formula>"Y"</formula>
    </cfRule>
    <cfRule type="cellIs" dxfId="98" priority="1398" operator="equal">
      <formula>"N"</formula>
    </cfRule>
  </conditionalFormatting>
  <conditionalFormatting sqref="E335:E342">
    <cfRule type="cellIs" dxfId="97" priority="1488" operator="equal">
      <formula>"N"</formula>
    </cfRule>
    <cfRule type="cellIs" dxfId="96" priority="1487" operator="equal">
      <formula>"Y"</formula>
    </cfRule>
  </conditionalFormatting>
  <conditionalFormatting sqref="F5:F8">
    <cfRule type="cellIs" dxfId="95" priority="8" operator="equal">
      <formula>"N"</formula>
    </cfRule>
    <cfRule type="cellIs" dxfId="94" priority="7" operator="equal">
      <formula>"Y"</formula>
    </cfRule>
  </conditionalFormatting>
  <conditionalFormatting sqref="F10:F16">
    <cfRule type="cellIs" dxfId="93" priority="120" operator="equal">
      <formula>"N"</formula>
    </cfRule>
    <cfRule type="cellIs" dxfId="92" priority="119" operator="equal">
      <formula>"Y"</formula>
    </cfRule>
  </conditionalFormatting>
  <conditionalFormatting sqref="F168:F171">
    <cfRule type="cellIs" dxfId="91" priority="703" operator="equal">
      <formula>"Y"</formula>
    </cfRule>
    <cfRule type="cellIs" dxfId="90" priority="704" operator="equal">
      <formula>"N"</formula>
    </cfRule>
  </conditionalFormatting>
  <conditionalFormatting sqref="F173:F179">
    <cfRule type="cellIs" dxfId="89" priority="816" operator="equal">
      <formula>"N"</formula>
    </cfRule>
    <cfRule type="cellIs" dxfId="88" priority="815" operator="equal">
      <formula>"Y"</formula>
    </cfRule>
  </conditionalFormatting>
  <conditionalFormatting sqref="F331:F334">
    <cfRule type="cellIs" dxfId="87" priority="1400" operator="equal">
      <formula>"N"</formula>
    </cfRule>
    <cfRule type="cellIs" dxfId="86" priority="1399" operator="equal">
      <formula>"Y"</formula>
    </cfRule>
  </conditionalFormatting>
  <conditionalFormatting sqref="F336:F342">
    <cfRule type="cellIs" dxfId="85" priority="1511" operator="equal">
      <formula>"Y"</formula>
    </cfRule>
    <cfRule type="cellIs" dxfId="84" priority="1512" operator="equal">
      <formula>"N"</formula>
    </cfRule>
  </conditionalFormatting>
  <conditionalFormatting sqref="G5:G9">
    <cfRule type="cellIs" dxfId="83" priority="10" operator="equal">
      <formula>"N"</formula>
    </cfRule>
    <cfRule type="cellIs" dxfId="82" priority="9" operator="equal">
      <formula>"Y"</formula>
    </cfRule>
  </conditionalFormatting>
  <conditionalFormatting sqref="G11:G16">
    <cfRule type="cellIs" dxfId="81" priority="144" operator="equal">
      <formula>"N"</formula>
    </cfRule>
    <cfRule type="cellIs" dxfId="80" priority="143" operator="equal">
      <formula>"Y"</formula>
    </cfRule>
  </conditionalFormatting>
  <conditionalFormatting sqref="G19:G162">
    <cfRule type="expression" dxfId="79" priority="266">
      <formula>AND(COUNTIF(I19:BG19,"&lt;&gt;" &amp; "")&gt;0,NOT(ISBLANK(G19)))</formula>
    </cfRule>
    <cfRule type="expression" dxfId="78" priority="265">
      <formula>COUNTIF(I19:BG19,"&lt;&gt;" &amp; "")&gt;0</formula>
    </cfRule>
  </conditionalFormatting>
  <conditionalFormatting sqref="G168:G172">
    <cfRule type="cellIs" dxfId="77" priority="705" operator="equal">
      <formula>"Y"</formula>
    </cfRule>
    <cfRule type="cellIs" dxfId="76" priority="706" operator="equal">
      <formula>"N"</formula>
    </cfRule>
  </conditionalFormatting>
  <conditionalFormatting sqref="G174:G179">
    <cfRule type="cellIs" dxfId="75" priority="839" operator="equal">
      <formula>"Y"</formula>
    </cfRule>
    <cfRule type="cellIs" dxfId="74" priority="840" operator="equal">
      <formula>"N"</formula>
    </cfRule>
  </conditionalFormatting>
  <conditionalFormatting sqref="G182:G325">
    <cfRule type="expression" dxfId="73" priority="961">
      <formula>COUNTIF(I182:BG182,"&lt;&gt;" &amp; "")&gt;0</formula>
    </cfRule>
    <cfRule type="expression" dxfId="72" priority="962">
      <formula>AND(COUNTIF(I182:BG182,"&lt;&gt;" &amp; "")&gt;0,NOT(ISBLANK(G182)))</formula>
    </cfRule>
  </conditionalFormatting>
  <conditionalFormatting sqref="G331:G335">
    <cfRule type="cellIs" dxfId="71" priority="1402" operator="equal">
      <formula>"N"</formula>
    </cfRule>
    <cfRule type="cellIs" dxfId="70" priority="1401" operator="equal">
      <formula>"Y"</formula>
    </cfRule>
  </conditionalFormatting>
  <conditionalFormatting sqref="G337:G342">
    <cfRule type="cellIs" dxfId="69" priority="1535" operator="equal">
      <formula>"Y"</formula>
    </cfRule>
    <cfRule type="cellIs" dxfId="68" priority="1536" operator="equal">
      <formula>"N"</formula>
    </cfRule>
  </conditionalFormatting>
  <conditionalFormatting sqref="G345:G488">
    <cfRule type="expression" dxfId="67" priority="1658">
      <formula>AND(COUNTIF(I345:BG345,"&lt;&gt;" &amp; "")&gt;0,NOT(ISBLANK(G345)))</formula>
    </cfRule>
    <cfRule type="expression" dxfId="66" priority="1657">
      <formula>COUNTIF(I345:BG345,"&lt;&gt;" &amp; "")&gt;0</formula>
    </cfRule>
  </conditionalFormatting>
  <conditionalFormatting sqref="H5:H10">
    <cfRule type="cellIs" dxfId="65" priority="11" operator="equal">
      <formula>"Y"</formula>
    </cfRule>
    <cfRule type="cellIs" dxfId="64" priority="12" operator="equal">
      <formula>"N"</formula>
    </cfRule>
  </conditionalFormatting>
  <conditionalFormatting sqref="H12:H16">
    <cfRule type="cellIs" dxfId="63" priority="168" operator="equal">
      <formula>"N"</formula>
    </cfRule>
    <cfRule type="cellIs" dxfId="62" priority="167" operator="equal">
      <formula>"Y"</formula>
    </cfRule>
  </conditionalFormatting>
  <conditionalFormatting sqref="H168:H173">
    <cfRule type="cellIs" dxfId="61" priority="708" operator="equal">
      <formula>"N"</formula>
    </cfRule>
    <cfRule type="cellIs" dxfId="60" priority="707" operator="equal">
      <formula>"Y"</formula>
    </cfRule>
  </conditionalFormatting>
  <conditionalFormatting sqref="H175:H179">
    <cfRule type="cellIs" dxfId="59" priority="864" operator="equal">
      <formula>"N"</formula>
    </cfRule>
    <cfRule type="cellIs" dxfId="58" priority="863" operator="equal">
      <formula>"Y"</formula>
    </cfRule>
  </conditionalFormatting>
  <conditionalFormatting sqref="H331:H336">
    <cfRule type="cellIs" dxfId="57" priority="1404" operator="equal">
      <formula>"N"</formula>
    </cfRule>
    <cfRule type="cellIs" dxfId="56" priority="1403" operator="equal">
      <formula>"Y"</formula>
    </cfRule>
  </conditionalFormatting>
  <conditionalFormatting sqref="H338:H342">
    <cfRule type="cellIs" dxfId="55" priority="1560" operator="equal">
      <formula>"N"</formula>
    </cfRule>
    <cfRule type="cellIs" dxfId="54" priority="1559" operator="equal">
      <formula>"Y"</formula>
    </cfRule>
  </conditionalFormatting>
  <conditionalFormatting sqref="I5:I11">
    <cfRule type="cellIs" dxfId="53" priority="13" operator="equal">
      <formula>"Y"</formula>
    </cfRule>
    <cfRule type="cellIs" dxfId="52" priority="14" operator="equal">
      <formula>"N"</formula>
    </cfRule>
  </conditionalFormatting>
  <conditionalFormatting sqref="I13:I16">
    <cfRule type="cellIs" dxfId="51" priority="191" operator="equal">
      <formula>"Y"</formula>
    </cfRule>
    <cfRule type="cellIs" dxfId="50" priority="192" operator="equal">
      <formula>"N"</formula>
    </cfRule>
  </conditionalFormatting>
  <conditionalFormatting sqref="I168:I174">
    <cfRule type="cellIs" dxfId="49" priority="709" operator="equal">
      <formula>"Y"</formula>
    </cfRule>
    <cfRule type="cellIs" dxfId="48" priority="710" operator="equal">
      <formula>"N"</formula>
    </cfRule>
  </conditionalFormatting>
  <conditionalFormatting sqref="I176:I179">
    <cfRule type="cellIs" dxfId="47" priority="887" operator="equal">
      <formula>"Y"</formula>
    </cfRule>
    <cfRule type="cellIs" dxfId="46" priority="888" operator="equal">
      <formula>"N"</formula>
    </cfRule>
  </conditionalFormatting>
  <conditionalFormatting sqref="I331:I337">
    <cfRule type="cellIs" dxfId="45" priority="1405" operator="equal">
      <formula>"Y"</formula>
    </cfRule>
    <cfRule type="cellIs" dxfId="44" priority="1406" operator="equal">
      <formula>"N"</formula>
    </cfRule>
  </conditionalFormatting>
  <conditionalFormatting sqref="I339:I342">
    <cfRule type="cellIs" dxfId="43" priority="1583" operator="equal">
      <formula>"Y"</formula>
    </cfRule>
    <cfRule type="cellIs" dxfId="42" priority="1584" operator="equal">
      <formula>"N"</formula>
    </cfRule>
  </conditionalFormatting>
  <conditionalFormatting sqref="J5:J12">
    <cfRule type="cellIs" dxfId="41" priority="16" operator="equal">
      <formula>"N"</formula>
    </cfRule>
    <cfRule type="cellIs" dxfId="40" priority="15" operator="equal">
      <formula>"Y"</formula>
    </cfRule>
  </conditionalFormatting>
  <conditionalFormatting sqref="J14:J16">
    <cfRule type="cellIs" dxfId="39" priority="216" operator="equal">
      <formula>"N"</formula>
    </cfRule>
    <cfRule type="cellIs" dxfId="38" priority="215" operator="equal">
      <formula>"Y"</formula>
    </cfRule>
  </conditionalFormatting>
  <conditionalFormatting sqref="J168:J175">
    <cfRule type="cellIs" dxfId="37" priority="712" operator="equal">
      <formula>"N"</formula>
    </cfRule>
    <cfRule type="cellIs" dxfId="36" priority="711" operator="equal">
      <formula>"Y"</formula>
    </cfRule>
  </conditionalFormatting>
  <conditionalFormatting sqref="J177:J179">
    <cfRule type="cellIs" dxfId="35" priority="912" operator="equal">
      <formula>"N"</formula>
    </cfRule>
    <cfRule type="cellIs" dxfId="34" priority="911" operator="equal">
      <formula>"Y"</formula>
    </cfRule>
  </conditionalFormatting>
  <conditionalFormatting sqref="J331:J338">
    <cfRule type="cellIs" dxfId="33" priority="1408" operator="equal">
      <formula>"N"</formula>
    </cfRule>
    <cfRule type="cellIs" dxfId="32" priority="1407" operator="equal">
      <formula>"Y"</formula>
    </cfRule>
  </conditionalFormatting>
  <conditionalFormatting sqref="J340:J342">
    <cfRule type="cellIs" dxfId="31" priority="1608" operator="equal">
      <formula>"N"</formula>
    </cfRule>
    <cfRule type="cellIs" dxfId="30" priority="1607" operator="equal">
      <formula>"Y"</formula>
    </cfRule>
  </conditionalFormatting>
  <conditionalFormatting sqref="K5:K13">
    <cfRule type="cellIs" dxfId="29" priority="18" operator="equal">
      <formula>"N"</formula>
    </cfRule>
    <cfRule type="cellIs" dxfId="28" priority="17" operator="equal">
      <formula>"Y"</formula>
    </cfRule>
  </conditionalFormatting>
  <conditionalFormatting sqref="K15:K16">
    <cfRule type="cellIs" dxfId="27" priority="239" operator="equal">
      <formula>"Y"</formula>
    </cfRule>
    <cfRule type="cellIs" dxfId="26" priority="240" operator="equal">
      <formula>"N"</formula>
    </cfRule>
  </conditionalFormatting>
  <conditionalFormatting sqref="K168:K176">
    <cfRule type="cellIs" dxfId="25" priority="713" operator="equal">
      <formula>"Y"</formula>
    </cfRule>
    <cfRule type="cellIs" dxfId="24" priority="714" operator="equal">
      <formula>"N"</formula>
    </cfRule>
  </conditionalFormatting>
  <conditionalFormatting sqref="K178:K179">
    <cfRule type="cellIs" dxfId="23" priority="935" operator="equal">
      <formula>"Y"</formula>
    </cfRule>
    <cfRule type="cellIs" dxfId="22" priority="936" operator="equal">
      <formula>"N"</formula>
    </cfRule>
  </conditionalFormatting>
  <conditionalFormatting sqref="K331:K339">
    <cfRule type="cellIs" dxfId="21" priority="1410" operator="equal">
      <formula>"N"</formula>
    </cfRule>
    <cfRule type="cellIs" dxfId="20" priority="1409" operator="equal">
      <formula>"Y"</formula>
    </cfRule>
  </conditionalFormatting>
  <conditionalFormatting sqref="K341:K342">
    <cfRule type="cellIs" dxfId="19" priority="1632" operator="equal">
      <formula>"N"</formula>
    </cfRule>
    <cfRule type="cellIs" dxfId="18" priority="1631" operator="equal">
      <formula>"Y"</formula>
    </cfRule>
  </conditionalFormatting>
  <conditionalFormatting sqref="L5:L14">
    <cfRule type="cellIs" dxfId="17" priority="19" operator="equal">
      <formula>"Y"</formula>
    </cfRule>
    <cfRule type="cellIs" dxfId="16" priority="20" operator="equal">
      <formula>"N"</formula>
    </cfRule>
  </conditionalFormatting>
  <conditionalFormatting sqref="L16">
    <cfRule type="cellIs" dxfId="15" priority="263" operator="equal">
      <formula>"Y"</formula>
    </cfRule>
    <cfRule type="cellIs" dxfId="14" priority="264" operator="equal">
      <formula>"N"</formula>
    </cfRule>
  </conditionalFormatting>
  <conditionalFormatting sqref="L168:L177">
    <cfRule type="cellIs" dxfId="13" priority="715" operator="equal">
      <formula>"Y"</formula>
    </cfRule>
    <cfRule type="cellIs" dxfId="12" priority="716" operator="equal">
      <formula>"N"</formula>
    </cfRule>
  </conditionalFormatting>
  <conditionalFormatting sqref="L179">
    <cfRule type="cellIs" dxfId="11" priority="960" operator="equal">
      <formula>"N"</formula>
    </cfRule>
    <cfRule type="cellIs" dxfId="10" priority="959" operator="equal">
      <formula>"Y"</formula>
    </cfRule>
  </conditionalFormatting>
  <conditionalFormatting sqref="L331:L340">
    <cfRule type="cellIs" dxfId="9" priority="1411" operator="equal">
      <formula>"Y"</formula>
    </cfRule>
    <cfRule type="cellIs" dxfId="8" priority="1412" operator="equal">
      <formula>"N"</formula>
    </cfRule>
  </conditionalFormatting>
  <conditionalFormatting sqref="L342">
    <cfRule type="cellIs" dxfId="7" priority="1656" operator="equal">
      <formula>"N"</formula>
    </cfRule>
    <cfRule type="cellIs" dxfId="6" priority="1655" operator="equal">
      <formula>"Y"</formula>
    </cfRule>
  </conditionalFormatting>
  <conditionalFormatting sqref="M5:M15">
    <cfRule type="cellIs" dxfId="5" priority="21" operator="equal">
      <formula>"Y"</formula>
    </cfRule>
    <cfRule type="cellIs" dxfId="4" priority="22" operator="equal">
      <formula>"N"</formula>
    </cfRule>
  </conditionalFormatting>
  <conditionalFormatting sqref="M168:M178">
    <cfRule type="cellIs" dxfId="3" priority="717" operator="equal">
      <formula>"Y"</formula>
    </cfRule>
    <cfRule type="cellIs" dxfId="2" priority="718" operator="equal">
      <formula>"N"</formula>
    </cfRule>
  </conditionalFormatting>
  <conditionalFormatting sqref="M331:M341">
    <cfRule type="cellIs" dxfId="1" priority="1414" operator="equal">
      <formula>"N"</formula>
    </cfRule>
    <cfRule type="cellIs" dxfId="0" priority="1413" operator="equal">
      <formula>"Y"</formula>
    </cfRule>
  </conditionalFormatting>
  <dataValidations count="3">
    <dataValidation type="list" allowBlank="1" showInputMessage="1" showErrorMessage="1" sqref="B5 M342 L341 K340 J339 I338 H337 G336 F335 E334 D333 C332 B331 M179 L178 K177 J176 I175 H174 G173 F172 E171 D170 C169 B168 M16 L15 K14 J13 I12 H11 G10 F9 E8 D7 C6" xr:uid="{00000000-0002-0000-1000-000000000000}">
      <formula1>"N.A."</formula1>
    </dataValidation>
    <dataValidation type="list" allowBlank="1" showInputMessage="1" showErrorMessage="1" sqref="L342 M341 K341:K342 L340:M340 J340:J342 K339:M339 I339:I342 J338:M338 H338:H342 I337:M337 G337:G342 H336:M336 F336:F342 G335:M335 E335:E342 F334:M334 D334:D342 E333:M333 C333:C342 D332:M332 B332:B342 C331:M331 L179 M178 K178:K179 L177:M177 J177:J179 K176:M176 I176:I179 J175:M175 H175:H179 I174:M174 G174:G179 H173:M173 F173:F179 G172:M172 E172:E179 F171:M171 D171:D179 E170:M170 C170:C179 D169:M169 B169:B179 C168:M168 L16 M15 K15:K16 L14:M14 J14:J16 K13:M13 I13:I16 J12:M12 H12:H16 I11:M11 G11:G16 H10:M10 F10:F16 G9:M9 E9:E16 F8:M8 D8:D16 E7:M7 C7:C16 D6:M6 B6:B16 C5:M5" xr:uid="{00000000-0002-0000-1000-000001000000}">
      <formula1>"Y,N"</formula1>
    </dataValidation>
    <dataValidation type="list" allowBlank="1" showInputMessage="1" showErrorMessage="1" sqref="E345:E488 E182:E325 E19:E162" xr:uid="{00000000-0002-0000-1000-000090000000}">
      <formula1>"Number (years),Rate (per year),Duration (years)"</formula1>
    </dataValidation>
  </dataValidations>
  <hyperlinks>
    <hyperlink ref="C5" location="Transfers!B20" display="N" xr:uid="{00000000-0004-0000-1000-000000000000}"/>
    <hyperlink ref="D5" location="Transfers!B21" display="N" xr:uid="{00000000-0004-0000-1000-000001000000}"/>
    <hyperlink ref="E5" location="Transfers!B22" display="N" xr:uid="{00000000-0004-0000-1000-000002000000}"/>
    <hyperlink ref="F5" location="Transfers!B23" display="N" xr:uid="{00000000-0004-0000-1000-000003000000}"/>
    <hyperlink ref="G5" location="Transfers!B24" display="N" xr:uid="{00000000-0004-0000-1000-000004000000}"/>
    <hyperlink ref="H5" location="Transfers!B25" display="N" xr:uid="{00000000-0004-0000-1000-000005000000}"/>
    <hyperlink ref="I5" location="Transfers!B26" display="N" xr:uid="{00000000-0004-0000-1000-000006000000}"/>
    <hyperlink ref="J5" location="Transfers!B27" display="N" xr:uid="{00000000-0004-0000-1000-000007000000}"/>
    <hyperlink ref="K5" location="Transfers!B28" display="N" xr:uid="{00000000-0004-0000-1000-000008000000}"/>
    <hyperlink ref="L5" location="Transfers!B29" display="N" xr:uid="{00000000-0004-0000-1000-000009000000}"/>
    <hyperlink ref="M5" location="Transfers!B30" display="N" xr:uid="{00000000-0004-0000-1000-00000A000000}"/>
    <hyperlink ref="B6" location="Transfers!B31" display="N" xr:uid="{00000000-0004-0000-1000-00000B000000}"/>
    <hyperlink ref="D6" location="Transfers!B33" display="N" xr:uid="{00000000-0004-0000-1000-00000C000000}"/>
    <hyperlink ref="E6" location="Transfers!B34" display="N" xr:uid="{00000000-0004-0000-1000-00000D000000}"/>
    <hyperlink ref="F6" location="Transfers!B35" display="N" xr:uid="{00000000-0004-0000-1000-00000E000000}"/>
    <hyperlink ref="G6" location="Transfers!B36" display="N" xr:uid="{00000000-0004-0000-1000-00000F000000}"/>
    <hyperlink ref="H6" location="Transfers!B37" display="N" xr:uid="{00000000-0004-0000-1000-000010000000}"/>
    <hyperlink ref="I6" location="Transfers!B38" display="N" xr:uid="{00000000-0004-0000-1000-000011000000}"/>
    <hyperlink ref="J6" location="Transfers!B39" display="N" xr:uid="{00000000-0004-0000-1000-000012000000}"/>
    <hyperlink ref="K6" location="Transfers!B40" display="N" xr:uid="{00000000-0004-0000-1000-000013000000}"/>
    <hyperlink ref="L6" location="Transfers!B41" display="N" xr:uid="{00000000-0004-0000-1000-000014000000}"/>
    <hyperlink ref="M6" location="Transfers!B42" display="N" xr:uid="{00000000-0004-0000-1000-000015000000}"/>
    <hyperlink ref="B7" location="Transfers!B43" display="N" xr:uid="{00000000-0004-0000-1000-000016000000}"/>
    <hyperlink ref="C7" location="Transfers!B44" display="N" xr:uid="{00000000-0004-0000-1000-000017000000}"/>
    <hyperlink ref="E7" location="Transfers!B46" display="N" xr:uid="{00000000-0004-0000-1000-000018000000}"/>
    <hyperlink ref="F7" location="Transfers!B47" display="Y" xr:uid="{00000000-0004-0000-1000-000019000000}"/>
    <hyperlink ref="G7" location="Transfers!B48" display="N" xr:uid="{00000000-0004-0000-1000-00001A000000}"/>
    <hyperlink ref="H7" location="Transfers!B49" display="N" xr:uid="{00000000-0004-0000-1000-00001B000000}"/>
    <hyperlink ref="I7" location="Transfers!B50" display="N" xr:uid="{00000000-0004-0000-1000-00001C000000}"/>
    <hyperlink ref="J7" location="Transfers!B51" display="N" xr:uid="{00000000-0004-0000-1000-00001D000000}"/>
    <hyperlink ref="K7" location="Transfers!B52" display="N" xr:uid="{00000000-0004-0000-1000-00001E000000}"/>
    <hyperlink ref="L7" location="Transfers!B53" display="N" xr:uid="{00000000-0004-0000-1000-00001F000000}"/>
    <hyperlink ref="M7" location="Transfers!B54" display="N" xr:uid="{00000000-0004-0000-1000-000020000000}"/>
    <hyperlink ref="B8" location="Transfers!B55" display="N" xr:uid="{00000000-0004-0000-1000-000021000000}"/>
    <hyperlink ref="C8" location="Transfers!B56" display="N" xr:uid="{00000000-0004-0000-1000-000022000000}"/>
    <hyperlink ref="D8" location="Transfers!B57" display="N" xr:uid="{00000000-0004-0000-1000-000023000000}"/>
    <hyperlink ref="F8" location="Transfers!B59" display="N" xr:uid="{00000000-0004-0000-1000-000024000000}"/>
    <hyperlink ref="G8" location="Transfers!B60" display="Y" xr:uid="{00000000-0004-0000-1000-000025000000}"/>
    <hyperlink ref="H8" location="Transfers!B61" display="N" xr:uid="{00000000-0004-0000-1000-000026000000}"/>
    <hyperlink ref="I8" location="Transfers!B62" display="N" xr:uid="{00000000-0004-0000-1000-000027000000}"/>
    <hyperlink ref="J8" location="Transfers!B63" display="N" xr:uid="{00000000-0004-0000-1000-000028000000}"/>
    <hyperlink ref="K8" location="Transfers!B64" display="N" xr:uid="{00000000-0004-0000-1000-000029000000}"/>
    <hyperlink ref="L8" location="Transfers!B65" display="N" xr:uid="{00000000-0004-0000-1000-00002A000000}"/>
    <hyperlink ref="M8" location="Transfers!B66" display="N" xr:uid="{00000000-0004-0000-1000-00002B000000}"/>
    <hyperlink ref="B9" location="Transfers!B67" display="N" xr:uid="{00000000-0004-0000-1000-00002C000000}"/>
    <hyperlink ref="C9" location="Transfers!B68" display="N" xr:uid="{00000000-0004-0000-1000-00002D000000}"/>
    <hyperlink ref="D9" location="Transfers!B69" display="N" xr:uid="{00000000-0004-0000-1000-00002E000000}"/>
    <hyperlink ref="E9" location="Transfers!B70" display="N" xr:uid="{00000000-0004-0000-1000-00002F000000}"/>
    <hyperlink ref="G9" location="Transfers!B72" display="N" xr:uid="{00000000-0004-0000-1000-000030000000}"/>
    <hyperlink ref="H9" location="Transfers!B73" display="Y" xr:uid="{00000000-0004-0000-1000-000031000000}"/>
    <hyperlink ref="I9" location="Transfers!B74" display="N" xr:uid="{00000000-0004-0000-1000-000032000000}"/>
    <hyperlink ref="J9" location="Transfers!B75" display="N" xr:uid="{00000000-0004-0000-1000-000033000000}"/>
    <hyperlink ref="K9" location="Transfers!B76" display="N" xr:uid="{00000000-0004-0000-1000-000034000000}"/>
    <hyperlink ref="L9" location="Transfers!B77" display="N" xr:uid="{00000000-0004-0000-1000-000035000000}"/>
    <hyperlink ref="M9" location="Transfers!B78" display="N" xr:uid="{00000000-0004-0000-1000-000036000000}"/>
    <hyperlink ref="B10" location="Transfers!B79" display="N" xr:uid="{00000000-0004-0000-1000-000037000000}"/>
    <hyperlink ref="C10" location="Transfers!B80" display="N" xr:uid="{00000000-0004-0000-1000-000038000000}"/>
    <hyperlink ref="D10" location="Transfers!B81" display="N" xr:uid="{00000000-0004-0000-1000-000039000000}"/>
    <hyperlink ref="E10" location="Transfers!B82" display="N" xr:uid="{00000000-0004-0000-1000-00003A000000}"/>
    <hyperlink ref="F10" location="Transfers!B83" display="N" xr:uid="{00000000-0004-0000-1000-00003B000000}"/>
    <hyperlink ref="H10" location="Transfers!B85" display="N" xr:uid="{00000000-0004-0000-1000-00003C000000}"/>
    <hyperlink ref="I10" location="Transfers!B86" display="Y" xr:uid="{00000000-0004-0000-1000-00003D000000}"/>
    <hyperlink ref="J10" location="Transfers!B87" display="N" xr:uid="{00000000-0004-0000-1000-00003E000000}"/>
    <hyperlink ref="K10" location="Transfers!B88" display="N" xr:uid="{00000000-0004-0000-1000-00003F000000}"/>
    <hyperlink ref="L10" location="Transfers!B89" display="N" xr:uid="{00000000-0004-0000-1000-000040000000}"/>
    <hyperlink ref="M10" location="Transfers!B90" display="N" xr:uid="{00000000-0004-0000-1000-000041000000}"/>
    <hyperlink ref="B11" location="Transfers!B91" display="N" xr:uid="{00000000-0004-0000-1000-000042000000}"/>
    <hyperlink ref="C11" location="Transfers!B92" display="N" xr:uid="{00000000-0004-0000-1000-000043000000}"/>
    <hyperlink ref="D11" location="Transfers!B93" display="N" xr:uid="{00000000-0004-0000-1000-000044000000}"/>
    <hyperlink ref="E11" location="Transfers!B94" display="N" xr:uid="{00000000-0004-0000-1000-000045000000}"/>
    <hyperlink ref="F11" location="Transfers!B95" display="N" xr:uid="{00000000-0004-0000-1000-000046000000}"/>
    <hyperlink ref="G11" location="Transfers!B96" display="N" xr:uid="{00000000-0004-0000-1000-000047000000}"/>
    <hyperlink ref="I11" location="Transfers!B98" display="N" xr:uid="{00000000-0004-0000-1000-000048000000}"/>
    <hyperlink ref="J11" location="Transfers!B99" display="Y" xr:uid="{00000000-0004-0000-1000-000049000000}"/>
    <hyperlink ref="K11" location="Transfers!B100" display="N" xr:uid="{00000000-0004-0000-1000-00004A000000}"/>
    <hyperlink ref="L11" location="Transfers!B101" display="N" xr:uid="{00000000-0004-0000-1000-00004B000000}"/>
    <hyperlink ref="M11" location="Transfers!B102" display="N" xr:uid="{00000000-0004-0000-1000-00004C000000}"/>
    <hyperlink ref="B12" location="Transfers!B103" display="N" xr:uid="{00000000-0004-0000-1000-00004D000000}"/>
    <hyperlink ref="C12" location="Transfers!B104" display="N" xr:uid="{00000000-0004-0000-1000-00004E000000}"/>
    <hyperlink ref="D12" location="Transfers!B105" display="N" xr:uid="{00000000-0004-0000-1000-00004F000000}"/>
    <hyperlink ref="E12" location="Transfers!B106" display="N" xr:uid="{00000000-0004-0000-1000-000050000000}"/>
    <hyperlink ref="F12" location="Transfers!B107" display="N" xr:uid="{00000000-0004-0000-1000-000051000000}"/>
    <hyperlink ref="G12" location="Transfers!B108" display="N" xr:uid="{00000000-0004-0000-1000-000052000000}"/>
    <hyperlink ref="H12" location="Transfers!B109" display="N" xr:uid="{00000000-0004-0000-1000-000053000000}"/>
    <hyperlink ref="J12" location="Transfers!B111" display="N" xr:uid="{00000000-0004-0000-1000-000054000000}"/>
    <hyperlink ref="K12" location="Transfers!B112" display="Y" xr:uid="{00000000-0004-0000-1000-000055000000}"/>
    <hyperlink ref="L12" location="Transfers!B113" display="N" xr:uid="{00000000-0004-0000-1000-000056000000}"/>
    <hyperlink ref="M12" location="Transfers!B114" display="N" xr:uid="{00000000-0004-0000-1000-000057000000}"/>
    <hyperlink ref="B13" location="Transfers!B115" display="N" xr:uid="{00000000-0004-0000-1000-000058000000}"/>
    <hyperlink ref="C13" location="Transfers!B116" display="N" xr:uid="{00000000-0004-0000-1000-000059000000}"/>
    <hyperlink ref="D13" location="Transfers!B117" display="N" xr:uid="{00000000-0004-0000-1000-00005A000000}"/>
    <hyperlink ref="E13" location="Transfers!B118" display="N" xr:uid="{00000000-0004-0000-1000-00005B000000}"/>
    <hyperlink ref="F13" location="Transfers!B119" display="N" xr:uid="{00000000-0004-0000-1000-00005C000000}"/>
    <hyperlink ref="G13" location="Transfers!B120" display="N" xr:uid="{00000000-0004-0000-1000-00005D000000}"/>
    <hyperlink ref="H13" location="Transfers!B121" display="N" xr:uid="{00000000-0004-0000-1000-00005E000000}"/>
    <hyperlink ref="I13" location="Transfers!B122" display="N" xr:uid="{00000000-0004-0000-1000-00005F000000}"/>
    <hyperlink ref="K13" location="Transfers!B124" display="N" xr:uid="{00000000-0004-0000-1000-000060000000}"/>
    <hyperlink ref="L13" location="Transfers!B125" display="N" xr:uid="{00000000-0004-0000-1000-000061000000}"/>
    <hyperlink ref="M13" location="Transfers!B126" display="N" xr:uid="{00000000-0004-0000-1000-000062000000}"/>
    <hyperlink ref="B14" location="Transfers!B127" display="N" xr:uid="{00000000-0004-0000-1000-000063000000}"/>
    <hyperlink ref="C14" location="Transfers!B128" display="N" xr:uid="{00000000-0004-0000-1000-000064000000}"/>
    <hyperlink ref="D14" location="Transfers!B129" display="N" xr:uid="{00000000-0004-0000-1000-000065000000}"/>
    <hyperlink ref="E14" location="Transfers!B130" display="N" xr:uid="{00000000-0004-0000-1000-000066000000}"/>
    <hyperlink ref="F14" location="Transfers!B131" display="N" xr:uid="{00000000-0004-0000-1000-000067000000}"/>
    <hyperlink ref="G14" location="Transfers!B132" display="N" xr:uid="{00000000-0004-0000-1000-000068000000}"/>
    <hyperlink ref="H14" location="Transfers!B133" display="N" xr:uid="{00000000-0004-0000-1000-000069000000}"/>
    <hyperlink ref="I14" location="Transfers!B134" display="N" xr:uid="{00000000-0004-0000-1000-00006A000000}"/>
    <hyperlink ref="J14" location="Transfers!B135" display="N" xr:uid="{00000000-0004-0000-1000-00006B000000}"/>
    <hyperlink ref="L14" location="Transfers!B137" display="N" xr:uid="{00000000-0004-0000-1000-00006C000000}"/>
    <hyperlink ref="M14" location="Transfers!B138" display="N" xr:uid="{00000000-0004-0000-1000-00006D000000}"/>
    <hyperlink ref="B15" location="Transfers!B139" display="N" xr:uid="{00000000-0004-0000-1000-00006E000000}"/>
    <hyperlink ref="C15" location="Transfers!B140" display="N" xr:uid="{00000000-0004-0000-1000-00006F000000}"/>
    <hyperlink ref="D15" location="Transfers!B141" display="N" xr:uid="{00000000-0004-0000-1000-000070000000}"/>
    <hyperlink ref="E15" location="Transfers!B142" display="N" xr:uid="{00000000-0004-0000-1000-000071000000}"/>
    <hyperlink ref="F15" location="Transfers!B143" display="N" xr:uid="{00000000-0004-0000-1000-000072000000}"/>
    <hyperlink ref="G15" location="Transfers!B144" display="N" xr:uid="{00000000-0004-0000-1000-000073000000}"/>
    <hyperlink ref="H15" location="Transfers!B145" display="N" xr:uid="{00000000-0004-0000-1000-000074000000}"/>
    <hyperlink ref="I15" location="Transfers!B146" display="N" xr:uid="{00000000-0004-0000-1000-000075000000}"/>
    <hyperlink ref="J15" location="Transfers!B147" display="N" xr:uid="{00000000-0004-0000-1000-000076000000}"/>
    <hyperlink ref="K15" location="Transfers!B148" display="N" xr:uid="{00000000-0004-0000-1000-000077000000}"/>
    <hyperlink ref="M15" location="Transfers!B150" display="N" xr:uid="{00000000-0004-0000-1000-000078000000}"/>
    <hyperlink ref="B16" location="Transfers!B151" display="N" xr:uid="{00000000-0004-0000-1000-000079000000}"/>
    <hyperlink ref="C16" location="Transfers!B152" display="N" xr:uid="{00000000-0004-0000-1000-00007A000000}"/>
    <hyperlink ref="D16" location="Transfers!B153" display="N" xr:uid="{00000000-0004-0000-1000-00007B000000}"/>
    <hyperlink ref="E16" location="Transfers!B154" display="N" xr:uid="{00000000-0004-0000-1000-00007C000000}"/>
    <hyperlink ref="F16" location="Transfers!B155" display="N" xr:uid="{00000000-0004-0000-1000-00007D000000}"/>
    <hyperlink ref="G16" location="Transfers!B156" display="N" xr:uid="{00000000-0004-0000-1000-00007E000000}"/>
    <hyperlink ref="H16" location="Transfers!B157" display="N" xr:uid="{00000000-0004-0000-1000-00007F000000}"/>
    <hyperlink ref="I16" location="Transfers!B158" display="N" xr:uid="{00000000-0004-0000-1000-000080000000}"/>
    <hyperlink ref="J16" location="Transfers!B159" display="N" xr:uid="{00000000-0004-0000-1000-000081000000}"/>
    <hyperlink ref="K16" location="Transfers!B160" display="N" xr:uid="{00000000-0004-0000-1000-000082000000}"/>
    <hyperlink ref="L16" location="Transfers!B161" display="N" xr:uid="{00000000-0004-0000-1000-000083000000}"/>
    <hyperlink ref="B20" location="Transfers!$C$5" display="Transfers!$C$5" xr:uid="{00000000-0004-0000-1000-000084000000}"/>
    <hyperlink ref="B21" location="Transfers!$D$5" display="Transfers!$D$5" xr:uid="{00000000-0004-0000-1000-000085000000}"/>
    <hyperlink ref="B22" location="Transfers!$E$5" display="Transfers!$E$5" xr:uid="{00000000-0004-0000-1000-000086000000}"/>
    <hyperlink ref="B23" location="Transfers!$F$5" display="Transfers!$F$5" xr:uid="{00000000-0004-0000-1000-000087000000}"/>
    <hyperlink ref="B24" location="Transfers!$G$5" display="Transfers!$G$5" xr:uid="{00000000-0004-0000-1000-000088000000}"/>
    <hyperlink ref="B25" location="Transfers!$H$5" display="Transfers!$H$5" xr:uid="{00000000-0004-0000-1000-000089000000}"/>
    <hyperlink ref="B26" location="Transfers!$I$5" display="Transfers!$I$5" xr:uid="{00000000-0004-0000-1000-00008A000000}"/>
    <hyperlink ref="B27" location="Transfers!$J$5" display="Transfers!$J$5" xr:uid="{00000000-0004-0000-1000-00008B000000}"/>
    <hyperlink ref="B28" location="Transfers!$K$5" display="Transfers!$K$5" xr:uid="{00000000-0004-0000-1000-00008C000000}"/>
    <hyperlink ref="B29" location="Transfers!$L$5" display="Transfers!$L$5" xr:uid="{00000000-0004-0000-1000-00008D000000}"/>
    <hyperlink ref="B30" location="Transfers!$M$5" display="Transfers!$M$5" xr:uid="{00000000-0004-0000-1000-00008E000000}"/>
    <hyperlink ref="B31" location="Transfers!$B$6" display="Transfers!$B$6" xr:uid="{00000000-0004-0000-1000-00008F000000}"/>
    <hyperlink ref="B33" location="Transfers!$D$6" display="Transfers!$D$6" xr:uid="{00000000-0004-0000-1000-000090000000}"/>
    <hyperlink ref="B34" location="Transfers!$E$6" display="Transfers!$E$6" xr:uid="{00000000-0004-0000-1000-000091000000}"/>
    <hyperlink ref="B35" location="Transfers!$F$6" display="Transfers!$F$6" xr:uid="{00000000-0004-0000-1000-000092000000}"/>
    <hyperlink ref="B36" location="Transfers!$G$6" display="Transfers!$G$6" xr:uid="{00000000-0004-0000-1000-000093000000}"/>
    <hyperlink ref="B37" location="Transfers!$H$6" display="Transfers!$H$6" xr:uid="{00000000-0004-0000-1000-000094000000}"/>
    <hyperlink ref="B38" location="Transfers!$I$6" display="Transfers!$I$6" xr:uid="{00000000-0004-0000-1000-000095000000}"/>
    <hyperlink ref="B39" location="Transfers!$J$6" display="Transfers!$J$6" xr:uid="{00000000-0004-0000-1000-000096000000}"/>
    <hyperlink ref="B40" location="Transfers!$K$6" display="Transfers!$K$6" xr:uid="{00000000-0004-0000-1000-000097000000}"/>
    <hyperlink ref="B41" location="Transfers!$L$6" display="Transfers!$L$6" xr:uid="{00000000-0004-0000-1000-000098000000}"/>
    <hyperlink ref="B42" location="Transfers!$M$6" display="Transfers!$M$6" xr:uid="{00000000-0004-0000-1000-000099000000}"/>
    <hyperlink ref="B43" location="Transfers!$B$7" display="Transfers!$B$7" xr:uid="{00000000-0004-0000-1000-00009A000000}"/>
    <hyperlink ref="B44" location="Transfers!$C$7" display="Transfers!$C$7" xr:uid="{00000000-0004-0000-1000-00009B000000}"/>
    <hyperlink ref="B46" location="Transfers!$E$7" display="Transfers!$E$7" xr:uid="{00000000-0004-0000-1000-00009C000000}"/>
    <hyperlink ref="B47" location="Transfers!$F$7" display="Transfers!$F$7" xr:uid="{00000000-0004-0000-1000-00009D000000}"/>
    <hyperlink ref="B48" location="Transfers!$G$7" display="Transfers!$G$7" xr:uid="{00000000-0004-0000-1000-00009E000000}"/>
    <hyperlink ref="B49" location="Transfers!$H$7" display="Transfers!$H$7" xr:uid="{00000000-0004-0000-1000-00009F000000}"/>
    <hyperlink ref="B50" location="Transfers!$I$7" display="Transfers!$I$7" xr:uid="{00000000-0004-0000-1000-0000A0000000}"/>
    <hyperlink ref="B51" location="Transfers!$J$7" display="Transfers!$J$7" xr:uid="{00000000-0004-0000-1000-0000A1000000}"/>
    <hyperlink ref="B52" location="Transfers!$K$7" display="Transfers!$K$7" xr:uid="{00000000-0004-0000-1000-0000A2000000}"/>
    <hyperlink ref="B53" location="Transfers!$L$7" display="Transfers!$L$7" xr:uid="{00000000-0004-0000-1000-0000A3000000}"/>
    <hyperlink ref="B54" location="Transfers!$M$7" display="Transfers!$M$7" xr:uid="{00000000-0004-0000-1000-0000A4000000}"/>
    <hyperlink ref="B55" location="Transfers!$B$8" display="Transfers!$B$8" xr:uid="{00000000-0004-0000-1000-0000A5000000}"/>
    <hyperlink ref="B56" location="Transfers!$C$8" display="Transfers!$C$8" xr:uid="{00000000-0004-0000-1000-0000A6000000}"/>
    <hyperlink ref="B57" location="Transfers!$D$8" display="Transfers!$D$8" xr:uid="{00000000-0004-0000-1000-0000A7000000}"/>
    <hyperlink ref="B59" location="Transfers!$F$8" display="Transfers!$F$8" xr:uid="{00000000-0004-0000-1000-0000A8000000}"/>
    <hyperlink ref="B60" location="Transfers!$G$8" display="Transfers!$G$8" xr:uid="{00000000-0004-0000-1000-0000A9000000}"/>
    <hyperlink ref="B61" location="Transfers!$H$8" display="Transfers!$H$8" xr:uid="{00000000-0004-0000-1000-0000AA000000}"/>
    <hyperlink ref="B62" location="Transfers!$I$8" display="Transfers!$I$8" xr:uid="{00000000-0004-0000-1000-0000AB000000}"/>
    <hyperlink ref="B63" location="Transfers!$J$8" display="Transfers!$J$8" xr:uid="{00000000-0004-0000-1000-0000AC000000}"/>
    <hyperlink ref="B64" location="Transfers!$K$8" display="Transfers!$K$8" xr:uid="{00000000-0004-0000-1000-0000AD000000}"/>
    <hyperlink ref="B65" location="Transfers!$L$8" display="Transfers!$L$8" xr:uid="{00000000-0004-0000-1000-0000AE000000}"/>
    <hyperlink ref="B66" location="Transfers!$M$8" display="Transfers!$M$8" xr:uid="{00000000-0004-0000-1000-0000AF000000}"/>
    <hyperlink ref="B67" location="Transfers!$B$9" display="Transfers!$B$9" xr:uid="{00000000-0004-0000-1000-0000B0000000}"/>
    <hyperlink ref="B68" location="Transfers!$C$9" display="Transfers!$C$9" xr:uid="{00000000-0004-0000-1000-0000B1000000}"/>
    <hyperlink ref="B69" location="Transfers!$D$9" display="Transfers!$D$9" xr:uid="{00000000-0004-0000-1000-0000B2000000}"/>
    <hyperlink ref="B70" location="Transfers!$E$9" display="Transfers!$E$9" xr:uid="{00000000-0004-0000-1000-0000B3000000}"/>
    <hyperlink ref="B72" location="Transfers!$G$9" display="Transfers!$G$9" xr:uid="{00000000-0004-0000-1000-0000B4000000}"/>
    <hyperlink ref="B73" location="Transfers!$H$9" display="Transfers!$H$9" xr:uid="{00000000-0004-0000-1000-0000B5000000}"/>
    <hyperlink ref="B74" location="Transfers!$I$9" display="Transfers!$I$9" xr:uid="{00000000-0004-0000-1000-0000B6000000}"/>
    <hyperlink ref="B75" location="Transfers!$J$9" display="Transfers!$J$9" xr:uid="{00000000-0004-0000-1000-0000B7000000}"/>
    <hyperlink ref="B76" location="Transfers!$K$9" display="Transfers!$K$9" xr:uid="{00000000-0004-0000-1000-0000B8000000}"/>
    <hyperlink ref="B77" location="Transfers!$L$9" display="Transfers!$L$9" xr:uid="{00000000-0004-0000-1000-0000B9000000}"/>
    <hyperlink ref="B78" location="Transfers!$M$9" display="Transfers!$M$9" xr:uid="{00000000-0004-0000-1000-0000BA000000}"/>
    <hyperlink ref="B79" location="Transfers!$B$10" display="Transfers!$B$10" xr:uid="{00000000-0004-0000-1000-0000BB000000}"/>
    <hyperlink ref="B80" location="Transfers!$C$10" display="Transfers!$C$10" xr:uid="{00000000-0004-0000-1000-0000BC000000}"/>
    <hyperlink ref="B81" location="Transfers!$D$10" display="Transfers!$D$10" xr:uid="{00000000-0004-0000-1000-0000BD000000}"/>
    <hyperlink ref="B82" location="Transfers!$E$10" display="Transfers!$E$10" xr:uid="{00000000-0004-0000-1000-0000BE000000}"/>
    <hyperlink ref="B83" location="Transfers!$F$10" display="Transfers!$F$10" xr:uid="{00000000-0004-0000-1000-0000BF000000}"/>
    <hyperlink ref="B85" location="Transfers!$H$10" display="Transfers!$H$10" xr:uid="{00000000-0004-0000-1000-0000C0000000}"/>
    <hyperlink ref="B86" location="Transfers!$I$10" display="Transfers!$I$10" xr:uid="{00000000-0004-0000-1000-0000C1000000}"/>
    <hyperlink ref="B87" location="Transfers!$J$10" display="Transfers!$J$10" xr:uid="{00000000-0004-0000-1000-0000C2000000}"/>
    <hyperlink ref="B88" location="Transfers!$K$10" display="Transfers!$K$10" xr:uid="{00000000-0004-0000-1000-0000C3000000}"/>
    <hyperlink ref="B89" location="Transfers!$L$10" display="Transfers!$L$10" xr:uid="{00000000-0004-0000-1000-0000C4000000}"/>
    <hyperlink ref="B90" location="Transfers!$M$10" display="Transfers!$M$10" xr:uid="{00000000-0004-0000-1000-0000C5000000}"/>
    <hyperlink ref="B91" location="Transfers!$B$11" display="Transfers!$B$11" xr:uid="{00000000-0004-0000-1000-0000C6000000}"/>
    <hyperlink ref="B92" location="Transfers!$C$11" display="Transfers!$C$11" xr:uid="{00000000-0004-0000-1000-0000C7000000}"/>
    <hyperlink ref="B93" location="Transfers!$D$11" display="Transfers!$D$11" xr:uid="{00000000-0004-0000-1000-0000C8000000}"/>
    <hyperlink ref="B94" location="Transfers!$E$11" display="Transfers!$E$11" xr:uid="{00000000-0004-0000-1000-0000C9000000}"/>
    <hyperlink ref="B95" location="Transfers!$F$11" display="Transfers!$F$11" xr:uid="{00000000-0004-0000-1000-0000CA000000}"/>
    <hyperlink ref="B96" location="Transfers!$G$11" display="Transfers!$G$11" xr:uid="{00000000-0004-0000-1000-0000CB000000}"/>
    <hyperlink ref="B98" location="Transfers!$I$11" display="Transfers!$I$11" xr:uid="{00000000-0004-0000-1000-0000CC000000}"/>
    <hyperlink ref="B99" location="Transfers!$J$11" display="Transfers!$J$11" xr:uid="{00000000-0004-0000-1000-0000CD000000}"/>
    <hyperlink ref="B100" location="Transfers!$K$11" display="Transfers!$K$11" xr:uid="{00000000-0004-0000-1000-0000CE000000}"/>
    <hyperlink ref="B101" location="Transfers!$L$11" display="Transfers!$L$11" xr:uid="{00000000-0004-0000-1000-0000CF000000}"/>
    <hyperlink ref="B102" location="Transfers!$M$11" display="Transfers!$M$11" xr:uid="{00000000-0004-0000-1000-0000D0000000}"/>
    <hyperlink ref="B103" location="Transfers!$B$12" display="Transfers!$B$12" xr:uid="{00000000-0004-0000-1000-0000D1000000}"/>
    <hyperlink ref="B104" location="Transfers!$C$12" display="Transfers!$C$12" xr:uid="{00000000-0004-0000-1000-0000D2000000}"/>
    <hyperlink ref="B105" location="Transfers!$D$12" display="Transfers!$D$12" xr:uid="{00000000-0004-0000-1000-0000D3000000}"/>
    <hyperlink ref="B106" location="Transfers!$E$12" display="Transfers!$E$12" xr:uid="{00000000-0004-0000-1000-0000D4000000}"/>
    <hyperlink ref="B107" location="Transfers!$F$12" display="Transfers!$F$12" xr:uid="{00000000-0004-0000-1000-0000D5000000}"/>
    <hyperlink ref="B108" location="Transfers!$G$12" display="Transfers!$G$12" xr:uid="{00000000-0004-0000-1000-0000D6000000}"/>
    <hyperlink ref="B109" location="Transfers!$H$12" display="Transfers!$H$12" xr:uid="{00000000-0004-0000-1000-0000D7000000}"/>
    <hyperlink ref="B111" location="Transfers!$J$12" display="Transfers!$J$12" xr:uid="{00000000-0004-0000-1000-0000D8000000}"/>
    <hyperlink ref="B112" location="Transfers!$K$12" display="Transfers!$K$12" xr:uid="{00000000-0004-0000-1000-0000D9000000}"/>
    <hyperlink ref="B113" location="Transfers!$L$12" display="Transfers!$L$12" xr:uid="{00000000-0004-0000-1000-0000DA000000}"/>
    <hyperlink ref="B114" location="Transfers!$M$12" display="Transfers!$M$12" xr:uid="{00000000-0004-0000-1000-0000DB000000}"/>
    <hyperlink ref="B115" location="Transfers!$B$13" display="Transfers!$B$13" xr:uid="{00000000-0004-0000-1000-0000DC000000}"/>
    <hyperlink ref="B116" location="Transfers!$C$13" display="Transfers!$C$13" xr:uid="{00000000-0004-0000-1000-0000DD000000}"/>
    <hyperlink ref="B117" location="Transfers!$D$13" display="Transfers!$D$13" xr:uid="{00000000-0004-0000-1000-0000DE000000}"/>
    <hyperlink ref="B118" location="Transfers!$E$13" display="Transfers!$E$13" xr:uid="{00000000-0004-0000-1000-0000DF000000}"/>
    <hyperlink ref="B119" location="Transfers!$F$13" display="Transfers!$F$13" xr:uid="{00000000-0004-0000-1000-0000E0000000}"/>
    <hyperlink ref="B120" location="Transfers!$G$13" display="Transfers!$G$13" xr:uid="{00000000-0004-0000-1000-0000E1000000}"/>
    <hyperlink ref="B121" location="Transfers!$H$13" display="Transfers!$H$13" xr:uid="{00000000-0004-0000-1000-0000E2000000}"/>
    <hyperlink ref="B122" location="Transfers!$I$13" display="Transfers!$I$13" xr:uid="{00000000-0004-0000-1000-0000E3000000}"/>
    <hyperlink ref="B124" location="Transfers!$K$13" display="Transfers!$K$13" xr:uid="{00000000-0004-0000-1000-0000E4000000}"/>
    <hyperlink ref="B125" location="Transfers!$L$13" display="Transfers!$L$13" xr:uid="{00000000-0004-0000-1000-0000E5000000}"/>
    <hyperlink ref="B126" location="Transfers!$M$13" display="Transfers!$M$13" xr:uid="{00000000-0004-0000-1000-0000E6000000}"/>
    <hyperlink ref="B127" location="Transfers!$B$14" display="Transfers!$B$14" xr:uid="{00000000-0004-0000-1000-0000E7000000}"/>
    <hyperlink ref="B128" location="Transfers!$C$14" display="Transfers!$C$14" xr:uid="{00000000-0004-0000-1000-0000E8000000}"/>
    <hyperlink ref="B129" location="Transfers!$D$14" display="Transfers!$D$14" xr:uid="{00000000-0004-0000-1000-0000E9000000}"/>
    <hyperlink ref="B130" location="Transfers!$E$14" display="Transfers!$E$14" xr:uid="{00000000-0004-0000-1000-0000EA000000}"/>
    <hyperlink ref="B131" location="Transfers!$F$14" display="Transfers!$F$14" xr:uid="{00000000-0004-0000-1000-0000EB000000}"/>
    <hyperlink ref="B132" location="Transfers!$G$14" display="Transfers!$G$14" xr:uid="{00000000-0004-0000-1000-0000EC000000}"/>
    <hyperlink ref="B133" location="Transfers!$H$14" display="Transfers!$H$14" xr:uid="{00000000-0004-0000-1000-0000ED000000}"/>
    <hyperlink ref="B134" location="Transfers!$I$14" display="Transfers!$I$14" xr:uid="{00000000-0004-0000-1000-0000EE000000}"/>
    <hyperlink ref="B135" location="Transfers!$J$14" display="Transfers!$J$14" xr:uid="{00000000-0004-0000-1000-0000EF000000}"/>
    <hyperlink ref="B137" location="Transfers!$L$14" display="Transfers!$L$14" xr:uid="{00000000-0004-0000-1000-0000F0000000}"/>
    <hyperlink ref="B138" location="Transfers!$M$14" display="Transfers!$M$14" xr:uid="{00000000-0004-0000-1000-0000F1000000}"/>
    <hyperlink ref="B139" location="Transfers!$B$15" display="Transfers!$B$15" xr:uid="{00000000-0004-0000-1000-0000F2000000}"/>
    <hyperlink ref="B140" location="Transfers!$C$15" display="Transfers!$C$15" xr:uid="{00000000-0004-0000-1000-0000F3000000}"/>
    <hyperlink ref="B141" location="Transfers!$D$15" display="Transfers!$D$15" xr:uid="{00000000-0004-0000-1000-0000F4000000}"/>
    <hyperlink ref="B142" location="Transfers!$E$15" display="Transfers!$E$15" xr:uid="{00000000-0004-0000-1000-0000F5000000}"/>
    <hyperlink ref="B143" location="Transfers!$F$15" display="Transfers!$F$15" xr:uid="{00000000-0004-0000-1000-0000F6000000}"/>
    <hyperlink ref="B144" location="Transfers!$G$15" display="Transfers!$G$15" xr:uid="{00000000-0004-0000-1000-0000F7000000}"/>
    <hyperlink ref="B145" location="Transfers!$H$15" display="Transfers!$H$15" xr:uid="{00000000-0004-0000-1000-0000F8000000}"/>
    <hyperlink ref="B146" location="Transfers!$I$15" display="Transfers!$I$15" xr:uid="{00000000-0004-0000-1000-0000F9000000}"/>
    <hyperlink ref="B147" location="Transfers!$J$15" display="Transfers!$J$15" xr:uid="{00000000-0004-0000-1000-0000FA000000}"/>
    <hyperlink ref="B148" location="Transfers!$K$15" display="Transfers!$K$15" xr:uid="{00000000-0004-0000-1000-0000FB000000}"/>
    <hyperlink ref="B150" location="Transfers!$M$15" display="Transfers!$M$15" xr:uid="{00000000-0004-0000-1000-0000FC000000}"/>
    <hyperlink ref="B151" location="Transfers!$B$16" display="Transfers!$B$16" xr:uid="{00000000-0004-0000-1000-0000FD000000}"/>
    <hyperlink ref="B152" location="Transfers!$C$16" display="Transfers!$C$16" xr:uid="{00000000-0004-0000-1000-0000FE000000}"/>
    <hyperlink ref="B153" location="Transfers!$D$16" display="Transfers!$D$16" xr:uid="{00000000-0004-0000-1000-0000FF000000}"/>
    <hyperlink ref="B154" location="Transfers!$E$16" display="Transfers!$E$16" xr:uid="{00000000-0004-0000-1000-000000010000}"/>
    <hyperlink ref="B155" location="Transfers!$F$16" display="Transfers!$F$16" xr:uid="{00000000-0004-0000-1000-000001010000}"/>
    <hyperlink ref="B156" location="Transfers!$G$16" display="Transfers!$G$16" xr:uid="{00000000-0004-0000-1000-000002010000}"/>
    <hyperlink ref="B157" location="Transfers!$H$16" display="Transfers!$H$16" xr:uid="{00000000-0004-0000-1000-000003010000}"/>
    <hyperlink ref="B158" location="Transfers!$I$16" display="Transfers!$I$16" xr:uid="{00000000-0004-0000-1000-000004010000}"/>
    <hyperlink ref="B159" location="Transfers!$J$16" display="Transfers!$J$16" xr:uid="{00000000-0004-0000-1000-000005010000}"/>
    <hyperlink ref="B160" location="Transfers!$K$16" display="Transfers!$K$16" xr:uid="{00000000-0004-0000-1000-000006010000}"/>
    <hyperlink ref="B161" location="Transfers!$L$16" display="Transfers!$L$16" xr:uid="{00000000-0004-0000-1000-000007010000}"/>
    <hyperlink ref="C168" location="Transfers!B183" display="N" xr:uid="{00000000-0004-0000-1000-000008010000}"/>
    <hyperlink ref="D168" location="Transfers!B184" display="N" xr:uid="{00000000-0004-0000-1000-000009010000}"/>
    <hyperlink ref="E168" location="Transfers!B185" display="N" xr:uid="{00000000-0004-0000-1000-00000A010000}"/>
    <hyperlink ref="F168" location="Transfers!B186" display="N" xr:uid="{00000000-0004-0000-1000-00000B010000}"/>
    <hyperlink ref="G168" location="Transfers!B187" display="N" xr:uid="{00000000-0004-0000-1000-00000C010000}"/>
    <hyperlink ref="H168" location="Transfers!B188" display="Y" xr:uid="{00000000-0004-0000-1000-00000D010000}"/>
    <hyperlink ref="I168" location="Transfers!B189" display="N" xr:uid="{00000000-0004-0000-1000-00000E010000}"/>
    <hyperlink ref="J168" location="Transfers!B190" display="N" xr:uid="{00000000-0004-0000-1000-00000F010000}"/>
    <hyperlink ref="K168" location="Transfers!B191" display="N" xr:uid="{00000000-0004-0000-1000-000010010000}"/>
    <hyperlink ref="L168" location="Transfers!B192" display="N" xr:uid="{00000000-0004-0000-1000-000011010000}"/>
    <hyperlink ref="M168" location="Transfers!B193" display="N" xr:uid="{00000000-0004-0000-1000-000012010000}"/>
    <hyperlink ref="B169" location="Transfers!B194" display="N" xr:uid="{00000000-0004-0000-1000-000013010000}"/>
    <hyperlink ref="D169" location="Transfers!B196" display="N" xr:uid="{00000000-0004-0000-1000-000014010000}"/>
    <hyperlink ref="E169" location="Transfers!B197" display="N" xr:uid="{00000000-0004-0000-1000-000015010000}"/>
    <hyperlink ref="F169" location="Transfers!B198" display="N" xr:uid="{00000000-0004-0000-1000-000016010000}"/>
    <hyperlink ref="G169" location="Transfers!B199" display="N" xr:uid="{00000000-0004-0000-1000-000017010000}"/>
    <hyperlink ref="H169" location="Transfers!B200" display="N" xr:uid="{00000000-0004-0000-1000-000018010000}"/>
    <hyperlink ref="I169" location="Transfers!B201" display="Y" xr:uid="{00000000-0004-0000-1000-000019010000}"/>
    <hyperlink ref="J169" location="Transfers!B202" display="N" xr:uid="{00000000-0004-0000-1000-00001A010000}"/>
    <hyperlink ref="K169" location="Transfers!B203" display="N" xr:uid="{00000000-0004-0000-1000-00001B010000}"/>
    <hyperlink ref="L169" location="Transfers!B204" display="N" xr:uid="{00000000-0004-0000-1000-00001C010000}"/>
    <hyperlink ref="M169" location="Transfers!B205" display="N" xr:uid="{00000000-0004-0000-1000-00001D010000}"/>
    <hyperlink ref="B170" location="Transfers!B206" display="N" xr:uid="{00000000-0004-0000-1000-00001E010000}"/>
    <hyperlink ref="C170" location="Transfers!B207" display="N" xr:uid="{00000000-0004-0000-1000-00001F010000}"/>
    <hyperlink ref="E170" location="Transfers!B209" display="N" xr:uid="{00000000-0004-0000-1000-000020010000}"/>
    <hyperlink ref="F170" location="Transfers!B210" display="N" xr:uid="{00000000-0004-0000-1000-000021010000}"/>
    <hyperlink ref="G170" location="Transfers!B211" display="N" xr:uid="{00000000-0004-0000-1000-000022010000}"/>
    <hyperlink ref="H170" location="Transfers!B212" display="N" xr:uid="{00000000-0004-0000-1000-000023010000}"/>
    <hyperlink ref="I170" location="Transfers!B213" display="N" xr:uid="{00000000-0004-0000-1000-000024010000}"/>
    <hyperlink ref="J170" location="Transfers!B214" display="N" xr:uid="{00000000-0004-0000-1000-000025010000}"/>
    <hyperlink ref="K170" location="Transfers!B215" display="N" xr:uid="{00000000-0004-0000-1000-000026010000}"/>
    <hyperlink ref="L170" location="Transfers!B216" display="N" xr:uid="{00000000-0004-0000-1000-000027010000}"/>
    <hyperlink ref="M170" location="Transfers!B217" display="N" xr:uid="{00000000-0004-0000-1000-000028010000}"/>
    <hyperlink ref="B171" location="Transfers!B218" display="N" xr:uid="{00000000-0004-0000-1000-000029010000}"/>
    <hyperlink ref="C171" location="Transfers!B219" display="N" xr:uid="{00000000-0004-0000-1000-00002A010000}"/>
    <hyperlink ref="D171" location="Transfers!B220" display="N" xr:uid="{00000000-0004-0000-1000-00002B010000}"/>
    <hyperlink ref="F171" location="Transfers!B222" display="N" xr:uid="{00000000-0004-0000-1000-00002C010000}"/>
    <hyperlink ref="G171" location="Transfers!B223" display="N" xr:uid="{00000000-0004-0000-1000-00002D010000}"/>
    <hyperlink ref="H171" location="Transfers!B224" display="N" xr:uid="{00000000-0004-0000-1000-00002E010000}"/>
    <hyperlink ref="I171" location="Transfers!B225" display="N" xr:uid="{00000000-0004-0000-1000-00002F010000}"/>
    <hyperlink ref="J171" location="Transfers!B226" display="N" xr:uid="{00000000-0004-0000-1000-000030010000}"/>
    <hyperlink ref="K171" location="Transfers!B227" display="N" xr:uid="{00000000-0004-0000-1000-000031010000}"/>
    <hyperlink ref="L171" location="Transfers!B228" display="N" xr:uid="{00000000-0004-0000-1000-000032010000}"/>
    <hyperlink ref="M171" location="Transfers!B229" display="N" xr:uid="{00000000-0004-0000-1000-000033010000}"/>
    <hyperlink ref="B172" location="Transfers!B230" display="N" xr:uid="{00000000-0004-0000-1000-000034010000}"/>
    <hyperlink ref="C172" location="Transfers!B231" display="N" xr:uid="{00000000-0004-0000-1000-000035010000}"/>
    <hyperlink ref="D172" location="Transfers!B232" display="N" xr:uid="{00000000-0004-0000-1000-000036010000}"/>
    <hyperlink ref="E172" location="Transfers!B233" display="N" xr:uid="{00000000-0004-0000-1000-000037010000}"/>
    <hyperlink ref="G172" location="Transfers!B235" display="N" xr:uid="{00000000-0004-0000-1000-000038010000}"/>
    <hyperlink ref="H172" location="Transfers!B236" display="N" xr:uid="{00000000-0004-0000-1000-000039010000}"/>
    <hyperlink ref="I172" location="Transfers!B237" display="N" xr:uid="{00000000-0004-0000-1000-00003A010000}"/>
    <hyperlink ref="J172" location="Transfers!B238" display="N" xr:uid="{00000000-0004-0000-1000-00003B010000}"/>
    <hyperlink ref="K172" location="Transfers!B239" display="N" xr:uid="{00000000-0004-0000-1000-00003C010000}"/>
    <hyperlink ref="L172" location="Transfers!B240" display="N" xr:uid="{00000000-0004-0000-1000-00003D010000}"/>
    <hyperlink ref="M172" location="Transfers!B241" display="N" xr:uid="{00000000-0004-0000-1000-00003E010000}"/>
    <hyperlink ref="B173" location="Transfers!B242" display="N" xr:uid="{00000000-0004-0000-1000-00003F010000}"/>
    <hyperlink ref="C173" location="Transfers!B243" display="N" xr:uid="{00000000-0004-0000-1000-000040010000}"/>
    <hyperlink ref="D173" location="Transfers!B244" display="N" xr:uid="{00000000-0004-0000-1000-000041010000}"/>
    <hyperlink ref="E173" location="Transfers!B245" display="N" xr:uid="{00000000-0004-0000-1000-000042010000}"/>
    <hyperlink ref="F173" location="Transfers!B246" display="N" xr:uid="{00000000-0004-0000-1000-000043010000}"/>
    <hyperlink ref="H173" location="Transfers!B248" display="N" xr:uid="{00000000-0004-0000-1000-000044010000}"/>
    <hyperlink ref="I173" location="Transfers!B249" display="N" xr:uid="{00000000-0004-0000-1000-000045010000}"/>
    <hyperlink ref="J173" location="Transfers!B250" display="N" xr:uid="{00000000-0004-0000-1000-000046010000}"/>
    <hyperlink ref="K173" location="Transfers!B251" display="N" xr:uid="{00000000-0004-0000-1000-000047010000}"/>
    <hyperlink ref="L173" location="Transfers!B252" display="N" xr:uid="{00000000-0004-0000-1000-000048010000}"/>
    <hyperlink ref="M173" location="Transfers!B253" display="N" xr:uid="{00000000-0004-0000-1000-000049010000}"/>
    <hyperlink ref="B174" location="Transfers!B254" display="Y" xr:uid="{00000000-0004-0000-1000-00004A010000}"/>
    <hyperlink ref="C174" location="Transfers!B255" display="N" xr:uid="{00000000-0004-0000-1000-00004B010000}"/>
    <hyperlink ref="D174" location="Transfers!B256" display="N" xr:uid="{00000000-0004-0000-1000-00004C010000}"/>
    <hyperlink ref="E174" location="Transfers!B257" display="N" xr:uid="{00000000-0004-0000-1000-00004D010000}"/>
    <hyperlink ref="F174" location="Transfers!B258" display="N" xr:uid="{00000000-0004-0000-1000-00004E010000}"/>
    <hyperlink ref="G174" location="Transfers!B259" display="N" xr:uid="{00000000-0004-0000-1000-00004F010000}"/>
    <hyperlink ref="I174" location="Transfers!B261" display="N" xr:uid="{00000000-0004-0000-1000-000050010000}"/>
    <hyperlink ref="J174" location="Transfers!B262" display="N" xr:uid="{00000000-0004-0000-1000-000051010000}"/>
    <hyperlink ref="K174" location="Transfers!B263" display="N" xr:uid="{00000000-0004-0000-1000-000052010000}"/>
    <hyperlink ref="L174" location="Transfers!B264" display="N" xr:uid="{00000000-0004-0000-1000-000053010000}"/>
    <hyperlink ref="M174" location="Transfers!B265" display="N" xr:uid="{00000000-0004-0000-1000-000054010000}"/>
    <hyperlink ref="B175" location="Transfers!B266" display="N" xr:uid="{00000000-0004-0000-1000-000055010000}"/>
    <hyperlink ref="C175" location="Transfers!B267" display="Y" xr:uid="{00000000-0004-0000-1000-000056010000}"/>
    <hyperlink ref="D175" location="Transfers!B268" display="N" xr:uid="{00000000-0004-0000-1000-000057010000}"/>
    <hyperlink ref="E175" location="Transfers!B269" display="N" xr:uid="{00000000-0004-0000-1000-000058010000}"/>
    <hyperlink ref="F175" location="Transfers!B270" display="N" xr:uid="{00000000-0004-0000-1000-000059010000}"/>
    <hyperlink ref="G175" location="Transfers!B271" display="N" xr:uid="{00000000-0004-0000-1000-00005A010000}"/>
    <hyperlink ref="H175" location="Transfers!B272" display="N" xr:uid="{00000000-0004-0000-1000-00005B010000}"/>
    <hyperlink ref="J175" location="Transfers!B274" display="N" xr:uid="{00000000-0004-0000-1000-00005C010000}"/>
    <hyperlink ref="K175" location="Transfers!B275" display="N" xr:uid="{00000000-0004-0000-1000-00005D010000}"/>
    <hyperlink ref="L175" location="Transfers!B276" display="N" xr:uid="{00000000-0004-0000-1000-00005E010000}"/>
    <hyperlink ref="M175" location="Transfers!B277" display="N" xr:uid="{00000000-0004-0000-1000-00005F010000}"/>
    <hyperlink ref="B176" location="Transfers!B278" display="N" xr:uid="{00000000-0004-0000-1000-000060010000}"/>
    <hyperlink ref="C176" location="Transfers!B279" display="N" xr:uid="{00000000-0004-0000-1000-000061010000}"/>
    <hyperlink ref="D176" location="Transfers!B280" display="N" xr:uid="{00000000-0004-0000-1000-000062010000}"/>
    <hyperlink ref="E176" location="Transfers!B281" display="N" xr:uid="{00000000-0004-0000-1000-000063010000}"/>
    <hyperlink ref="F176" location="Transfers!B282" display="N" xr:uid="{00000000-0004-0000-1000-000064010000}"/>
    <hyperlink ref="G176" location="Transfers!B283" display="N" xr:uid="{00000000-0004-0000-1000-000065010000}"/>
    <hyperlink ref="H176" location="Transfers!B284" display="N" xr:uid="{00000000-0004-0000-1000-000066010000}"/>
    <hyperlink ref="I176" location="Transfers!B285" display="N" xr:uid="{00000000-0004-0000-1000-000067010000}"/>
    <hyperlink ref="K176" location="Transfers!B287" display="N" xr:uid="{00000000-0004-0000-1000-000068010000}"/>
    <hyperlink ref="L176" location="Transfers!B288" display="N" xr:uid="{00000000-0004-0000-1000-000069010000}"/>
    <hyperlink ref="M176" location="Transfers!B289" display="N" xr:uid="{00000000-0004-0000-1000-00006A010000}"/>
    <hyperlink ref="B177" location="Transfers!B290" display="N" xr:uid="{00000000-0004-0000-1000-00006B010000}"/>
    <hyperlink ref="C177" location="Transfers!B291" display="N" xr:uid="{00000000-0004-0000-1000-00006C010000}"/>
    <hyperlink ref="D177" location="Transfers!B292" display="N" xr:uid="{00000000-0004-0000-1000-00006D010000}"/>
    <hyperlink ref="E177" location="Transfers!B293" display="N" xr:uid="{00000000-0004-0000-1000-00006E010000}"/>
    <hyperlink ref="F177" location="Transfers!B294" display="N" xr:uid="{00000000-0004-0000-1000-00006F010000}"/>
    <hyperlink ref="G177" location="Transfers!B295" display="N" xr:uid="{00000000-0004-0000-1000-000070010000}"/>
    <hyperlink ref="H177" location="Transfers!B296" display="N" xr:uid="{00000000-0004-0000-1000-000071010000}"/>
    <hyperlink ref="I177" location="Transfers!B297" display="N" xr:uid="{00000000-0004-0000-1000-000072010000}"/>
    <hyperlink ref="J177" location="Transfers!B298" display="N" xr:uid="{00000000-0004-0000-1000-000073010000}"/>
    <hyperlink ref="L177" location="Transfers!B300" display="N" xr:uid="{00000000-0004-0000-1000-000074010000}"/>
    <hyperlink ref="M177" location="Transfers!B301" display="N" xr:uid="{00000000-0004-0000-1000-000075010000}"/>
    <hyperlink ref="B178" location="Transfers!B302" display="N" xr:uid="{00000000-0004-0000-1000-000076010000}"/>
    <hyperlink ref="C178" location="Transfers!B303" display="N" xr:uid="{00000000-0004-0000-1000-000077010000}"/>
    <hyperlink ref="D178" location="Transfers!B304" display="N" xr:uid="{00000000-0004-0000-1000-000078010000}"/>
    <hyperlink ref="E178" location="Transfers!B305" display="N" xr:uid="{00000000-0004-0000-1000-000079010000}"/>
    <hyperlink ref="F178" location="Transfers!B306" display="N" xr:uid="{00000000-0004-0000-1000-00007A010000}"/>
    <hyperlink ref="G178" location="Transfers!B307" display="N" xr:uid="{00000000-0004-0000-1000-00007B010000}"/>
    <hyperlink ref="H178" location="Transfers!B308" display="N" xr:uid="{00000000-0004-0000-1000-00007C010000}"/>
    <hyperlink ref="I178" location="Transfers!B309" display="N" xr:uid="{00000000-0004-0000-1000-00007D010000}"/>
    <hyperlink ref="J178" location="Transfers!B310" display="N" xr:uid="{00000000-0004-0000-1000-00007E010000}"/>
    <hyperlink ref="K178" location="Transfers!B311" display="N" xr:uid="{00000000-0004-0000-1000-00007F010000}"/>
    <hyperlink ref="M178" location="Transfers!B313" display="N" xr:uid="{00000000-0004-0000-1000-000080010000}"/>
    <hyperlink ref="B179" location="Transfers!B314" display="N" xr:uid="{00000000-0004-0000-1000-000081010000}"/>
    <hyperlink ref="C179" location="Transfers!B315" display="N" xr:uid="{00000000-0004-0000-1000-000082010000}"/>
    <hyperlink ref="D179" location="Transfers!B316" display="N" xr:uid="{00000000-0004-0000-1000-000083010000}"/>
    <hyperlink ref="E179" location="Transfers!B317" display="N" xr:uid="{00000000-0004-0000-1000-000084010000}"/>
    <hyperlink ref="F179" location="Transfers!B318" display="N" xr:uid="{00000000-0004-0000-1000-000085010000}"/>
    <hyperlink ref="G179" location="Transfers!B319" display="N" xr:uid="{00000000-0004-0000-1000-000086010000}"/>
    <hyperlink ref="H179" location="Transfers!B320" display="N" xr:uid="{00000000-0004-0000-1000-000087010000}"/>
    <hyperlink ref="I179" location="Transfers!B321" display="N" xr:uid="{00000000-0004-0000-1000-000088010000}"/>
    <hyperlink ref="J179" location="Transfers!B322" display="N" xr:uid="{00000000-0004-0000-1000-000089010000}"/>
    <hyperlink ref="K179" location="Transfers!B323" display="N" xr:uid="{00000000-0004-0000-1000-00008A010000}"/>
    <hyperlink ref="L179" location="Transfers!B324" display="N" xr:uid="{00000000-0004-0000-1000-00008B010000}"/>
    <hyperlink ref="B183" location="Transfers!$C$168" display="Transfers!$C$168" xr:uid="{00000000-0004-0000-1000-00008C010000}"/>
    <hyperlink ref="B184" location="Transfers!$D$168" display="Transfers!$D$168" xr:uid="{00000000-0004-0000-1000-00008D010000}"/>
    <hyperlink ref="B185" location="Transfers!$E$168" display="Transfers!$E$168" xr:uid="{00000000-0004-0000-1000-00008E010000}"/>
    <hyperlink ref="B186" location="Transfers!$F$168" display="Transfers!$F$168" xr:uid="{00000000-0004-0000-1000-00008F010000}"/>
    <hyperlink ref="B187" location="Transfers!$G$168" display="Transfers!$G$168" xr:uid="{00000000-0004-0000-1000-000090010000}"/>
    <hyperlink ref="B188" location="Transfers!$H$168" display="Transfers!$H$168" xr:uid="{00000000-0004-0000-1000-000091010000}"/>
    <hyperlink ref="B189" location="Transfers!$I$168" display="Transfers!$I$168" xr:uid="{00000000-0004-0000-1000-000092010000}"/>
    <hyperlink ref="B190" location="Transfers!$J$168" display="Transfers!$J$168" xr:uid="{00000000-0004-0000-1000-000093010000}"/>
    <hyperlink ref="B191" location="Transfers!$K$168" display="Transfers!$K$168" xr:uid="{00000000-0004-0000-1000-000094010000}"/>
    <hyperlink ref="B192" location="Transfers!$L$168" display="Transfers!$L$168" xr:uid="{00000000-0004-0000-1000-000095010000}"/>
    <hyperlink ref="B193" location="Transfers!$M$168" display="Transfers!$M$168" xr:uid="{00000000-0004-0000-1000-000096010000}"/>
    <hyperlink ref="B194" location="Transfers!$B$169" display="Transfers!$B$169" xr:uid="{00000000-0004-0000-1000-000097010000}"/>
    <hyperlink ref="B196" location="Transfers!$D$169" display="Transfers!$D$169" xr:uid="{00000000-0004-0000-1000-000098010000}"/>
    <hyperlink ref="B197" location="Transfers!$E$169" display="Transfers!$E$169" xr:uid="{00000000-0004-0000-1000-000099010000}"/>
    <hyperlink ref="B198" location="Transfers!$F$169" display="Transfers!$F$169" xr:uid="{00000000-0004-0000-1000-00009A010000}"/>
    <hyperlink ref="B199" location="Transfers!$G$169" display="Transfers!$G$169" xr:uid="{00000000-0004-0000-1000-00009B010000}"/>
    <hyperlink ref="B200" location="Transfers!$H$169" display="Transfers!$H$169" xr:uid="{00000000-0004-0000-1000-00009C010000}"/>
    <hyperlink ref="B201" location="Transfers!$I$169" display="Transfers!$I$169" xr:uid="{00000000-0004-0000-1000-00009D010000}"/>
    <hyperlink ref="B202" location="Transfers!$J$169" display="Transfers!$J$169" xr:uid="{00000000-0004-0000-1000-00009E010000}"/>
    <hyperlink ref="B203" location="Transfers!$K$169" display="Transfers!$K$169" xr:uid="{00000000-0004-0000-1000-00009F010000}"/>
    <hyperlink ref="B204" location="Transfers!$L$169" display="Transfers!$L$169" xr:uid="{00000000-0004-0000-1000-0000A0010000}"/>
    <hyperlink ref="B205" location="Transfers!$M$169" display="Transfers!$M$169" xr:uid="{00000000-0004-0000-1000-0000A1010000}"/>
    <hyperlink ref="B206" location="Transfers!$B$170" display="Transfers!$B$170" xr:uid="{00000000-0004-0000-1000-0000A2010000}"/>
    <hyperlink ref="B207" location="Transfers!$C$170" display="Transfers!$C$170" xr:uid="{00000000-0004-0000-1000-0000A3010000}"/>
    <hyperlink ref="B209" location="Transfers!$E$170" display="Transfers!$E$170" xr:uid="{00000000-0004-0000-1000-0000A4010000}"/>
    <hyperlink ref="B210" location="Transfers!$F$170" display="Transfers!$F$170" xr:uid="{00000000-0004-0000-1000-0000A5010000}"/>
    <hyperlink ref="B211" location="Transfers!$G$170" display="Transfers!$G$170" xr:uid="{00000000-0004-0000-1000-0000A6010000}"/>
    <hyperlink ref="B212" location="Transfers!$H$170" display="Transfers!$H$170" xr:uid="{00000000-0004-0000-1000-0000A7010000}"/>
    <hyperlink ref="B213" location="Transfers!$I$170" display="Transfers!$I$170" xr:uid="{00000000-0004-0000-1000-0000A8010000}"/>
    <hyperlink ref="B214" location="Transfers!$J$170" display="Transfers!$J$170" xr:uid="{00000000-0004-0000-1000-0000A9010000}"/>
    <hyperlink ref="B215" location="Transfers!$K$170" display="Transfers!$K$170" xr:uid="{00000000-0004-0000-1000-0000AA010000}"/>
    <hyperlink ref="B216" location="Transfers!$L$170" display="Transfers!$L$170" xr:uid="{00000000-0004-0000-1000-0000AB010000}"/>
    <hyperlink ref="B217" location="Transfers!$M$170" display="Transfers!$M$170" xr:uid="{00000000-0004-0000-1000-0000AC010000}"/>
    <hyperlink ref="B218" location="Transfers!$B$171" display="Transfers!$B$171" xr:uid="{00000000-0004-0000-1000-0000AD010000}"/>
    <hyperlink ref="B219" location="Transfers!$C$171" display="Transfers!$C$171" xr:uid="{00000000-0004-0000-1000-0000AE010000}"/>
    <hyperlink ref="B220" location="Transfers!$D$171" display="Transfers!$D$171" xr:uid="{00000000-0004-0000-1000-0000AF010000}"/>
    <hyperlink ref="B222" location="Transfers!$F$171" display="Transfers!$F$171" xr:uid="{00000000-0004-0000-1000-0000B0010000}"/>
    <hyperlink ref="B223" location="Transfers!$G$171" display="Transfers!$G$171" xr:uid="{00000000-0004-0000-1000-0000B1010000}"/>
    <hyperlink ref="B224" location="Transfers!$H$171" display="Transfers!$H$171" xr:uid="{00000000-0004-0000-1000-0000B2010000}"/>
    <hyperlink ref="B225" location="Transfers!$I$171" display="Transfers!$I$171" xr:uid="{00000000-0004-0000-1000-0000B3010000}"/>
    <hyperlink ref="B226" location="Transfers!$J$171" display="Transfers!$J$171" xr:uid="{00000000-0004-0000-1000-0000B4010000}"/>
    <hyperlink ref="B227" location="Transfers!$K$171" display="Transfers!$K$171" xr:uid="{00000000-0004-0000-1000-0000B5010000}"/>
    <hyperlink ref="B228" location="Transfers!$L$171" display="Transfers!$L$171" xr:uid="{00000000-0004-0000-1000-0000B6010000}"/>
    <hyperlink ref="B229" location="Transfers!$M$171" display="Transfers!$M$171" xr:uid="{00000000-0004-0000-1000-0000B7010000}"/>
    <hyperlink ref="B230" location="Transfers!$B$172" display="Transfers!$B$172" xr:uid="{00000000-0004-0000-1000-0000B8010000}"/>
    <hyperlink ref="B231" location="Transfers!$C$172" display="Transfers!$C$172" xr:uid="{00000000-0004-0000-1000-0000B9010000}"/>
    <hyperlink ref="B232" location="Transfers!$D$172" display="Transfers!$D$172" xr:uid="{00000000-0004-0000-1000-0000BA010000}"/>
    <hyperlink ref="B233" location="Transfers!$E$172" display="Transfers!$E$172" xr:uid="{00000000-0004-0000-1000-0000BB010000}"/>
    <hyperlink ref="B235" location="Transfers!$G$172" display="Transfers!$G$172" xr:uid="{00000000-0004-0000-1000-0000BC010000}"/>
    <hyperlink ref="B236" location="Transfers!$H$172" display="Transfers!$H$172" xr:uid="{00000000-0004-0000-1000-0000BD010000}"/>
    <hyperlink ref="B237" location="Transfers!$I$172" display="Transfers!$I$172" xr:uid="{00000000-0004-0000-1000-0000BE010000}"/>
    <hyperlink ref="B238" location="Transfers!$J$172" display="Transfers!$J$172" xr:uid="{00000000-0004-0000-1000-0000BF010000}"/>
    <hyperlink ref="B239" location="Transfers!$K$172" display="Transfers!$K$172" xr:uid="{00000000-0004-0000-1000-0000C0010000}"/>
    <hyperlink ref="B240" location="Transfers!$L$172" display="Transfers!$L$172" xr:uid="{00000000-0004-0000-1000-0000C1010000}"/>
    <hyperlink ref="B241" location="Transfers!$M$172" display="Transfers!$M$172" xr:uid="{00000000-0004-0000-1000-0000C2010000}"/>
    <hyperlink ref="B242" location="Transfers!$B$173" display="Transfers!$B$173" xr:uid="{00000000-0004-0000-1000-0000C3010000}"/>
    <hyperlink ref="B243" location="Transfers!$C$173" display="Transfers!$C$173" xr:uid="{00000000-0004-0000-1000-0000C4010000}"/>
    <hyperlink ref="B244" location="Transfers!$D$173" display="Transfers!$D$173" xr:uid="{00000000-0004-0000-1000-0000C5010000}"/>
    <hyperlink ref="B245" location="Transfers!$E$173" display="Transfers!$E$173" xr:uid="{00000000-0004-0000-1000-0000C6010000}"/>
    <hyperlink ref="B246" location="Transfers!$F$173" display="Transfers!$F$173" xr:uid="{00000000-0004-0000-1000-0000C7010000}"/>
    <hyperlink ref="B248" location="Transfers!$H$173" display="Transfers!$H$173" xr:uid="{00000000-0004-0000-1000-0000C8010000}"/>
    <hyperlink ref="B249" location="Transfers!$I$173" display="Transfers!$I$173" xr:uid="{00000000-0004-0000-1000-0000C9010000}"/>
    <hyperlink ref="B250" location="Transfers!$J$173" display="Transfers!$J$173" xr:uid="{00000000-0004-0000-1000-0000CA010000}"/>
    <hyperlink ref="B251" location="Transfers!$K$173" display="Transfers!$K$173" xr:uid="{00000000-0004-0000-1000-0000CB010000}"/>
    <hyperlink ref="B252" location="Transfers!$L$173" display="Transfers!$L$173" xr:uid="{00000000-0004-0000-1000-0000CC010000}"/>
    <hyperlink ref="B253" location="Transfers!$M$173" display="Transfers!$M$173" xr:uid="{00000000-0004-0000-1000-0000CD010000}"/>
    <hyperlink ref="B254" location="Transfers!$B$174" display="Transfers!$B$174" xr:uid="{00000000-0004-0000-1000-0000CE010000}"/>
    <hyperlink ref="B255" location="Transfers!$C$174" display="Transfers!$C$174" xr:uid="{00000000-0004-0000-1000-0000CF010000}"/>
    <hyperlink ref="B256" location="Transfers!$D$174" display="Transfers!$D$174" xr:uid="{00000000-0004-0000-1000-0000D0010000}"/>
    <hyperlink ref="B257" location="Transfers!$E$174" display="Transfers!$E$174" xr:uid="{00000000-0004-0000-1000-0000D1010000}"/>
    <hyperlink ref="B258" location="Transfers!$F$174" display="Transfers!$F$174" xr:uid="{00000000-0004-0000-1000-0000D2010000}"/>
    <hyperlink ref="B259" location="Transfers!$G$174" display="Transfers!$G$174" xr:uid="{00000000-0004-0000-1000-0000D3010000}"/>
    <hyperlink ref="B261" location="Transfers!$I$174" display="Transfers!$I$174" xr:uid="{00000000-0004-0000-1000-0000D4010000}"/>
    <hyperlink ref="B262" location="Transfers!$J$174" display="Transfers!$J$174" xr:uid="{00000000-0004-0000-1000-0000D5010000}"/>
    <hyperlink ref="B263" location="Transfers!$K$174" display="Transfers!$K$174" xr:uid="{00000000-0004-0000-1000-0000D6010000}"/>
    <hyperlink ref="B264" location="Transfers!$L$174" display="Transfers!$L$174" xr:uid="{00000000-0004-0000-1000-0000D7010000}"/>
    <hyperlink ref="B265" location="Transfers!$M$174" display="Transfers!$M$174" xr:uid="{00000000-0004-0000-1000-0000D8010000}"/>
    <hyperlink ref="B266" location="Transfers!$B$175" display="Transfers!$B$175" xr:uid="{00000000-0004-0000-1000-0000D9010000}"/>
    <hyperlink ref="B267" location="Transfers!$C$175" display="Transfers!$C$175" xr:uid="{00000000-0004-0000-1000-0000DA010000}"/>
    <hyperlink ref="B268" location="Transfers!$D$175" display="Transfers!$D$175" xr:uid="{00000000-0004-0000-1000-0000DB010000}"/>
    <hyperlink ref="B269" location="Transfers!$E$175" display="Transfers!$E$175" xr:uid="{00000000-0004-0000-1000-0000DC010000}"/>
    <hyperlink ref="B270" location="Transfers!$F$175" display="Transfers!$F$175" xr:uid="{00000000-0004-0000-1000-0000DD010000}"/>
    <hyperlink ref="B271" location="Transfers!$G$175" display="Transfers!$G$175" xr:uid="{00000000-0004-0000-1000-0000DE010000}"/>
    <hyperlink ref="B272" location="Transfers!$H$175" display="Transfers!$H$175" xr:uid="{00000000-0004-0000-1000-0000DF010000}"/>
    <hyperlink ref="B274" location="Transfers!$J$175" display="Transfers!$J$175" xr:uid="{00000000-0004-0000-1000-0000E0010000}"/>
    <hyperlink ref="B275" location="Transfers!$K$175" display="Transfers!$K$175" xr:uid="{00000000-0004-0000-1000-0000E1010000}"/>
    <hyperlink ref="B276" location="Transfers!$L$175" display="Transfers!$L$175" xr:uid="{00000000-0004-0000-1000-0000E2010000}"/>
    <hyperlink ref="B277" location="Transfers!$M$175" display="Transfers!$M$175" xr:uid="{00000000-0004-0000-1000-0000E3010000}"/>
    <hyperlink ref="B278" location="Transfers!$B$176" display="Transfers!$B$176" xr:uid="{00000000-0004-0000-1000-0000E4010000}"/>
    <hyperlink ref="B279" location="Transfers!$C$176" display="Transfers!$C$176" xr:uid="{00000000-0004-0000-1000-0000E5010000}"/>
    <hyperlink ref="B280" location="Transfers!$D$176" display="Transfers!$D$176" xr:uid="{00000000-0004-0000-1000-0000E6010000}"/>
    <hyperlink ref="B281" location="Transfers!$E$176" display="Transfers!$E$176" xr:uid="{00000000-0004-0000-1000-0000E7010000}"/>
    <hyperlink ref="B282" location="Transfers!$F$176" display="Transfers!$F$176" xr:uid="{00000000-0004-0000-1000-0000E8010000}"/>
    <hyperlink ref="B283" location="Transfers!$G$176" display="Transfers!$G$176" xr:uid="{00000000-0004-0000-1000-0000E9010000}"/>
    <hyperlink ref="B284" location="Transfers!$H$176" display="Transfers!$H$176" xr:uid="{00000000-0004-0000-1000-0000EA010000}"/>
    <hyperlink ref="B285" location="Transfers!$I$176" display="Transfers!$I$176" xr:uid="{00000000-0004-0000-1000-0000EB010000}"/>
    <hyperlink ref="B287" location="Transfers!$K$176" display="Transfers!$K$176" xr:uid="{00000000-0004-0000-1000-0000EC010000}"/>
    <hyperlink ref="B288" location="Transfers!$L$176" display="Transfers!$L$176" xr:uid="{00000000-0004-0000-1000-0000ED010000}"/>
    <hyperlink ref="B289" location="Transfers!$M$176" display="Transfers!$M$176" xr:uid="{00000000-0004-0000-1000-0000EE010000}"/>
    <hyperlink ref="B290" location="Transfers!$B$177" display="Transfers!$B$177" xr:uid="{00000000-0004-0000-1000-0000EF010000}"/>
    <hyperlink ref="B291" location="Transfers!$C$177" display="Transfers!$C$177" xr:uid="{00000000-0004-0000-1000-0000F0010000}"/>
    <hyperlink ref="B292" location="Transfers!$D$177" display="Transfers!$D$177" xr:uid="{00000000-0004-0000-1000-0000F1010000}"/>
    <hyperlink ref="B293" location="Transfers!$E$177" display="Transfers!$E$177" xr:uid="{00000000-0004-0000-1000-0000F2010000}"/>
    <hyperlink ref="B294" location="Transfers!$F$177" display="Transfers!$F$177" xr:uid="{00000000-0004-0000-1000-0000F3010000}"/>
    <hyperlink ref="B295" location="Transfers!$G$177" display="Transfers!$G$177" xr:uid="{00000000-0004-0000-1000-0000F4010000}"/>
    <hyperlink ref="B296" location="Transfers!$H$177" display="Transfers!$H$177" xr:uid="{00000000-0004-0000-1000-0000F5010000}"/>
    <hyperlink ref="B297" location="Transfers!$I$177" display="Transfers!$I$177" xr:uid="{00000000-0004-0000-1000-0000F6010000}"/>
    <hyperlink ref="B298" location="Transfers!$J$177" display="Transfers!$J$177" xr:uid="{00000000-0004-0000-1000-0000F7010000}"/>
    <hyperlink ref="B300" location="Transfers!$L$177" display="Transfers!$L$177" xr:uid="{00000000-0004-0000-1000-0000F8010000}"/>
    <hyperlink ref="B301" location="Transfers!$M$177" display="Transfers!$M$177" xr:uid="{00000000-0004-0000-1000-0000F9010000}"/>
    <hyperlink ref="B302" location="Transfers!$B$178" display="Transfers!$B$178" xr:uid="{00000000-0004-0000-1000-0000FA010000}"/>
    <hyperlink ref="B303" location="Transfers!$C$178" display="Transfers!$C$178" xr:uid="{00000000-0004-0000-1000-0000FB010000}"/>
    <hyperlink ref="B304" location="Transfers!$D$178" display="Transfers!$D$178" xr:uid="{00000000-0004-0000-1000-0000FC010000}"/>
    <hyperlink ref="B305" location="Transfers!$E$178" display="Transfers!$E$178" xr:uid="{00000000-0004-0000-1000-0000FD010000}"/>
    <hyperlink ref="B306" location="Transfers!$F$178" display="Transfers!$F$178" xr:uid="{00000000-0004-0000-1000-0000FE010000}"/>
    <hyperlink ref="B307" location="Transfers!$G$178" display="Transfers!$G$178" xr:uid="{00000000-0004-0000-1000-0000FF010000}"/>
    <hyperlink ref="B308" location="Transfers!$H$178" display="Transfers!$H$178" xr:uid="{00000000-0004-0000-1000-000000020000}"/>
    <hyperlink ref="B309" location="Transfers!$I$178" display="Transfers!$I$178" xr:uid="{00000000-0004-0000-1000-000001020000}"/>
    <hyperlink ref="B310" location="Transfers!$J$178" display="Transfers!$J$178" xr:uid="{00000000-0004-0000-1000-000002020000}"/>
    <hyperlink ref="B311" location="Transfers!$K$178" display="Transfers!$K$178" xr:uid="{00000000-0004-0000-1000-000003020000}"/>
    <hyperlink ref="B313" location="Transfers!$M$178" display="Transfers!$M$178" xr:uid="{00000000-0004-0000-1000-000004020000}"/>
    <hyperlink ref="B314" location="Transfers!$B$179" display="Transfers!$B$179" xr:uid="{00000000-0004-0000-1000-000005020000}"/>
    <hyperlink ref="B315" location="Transfers!$C$179" display="Transfers!$C$179" xr:uid="{00000000-0004-0000-1000-000006020000}"/>
    <hyperlink ref="B316" location="Transfers!$D$179" display="Transfers!$D$179" xr:uid="{00000000-0004-0000-1000-000007020000}"/>
    <hyperlink ref="B317" location="Transfers!$E$179" display="Transfers!$E$179" xr:uid="{00000000-0004-0000-1000-000008020000}"/>
    <hyperlink ref="B318" location="Transfers!$F$179" display="Transfers!$F$179" xr:uid="{00000000-0004-0000-1000-000009020000}"/>
    <hyperlink ref="B319" location="Transfers!$G$179" display="Transfers!$G$179" xr:uid="{00000000-0004-0000-1000-00000A020000}"/>
    <hyperlink ref="B320" location="Transfers!$H$179" display="Transfers!$H$179" xr:uid="{00000000-0004-0000-1000-00000B020000}"/>
    <hyperlink ref="B321" location="Transfers!$I$179" display="Transfers!$I$179" xr:uid="{00000000-0004-0000-1000-00000C020000}"/>
    <hyperlink ref="B322" location="Transfers!$J$179" display="Transfers!$J$179" xr:uid="{00000000-0004-0000-1000-00000D020000}"/>
    <hyperlink ref="B323" location="Transfers!$K$179" display="Transfers!$K$179" xr:uid="{00000000-0004-0000-1000-00000E020000}"/>
    <hyperlink ref="B324" location="Transfers!$L$179" display="Transfers!$L$179" xr:uid="{00000000-0004-0000-1000-00000F020000}"/>
    <hyperlink ref="C331" location="Transfers!B346" display="N" xr:uid="{00000000-0004-0000-1000-000010020000}"/>
    <hyperlink ref="D331" location="Transfers!B347" display="N" xr:uid="{00000000-0004-0000-1000-000011020000}"/>
    <hyperlink ref="E331" location="Transfers!B348" display="N" xr:uid="{00000000-0004-0000-1000-000012020000}"/>
    <hyperlink ref="F331" location="Transfers!B349" display="N" xr:uid="{00000000-0004-0000-1000-000013020000}"/>
    <hyperlink ref="G331" location="Transfers!B350" display="N" xr:uid="{00000000-0004-0000-1000-000014020000}"/>
    <hyperlink ref="H331" location="Transfers!B351" display="N" xr:uid="{00000000-0004-0000-1000-000015020000}"/>
    <hyperlink ref="I331" location="Transfers!B352" display="N" xr:uid="{00000000-0004-0000-1000-000016020000}"/>
    <hyperlink ref="J331" location="Transfers!B353" display="N" xr:uid="{00000000-0004-0000-1000-000017020000}"/>
    <hyperlink ref="K331" location="Transfers!B354" display="N" xr:uid="{00000000-0004-0000-1000-000018020000}"/>
    <hyperlink ref="L331" location="Transfers!B355" display="Y" xr:uid="{00000000-0004-0000-1000-000019020000}"/>
    <hyperlink ref="M331" location="Transfers!B356" display="N" xr:uid="{00000000-0004-0000-1000-00001A020000}"/>
    <hyperlink ref="B332" location="Transfers!B357" display="N" xr:uid="{00000000-0004-0000-1000-00001B020000}"/>
    <hyperlink ref="D332" location="Transfers!B359" display="N" xr:uid="{00000000-0004-0000-1000-00001C020000}"/>
    <hyperlink ref="E332" location="Transfers!B360" display="N" xr:uid="{00000000-0004-0000-1000-00001D020000}"/>
    <hyperlink ref="F332" location="Transfers!B361" display="N" xr:uid="{00000000-0004-0000-1000-00001E020000}"/>
    <hyperlink ref="G332" location="Transfers!B362" display="N" xr:uid="{00000000-0004-0000-1000-00001F020000}"/>
    <hyperlink ref="H332" location="Transfers!B363" display="N" xr:uid="{00000000-0004-0000-1000-000020020000}"/>
    <hyperlink ref="I332" location="Transfers!B364" display="N" xr:uid="{00000000-0004-0000-1000-000021020000}"/>
    <hyperlink ref="J332" location="Transfers!B365" display="N" xr:uid="{00000000-0004-0000-1000-000022020000}"/>
    <hyperlink ref="K332" location="Transfers!B366" display="N" xr:uid="{00000000-0004-0000-1000-000023020000}"/>
    <hyperlink ref="L332" location="Transfers!B367" display="N" xr:uid="{00000000-0004-0000-1000-000024020000}"/>
    <hyperlink ref="M332" location="Transfers!B368" display="Y" xr:uid="{00000000-0004-0000-1000-000025020000}"/>
    <hyperlink ref="B333" location="Transfers!B369" display="N" xr:uid="{00000000-0004-0000-1000-000026020000}"/>
    <hyperlink ref="C333" location="Transfers!B370" display="N" xr:uid="{00000000-0004-0000-1000-000027020000}"/>
    <hyperlink ref="E333" location="Transfers!B372" display="N" xr:uid="{00000000-0004-0000-1000-000028020000}"/>
    <hyperlink ref="F333" location="Transfers!B373" display="N" xr:uid="{00000000-0004-0000-1000-000029020000}"/>
    <hyperlink ref="G333" location="Transfers!B374" display="N" xr:uid="{00000000-0004-0000-1000-00002A020000}"/>
    <hyperlink ref="H333" location="Transfers!B375" display="N" xr:uid="{00000000-0004-0000-1000-00002B020000}"/>
    <hyperlink ref="I333" location="Transfers!B376" display="N" xr:uid="{00000000-0004-0000-1000-00002C020000}"/>
    <hyperlink ref="J333" location="Transfers!B377" display="N" xr:uid="{00000000-0004-0000-1000-00002D020000}"/>
    <hyperlink ref="K333" location="Transfers!B378" display="N" xr:uid="{00000000-0004-0000-1000-00002E020000}"/>
    <hyperlink ref="L333" location="Transfers!B379" display="N" xr:uid="{00000000-0004-0000-1000-00002F020000}"/>
    <hyperlink ref="M333" location="Transfers!B380" display="N" xr:uid="{00000000-0004-0000-1000-000030020000}"/>
    <hyperlink ref="B334" location="Transfers!B381" display="N" xr:uid="{00000000-0004-0000-1000-000031020000}"/>
    <hyperlink ref="C334" location="Transfers!B382" display="N" xr:uid="{00000000-0004-0000-1000-000032020000}"/>
    <hyperlink ref="D334" location="Transfers!B383" display="N" xr:uid="{00000000-0004-0000-1000-000033020000}"/>
    <hyperlink ref="F334" location="Transfers!B385" display="N" xr:uid="{00000000-0004-0000-1000-000034020000}"/>
    <hyperlink ref="G334" location="Transfers!B386" display="N" xr:uid="{00000000-0004-0000-1000-000035020000}"/>
    <hyperlink ref="H334" location="Transfers!B387" display="N" xr:uid="{00000000-0004-0000-1000-000036020000}"/>
    <hyperlink ref="I334" location="Transfers!B388" display="N" xr:uid="{00000000-0004-0000-1000-000037020000}"/>
    <hyperlink ref="J334" location="Transfers!B389" display="N" xr:uid="{00000000-0004-0000-1000-000038020000}"/>
    <hyperlink ref="K334" location="Transfers!B390" display="N" xr:uid="{00000000-0004-0000-1000-000039020000}"/>
    <hyperlink ref="L334" location="Transfers!B391" display="N" xr:uid="{00000000-0004-0000-1000-00003A020000}"/>
    <hyperlink ref="M334" location="Transfers!B392" display="N" xr:uid="{00000000-0004-0000-1000-00003B020000}"/>
    <hyperlink ref="B335" location="Transfers!B393" display="N" xr:uid="{00000000-0004-0000-1000-00003C020000}"/>
    <hyperlink ref="C335" location="Transfers!B394" display="N" xr:uid="{00000000-0004-0000-1000-00003D020000}"/>
    <hyperlink ref="D335" location="Transfers!B395" display="N" xr:uid="{00000000-0004-0000-1000-00003E020000}"/>
    <hyperlink ref="E335" location="Transfers!B396" display="N" xr:uid="{00000000-0004-0000-1000-00003F020000}"/>
    <hyperlink ref="G335" location="Transfers!B398" display="N" xr:uid="{00000000-0004-0000-1000-000040020000}"/>
    <hyperlink ref="H335" location="Transfers!B399" display="N" xr:uid="{00000000-0004-0000-1000-000041020000}"/>
    <hyperlink ref="I335" location="Transfers!B400" display="N" xr:uid="{00000000-0004-0000-1000-000042020000}"/>
    <hyperlink ref="J335" location="Transfers!B401" display="N" xr:uid="{00000000-0004-0000-1000-000043020000}"/>
    <hyperlink ref="K335" location="Transfers!B402" display="N" xr:uid="{00000000-0004-0000-1000-000044020000}"/>
    <hyperlink ref="L335" location="Transfers!B403" display="N" xr:uid="{00000000-0004-0000-1000-000045020000}"/>
    <hyperlink ref="M335" location="Transfers!B404" display="N" xr:uid="{00000000-0004-0000-1000-000046020000}"/>
    <hyperlink ref="B336" location="Transfers!B405" display="N" xr:uid="{00000000-0004-0000-1000-000047020000}"/>
    <hyperlink ref="C336" location="Transfers!B406" display="N" xr:uid="{00000000-0004-0000-1000-000048020000}"/>
    <hyperlink ref="D336" location="Transfers!B407" display="N" xr:uid="{00000000-0004-0000-1000-000049020000}"/>
    <hyperlink ref="E336" location="Transfers!B408" display="N" xr:uid="{00000000-0004-0000-1000-00004A020000}"/>
    <hyperlink ref="F336" location="Transfers!B409" display="N" xr:uid="{00000000-0004-0000-1000-00004B020000}"/>
    <hyperlink ref="H336" location="Transfers!B411" display="N" xr:uid="{00000000-0004-0000-1000-00004C020000}"/>
    <hyperlink ref="I336" location="Transfers!B412" display="N" xr:uid="{00000000-0004-0000-1000-00004D020000}"/>
    <hyperlink ref="J336" location="Transfers!B413" display="N" xr:uid="{00000000-0004-0000-1000-00004E020000}"/>
    <hyperlink ref="K336" location="Transfers!B414" display="N" xr:uid="{00000000-0004-0000-1000-00004F020000}"/>
    <hyperlink ref="L336" location="Transfers!B415" display="N" xr:uid="{00000000-0004-0000-1000-000050020000}"/>
    <hyperlink ref="M336" location="Transfers!B416" display="N" xr:uid="{00000000-0004-0000-1000-000051020000}"/>
    <hyperlink ref="B337" location="Transfers!B417" display="N" xr:uid="{00000000-0004-0000-1000-000052020000}"/>
    <hyperlink ref="C337" location="Transfers!B418" display="N" xr:uid="{00000000-0004-0000-1000-000053020000}"/>
    <hyperlink ref="D337" location="Transfers!B419" display="N" xr:uid="{00000000-0004-0000-1000-000054020000}"/>
    <hyperlink ref="E337" location="Transfers!B420" display="N" xr:uid="{00000000-0004-0000-1000-000055020000}"/>
    <hyperlink ref="F337" location="Transfers!B421" display="N" xr:uid="{00000000-0004-0000-1000-000056020000}"/>
    <hyperlink ref="G337" location="Transfers!B422" display="N" xr:uid="{00000000-0004-0000-1000-000057020000}"/>
    <hyperlink ref="I337" location="Transfers!B424" display="N" xr:uid="{00000000-0004-0000-1000-000058020000}"/>
    <hyperlink ref="J337" location="Transfers!B425" display="N" xr:uid="{00000000-0004-0000-1000-000059020000}"/>
    <hyperlink ref="K337" location="Transfers!B426" display="N" xr:uid="{00000000-0004-0000-1000-00005A020000}"/>
    <hyperlink ref="L337" location="Transfers!B427" display="Y" xr:uid="{00000000-0004-0000-1000-00005B020000}"/>
    <hyperlink ref="M337" location="Transfers!B428" display="N" xr:uid="{00000000-0004-0000-1000-00005C020000}"/>
    <hyperlink ref="B338" location="Transfers!B429" display="N" xr:uid="{00000000-0004-0000-1000-00005D020000}"/>
    <hyperlink ref="C338" location="Transfers!B430" display="N" xr:uid="{00000000-0004-0000-1000-00005E020000}"/>
    <hyperlink ref="D338" location="Transfers!B431" display="N" xr:uid="{00000000-0004-0000-1000-00005F020000}"/>
    <hyperlink ref="E338" location="Transfers!B432" display="N" xr:uid="{00000000-0004-0000-1000-000060020000}"/>
    <hyperlink ref="F338" location="Transfers!B433" display="N" xr:uid="{00000000-0004-0000-1000-000061020000}"/>
    <hyperlink ref="G338" location="Transfers!B434" display="N" xr:uid="{00000000-0004-0000-1000-000062020000}"/>
    <hyperlink ref="H338" location="Transfers!B435" display="N" xr:uid="{00000000-0004-0000-1000-000063020000}"/>
    <hyperlink ref="J338" location="Transfers!B437" display="N" xr:uid="{00000000-0004-0000-1000-000064020000}"/>
    <hyperlink ref="K338" location="Transfers!B438" display="N" xr:uid="{00000000-0004-0000-1000-000065020000}"/>
    <hyperlink ref="L338" location="Transfers!B439" display="N" xr:uid="{00000000-0004-0000-1000-000066020000}"/>
    <hyperlink ref="M338" location="Transfers!B440" display="Y" xr:uid="{00000000-0004-0000-1000-000067020000}"/>
    <hyperlink ref="B339" location="Transfers!B441" display="N" xr:uid="{00000000-0004-0000-1000-000068020000}"/>
    <hyperlink ref="C339" location="Transfers!B442" display="N" xr:uid="{00000000-0004-0000-1000-000069020000}"/>
    <hyperlink ref="D339" location="Transfers!B443" display="N" xr:uid="{00000000-0004-0000-1000-00006A020000}"/>
    <hyperlink ref="E339" location="Transfers!B444" display="N" xr:uid="{00000000-0004-0000-1000-00006B020000}"/>
    <hyperlink ref="F339" location="Transfers!B445" display="N" xr:uid="{00000000-0004-0000-1000-00006C020000}"/>
    <hyperlink ref="G339" location="Transfers!B446" display="N" xr:uid="{00000000-0004-0000-1000-00006D020000}"/>
    <hyperlink ref="H339" location="Transfers!B447" display="N" xr:uid="{00000000-0004-0000-1000-00006E020000}"/>
    <hyperlink ref="I339" location="Transfers!B448" display="N" xr:uid="{00000000-0004-0000-1000-00006F020000}"/>
    <hyperlink ref="K339" location="Transfers!B450" display="N" xr:uid="{00000000-0004-0000-1000-000070020000}"/>
    <hyperlink ref="L339" location="Transfers!B451" display="N" xr:uid="{00000000-0004-0000-1000-000071020000}"/>
    <hyperlink ref="M339" location="Transfers!B452" display="N" xr:uid="{00000000-0004-0000-1000-000072020000}"/>
    <hyperlink ref="B340" location="Transfers!B453" display="N" xr:uid="{00000000-0004-0000-1000-000073020000}"/>
    <hyperlink ref="C340" location="Transfers!B454" display="N" xr:uid="{00000000-0004-0000-1000-000074020000}"/>
    <hyperlink ref="D340" location="Transfers!B455" display="N" xr:uid="{00000000-0004-0000-1000-000075020000}"/>
    <hyperlink ref="E340" location="Transfers!B456" display="N" xr:uid="{00000000-0004-0000-1000-000076020000}"/>
    <hyperlink ref="F340" location="Transfers!B457" display="N" xr:uid="{00000000-0004-0000-1000-000077020000}"/>
    <hyperlink ref="G340" location="Transfers!B458" display="N" xr:uid="{00000000-0004-0000-1000-000078020000}"/>
    <hyperlink ref="H340" location="Transfers!B459" display="N" xr:uid="{00000000-0004-0000-1000-000079020000}"/>
    <hyperlink ref="I340" location="Transfers!B460" display="N" xr:uid="{00000000-0004-0000-1000-00007A020000}"/>
    <hyperlink ref="J340" location="Transfers!B461" display="N" xr:uid="{00000000-0004-0000-1000-00007B020000}"/>
    <hyperlink ref="L340" location="Transfers!B463" display="N" xr:uid="{00000000-0004-0000-1000-00007C020000}"/>
    <hyperlink ref="M340" location="Transfers!B464" display="N" xr:uid="{00000000-0004-0000-1000-00007D020000}"/>
    <hyperlink ref="B341" location="Transfers!B465" display="Y" xr:uid="{00000000-0004-0000-1000-00007E020000}"/>
    <hyperlink ref="C341" location="Transfers!B466" display="N" xr:uid="{00000000-0004-0000-1000-00007F020000}"/>
    <hyperlink ref="D341" location="Transfers!B467" display="N" xr:uid="{00000000-0004-0000-1000-000080020000}"/>
    <hyperlink ref="E341" location="Transfers!B468" display="N" xr:uid="{00000000-0004-0000-1000-000081020000}"/>
    <hyperlink ref="F341" location="Transfers!B469" display="N" xr:uid="{00000000-0004-0000-1000-000082020000}"/>
    <hyperlink ref="G341" location="Transfers!B470" display="N" xr:uid="{00000000-0004-0000-1000-000083020000}"/>
    <hyperlink ref="H341" location="Transfers!B471" display="Y" xr:uid="{00000000-0004-0000-1000-000084020000}"/>
    <hyperlink ref="I341" location="Transfers!B472" display="N" xr:uid="{00000000-0004-0000-1000-000085020000}"/>
    <hyperlink ref="J341" location="Transfers!B473" display="N" xr:uid="{00000000-0004-0000-1000-000086020000}"/>
    <hyperlink ref="K341" location="Transfers!B474" display="N" xr:uid="{00000000-0004-0000-1000-000087020000}"/>
    <hyperlink ref="M341" location="Transfers!B476" display="N" xr:uid="{00000000-0004-0000-1000-000088020000}"/>
    <hyperlink ref="B342" location="Transfers!B477" display="N" xr:uid="{00000000-0004-0000-1000-000089020000}"/>
    <hyperlink ref="C342" location="Transfers!B478" display="Y" xr:uid="{00000000-0004-0000-1000-00008A020000}"/>
    <hyperlink ref="D342" location="Transfers!B479" display="N" xr:uid="{00000000-0004-0000-1000-00008B020000}"/>
    <hyperlink ref="E342" location="Transfers!B480" display="N" xr:uid="{00000000-0004-0000-1000-00008C020000}"/>
    <hyperlink ref="F342" location="Transfers!B481" display="N" xr:uid="{00000000-0004-0000-1000-00008D020000}"/>
    <hyperlink ref="G342" location="Transfers!B482" display="N" xr:uid="{00000000-0004-0000-1000-00008E020000}"/>
    <hyperlink ref="H342" location="Transfers!B483" display="N" xr:uid="{00000000-0004-0000-1000-00008F020000}"/>
    <hyperlink ref="I342" location="Transfers!B484" display="Y" xr:uid="{00000000-0004-0000-1000-000090020000}"/>
    <hyperlink ref="J342" location="Transfers!B485" display="N" xr:uid="{00000000-0004-0000-1000-000091020000}"/>
    <hyperlink ref="K342" location="Transfers!B486" display="N" xr:uid="{00000000-0004-0000-1000-000092020000}"/>
    <hyperlink ref="L342" location="Transfers!B487" display="N" xr:uid="{00000000-0004-0000-1000-000093020000}"/>
    <hyperlink ref="B346" location="Transfers!$C$331" display="Transfers!$C$331" xr:uid="{00000000-0004-0000-1000-000094020000}"/>
    <hyperlink ref="B347" location="Transfers!$D$331" display="Transfers!$D$331" xr:uid="{00000000-0004-0000-1000-000095020000}"/>
    <hyperlink ref="B348" location="Transfers!$E$331" display="Transfers!$E$331" xr:uid="{00000000-0004-0000-1000-000096020000}"/>
    <hyperlink ref="B349" location="Transfers!$F$331" display="Transfers!$F$331" xr:uid="{00000000-0004-0000-1000-000097020000}"/>
    <hyperlink ref="B350" location="Transfers!$G$331" display="Transfers!$G$331" xr:uid="{00000000-0004-0000-1000-000098020000}"/>
    <hyperlink ref="B351" location="Transfers!$H$331" display="Transfers!$H$331" xr:uid="{00000000-0004-0000-1000-000099020000}"/>
    <hyperlink ref="B352" location="Transfers!$I$331" display="Transfers!$I$331" xr:uid="{00000000-0004-0000-1000-00009A020000}"/>
    <hyperlink ref="B353" location="Transfers!$J$331" display="Transfers!$J$331" xr:uid="{00000000-0004-0000-1000-00009B020000}"/>
    <hyperlink ref="B354" location="Transfers!$K$331" display="Transfers!$K$331" xr:uid="{00000000-0004-0000-1000-00009C020000}"/>
    <hyperlink ref="B355" location="Transfers!$L$331" display="Transfers!$L$331" xr:uid="{00000000-0004-0000-1000-00009D020000}"/>
    <hyperlink ref="B356" location="Transfers!$M$331" display="Transfers!$M$331" xr:uid="{00000000-0004-0000-1000-00009E020000}"/>
    <hyperlink ref="B357" location="Transfers!$B$332" display="Transfers!$B$332" xr:uid="{00000000-0004-0000-1000-00009F020000}"/>
    <hyperlink ref="B359" location="Transfers!$D$332" display="Transfers!$D$332" xr:uid="{00000000-0004-0000-1000-0000A0020000}"/>
    <hyperlink ref="B360" location="Transfers!$E$332" display="Transfers!$E$332" xr:uid="{00000000-0004-0000-1000-0000A1020000}"/>
    <hyperlink ref="B361" location="Transfers!$F$332" display="Transfers!$F$332" xr:uid="{00000000-0004-0000-1000-0000A2020000}"/>
    <hyperlink ref="B362" location="Transfers!$G$332" display="Transfers!$G$332" xr:uid="{00000000-0004-0000-1000-0000A3020000}"/>
    <hyperlink ref="B363" location="Transfers!$H$332" display="Transfers!$H$332" xr:uid="{00000000-0004-0000-1000-0000A4020000}"/>
    <hyperlink ref="B364" location="Transfers!$I$332" display="Transfers!$I$332" xr:uid="{00000000-0004-0000-1000-0000A5020000}"/>
    <hyperlink ref="B365" location="Transfers!$J$332" display="Transfers!$J$332" xr:uid="{00000000-0004-0000-1000-0000A6020000}"/>
    <hyperlink ref="B366" location="Transfers!$K$332" display="Transfers!$K$332" xr:uid="{00000000-0004-0000-1000-0000A7020000}"/>
    <hyperlink ref="B367" location="Transfers!$L$332" display="Transfers!$L$332" xr:uid="{00000000-0004-0000-1000-0000A8020000}"/>
    <hyperlink ref="B368" location="Transfers!$M$332" display="Transfers!$M$332" xr:uid="{00000000-0004-0000-1000-0000A9020000}"/>
    <hyperlink ref="B369" location="Transfers!$B$333" display="Transfers!$B$333" xr:uid="{00000000-0004-0000-1000-0000AA020000}"/>
    <hyperlink ref="B370" location="Transfers!$C$333" display="Transfers!$C$333" xr:uid="{00000000-0004-0000-1000-0000AB020000}"/>
    <hyperlink ref="B372" location="Transfers!$E$333" display="Transfers!$E$333" xr:uid="{00000000-0004-0000-1000-0000AC020000}"/>
    <hyperlink ref="B373" location="Transfers!$F$333" display="Transfers!$F$333" xr:uid="{00000000-0004-0000-1000-0000AD020000}"/>
    <hyperlink ref="B374" location="Transfers!$G$333" display="Transfers!$G$333" xr:uid="{00000000-0004-0000-1000-0000AE020000}"/>
    <hyperlink ref="B375" location="Transfers!$H$333" display="Transfers!$H$333" xr:uid="{00000000-0004-0000-1000-0000AF020000}"/>
    <hyperlink ref="B376" location="Transfers!$I$333" display="Transfers!$I$333" xr:uid="{00000000-0004-0000-1000-0000B0020000}"/>
    <hyperlink ref="B377" location="Transfers!$J$333" display="Transfers!$J$333" xr:uid="{00000000-0004-0000-1000-0000B1020000}"/>
    <hyperlink ref="B378" location="Transfers!$K$333" display="Transfers!$K$333" xr:uid="{00000000-0004-0000-1000-0000B2020000}"/>
    <hyperlink ref="B379" location="Transfers!$L$333" display="Transfers!$L$333" xr:uid="{00000000-0004-0000-1000-0000B3020000}"/>
    <hyperlink ref="B380" location="Transfers!$M$333" display="Transfers!$M$333" xr:uid="{00000000-0004-0000-1000-0000B4020000}"/>
    <hyperlink ref="B381" location="Transfers!$B$334" display="Transfers!$B$334" xr:uid="{00000000-0004-0000-1000-0000B5020000}"/>
    <hyperlink ref="B382" location="Transfers!$C$334" display="Transfers!$C$334" xr:uid="{00000000-0004-0000-1000-0000B6020000}"/>
    <hyperlink ref="B383" location="Transfers!$D$334" display="Transfers!$D$334" xr:uid="{00000000-0004-0000-1000-0000B7020000}"/>
    <hyperlink ref="B385" location="Transfers!$F$334" display="Transfers!$F$334" xr:uid="{00000000-0004-0000-1000-0000B8020000}"/>
    <hyperlink ref="B386" location="Transfers!$G$334" display="Transfers!$G$334" xr:uid="{00000000-0004-0000-1000-0000B9020000}"/>
    <hyperlink ref="B387" location="Transfers!$H$334" display="Transfers!$H$334" xr:uid="{00000000-0004-0000-1000-0000BA020000}"/>
    <hyperlink ref="B388" location="Transfers!$I$334" display="Transfers!$I$334" xr:uid="{00000000-0004-0000-1000-0000BB020000}"/>
    <hyperlink ref="B389" location="Transfers!$J$334" display="Transfers!$J$334" xr:uid="{00000000-0004-0000-1000-0000BC020000}"/>
    <hyperlink ref="B390" location="Transfers!$K$334" display="Transfers!$K$334" xr:uid="{00000000-0004-0000-1000-0000BD020000}"/>
    <hyperlink ref="B391" location="Transfers!$L$334" display="Transfers!$L$334" xr:uid="{00000000-0004-0000-1000-0000BE020000}"/>
    <hyperlink ref="B392" location="Transfers!$M$334" display="Transfers!$M$334" xr:uid="{00000000-0004-0000-1000-0000BF020000}"/>
    <hyperlink ref="B393" location="Transfers!$B$335" display="Transfers!$B$335" xr:uid="{00000000-0004-0000-1000-0000C0020000}"/>
    <hyperlink ref="B394" location="Transfers!$C$335" display="Transfers!$C$335" xr:uid="{00000000-0004-0000-1000-0000C1020000}"/>
    <hyperlink ref="B395" location="Transfers!$D$335" display="Transfers!$D$335" xr:uid="{00000000-0004-0000-1000-0000C2020000}"/>
    <hyperlink ref="B396" location="Transfers!$E$335" display="Transfers!$E$335" xr:uid="{00000000-0004-0000-1000-0000C3020000}"/>
    <hyperlink ref="B398" location="Transfers!$G$335" display="Transfers!$G$335" xr:uid="{00000000-0004-0000-1000-0000C4020000}"/>
    <hyperlink ref="B399" location="Transfers!$H$335" display="Transfers!$H$335" xr:uid="{00000000-0004-0000-1000-0000C5020000}"/>
    <hyperlink ref="B400" location="Transfers!$I$335" display="Transfers!$I$335" xr:uid="{00000000-0004-0000-1000-0000C6020000}"/>
    <hyperlink ref="B401" location="Transfers!$J$335" display="Transfers!$J$335" xr:uid="{00000000-0004-0000-1000-0000C7020000}"/>
    <hyperlink ref="B402" location="Transfers!$K$335" display="Transfers!$K$335" xr:uid="{00000000-0004-0000-1000-0000C8020000}"/>
    <hyperlink ref="B403" location="Transfers!$L$335" display="Transfers!$L$335" xr:uid="{00000000-0004-0000-1000-0000C9020000}"/>
    <hyperlink ref="B404" location="Transfers!$M$335" display="Transfers!$M$335" xr:uid="{00000000-0004-0000-1000-0000CA020000}"/>
    <hyperlink ref="B405" location="Transfers!$B$336" display="Transfers!$B$336" xr:uid="{00000000-0004-0000-1000-0000CB020000}"/>
    <hyperlink ref="B406" location="Transfers!$C$336" display="Transfers!$C$336" xr:uid="{00000000-0004-0000-1000-0000CC020000}"/>
    <hyperlink ref="B407" location="Transfers!$D$336" display="Transfers!$D$336" xr:uid="{00000000-0004-0000-1000-0000CD020000}"/>
    <hyperlink ref="B408" location="Transfers!$E$336" display="Transfers!$E$336" xr:uid="{00000000-0004-0000-1000-0000CE020000}"/>
    <hyperlink ref="B409" location="Transfers!$F$336" display="Transfers!$F$336" xr:uid="{00000000-0004-0000-1000-0000CF020000}"/>
    <hyperlink ref="B411" location="Transfers!$H$336" display="Transfers!$H$336" xr:uid="{00000000-0004-0000-1000-0000D0020000}"/>
    <hyperlink ref="B412" location="Transfers!$I$336" display="Transfers!$I$336" xr:uid="{00000000-0004-0000-1000-0000D1020000}"/>
    <hyperlink ref="B413" location="Transfers!$J$336" display="Transfers!$J$336" xr:uid="{00000000-0004-0000-1000-0000D2020000}"/>
    <hyperlink ref="B414" location="Transfers!$K$336" display="Transfers!$K$336" xr:uid="{00000000-0004-0000-1000-0000D3020000}"/>
    <hyperlink ref="B415" location="Transfers!$L$336" display="Transfers!$L$336" xr:uid="{00000000-0004-0000-1000-0000D4020000}"/>
    <hyperlink ref="B416" location="Transfers!$M$336" display="Transfers!$M$336" xr:uid="{00000000-0004-0000-1000-0000D5020000}"/>
    <hyperlink ref="B417" location="Transfers!$B$337" display="Transfers!$B$337" xr:uid="{00000000-0004-0000-1000-0000D6020000}"/>
    <hyperlink ref="B418" location="Transfers!$C$337" display="Transfers!$C$337" xr:uid="{00000000-0004-0000-1000-0000D7020000}"/>
    <hyperlink ref="B419" location="Transfers!$D$337" display="Transfers!$D$337" xr:uid="{00000000-0004-0000-1000-0000D8020000}"/>
    <hyperlink ref="B420" location="Transfers!$E$337" display="Transfers!$E$337" xr:uid="{00000000-0004-0000-1000-0000D9020000}"/>
    <hyperlink ref="B421" location="Transfers!$F$337" display="Transfers!$F$337" xr:uid="{00000000-0004-0000-1000-0000DA020000}"/>
    <hyperlink ref="B422" location="Transfers!$G$337" display="Transfers!$G$337" xr:uid="{00000000-0004-0000-1000-0000DB020000}"/>
    <hyperlink ref="B424" location="Transfers!$I$337" display="Transfers!$I$337" xr:uid="{00000000-0004-0000-1000-0000DC020000}"/>
    <hyperlink ref="B425" location="Transfers!$J$337" display="Transfers!$J$337" xr:uid="{00000000-0004-0000-1000-0000DD020000}"/>
    <hyperlink ref="B426" location="Transfers!$K$337" display="Transfers!$K$337" xr:uid="{00000000-0004-0000-1000-0000DE020000}"/>
    <hyperlink ref="B427" location="Transfers!$L$337" display="Transfers!$L$337" xr:uid="{00000000-0004-0000-1000-0000DF020000}"/>
    <hyperlink ref="B428" location="Transfers!$M$337" display="Transfers!$M$337" xr:uid="{00000000-0004-0000-1000-0000E0020000}"/>
    <hyperlink ref="B429" location="Transfers!$B$338" display="Transfers!$B$338" xr:uid="{00000000-0004-0000-1000-0000E1020000}"/>
    <hyperlink ref="B430" location="Transfers!$C$338" display="Transfers!$C$338" xr:uid="{00000000-0004-0000-1000-0000E2020000}"/>
    <hyperlink ref="B431" location="Transfers!$D$338" display="Transfers!$D$338" xr:uid="{00000000-0004-0000-1000-0000E3020000}"/>
    <hyperlink ref="B432" location="Transfers!$E$338" display="Transfers!$E$338" xr:uid="{00000000-0004-0000-1000-0000E4020000}"/>
    <hyperlink ref="B433" location="Transfers!$F$338" display="Transfers!$F$338" xr:uid="{00000000-0004-0000-1000-0000E5020000}"/>
    <hyperlink ref="B434" location="Transfers!$G$338" display="Transfers!$G$338" xr:uid="{00000000-0004-0000-1000-0000E6020000}"/>
    <hyperlink ref="B435" location="Transfers!$H$338" display="Transfers!$H$338" xr:uid="{00000000-0004-0000-1000-0000E7020000}"/>
    <hyperlink ref="B437" location="Transfers!$J$338" display="Transfers!$J$338" xr:uid="{00000000-0004-0000-1000-0000E8020000}"/>
    <hyperlink ref="B438" location="Transfers!$K$338" display="Transfers!$K$338" xr:uid="{00000000-0004-0000-1000-0000E9020000}"/>
    <hyperlink ref="B439" location="Transfers!$L$338" display="Transfers!$L$338" xr:uid="{00000000-0004-0000-1000-0000EA020000}"/>
    <hyperlink ref="B440" location="Transfers!$M$338" display="Transfers!$M$338" xr:uid="{00000000-0004-0000-1000-0000EB020000}"/>
    <hyperlink ref="B441" location="Transfers!$B$339" display="Transfers!$B$339" xr:uid="{00000000-0004-0000-1000-0000EC020000}"/>
    <hyperlink ref="B442" location="Transfers!$C$339" display="Transfers!$C$339" xr:uid="{00000000-0004-0000-1000-0000ED020000}"/>
    <hyperlink ref="B443" location="Transfers!$D$339" display="Transfers!$D$339" xr:uid="{00000000-0004-0000-1000-0000EE020000}"/>
    <hyperlink ref="B444" location="Transfers!$E$339" display="Transfers!$E$339" xr:uid="{00000000-0004-0000-1000-0000EF020000}"/>
    <hyperlink ref="B445" location="Transfers!$F$339" display="Transfers!$F$339" xr:uid="{00000000-0004-0000-1000-0000F0020000}"/>
    <hyperlink ref="B446" location="Transfers!$G$339" display="Transfers!$G$339" xr:uid="{00000000-0004-0000-1000-0000F1020000}"/>
    <hyperlink ref="B447" location="Transfers!$H$339" display="Transfers!$H$339" xr:uid="{00000000-0004-0000-1000-0000F2020000}"/>
    <hyperlink ref="B448" location="Transfers!$I$339" display="Transfers!$I$339" xr:uid="{00000000-0004-0000-1000-0000F3020000}"/>
    <hyperlink ref="B450" location="Transfers!$K$339" display="Transfers!$K$339" xr:uid="{00000000-0004-0000-1000-0000F4020000}"/>
    <hyperlink ref="B451" location="Transfers!$L$339" display="Transfers!$L$339" xr:uid="{00000000-0004-0000-1000-0000F5020000}"/>
    <hyperlink ref="B452" location="Transfers!$M$339" display="Transfers!$M$339" xr:uid="{00000000-0004-0000-1000-0000F6020000}"/>
    <hyperlink ref="B453" location="Transfers!$B$340" display="Transfers!$B$340" xr:uid="{00000000-0004-0000-1000-0000F7020000}"/>
    <hyperlink ref="B454" location="Transfers!$C$340" display="Transfers!$C$340" xr:uid="{00000000-0004-0000-1000-0000F8020000}"/>
    <hyperlink ref="B455" location="Transfers!$D$340" display="Transfers!$D$340" xr:uid="{00000000-0004-0000-1000-0000F9020000}"/>
    <hyperlink ref="B456" location="Transfers!$E$340" display="Transfers!$E$340" xr:uid="{00000000-0004-0000-1000-0000FA020000}"/>
    <hyperlink ref="B457" location="Transfers!$F$340" display="Transfers!$F$340" xr:uid="{00000000-0004-0000-1000-0000FB020000}"/>
    <hyperlink ref="B458" location="Transfers!$G$340" display="Transfers!$G$340" xr:uid="{00000000-0004-0000-1000-0000FC020000}"/>
    <hyperlink ref="B459" location="Transfers!$H$340" display="Transfers!$H$340" xr:uid="{00000000-0004-0000-1000-0000FD020000}"/>
    <hyperlink ref="B460" location="Transfers!$I$340" display="Transfers!$I$340" xr:uid="{00000000-0004-0000-1000-0000FE020000}"/>
    <hyperlink ref="B461" location="Transfers!$J$340" display="Transfers!$J$340" xr:uid="{00000000-0004-0000-1000-0000FF020000}"/>
    <hyperlink ref="B463" location="Transfers!$L$340" display="Transfers!$L$340" xr:uid="{00000000-0004-0000-1000-000000030000}"/>
    <hyperlink ref="B464" location="Transfers!$M$340" display="Transfers!$M$340" xr:uid="{00000000-0004-0000-1000-000001030000}"/>
    <hyperlink ref="B465" location="Transfers!$B$341" display="Transfers!$B$341" xr:uid="{00000000-0004-0000-1000-000002030000}"/>
    <hyperlink ref="B466" location="Transfers!$C$341" display="Transfers!$C$341" xr:uid="{00000000-0004-0000-1000-000003030000}"/>
    <hyperlink ref="B467" location="Transfers!$D$341" display="Transfers!$D$341" xr:uid="{00000000-0004-0000-1000-000004030000}"/>
    <hyperlink ref="B468" location="Transfers!$E$341" display="Transfers!$E$341" xr:uid="{00000000-0004-0000-1000-000005030000}"/>
    <hyperlink ref="B469" location="Transfers!$F$341" display="Transfers!$F$341" xr:uid="{00000000-0004-0000-1000-000006030000}"/>
    <hyperlink ref="B470" location="Transfers!$G$341" display="Transfers!$G$341" xr:uid="{00000000-0004-0000-1000-000007030000}"/>
    <hyperlink ref="B471" location="Transfers!$H$341" display="Transfers!$H$341" xr:uid="{00000000-0004-0000-1000-000008030000}"/>
    <hyperlink ref="B472" location="Transfers!$I$341" display="Transfers!$I$341" xr:uid="{00000000-0004-0000-1000-000009030000}"/>
    <hyperlink ref="B473" location="Transfers!$J$341" display="Transfers!$J$341" xr:uid="{00000000-0004-0000-1000-00000A030000}"/>
    <hyperlink ref="B474" location="Transfers!$K$341" display="Transfers!$K$341" xr:uid="{00000000-0004-0000-1000-00000B030000}"/>
    <hyperlink ref="B476" location="Transfers!$M$341" display="Transfers!$M$341" xr:uid="{00000000-0004-0000-1000-00000C030000}"/>
    <hyperlink ref="B477" location="Transfers!$B$342" display="Transfers!$B$342" xr:uid="{00000000-0004-0000-1000-00000D030000}"/>
    <hyperlink ref="B478" location="Transfers!$C$342" display="Transfers!$C$342" xr:uid="{00000000-0004-0000-1000-00000E030000}"/>
    <hyperlink ref="B479" location="Transfers!$D$342" display="Transfers!$D$342" xr:uid="{00000000-0004-0000-1000-00000F030000}"/>
    <hyperlink ref="B480" location="Transfers!$E$342" display="Transfers!$E$342" xr:uid="{00000000-0004-0000-1000-000010030000}"/>
    <hyperlink ref="B481" location="Transfers!$F$342" display="Transfers!$F$342" xr:uid="{00000000-0004-0000-1000-000011030000}"/>
    <hyperlink ref="B482" location="Transfers!$G$342" display="Transfers!$G$342" xr:uid="{00000000-0004-0000-1000-000012030000}"/>
    <hyperlink ref="B483" location="Transfers!$H$342" display="Transfers!$H$342" xr:uid="{00000000-0004-0000-1000-000013030000}"/>
    <hyperlink ref="B484" location="Transfers!$I$342" display="Transfers!$I$342" xr:uid="{00000000-0004-0000-1000-000014030000}"/>
    <hyperlink ref="B485" location="Transfers!$J$342" display="Transfers!$J$342" xr:uid="{00000000-0004-0000-1000-000015030000}"/>
    <hyperlink ref="B486" location="Transfers!$K$342" display="Transfers!$K$342" xr:uid="{00000000-0004-0000-1000-000016030000}"/>
    <hyperlink ref="B487" location="Transfers!$L$342" display="Transfers!$L$342" xr:uid="{00000000-0004-0000-1000-000017030000}"/>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2DC9346A4EFF44B9278E035670E998A" ma:contentTypeVersion="9" ma:contentTypeDescription="Create a new document." ma:contentTypeScope="" ma:versionID="b6002ac4d6852791cc52372fb08f1f93">
  <xsd:schema xmlns:xsd="http://www.w3.org/2001/XMLSchema" xmlns:xs="http://www.w3.org/2001/XMLSchema" xmlns:p="http://schemas.microsoft.com/office/2006/metadata/properties" xmlns:ns2="460e4ad2-c64b-4f67-8552-094351f252e3" targetNamespace="http://schemas.microsoft.com/office/2006/metadata/properties" ma:root="true" ma:fieldsID="d81800e77b8320248f69566da91fdce8" ns2:_="">
    <xsd:import namespace="460e4ad2-c64b-4f67-8552-094351f252e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60e4ad2-c64b-4f67-8552-094351f252e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9012861f-df9c-4ac0-92bd-da4c61c7cfda" ma:termSetId="09814cd3-568e-fe90-9814-8d621ff8fb84" ma:anchorId="fba54fb3-c3e1-fe81-a776-ca4b69148c4d" ma:open="true" ma:isKeyword="false">
      <xsd:complexType>
        <xsd:sequence>
          <xsd:element ref="pc:Terms" minOccurs="0" maxOccurs="1"/>
        </xsd:sequence>
      </xsd:complex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60e4ad2-c64b-4f67-8552-094351f252e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F38A809-015F-4AD5-BEBA-6A367EEC606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60e4ad2-c64b-4f67-8552-094351f252e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DC92CCA-F77C-4020-B601-550A062B686E}">
  <ds:schemaRefs>
    <ds:schemaRef ds:uri="http://schemas.microsoft.com/sharepoint/v3/contenttype/forms"/>
  </ds:schemaRefs>
</ds:datastoreItem>
</file>

<file path=customXml/itemProps3.xml><?xml version="1.0" encoding="utf-8"?>
<ds:datastoreItem xmlns:ds="http://schemas.openxmlformats.org/officeDocument/2006/customXml" ds:itemID="{7F89A597-37D0-4B90-994C-1BE721354676}">
  <ds:schemaRefs>
    <ds:schemaRef ds:uri="http://schemas.microsoft.com/office/2006/metadata/properties"/>
    <ds:schemaRef ds:uri="http://schemas.microsoft.com/office/infopath/2007/PartnerControls"/>
    <ds:schemaRef ds:uri="460e4ad2-c64b-4f67-8552-094351f252e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Population Definitions</vt:lpstr>
      <vt:lpstr>Disease Burden</vt:lpstr>
      <vt:lpstr>Demographics</vt:lpstr>
      <vt:lpstr>Infectiousness</vt:lpstr>
      <vt:lpstr>Disease Progression</vt:lpstr>
      <vt:lpstr>Diagnosis</vt:lpstr>
      <vt:lpstr>Loss to follow-up</vt:lpstr>
      <vt:lpstr>Re-engagement</vt:lpstr>
      <vt:lpstr>Treatment</vt:lpstr>
      <vt:lpstr>Liver Transplant</vt:lpstr>
      <vt:lpstr>Overall Indicators</vt:lpstr>
      <vt:lpstr>Initialization</vt:lpstr>
      <vt:lpstr>Care Cascade</vt:lpstr>
      <vt:lpstr>Other intermediate pars</vt:lpstr>
      <vt:lpstr>Vaccine parameters</vt:lpstr>
      <vt:lpstr>Interactions</vt:lpstr>
      <vt:lpstr>Transfers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Farah Houdroge</cp:lastModifiedBy>
  <dcterms:created xsi:type="dcterms:W3CDTF">2025-08-04T07:05:46Z</dcterms:created>
  <dcterms:modified xsi:type="dcterms:W3CDTF">2025-08-15T06:00:39Z</dcterms:modified>
  <cp:category>atomica:databook</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0x01010042DC9346A4EFF44B9278E035670E998A</vt:lpwstr>
  </property>
  <property fmtid="{D5CDD505-2E9C-101B-9397-08002B2CF9AE}" pid="3" name="MediaServiceImageTags">
    <vt:lpwstr/>
  </property>
</Properties>
</file>