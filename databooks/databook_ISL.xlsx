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Disease Burden" sheetId="2" r:id="rId2"/>
    <sheet name="Demographics" sheetId="3" r:id="rId3"/>
    <sheet name="Infectiousness" sheetId="4" r:id="rId4"/>
    <sheet name="Disease Progression" sheetId="5" r:id="rId5"/>
    <sheet name="Diagnosis" sheetId="6" r:id="rId6"/>
    <sheet name="Loss to follow-up" sheetId="7" r:id="rId7"/>
    <sheet name="Re-engagement" sheetId="8" r:id="rId8"/>
    <sheet name="Treatment" sheetId="9" r:id="rId9"/>
    <sheet name="Liver Transplant" sheetId="10" r:id="rId10"/>
    <sheet name="Overall Indicators" sheetId="11" r:id="rId11"/>
    <sheet name="Initialization" sheetId="12" r:id="rId12"/>
    <sheet name="Care Cascade" sheetId="13" r:id="rId13"/>
    <sheet name="Other intermediate pars" sheetId="14" r:id="rId14"/>
    <sheet name="Vaccine parameters" sheetId="15" r:id="rId15"/>
    <sheet name="Interactions" sheetId="16" r:id="rId16"/>
    <sheet name="Transfers" sheetId="17" r:id="rId17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93" authorId="0">
      <text>
        <r>
          <rPr>
            <sz val="8"/>
            <color indexed="81"/>
            <rFont val="Tahoma"/>
            <family val="2"/>
          </rPr>
          <t>Proportion of undiagnosed that can't be reached by existing services (can be linked to care via programs)</t>
        </r>
      </text>
    </comment>
  </commentList>
</comments>
</file>

<file path=xl/sharedStrings.xml><?xml version="1.0" encoding="utf-8"?>
<sst xmlns="http://schemas.openxmlformats.org/spreadsheetml/2006/main" count="8528" uniqueCount="1179">
  <si>
    <t>Abbreviation</t>
  </si>
  <si>
    <t>Full Name</t>
  </si>
  <si>
    <t>Population type</t>
  </si>
  <si>
    <t>PWID_males</t>
  </si>
  <si>
    <t>People Who Inject Drugs (males)</t>
  </si>
  <si>
    <t>human</t>
  </si>
  <si>
    <t>PWID_females</t>
  </si>
  <si>
    <t>People Who Inject Drugs (females)</t>
  </si>
  <si>
    <t>0-9_males</t>
  </si>
  <si>
    <t>General Population 0-9 males</t>
  </si>
  <si>
    <t>0-9_females</t>
  </si>
  <si>
    <t>General Population 0-9 females</t>
  </si>
  <si>
    <t>10-17_males</t>
  </si>
  <si>
    <t>General Population 10-17 males</t>
  </si>
  <si>
    <t>10-17_females</t>
  </si>
  <si>
    <t>General Population 10-17 females</t>
  </si>
  <si>
    <t>18-64_males</t>
  </si>
  <si>
    <t>General Population 18-64 males</t>
  </si>
  <si>
    <t>18-64_females</t>
  </si>
  <si>
    <t>General Population 18-64 females</t>
  </si>
  <si>
    <t>65+_males</t>
  </si>
  <si>
    <t>General Population 65+ males</t>
  </si>
  <si>
    <t>65+_females</t>
  </si>
  <si>
    <t>General Population 65+ females</t>
  </si>
  <si>
    <t>Prisoners_males</t>
  </si>
  <si>
    <t>Prisoners (males)</t>
  </si>
  <si>
    <t>Prisoners_females</t>
  </si>
  <si>
    <t>Prisoners (females)</t>
  </si>
  <si>
    <t>Prisoners_PWID_males</t>
  </si>
  <si>
    <t>Prisoners_PWID_females</t>
  </si>
  <si>
    <t>Population living with chronic HCV</t>
  </si>
  <si>
    <t>Provenance</t>
  </si>
  <si>
    <t>Units</t>
  </si>
  <si>
    <t>Uncertainty</t>
  </si>
  <si>
    <t>Number</t>
  </si>
  <si>
    <t>HCV Prevalence</t>
  </si>
  <si>
    <t>Fraction</t>
  </si>
  <si>
    <t>Proportion who have F0-F2</t>
  </si>
  <si>
    <t>Constant</t>
  </si>
  <si>
    <t>OR</t>
  </si>
  <si>
    <t>Proportion who have F3</t>
  </si>
  <si>
    <t>Proportion who have F4</t>
  </si>
  <si>
    <t>Proportion who have DC</t>
  </si>
  <si>
    <t>Proportion who have HCC</t>
  </si>
  <si>
    <t>Undiagnosed proportion</t>
  </si>
  <si>
    <t>Proportion that failed treatments</t>
  </si>
  <si>
    <t>Proportion LTFU after Ab diagnosis</t>
  </si>
  <si>
    <t>Proportion LTFU after RNA diagnosis</t>
  </si>
  <si>
    <t>Proportion LTFU after failed treatment 1</t>
  </si>
  <si>
    <t>Proportion of undiagnosed that are lost to care</t>
  </si>
  <si>
    <t>Proportion</t>
  </si>
  <si>
    <t>Population size</t>
  </si>
  <si>
    <t>Number of live births</t>
  </si>
  <si>
    <t>Number (per year)</t>
  </si>
  <si>
    <t>Net migration rate</t>
  </si>
  <si>
    <t>Rate (per year)</t>
  </si>
  <si>
    <t>All cause death rate</t>
  </si>
  <si>
    <t>Force of Infection constant</t>
  </si>
  <si>
    <t>N.A.</t>
  </si>
  <si>
    <t>Infectivity among the general population</t>
  </si>
  <si>
    <t>Proportion of HCV infections spontaneously clearing</t>
  </si>
  <si>
    <t>Average duration for spontaneous viral clearance</t>
  </si>
  <si>
    <t>Framework-supplied default</t>
  </si>
  <si>
    <t>Duration (years)</t>
  </si>
  <si>
    <t>F0 to F1 progression rate (intermediate step)</t>
  </si>
  <si>
    <t>F1 to F2 progression rate (intermediate step)</t>
  </si>
  <si>
    <t>F2 to F3 progression rate (intermediate step)</t>
  </si>
  <si>
    <t>F3 to F4 progression rate (intermediate step)</t>
  </si>
  <si>
    <t>F4 to DC progression rate (intermediate step)</t>
  </si>
  <si>
    <t>F4 to HCC progression rate (intermediate step)</t>
  </si>
  <si>
    <t>Susceptible DC relapse rate (intermediate step)</t>
  </si>
  <si>
    <t>Susceptible HCC relapse rate (intermediate step)</t>
  </si>
  <si>
    <t>DC to HCC progression rate (intermediate step)</t>
  </si>
  <si>
    <t>F4 death rate (intermediate step)</t>
  </si>
  <si>
    <t>DC death rate (intermediate step)</t>
  </si>
  <si>
    <t>HCC death rate (intermediate step)</t>
  </si>
  <si>
    <t>Liver Transplant in Year 1 death rate (intermediate step)</t>
  </si>
  <si>
    <t>Liver Transplant 2+ Years Ago death rate (intermediate step)</t>
  </si>
  <si>
    <t>Reduction in mortality post DC cure</t>
  </si>
  <si>
    <t>Reduction in mortality post HCC cure</t>
  </si>
  <si>
    <t>Antibody testing rate in F0-F2, undiagnosed, in care (intermediate step)</t>
  </si>
  <si>
    <t>Antibody testing rate in F3+, undiagnosed, in care (intermediate step)</t>
  </si>
  <si>
    <t>RNA testing rate in F0-F2, Ab diagnosed, in care (intermediate step)</t>
  </si>
  <si>
    <t>RNA testing rate in F3+, Ab diagnosed, in care (intermediate step)</t>
  </si>
  <si>
    <t>Loss to follow-up rate on antibody test in F0-F2</t>
  </si>
  <si>
    <t>Loss to follow-up rate on antibody test in F3+</t>
  </si>
  <si>
    <t>Loss to follow-up rate on PCR test in F0-F2</t>
  </si>
  <si>
    <t>Loss to follow-up rate on PCR test in F3+</t>
  </si>
  <si>
    <t>Loss to follow-up rate after treatment initiation in F0-F2</t>
  </si>
  <si>
    <t>Loss to follow-up rate after treatment initiation in F3+</t>
  </si>
  <si>
    <t>Antibody re-engagement in care, F0-F2, lost to follow-up after Ab test</t>
  </si>
  <si>
    <t>Antibody re-engagement in care, F3+, lost to follow-up after Ab test</t>
  </si>
  <si>
    <t>RNA re-engagement in care, F0-F2, lost to follow up after RNA test</t>
  </si>
  <si>
    <t>RNA re-engagement in care, F3+, lost to follow up after RNA test</t>
  </si>
  <si>
    <t>Re-engagement in care after treatment initiation, F0-F2</t>
  </si>
  <si>
    <t>Re-engagement in care after treatment initiation, F3+</t>
  </si>
  <si>
    <t>RNA re-engagement in care, F0-F2, lost to follow up after Ab test</t>
  </si>
  <si>
    <t>RNA re-engagement in care, F3+, lost to follow up after Ab test</t>
  </si>
  <si>
    <t>Proportion of treatments allocated to each population pre-DAA</t>
  </si>
  <si>
    <t>Proportion of treatments allocated to each population post-DAA</t>
  </si>
  <si>
    <t>Proportion of treatments allocated to each population pre-DAA (PWID and Prisoners)</t>
  </si>
  <si>
    <t>Proportion of treatments allocated to each population post-DAA (PWID and Prisoners)</t>
  </si>
  <si>
    <t>Average treatment duration</t>
  </si>
  <si>
    <t>Probability of achieving SVR</t>
  </si>
  <si>
    <t>Proportion of treatments that are retreatments due to failure</t>
  </si>
  <si>
    <t>DC to liver transplant rate</t>
  </si>
  <si>
    <t>HCC to liver transplant rate</t>
  </si>
  <si>
    <t>DC liver transplant 1 to 2+ years ago rate</t>
  </si>
  <si>
    <t>HCC liver transplant 1 to 2+ years ago rate</t>
  </si>
  <si>
    <t>Percent diagnosed Ab or RNA (ever)</t>
  </si>
  <si>
    <t>Total</t>
  </si>
  <si>
    <t>Number of treatments</t>
  </si>
  <si>
    <t>Chronic HCV infections</t>
  </si>
  <si>
    <t>Total number of people living with HCV</t>
  </si>
  <si>
    <t>Positive antibody tests</t>
  </si>
  <si>
    <t>Total number of diagnoses</t>
  </si>
  <si>
    <t>Chronic HCV infections in F0-F2</t>
  </si>
  <si>
    <t>Chronic HCV infections in F3</t>
  </si>
  <si>
    <t>Number of prevalent cases of compensated cirrhosis due to HCV (including cured)</t>
  </si>
  <si>
    <t>Number of prevalent cases of decompensated compensated cirrhosis due to HCV (including cured)</t>
  </si>
  <si>
    <t>Chronic HCV infections in HCC</t>
  </si>
  <si>
    <t>HCV incidence</t>
  </si>
  <si>
    <t>DC incidence</t>
  </si>
  <si>
    <t>HCC incidence</t>
  </si>
  <si>
    <t>Liver transplants due to HCV</t>
  </si>
  <si>
    <t>HCV-related deaths</t>
  </si>
  <si>
    <t>All-cause deaths (18+)</t>
  </si>
  <si>
    <t>Population living with acute HCV</t>
  </si>
  <si>
    <t>Susceptible, antibody positive (aware, unaware, treated)</t>
  </si>
  <si>
    <t>Susceptible (all)</t>
  </si>
  <si>
    <t>Liver Fibrosis F0 (Chronic) (vaccinated)</t>
  </si>
  <si>
    <t>Liver Fibrosis F1 (Chronic) (vaccinated)</t>
  </si>
  <si>
    <t>Liver Fibrosis F2 (Chronic) (vaccinated)</t>
  </si>
  <si>
    <t>Liver Fibrosis F0-2 (Chronic) (vaccinated)</t>
  </si>
  <si>
    <t>Liver Fibrosis F3 (Chronic) (vaccinated)</t>
  </si>
  <si>
    <t>Liver Fibrosis F4 (Chronic) (vaccinated)</t>
  </si>
  <si>
    <t>Liver Fibrosis F3-4 (Chronic) (vaccinated)</t>
  </si>
  <si>
    <t>Liver Fibrosis All Stages (Chronic) (vaccinated)</t>
  </si>
  <si>
    <t>Decompensated Cirrhosis (Chronic) (vaccinated)</t>
  </si>
  <si>
    <t>Hepatocellular Carcinoma (Chronic) (vaccinated)</t>
  </si>
  <si>
    <t>Decompensated Cirrhosis and Hepatocellular Carcinoma (Chronic) (vaccinated)</t>
  </si>
  <si>
    <t>Population living with acute HCV (vaccinated)</t>
  </si>
  <si>
    <t>Population living with chronic HCV (vaccinated)</t>
  </si>
  <si>
    <t>Susceptible, antibody positive (aware, unaware, treated) (vaccinated)</t>
  </si>
  <si>
    <t>Susceptible (all) (vaccinated)</t>
  </si>
  <si>
    <t>Total population living with HCV</t>
  </si>
  <si>
    <t>Failed treatment 1 F0</t>
  </si>
  <si>
    <t>Failed treatment 1 F1</t>
  </si>
  <si>
    <t>Failed treatment 1 F2</t>
  </si>
  <si>
    <t>Failed treatment 1 F3</t>
  </si>
  <si>
    <t>Failed treatment 1 F4</t>
  </si>
  <si>
    <t>Failed treatment 1 DC</t>
  </si>
  <si>
    <t>Failed treatment 1 HCC</t>
  </si>
  <si>
    <t>Failed treatment 2 F0</t>
  </si>
  <si>
    <t>Failed treatment 2 F1</t>
  </si>
  <si>
    <t>Failed treatment 2 F2</t>
  </si>
  <si>
    <t>Failed treatment 2 F3</t>
  </si>
  <si>
    <t>Failed treatment 2 F4</t>
  </si>
  <si>
    <t>Failed treatment 2 DC</t>
  </si>
  <si>
    <t>Failed treatment 2 HCC</t>
  </si>
  <si>
    <t>Number undiagnosed F0</t>
  </si>
  <si>
    <t>Number undiagnosed F1</t>
  </si>
  <si>
    <t>Number undiagnosed F2</t>
  </si>
  <si>
    <t>Number undiagnosed F3</t>
  </si>
  <si>
    <t>Number undiagnosed F4</t>
  </si>
  <si>
    <t>Number undiagnosed DC</t>
  </si>
  <si>
    <t>Number undiagnosed HCC</t>
  </si>
  <si>
    <t>Number undiagnosed acute</t>
  </si>
  <si>
    <t>LTFU failed tx 1 F0</t>
  </si>
  <si>
    <t>LTFU failed tx 1 F1</t>
  </si>
  <si>
    <t>LTFU failed tx 1 F2</t>
  </si>
  <si>
    <t>LTFU failed tx 1 F3</t>
  </si>
  <si>
    <t>LTFU failed tx 1 F4</t>
  </si>
  <si>
    <t>LTFU failed tx 1 DC</t>
  </si>
  <si>
    <t>LTFU failed tx 1 HCC</t>
  </si>
  <si>
    <t>LTFU antibody test F0</t>
  </si>
  <si>
    <t>LTFU antibody test F1</t>
  </si>
  <si>
    <t>LTFU antibody test F2</t>
  </si>
  <si>
    <t>LTFU antibody test F3</t>
  </si>
  <si>
    <t>LTFU antibody test F4</t>
  </si>
  <si>
    <t>LTFU antibody test DC</t>
  </si>
  <si>
    <t>LTFU antibody test HCC</t>
  </si>
  <si>
    <t>LTFU PCR test F0</t>
  </si>
  <si>
    <t>LTFU PCR test F1</t>
  </si>
  <si>
    <t>LTFU PCR test F2</t>
  </si>
  <si>
    <t>LTFU PCR test F3</t>
  </si>
  <si>
    <t>LTFU PCR test F4</t>
  </si>
  <si>
    <t>LTFU PCR test DC</t>
  </si>
  <si>
    <t>LTFU PCR test HCC</t>
  </si>
  <si>
    <t>On treatment 1 F0</t>
  </si>
  <si>
    <t>On treatment 1 F1</t>
  </si>
  <si>
    <t>On treatment 1 F2</t>
  </si>
  <si>
    <t>On treatment 1 F3</t>
  </si>
  <si>
    <t>On treatment 1 F4</t>
  </si>
  <si>
    <t>On treatment 1 DC</t>
  </si>
  <si>
    <t>On treatment 1 HCC</t>
  </si>
  <si>
    <t>On treatment 2 F0</t>
  </si>
  <si>
    <t>On treatment 2 F1</t>
  </si>
  <si>
    <t>On treatment 2 F2</t>
  </si>
  <si>
    <t>On treatment 2 F3</t>
  </si>
  <si>
    <t>On treatment 2 F4</t>
  </si>
  <si>
    <t>On treatment 2 DC</t>
  </si>
  <si>
    <t>On treatment 2 HCC</t>
  </si>
  <si>
    <t>Undiagnosed, lost to care f0</t>
  </si>
  <si>
    <t>Undiagnosed, lost to care f1</t>
  </si>
  <si>
    <t>Undiagnosed, lost to care f2</t>
  </si>
  <si>
    <t>Undiagnosed, lost to care f3</t>
  </si>
  <si>
    <t>Undiagnosed, lost to care f4</t>
  </si>
  <si>
    <t>Undiagnosed, lost to care dc</t>
  </si>
  <si>
    <t>Undiagnosed, lost to care hcc</t>
  </si>
  <si>
    <t>Multiplier for progression rates (intermediate step for calibration)</t>
  </si>
  <si>
    <t>Multiplier for death rates (intermediate step for calibration)</t>
  </si>
  <si>
    <t>Testing rate multiplier non-PWID (intermediate calculation/calibration step)</t>
  </si>
  <si>
    <t>Separate test multiplier for PWID and Prisoners (no need to calibrate it)</t>
  </si>
  <si>
    <t>Number of treatments per population group (intermediate calculation step)</t>
  </si>
  <si>
    <t>Prevalence (intermediate calibration step)</t>
  </si>
  <si>
    <t>Vaccine: vaccination uptake</t>
  </si>
  <si>
    <t>Probability (per year)</t>
  </si>
  <si>
    <t>Vaccine: duration for waning effectiveness</t>
  </si>
  <si>
    <t>Vaccine: proportion of initial HCV infections spontaneously clearing</t>
  </si>
  <si>
    <t>Vaccine: proportion of HCV infections spontaneously clearing</t>
  </si>
  <si>
    <t>Vaccine: duration for spontaneous viral clearance</t>
  </si>
  <si>
    <t>Vaccine: FOI multiplier for PWID</t>
  </si>
  <si>
    <t>Vaccine: FOI multiplier for gPop</t>
  </si>
  <si>
    <t>idu</t>
  </si>
  <si>
    <t>Injecting Drug Use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</si>
  <si>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</si>
  <si>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</si>
  <si>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</si>
  <si>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</si>
  <si>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</si>
  <si>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</si>
  <si>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</si>
  <si>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</si>
  <si>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</si>
  <si>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</si>
  <si>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</si>
  <si>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</si>
  <si>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</si>
  <si>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</si>
  <si>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</si>
  <si>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</si>
  <si>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</si>
  <si>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</si>
  <si>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</si>
  <si>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</si>
  <si>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</si>
  <si>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</si>
  <si>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</si>
  <si>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</si>
  <si>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</si>
  <si>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</si>
  <si>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</si>
  <si>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</si>
  <si>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</si>
  <si>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</si>
  <si>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</si>
  <si>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</si>
  <si>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</si>
  <si>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</si>
  <si>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</si>
  <si>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</si>
  <si>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</si>
  <si>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</si>
  <si>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</si>
  <si>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</si>
  <si>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</si>
  <si>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</si>
  <si>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</si>
  <si>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</si>
  <si>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</si>
  <si>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</si>
  <si>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</si>
  <si>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</si>
  <si>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</si>
  <si>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</si>
  <si>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</si>
  <si>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</si>
  <si>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</si>
  <si>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</si>
  <si>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</si>
  <si>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</si>
  <si>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</si>
  <si>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</si>
  <si>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</si>
  <si>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</si>
  <si>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</si>
  <si>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</si>
  <si>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</si>
  <si>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</si>
  <si>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</si>
  <si>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</si>
  <si>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</si>
  <si>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</si>
  <si>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</si>
  <si>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</si>
  <si>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</si>
  <si>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</si>
  <si>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</si>
  <si>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</si>
  <si>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</si>
  <si>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</si>
  <si>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</si>
  <si>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</si>
  <si>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</si>
  <si>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</si>
  <si>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</si>
  <si>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</si>
  <si>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</si>
  <si>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</si>
  <si>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</si>
  <si>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</si>
  <si>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</si>
  <si>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</si>
  <si>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</si>
  <si>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</si>
  <si>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</si>
  <si>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</si>
  <si>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</si>
  <si>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</si>
  <si>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</si>
  <si>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</si>
  <si>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</si>
  <si>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</si>
  <si>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</si>
  <si>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</si>
  <si>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</si>
  <si>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</si>
  <si>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</si>
  <si>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</si>
  <si>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</si>
  <si>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</si>
  <si>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</si>
  <si>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</si>
  <si>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</si>
  <si>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</si>
  <si>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</si>
  <si>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</si>
  <si>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</si>
  <si>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</si>
  <si>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</si>
  <si>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</si>
  <si>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</si>
  <si>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</si>
  <si>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</si>
  <si>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</si>
  <si>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</si>
  <si>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</si>
  <si>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</si>
  <si>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</si>
  <si>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</si>
  <si>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</si>
  <si>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</si>
  <si>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</si>
  <si>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</si>
  <si>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</si>
  <si>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</si>
  <si>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</si>
  <si>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</si>
  <si>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</si>
  <si>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</si>
  <si>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</si>
  <si>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</si>
  <si>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</si>
  <si>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</si>
  <si>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</si>
  <si>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</si>
  <si>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</si>
  <si>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</si>
  <si>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</si>
  <si>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</si>
  <si>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</si>
  <si>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</si>
  <si>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</si>
  <si>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</si>
  <si>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</si>
  <si>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</si>
  <si>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</si>
  <si>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</si>
  <si>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</si>
  <si>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</si>
  <si>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</si>
  <si>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</si>
  <si>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</si>
  <si>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</si>
  <si>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</si>
  <si>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</si>
  <si>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</si>
  <si>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</si>
  <si>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</si>
  <si>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</si>
  <si>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</si>
  <si>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</si>
  <si>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</si>
  <si>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</si>
  <si>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</si>
  <si>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</si>
  <si>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</si>
  <si>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</si>
  <si>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</si>
  <si>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</si>
  <si>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</si>
  <si>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</si>
  <si>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</si>
  <si>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</si>
  <si>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</si>
  <si>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</si>
  <si>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</si>
  <si>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</si>
  <si>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</si>
  <si>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</si>
  <si>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</si>
  <si>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</si>
  <si>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</si>
  <si>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</si>
  <si>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</si>
  <si>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</si>
  <si>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</si>
  <si>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</si>
  <si>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</si>
  <si>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</si>
  <si>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</si>
  <si>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</si>
  <si>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</si>
  <si>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</si>
  <si>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</si>
  <si>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</si>
  <si>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</si>
  <si>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other</t>
  </si>
  <si>
    <t>Other sources of transmission</t>
  </si>
  <si>
    <t>Interactions!$B$222</t>
  </si>
  <si>
    <t>Interactions!$C$222</t>
  </si>
  <si>
    <t>Interactions!$D$222</t>
  </si>
  <si>
    <t>Interactions!$E$222</t>
  </si>
  <si>
    <t>Interactions!$F$222</t>
  </si>
  <si>
    <t>Interactions!$G$222</t>
  </si>
  <si>
    <t>Interactions!$H$222</t>
  </si>
  <si>
    <t>Interactions!$I$222</t>
  </si>
  <si>
    <t>Interactions!$J$222</t>
  </si>
  <si>
    <t>Interactions!$K$222</t>
  </si>
  <si>
    <t>Interactions!$L$222</t>
  </si>
  <si>
    <t>Interactions!$M$222</t>
  </si>
  <si>
    <t>Interactions!$N$222</t>
  </si>
  <si>
    <t>Interactions!$O$222</t>
  </si>
  <si>
    <t>Interactions!$B$223</t>
  </si>
  <si>
    <t>Interactions!$C$223</t>
  </si>
  <si>
    <t>Interactions!$D$223</t>
  </si>
  <si>
    <t>Interactions!$E$223</t>
  </si>
  <si>
    <t>Interactions!$F$223</t>
  </si>
  <si>
    <t>Interactions!$G$223</t>
  </si>
  <si>
    <t>Interactions!$H$223</t>
  </si>
  <si>
    <t>Interactions!$I$223</t>
  </si>
  <si>
    <t>Interactions!$J$223</t>
  </si>
  <si>
    <t>Interactions!$K$223</t>
  </si>
  <si>
    <t>Interactions!$L$223</t>
  </si>
  <si>
    <t>Interactions!$M$223</t>
  </si>
  <si>
    <t>Interactions!$N$223</t>
  </si>
  <si>
    <t>Interactions!$O$223</t>
  </si>
  <si>
    <t>Interactions!$B$224</t>
  </si>
  <si>
    <t>Interactions!$C$224</t>
  </si>
  <si>
    <t>Interactions!$D$224</t>
  </si>
  <si>
    <t>Interactions!$E$224</t>
  </si>
  <si>
    <t>Interactions!$F$224</t>
  </si>
  <si>
    <t>Interactions!$G$224</t>
  </si>
  <si>
    <t>Interactions!$H$224</t>
  </si>
  <si>
    <t>Interactions!$I$224</t>
  </si>
  <si>
    <t>Interactions!$J$224</t>
  </si>
  <si>
    <t>Interactions!$K$224</t>
  </si>
  <si>
    <t>Interactions!$L$224</t>
  </si>
  <si>
    <t>Interactions!$M$224</t>
  </si>
  <si>
    <t>Interactions!$N$224</t>
  </si>
  <si>
    <t>Interactions!$O$224</t>
  </si>
  <si>
    <t>Interactions!$B$225</t>
  </si>
  <si>
    <t>Interactions!$C$225</t>
  </si>
  <si>
    <t>Interactions!$D$225</t>
  </si>
  <si>
    <t>Interactions!$E$225</t>
  </si>
  <si>
    <t>Interactions!$F$225</t>
  </si>
  <si>
    <t>Interactions!$G$225</t>
  </si>
  <si>
    <t>Interactions!$H$225</t>
  </si>
  <si>
    <t>Interactions!$I$225</t>
  </si>
  <si>
    <t>Interactions!$J$225</t>
  </si>
  <si>
    <t>Interactions!$K$225</t>
  </si>
  <si>
    <t>Interactions!$L$225</t>
  </si>
  <si>
    <t>Interactions!$M$225</t>
  </si>
  <si>
    <t>Interactions!$N$225</t>
  </si>
  <si>
    <t>Interactions!$O$225</t>
  </si>
  <si>
    <t>Interactions!$B$226</t>
  </si>
  <si>
    <t>Interactions!$C$226</t>
  </si>
  <si>
    <t>Interactions!$D$226</t>
  </si>
  <si>
    <t>Interactions!$E$226</t>
  </si>
  <si>
    <t>Interactions!$F$226</t>
  </si>
  <si>
    <t>Interactions!$G$226</t>
  </si>
  <si>
    <t>Interactions!$H$226</t>
  </si>
  <si>
    <t>Interactions!$I$226</t>
  </si>
  <si>
    <t>Interactions!$J$226</t>
  </si>
  <si>
    <t>Interactions!$K$226</t>
  </si>
  <si>
    <t>Interactions!$L$226</t>
  </si>
  <si>
    <t>Interactions!$M$226</t>
  </si>
  <si>
    <t>Interactions!$N$226</t>
  </si>
  <si>
    <t>Interactions!$O$226</t>
  </si>
  <si>
    <t>Interactions!$B$227</t>
  </si>
  <si>
    <t>Interactions!$C$227</t>
  </si>
  <si>
    <t>Interactions!$D$227</t>
  </si>
  <si>
    <t>Interactions!$E$227</t>
  </si>
  <si>
    <t>Interactions!$F$227</t>
  </si>
  <si>
    <t>Interactions!$G$227</t>
  </si>
  <si>
    <t>Interactions!$H$227</t>
  </si>
  <si>
    <t>Interactions!$I$227</t>
  </si>
  <si>
    <t>Interactions!$J$227</t>
  </si>
  <si>
    <t>Interactions!$K$227</t>
  </si>
  <si>
    <t>Interactions!$L$227</t>
  </si>
  <si>
    <t>Interactions!$M$227</t>
  </si>
  <si>
    <t>Interactions!$N$227</t>
  </si>
  <si>
    <t>Interactions!$O$227</t>
  </si>
  <si>
    <t>Interactions!$B$228</t>
  </si>
  <si>
    <t>Interactions!$C$228</t>
  </si>
  <si>
    <t>Interactions!$D$228</t>
  </si>
  <si>
    <t>Interactions!$E$228</t>
  </si>
  <si>
    <t>Interactions!$F$228</t>
  </si>
  <si>
    <t>Interactions!$G$228</t>
  </si>
  <si>
    <t>Interactions!$H$228</t>
  </si>
  <si>
    <t>Interactions!$I$228</t>
  </si>
  <si>
    <t>Interactions!$J$228</t>
  </si>
  <si>
    <t>Interactions!$K$228</t>
  </si>
  <si>
    <t>Interactions!$L$228</t>
  </si>
  <si>
    <t>Interactions!$M$228</t>
  </si>
  <si>
    <t>Interactions!$N$228</t>
  </si>
  <si>
    <t>Interactions!$O$228</t>
  </si>
  <si>
    <t>Interactions!$B$229</t>
  </si>
  <si>
    <t>Interactions!$C$229</t>
  </si>
  <si>
    <t>Interactions!$D$229</t>
  </si>
  <si>
    <t>Interactions!$E$229</t>
  </si>
  <si>
    <t>Interactions!$F$229</t>
  </si>
  <si>
    <t>Interactions!$G$229</t>
  </si>
  <si>
    <t>Interactions!$H$229</t>
  </si>
  <si>
    <t>Interactions!$I$229</t>
  </si>
  <si>
    <t>Interactions!$J$229</t>
  </si>
  <si>
    <t>Interactions!$K$229</t>
  </si>
  <si>
    <t>Interactions!$L$229</t>
  </si>
  <si>
    <t>Interactions!$M$229</t>
  </si>
  <si>
    <t>Interactions!$N$229</t>
  </si>
  <si>
    <t>Interactions!$O$229</t>
  </si>
  <si>
    <t>Interactions!$B$230</t>
  </si>
  <si>
    <t>Interactions!$C$230</t>
  </si>
  <si>
    <t>Interactions!$D$230</t>
  </si>
  <si>
    <t>Interactions!$E$230</t>
  </si>
  <si>
    <t>Interactions!$F$230</t>
  </si>
  <si>
    <t>Interactions!$G$230</t>
  </si>
  <si>
    <t>Interactions!$H$230</t>
  </si>
  <si>
    <t>Interactions!$I$230</t>
  </si>
  <si>
    <t>Interactions!$J$230</t>
  </si>
  <si>
    <t>Interactions!$K$230</t>
  </si>
  <si>
    <t>Interactions!$L$230</t>
  </si>
  <si>
    <t>Interactions!$M$230</t>
  </si>
  <si>
    <t>Interactions!$N$230</t>
  </si>
  <si>
    <t>Interactions!$O$230</t>
  </si>
  <si>
    <t>Interactions!$B$231</t>
  </si>
  <si>
    <t>Interactions!$C$231</t>
  </si>
  <si>
    <t>Interactions!$D$231</t>
  </si>
  <si>
    <t>Interactions!$E$231</t>
  </si>
  <si>
    <t>Interactions!$F$231</t>
  </si>
  <si>
    <t>Interactions!$G$231</t>
  </si>
  <si>
    <t>Interactions!$H$231</t>
  </si>
  <si>
    <t>Interactions!$I$231</t>
  </si>
  <si>
    <t>Interactions!$J$231</t>
  </si>
  <si>
    <t>Interactions!$K$231</t>
  </si>
  <si>
    <t>Interactions!$L$231</t>
  </si>
  <si>
    <t>Interactions!$M$231</t>
  </si>
  <si>
    <t>Interactions!$N$231</t>
  </si>
  <si>
    <t>Interactions!$O$231</t>
  </si>
  <si>
    <t>Interactions!$B$232</t>
  </si>
  <si>
    <t>Interactions!$C$232</t>
  </si>
  <si>
    <t>Interactions!$D$232</t>
  </si>
  <si>
    <t>Interactions!$E$232</t>
  </si>
  <si>
    <t>Interactions!$F$232</t>
  </si>
  <si>
    <t>Interactions!$G$232</t>
  </si>
  <si>
    <t>Interactions!$H$232</t>
  </si>
  <si>
    <t>Interactions!$I$232</t>
  </si>
  <si>
    <t>Interactions!$J$232</t>
  </si>
  <si>
    <t>Interactions!$K$232</t>
  </si>
  <si>
    <t>Interactions!$L$232</t>
  </si>
  <si>
    <t>Interactions!$M$232</t>
  </si>
  <si>
    <t>Interactions!$N$232</t>
  </si>
  <si>
    <t>Interactions!$O$232</t>
  </si>
  <si>
    <t>Interactions!$B$233</t>
  </si>
  <si>
    <t>Interactions!$C$233</t>
  </si>
  <si>
    <t>Interactions!$D$233</t>
  </si>
  <si>
    <t>Interactions!$E$233</t>
  </si>
  <si>
    <t>Interactions!$F$233</t>
  </si>
  <si>
    <t>Interactions!$G$233</t>
  </si>
  <si>
    <t>Interactions!$H$233</t>
  </si>
  <si>
    <t>Interactions!$I$233</t>
  </si>
  <si>
    <t>Interactions!$J$233</t>
  </si>
  <si>
    <t>Interactions!$K$233</t>
  </si>
  <si>
    <t>Interactions!$L$233</t>
  </si>
  <si>
    <t>Interactions!$M$233</t>
  </si>
  <si>
    <t>Interactions!$N$233</t>
  </si>
  <si>
    <t>Interactions!$O$233</t>
  </si>
  <si>
    <t>Interactions!$B$234</t>
  </si>
  <si>
    <t>Interactions!$C$234</t>
  </si>
  <si>
    <t>Interactions!$D$234</t>
  </si>
  <si>
    <t>Interactions!$E$234</t>
  </si>
  <si>
    <t>Interactions!$F$234</t>
  </si>
  <si>
    <t>Interactions!$G$234</t>
  </si>
  <si>
    <t>Interactions!$H$234</t>
  </si>
  <si>
    <t>Interactions!$I$234</t>
  </si>
  <si>
    <t>Interactions!$J$234</t>
  </si>
  <si>
    <t>Interactions!$K$234</t>
  </si>
  <si>
    <t>Interactions!$L$234</t>
  </si>
  <si>
    <t>Interactions!$M$234</t>
  </si>
  <si>
    <t>Interactions!$N$234</t>
  </si>
  <si>
    <t>Interactions!$O$234</t>
  </si>
  <si>
    <t>Interactions!$B$235</t>
  </si>
  <si>
    <t>Interactions!$C$235</t>
  </si>
  <si>
    <t>Interactions!$D$235</t>
  </si>
  <si>
    <t>Interactions!$E$235</t>
  </si>
  <si>
    <t>Interactions!$F$235</t>
  </si>
  <si>
    <t>Interactions!$G$235</t>
  </si>
  <si>
    <t>Interactions!$H$235</t>
  </si>
  <si>
    <t>Interactions!$I$235</t>
  </si>
  <si>
    <t>Interactions!$J$235</t>
  </si>
  <si>
    <t>Interactions!$K$235</t>
  </si>
  <si>
    <t>Interactions!$L$235</t>
  </si>
  <si>
    <t>Interactions!$M$235</t>
  </si>
  <si>
    <t>Interactions!$N$235</t>
  </si>
  <si>
    <t>Interactions!$O$235</t>
  </si>
  <si>
    <t>age</t>
  </si>
  <si>
    <t>Aging</t>
  </si>
  <si>
    <t>Transfers!$C$5</t>
  </si>
  <si>
    <t>Transfers!$D$5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</si>
  <si>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</si>
  <si>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</si>
  <si>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</si>
  <si>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</si>
  <si>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</si>
  <si>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</si>
  <si>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</si>
  <si>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</si>
  <si>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</si>
  <si>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</si>
  <si>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</si>
  <si>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</si>
  <si>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</si>
  <si>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</si>
  <si>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</si>
  <si>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</si>
  <si>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</si>
  <si>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</si>
  <si>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</si>
  <si>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</si>
  <si>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</si>
  <si>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</si>
  <si>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</si>
  <si>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</si>
  <si>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Transfers!$B$7</t>
  </si>
  <si>
    <t>Transfers!$C$7</t>
  </si>
  <si>
    <t>Transfers!$E$7</t>
  </si>
  <si>
    <t>Transfers!$F$7</t>
  </si>
  <si>
    <t>Number (years)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</si>
  <si>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</si>
  <si>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</si>
  <si>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</si>
  <si>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</si>
  <si>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</si>
  <si>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</si>
  <si>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</si>
  <si>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</si>
  <si>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</si>
  <si>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</si>
  <si>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</si>
  <si>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</si>
  <si>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</si>
  <si>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</si>
  <si>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</si>
  <si>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</si>
  <si>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</si>
  <si>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</si>
  <si>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</si>
  <si>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</si>
  <si>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</si>
  <si>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</si>
  <si>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</si>
  <si>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</si>
  <si>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</si>
  <si>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</si>
  <si>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</si>
  <si>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</si>
  <si>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</si>
  <si>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</si>
  <si>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</si>
  <si>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</si>
  <si>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</si>
  <si>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</si>
  <si>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</si>
  <si>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</si>
  <si>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</si>
  <si>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</si>
  <si>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</si>
  <si>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</si>
  <si>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</si>
  <si>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</si>
  <si>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</si>
  <si>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</si>
  <si>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</si>
  <si>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</si>
  <si>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</si>
  <si>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</si>
  <si>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</si>
  <si>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</si>
  <si>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</si>
  <si>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</si>
  <si>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</si>
  <si>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</si>
  <si>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</si>
  <si>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</si>
  <si>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</si>
  <si>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</si>
  <si>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</si>
  <si>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</si>
  <si>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</si>
  <si>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</si>
  <si>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</si>
  <si>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</si>
  <si>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</si>
  <si>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</si>
  <si>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</si>
  <si>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</si>
  <si>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</si>
  <si>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</si>
  <si>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</si>
  <si>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</si>
  <si>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</si>
  <si>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</si>
  <si>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</si>
  <si>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</si>
  <si>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</si>
  <si>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</si>
  <si>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</si>
  <si>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</si>
  <si>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</si>
  <si>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</si>
  <si>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</si>
  <si>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</si>
  <si>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</si>
  <si>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</si>
  <si>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</si>
  <si>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</si>
  <si>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</si>
  <si>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</si>
  <si>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</si>
  <si>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</si>
  <si>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</si>
  <si>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</si>
  <si>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</si>
  <si>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</si>
  <si>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</si>
  <si>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</si>
  <si>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</si>
  <si>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</si>
  <si>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</si>
  <si>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</si>
  <si>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</si>
  <si>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</si>
  <si>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</si>
  <si>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</si>
  <si>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</si>
  <si>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</si>
  <si>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</si>
  <si>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</si>
  <si>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</si>
  <si>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</si>
  <si>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</si>
  <si>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</si>
  <si>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</si>
  <si>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</si>
  <si>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</si>
  <si>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</si>
  <si>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</si>
  <si>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</si>
  <si>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</si>
  <si>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</si>
  <si>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</si>
  <si>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</si>
  <si>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</si>
  <si>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</si>
  <si>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</si>
  <si>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</si>
  <si>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</si>
  <si>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</si>
  <si>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</si>
  <si>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</si>
  <si>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</si>
  <si>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</si>
  <si>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</si>
  <si>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</si>
  <si>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</si>
  <si>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</si>
  <si>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</si>
  <si>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</si>
  <si>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</si>
  <si>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</si>
  <si>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</si>
  <si>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</si>
  <si>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</si>
  <si>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</si>
  <si>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</si>
  <si>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</si>
  <si>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</si>
  <si>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</si>
  <si>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</si>
  <si>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</si>
  <si>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idu_status</t>
  </si>
  <si>
    <t>Injecting Drug Use Relapse or Cessation</t>
  </si>
  <si>
    <t>Transfers!$C$222</t>
  </si>
  <si>
    <t>Transfers!$D$222</t>
  </si>
  <si>
    <t>Transfers!$E$222</t>
  </si>
  <si>
    <t>Transfers!$F$222</t>
  </si>
  <si>
    <t>Transfers!$G$222</t>
  </si>
  <si>
    <t>Transfers!$H$222</t>
  </si>
  <si>
    <t>Transfers!$I$222</t>
  </si>
  <si>
    <t>Transfers!$J$222</t>
  </si>
  <si>
    <t>Transfers!$K$222</t>
  </si>
  <si>
    <t>Transfers!$L$222</t>
  </si>
  <si>
    <t>Transfers!$M$222</t>
  </si>
  <si>
    <t>Transfers!$N$222</t>
  </si>
  <si>
    <t>Transfers!$O$222</t>
  </si>
  <si>
    <t>Transfers!$B$223</t>
  </si>
  <si>
    <t>Transfers!$D$223</t>
  </si>
  <si>
    <t>Transfers!$E$223</t>
  </si>
  <si>
    <t>Transfers!$F$223</t>
  </si>
  <si>
    <t>Transfers!$G$223</t>
  </si>
  <si>
    <t>Transfers!$H$223</t>
  </si>
  <si>
    <t>Transfers!$I$223</t>
  </si>
  <si>
    <t>Transfers!$J$223</t>
  </si>
  <si>
    <t>Transfers!$K$223</t>
  </si>
  <si>
    <t>Transfers!$L$223</t>
  </si>
  <si>
    <t>Transfers!$M$223</t>
  </si>
  <si>
    <t>Transfers!$N$223</t>
  </si>
  <si>
    <t>Transfers!$O$223</t>
  </si>
  <si>
    <t>Transfers!$B$224</t>
  </si>
  <si>
    <t>Transfers!$C$224</t>
  </si>
  <si>
    <t>Transfers!$E$224</t>
  </si>
  <si>
    <t>Transfers!$F$224</t>
  </si>
  <si>
    <t>Transfers!$G$224</t>
  </si>
  <si>
    <t>Transfers!$H$224</t>
  </si>
  <si>
    <t>Transfers!$I$224</t>
  </si>
  <si>
    <t>Transfers!$J$224</t>
  </si>
  <si>
    <t>Transfers!$K$224</t>
  </si>
  <si>
    <t>Transfers!$L$224</t>
  </si>
  <si>
    <t>Transfers!$M$224</t>
  </si>
  <si>
    <t>Transfers!$N$224</t>
  </si>
  <si>
    <t>Transfers!$O$224</t>
  </si>
  <si>
    <t>Transfers!$B$225</t>
  </si>
  <si>
    <t>Transfers!$C$225</t>
  </si>
  <si>
    <t>Transfers!$D$225</t>
  </si>
  <si>
    <t>Transfers!$F$225</t>
  </si>
  <si>
    <t>Transfers!$G$225</t>
  </si>
  <si>
    <t>Transfers!$H$225</t>
  </si>
  <si>
    <t>Transfers!$I$225</t>
  </si>
  <si>
    <t>Transfers!$J$225</t>
  </si>
  <si>
    <t>Transfers!$K$225</t>
  </si>
  <si>
    <t>Transfers!$L$225</t>
  </si>
  <si>
    <t>Transfers!$M$225</t>
  </si>
  <si>
    <t>Transfers!$N$225</t>
  </si>
  <si>
    <t>Transfers!$O$225</t>
  </si>
  <si>
    <t>Transfers!$B$226</t>
  </si>
  <si>
    <t>Transfers!$C$226</t>
  </si>
  <si>
    <t>Transfers!$D$226</t>
  </si>
  <si>
    <t>Transfers!$E$226</t>
  </si>
  <si>
    <t>Transfers!$G$226</t>
  </si>
  <si>
    <t>Transfers!$H$226</t>
  </si>
  <si>
    <t>Transfers!$I$226</t>
  </si>
  <si>
    <t>Transfers!$J$226</t>
  </si>
  <si>
    <t>Transfers!$K$226</t>
  </si>
  <si>
    <t>Transfers!$L$226</t>
  </si>
  <si>
    <t>Transfers!$M$226</t>
  </si>
  <si>
    <t>Transfers!$N$226</t>
  </si>
  <si>
    <t>Transfers!$O$226</t>
  </si>
  <si>
    <t>Transfers!$B$227</t>
  </si>
  <si>
    <t>Transfers!$C$227</t>
  </si>
  <si>
    <t>Transfers!$D$227</t>
  </si>
  <si>
    <t>Transfers!$E$227</t>
  </si>
  <si>
    <t>Transfers!$F$227</t>
  </si>
  <si>
    <t>Transfers!$H$227</t>
  </si>
  <si>
    <t>Transfers!$I$227</t>
  </si>
  <si>
    <t>Transfers!$J$227</t>
  </si>
  <si>
    <t>Transfers!$K$227</t>
  </si>
  <si>
    <t>Transfers!$L$227</t>
  </si>
  <si>
    <t>Transfers!$M$227</t>
  </si>
  <si>
    <t>Transfers!$N$227</t>
  </si>
  <si>
    <t>Transfers!$O$227</t>
  </si>
  <si>
    <t>Transfers!$B$228</t>
  </si>
  <si>
    <t>Transfers!$C$228</t>
  </si>
  <si>
    <t>Transfers!$D$228</t>
  </si>
  <si>
    <t>Transfers!$E$228</t>
  </si>
  <si>
    <t>Transfers!$F$228</t>
  </si>
  <si>
    <t>Transfers!$G$228</t>
  </si>
  <si>
    <t>Transfers!$I$228</t>
  </si>
  <si>
    <t>Transfers!$J$228</t>
  </si>
  <si>
    <t>Transfers!$K$228</t>
  </si>
  <si>
    <t>Transfers!$L$228</t>
  </si>
  <si>
    <t>Transfers!$M$228</t>
  </si>
  <si>
    <t>Transfers!$N$228</t>
  </si>
  <si>
    <t>Transfers!$O$228</t>
  </si>
  <si>
    <t>Transfers!$B$229</t>
  </si>
  <si>
    <t>Transfers!$C$229</t>
  </si>
  <si>
    <t>Transfers!$D$229</t>
  </si>
  <si>
    <t>Transfers!$E$229</t>
  </si>
  <si>
    <t>Transfers!$F$229</t>
  </si>
  <si>
    <t>Transfers!$G$229</t>
  </si>
  <si>
    <t>Transfers!$H$229</t>
  </si>
  <si>
    <t>Transfers!$J$229</t>
  </si>
  <si>
    <t>Transfers!$K$229</t>
  </si>
  <si>
    <t>Transfers!$L$229</t>
  </si>
  <si>
    <t>Transfers!$M$229</t>
  </si>
  <si>
    <t>Transfers!$N$229</t>
  </si>
  <si>
    <t>Transfers!$O$229</t>
  </si>
  <si>
    <t>Transfers!$B$230</t>
  </si>
  <si>
    <t>Transfers!$C$230</t>
  </si>
  <si>
    <t>Transfers!$D$230</t>
  </si>
  <si>
    <t>Transfers!$E$230</t>
  </si>
  <si>
    <t>Transfers!$F$230</t>
  </si>
  <si>
    <t>Transfers!$G$230</t>
  </si>
  <si>
    <t>Transfers!$H$230</t>
  </si>
  <si>
    <t>Transfers!$I$230</t>
  </si>
  <si>
    <t>Transfers!$K$230</t>
  </si>
  <si>
    <t>Transfers!$L$230</t>
  </si>
  <si>
    <t>Transfers!$M$230</t>
  </si>
  <si>
    <t>Transfers!$N$230</t>
  </si>
  <si>
    <t>Transfers!$O$230</t>
  </si>
  <si>
    <t>Transfers!$B$231</t>
  </si>
  <si>
    <t>Transfers!$C$231</t>
  </si>
  <si>
    <t>Transfers!$D$231</t>
  </si>
  <si>
    <t>Transfers!$E$231</t>
  </si>
  <si>
    <t>Transfers!$F$231</t>
  </si>
  <si>
    <t>Transfers!$G$231</t>
  </si>
  <si>
    <t>Transfers!$H$231</t>
  </si>
  <si>
    <t>Transfers!$I$231</t>
  </si>
  <si>
    <t>Transfers!$J$231</t>
  </si>
  <si>
    <t>Transfers!$L$231</t>
  </si>
  <si>
    <t>Transfers!$M$231</t>
  </si>
  <si>
    <t>Transfers!$N$231</t>
  </si>
  <si>
    <t>Transfers!$O$231</t>
  </si>
  <si>
    <t>Transfers!$B$232</t>
  </si>
  <si>
    <t>Transfers!$C$232</t>
  </si>
  <si>
    <t>Transfers!$D$232</t>
  </si>
  <si>
    <t>Transfers!$E$232</t>
  </si>
  <si>
    <t>Transfers!$F$232</t>
  </si>
  <si>
    <t>Transfers!$G$232</t>
  </si>
  <si>
    <t>Transfers!$H$232</t>
  </si>
  <si>
    <t>Transfers!$I$232</t>
  </si>
  <si>
    <t>Transfers!$J$232</t>
  </si>
  <si>
    <t>Transfers!$K$232</t>
  </si>
  <si>
    <t>Transfers!$M$232</t>
  </si>
  <si>
    <t>Transfers!$N$232</t>
  </si>
  <si>
    <t>Transfers!$O$232</t>
  </si>
  <si>
    <t>Transfers!$B$233</t>
  </si>
  <si>
    <t>Transfers!$C$233</t>
  </si>
  <si>
    <t>Transfers!$D$233</t>
  </si>
  <si>
    <t>Transfers!$E$233</t>
  </si>
  <si>
    <t>Transfers!$F$233</t>
  </si>
  <si>
    <t>Transfers!$G$233</t>
  </si>
  <si>
    <t>Transfers!$H$233</t>
  </si>
  <si>
    <t>Transfers!$I$233</t>
  </si>
  <si>
    <t>Transfers!$J$233</t>
  </si>
  <si>
    <t>Transfers!$K$233</t>
  </si>
  <si>
    <t>Transfers!$L$233</t>
  </si>
  <si>
    <t>Transfers!$N$233</t>
  </si>
  <si>
    <t>Transfers!$O$233</t>
  </si>
  <si>
    <t>Transfers!$B$234</t>
  </si>
  <si>
    <t>Transfers!$C$234</t>
  </si>
  <si>
    <t>Transfers!$D$234</t>
  </si>
  <si>
    <t>Transfers!$E$234</t>
  </si>
  <si>
    <t>Transfers!$F$234</t>
  </si>
  <si>
    <t>Transfers!$G$234</t>
  </si>
  <si>
    <t>Transfers!$H$234</t>
  </si>
  <si>
    <t>Transfers!$I$234</t>
  </si>
  <si>
    <t>Transfers!$J$234</t>
  </si>
  <si>
    <t>Transfers!$K$234</t>
  </si>
  <si>
    <t>Transfers!$L$234</t>
  </si>
  <si>
    <t>Transfers!$M$234</t>
  </si>
  <si>
    <t>Transfers!$O$234</t>
  </si>
  <si>
    <t>Transfers!$B$235</t>
  </si>
  <si>
    <t>Transfers!$C$235</t>
  </si>
  <si>
    <t>Transfers!$D$235</t>
  </si>
  <si>
    <t>Transfers!$E$235</t>
  </si>
  <si>
    <t>Transfers!$F$235</t>
  </si>
  <si>
    <t>Transfers!$G$235</t>
  </si>
  <si>
    <t>Transfers!$H$235</t>
  </si>
  <si>
    <t>Transfers!$I$235</t>
  </si>
  <si>
    <t>Transfers!$J$235</t>
  </si>
  <si>
    <t>Transfers!$K$235</t>
  </si>
  <si>
    <t>Transfers!$L$235</t>
  </si>
  <si>
    <t>Transfers!$M$235</t>
  </si>
  <si>
    <t>Transfers!$N$235</t>
  </si>
  <si>
    <t>inc</t>
  </si>
  <si>
    <t>Incarceration</t>
  </si>
  <si>
    <t>Transfers!$C$439</t>
  </si>
  <si>
    <t>Transfers!$D$439</t>
  </si>
  <si>
    <t>Transfers!$E$439</t>
  </si>
  <si>
    <t>Transfers!$F$439</t>
  </si>
  <si>
    <t>Transfers!$G$439</t>
  </si>
  <si>
    <t>Transfers!$H$439</t>
  </si>
  <si>
    <t>Transfers!$I$439</t>
  </si>
  <si>
    <t>Transfers!$J$439</t>
  </si>
  <si>
    <t>Transfers!$K$439</t>
  </si>
  <si>
    <t>Transfers!$L$439</t>
  </si>
  <si>
    <t>Transfers!$M$439</t>
  </si>
  <si>
    <t>Transfers!$N$439</t>
  </si>
  <si>
    <t>Transfers!$O$439</t>
  </si>
  <si>
    <t>Transfers!$B$440</t>
  </si>
  <si>
    <t>Transfers!$D$440</t>
  </si>
  <si>
    <t>Transfers!$E$440</t>
  </si>
  <si>
    <t>Transfers!$F$440</t>
  </si>
  <si>
    <t>Transfers!$G$440</t>
  </si>
  <si>
    <t>Transfers!$H$440</t>
  </si>
  <si>
    <t>Transfers!$I$440</t>
  </si>
  <si>
    <t>Transfers!$J$440</t>
  </si>
  <si>
    <t>Transfers!$K$440</t>
  </si>
  <si>
    <t>Transfers!$L$440</t>
  </si>
  <si>
    <t>Transfers!$M$440</t>
  </si>
  <si>
    <t>Transfers!$N$440</t>
  </si>
  <si>
    <t>Transfers!$O$440</t>
  </si>
  <si>
    <t>Transfers!$B$441</t>
  </si>
  <si>
    <t>Transfers!$C$441</t>
  </si>
  <si>
    <t>Transfers!$E$441</t>
  </si>
  <si>
    <t>Transfers!$F$441</t>
  </si>
  <si>
    <t>Transfers!$G$441</t>
  </si>
  <si>
    <t>Transfers!$H$441</t>
  </si>
  <si>
    <t>Transfers!$I$441</t>
  </si>
  <si>
    <t>Transfers!$J$441</t>
  </si>
  <si>
    <t>Transfers!$K$441</t>
  </si>
  <si>
    <t>Transfers!$L$441</t>
  </si>
  <si>
    <t>Transfers!$M$441</t>
  </si>
  <si>
    <t>Transfers!$N$441</t>
  </si>
  <si>
    <t>Transfers!$O$441</t>
  </si>
  <si>
    <t>Transfers!$B$442</t>
  </si>
  <si>
    <t>Transfers!$C$442</t>
  </si>
  <si>
    <t>Transfers!$D$442</t>
  </si>
  <si>
    <t>Transfers!$F$442</t>
  </si>
  <si>
    <t>Transfers!$G$442</t>
  </si>
  <si>
    <t>Transfers!$H$442</t>
  </si>
  <si>
    <t>Transfers!$I$442</t>
  </si>
  <si>
    <t>Transfers!$J$442</t>
  </si>
  <si>
    <t>Transfers!$K$442</t>
  </si>
  <si>
    <t>Transfers!$L$442</t>
  </si>
  <si>
    <t>Transfers!$M$442</t>
  </si>
  <si>
    <t>Transfers!$N$442</t>
  </si>
  <si>
    <t>Transfers!$O$442</t>
  </si>
  <si>
    <t>Transfers!$B$443</t>
  </si>
  <si>
    <t>Transfers!$C$443</t>
  </si>
  <si>
    <t>Transfers!$D$443</t>
  </si>
  <si>
    <t>Transfers!$E$443</t>
  </si>
  <si>
    <t>Transfers!$G$443</t>
  </si>
  <si>
    <t>Transfers!$H$443</t>
  </si>
  <si>
    <t>Transfers!$I$443</t>
  </si>
  <si>
    <t>Transfers!$J$443</t>
  </si>
  <si>
    <t>Transfers!$K$443</t>
  </si>
  <si>
    <t>Transfers!$L$443</t>
  </si>
  <si>
    <t>Transfers!$M$443</t>
  </si>
  <si>
    <t>Transfers!$N$443</t>
  </si>
  <si>
    <t>Transfers!$O$443</t>
  </si>
  <si>
    <t>Transfers!$B$444</t>
  </si>
  <si>
    <t>Transfers!$C$444</t>
  </si>
  <si>
    <t>Transfers!$D$444</t>
  </si>
  <si>
    <t>Transfers!$E$444</t>
  </si>
  <si>
    <t>Transfers!$F$444</t>
  </si>
  <si>
    <t>Transfers!$H$444</t>
  </si>
  <si>
    <t>Transfers!$I$444</t>
  </si>
  <si>
    <t>Transfers!$J$444</t>
  </si>
  <si>
    <t>Transfers!$K$444</t>
  </si>
  <si>
    <t>Transfers!$L$444</t>
  </si>
  <si>
    <t>Transfers!$M$444</t>
  </si>
  <si>
    <t>Transfers!$N$444</t>
  </si>
  <si>
    <t>Transfers!$O$444</t>
  </si>
  <si>
    <t>Transfers!$B$445</t>
  </si>
  <si>
    <t>Transfers!$C$445</t>
  </si>
  <si>
    <t>Transfers!$D$445</t>
  </si>
  <si>
    <t>Transfers!$E$445</t>
  </si>
  <si>
    <t>Transfers!$F$445</t>
  </si>
  <si>
    <t>Transfers!$G$445</t>
  </si>
  <si>
    <t>Transfers!$I$445</t>
  </si>
  <si>
    <t>Transfers!$J$445</t>
  </si>
  <si>
    <t>Transfers!$K$445</t>
  </si>
  <si>
    <t>Transfers!$L$445</t>
  </si>
  <si>
    <t>Transfers!$M$445</t>
  </si>
  <si>
    <t>Transfers!$N$445</t>
  </si>
  <si>
    <t>Transfers!$O$445</t>
  </si>
  <si>
    <t>Transfers!$B$446</t>
  </si>
  <si>
    <t>Transfers!$C$446</t>
  </si>
  <si>
    <t>Transfers!$D$446</t>
  </si>
  <si>
    <t>Transfers!$E$446</t>
  </si>
  <si>
    <t>Transfers!$F$446</t>
  </si>
  <si>
    <t>Transfers!$G$446</t>
  </si>
  <si>
    <t>Transfers!$H$446</t>
  </si>
  <si>
    <t>Transfers!$J$446</t>
  </si>
  <si>
    <t>Transfers!$K$446</t>
  </si>
  <si>
    <t>Transfers!$L$446</t>
  </si>
  <si>
    <t>Transfers!$M$446</t>
  </si>
  <si>
    <t>Transfers!$N$446</t>
  </si>
  <si>
    <t>Transfers!$O$446</t>
  </si>
  <si>
    <t>Transfers!$B$447</t>
  </si>
  <si>
    <t>Transfers!$C$447</t>
  </si>
  <si>
    <t>Transfers!$D$447</t>
  </si>
  <si>
    <t>Transfers!$E$447</t>
  </si>
  <si>
    <t>Transfers!$F$447</t>
  </si>
  <si>
    <t>Transfers!$G$447</t>
  </si>
  <si>
    <t>Transfers!$H$447</t>
  </si>
  <si>
    <t>Transfers!$I$447</t>
  </si>
  <si>
    <t>Transfers!$K$447</t>
  </si>
  <si>
    <t>Transfers!$L$447</t>
  </si>
  <si>
    <t>Transfers!$M$447</t>
  </si>
  <si>
    <t>Transfers!$N$447</t>
  </si>
  <si>
    <t>Transfers!$O$447</t>
  </si>
  <si>
    <t>Transfers!$B$448</t>
  </si>
  <si>
    <t>Transfers!$C$448</t>
  </si>
  <si>
    <t>Transfers!$D$448</t>
  </si>
  <si>
    <t>Transfers!$E$448</t>
  </si>
  <si>
    <t>Transfers!$F$448</t>
  </si>
  <si>
    <t>Transfers!$G$448</t>
  </si>
  <si>
    <t>Transfers!$H$448</t>
  </si>
  <si>
    <t>Transfers!$I$448</t>
  </si>
  <si>
    <t>Transfers!$J$448</t>
  </si>
  <si>
    <t>Transfers!$L$448</t>
  </si>
  <si>
    <t>Transfers!$M$448</t>
  </si>
  <si>
    <t>Transfers!$N$448</t>
  </si>
  <si>
    <t>Transfers!$O$448</t>
  </si>
  <si>
    <t>Transfers!$B$449</t>
  </si>
  <si>
    <t>Transfers!$C$449</t>
  </si>
  <si>
    <t>Transfers!$D$449</t>
  </si>
  <si>
    <t>Transfers!$E$449</t>
  </si>
  <si>
    <t>Transfers!$F$449</t>
  </si>
  <si>
    <t>Transfers!$G$449</t>
  </si>
  <si>
    <t>Transfers!$H$449</t>
  </si>
  <si>
    <t>Transfers!$I$449</t>
  </si>
  <si>
    <t>Transfers!$J$449</t>
  </si>
  <si>
    <t>Transfers!$K$449</t>
  </si>
  <si>
    <t>Transfers!$M$449</t>
  </si>
  <si>
    <t>Transfers!$N$449</t>
  </si>
  <si>
    <t>Transfers!$O$449</t>
  </si>
  <si>
    <t>Transfers!$B$450</t>
  </si>
  <si>
    <t>Transfers!$C$450</t>
  </si>
  <si>
    <t>Transfers!$D$450</t>
  </si>
  <si>
    <t>Transfers!$E$450</t>
  </si>
  <si>
    <t>Transfers!$F$450</t>
  </si>
  <si>
    <t>Transfers!$G$450</t>
  </si>
  <si>
    <t>Transfers!$H$450</t>
  </si>
  <si>
    <t>Transfers!$I$450</t>
  </si>
  <si>
    <t>Transfers!$J$450</t>
  </si>
  <si>
    <t>Transfers!$K$450</t>
  </si>
  <si>
    <t>Transfers!$L$450</t>
  </si>
  <si>
    <t>Transfers!$N$450</t>
  </si>
  <si>
    <t>Transfers!$O$450</t>
  </si>
  <si>
    <t>Transfers!$B$451</t>
  </si>
  <si>
    <t>Transfers!$C$451</t>
  </si>
  <si>
    <t>Transfers!$D$451</t>
  </si>
  <si>
    <t>Transfers!$E$451</t>
  </si>
  <si>
    <t>Transfers!$F$451</t>
  </si>
  <si>
    <t>Transfers!$G$451</t>
  </si>
  <si>
    <t>Transfers!$H$451</t>
  </si>
  <si>
    <t>Transfers!$I$451</t>
  </si>
  <si>
    <t>Transfers!$J$451</t>
  </si>
  <si>
    <t>Transfers!$K$451</t>
  </si>
  <si>
    <t>Transfers!$L$451</t>
  </si>
  <si>
    <t>Transfers!$M$451</t>
  </si>
  <si>
    <t>Transfers!$O$451</t>
  </si>
  <si>
    <t>Transfers!$B$452</t>
  </si>
  <si>
    <t>Transfers!$C$452</t>
  </si>
  <si>
    <t>Transfers!$D$452</t>
  </si>
  <si>
    <t>Transfers!$E$452</t>
  </si>
  <si>
    <t>Transfers!$F$452</t>
  </si>
  <si>
    <t>Transfers!$G$452</t>
  </si>
  <si>
    <t>Transfers!$H$452</t>
  </si>
  <si>
    <t>Transfers!$I$452</t>
  </si>
  <si>
    <t>Transfers!$J$452</t>
  </si>
  <si>
    <t>Transfers!$K$452</t>
  </si>
  <si>
    <t>Transfers!$L$452</t>
  </si>
  <si>
    <t>Transfers!$M$452</t>
  </si>
  <si>
    <t>Transfers!$N$452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</si>
</sst>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15"/>
  <sheetViews>
    <sheetView tabSelected="1" workbookViewId="0"/>
  </sheetViews>
  <sheetFormatPr defaultRowHeight="15"/>
  <cols>
    <col min="1" max="1" width="25.85546875" customWidth="1"/>
    <col min="2" max="2" width="38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 t="s">
        <v>5</v>
      </c>
    </row>
    <row r="3" spans="1:3">
      <c r="A3" s="2" t="s">
        <v>6</v>
      </c>
      <c r="B3" s="2" t="s">
        <v>7</v>
      </c>
      <c r="C3" s="3" t="s">
        <v>5</v>
      </c>
    </row>
    <row r="4" spans="1:3">
      <c r="A4" s="2" t="s">
        <v>8</v>
      </c>
      <c r="B4" s="2" t="s">
        <v>9</v>
      </c>
      <c r="C4" s="3" t="s">
        <v>5</v>
      </c>
    </row>
    <row r="5" spans="1:3">
      <c r="A5" s="2" t="s">
        <v>10</v>
      </c>
      <c r="B5" s="2" t="s">
        <v>11</v>
      </c>
      <c r="C5" s="3" t="s">
        <v>5</v>
      </c>
    </row>
    <row r="6" spans="1:3">
      <c r="A6" s="2" t="s">
        <v>12</v>
      </c>
      <c r="B6" s="2" t="s">
        <v>13</v>
      </c>
      <c r="C6" s="3" t="s">
        <v>5</v>
      </c>
    </row>
    <row r="7" spans="1:3">
      <c r="A7" s="2" t="s">
        <v>14</v>
      </c>
      <c r="B7" s="2" t="s">
        <v>15</v>
      </c>
      <c r="C7" s="3" t="s">
        <v>5</v>
      </c>
    </row>
    <row r="8" spans="1:3">
      <c r="A8" s="2" t="s">
        <v>16</v>
      </c>
      <c r="B8" s="2" t="s">
        <v>17</v>
      </c>
      <c r="C8" s="3" t="s">
        <v>5</v>
      </c>
    </row>
    <row r="9" spans="1:3">
      <c r="A9" s="2" t="s">
        <v>18</v>
      </c>
      <c r="B9" s="2" t="s">
        <v>19</v>
      </c>
      <c r="C9" s="3" t="s">
        <v>5</v>
      </c>
    </row>
    <row r="10" spans="1:3">
      <c r="A10" s="2" t="s">
        <v>20</v>
      </c>
      <c r="B10" s="2" t="s">
        <v>21</v>
      </c>
      <c r="C10" s="3" t="s">
        <v>5</v>
      </c>
    </row>
    <row r="11" spans="1:3">
      <c r="A11" s="2" t="s">
        <v>22</v>
      </c>
      <c r="B11" s="2" t="s">
        <v>23</v>
      </c>
      <c r="C11" s="3" t="s">
        <v>5</v>
      </c>
    </row>
    <row r="12" spans="1:3">
      <c r="A12" s="2" t="s">
        <v>24</v>
      </c>
      <c r="B12" s="2" t="s">
        <v>25</v>
      </c>
      <c r="C12" s="3" t="s">
        <v>5</v>
      </c>
    </row>
    <row r="13" spans="1:3">
      <c r="A13" s="2" t="s">
        <v>26</v>
      </c>
      <c r="B13" s="2" t="s">
        <v>27</v>
      </c>
      <c r="C13" s="3" t="s">
        <v>5</v>
      </c>
    </row>
    <row r="14" spans="1:3">
      <c r="A14" s="2" t="s">
        <v>28</v>
      </c>
      <c r="B14" s="2" t="s">
        <v>25</v>
      </c>
      <c r="C14" s="3" t="s">
        <v>5</v>
      </c>
    </row>
    <row r="15" spans="1:3">
      <c r="A15" s="2" t="s">
        <v>29</v>
      </c>
      <c r="B15" s="2" t="s">
        <v>27</v>
      </c>
      <c r="C15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07"/>
  <sheetViews>
    <sheetView workbookViewId="0"/>
  </sheetViews>
  <sheetFormatPr defaultRowHeight="15"/>
  <cols>
    <col min="1" max="1" width="53.42578125" customWidth="1"/>
    <col min="2" max="3" width="12.710937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30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52.34441231249999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39.73537360799998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274.0839448032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268.860284718444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46.79762873491208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57.04981402581704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2.4224265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0.2681546406048075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7.267279500000001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0.1041393593951928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5">
      <c r="A17" s="1" t="s">
        <v>35</v>
      </c>
      <c r="B17" s="1" t="s">
        <v>31</v>
      </c>
      <c r="C17" s="1" t="s">
        <v>32</v>
      </c>
      <c r="D17" s="1" t="s">
        <v>33</v>
      </c>
      <c r="E17" s="1">
        <v>2000</v>
      </c>
      <c r="F17" s="1">
        <v>2001</v>
      </c>
      <c r="G17" s="1">
        <v>2002</v>
      </c>
      <c r="H17" s="1">
        <v>2003</v>
      </c>
      <c r="I17" s="1">
        <v>2004</v>
      </c>
      <c r="J17" s="1">
        <v>2005</v>
      </c>
      <c r="K17" s="1">
        <v>2006</v>
      </c>
      <c r="L17" s="1">
        <v>2007</v>
      </c>
      <c r="M17" s="1">
        <v>2008</v>
      </c>
      <c r="N17" s="1">
        <v>2009</v>
      </c>
      <c r="O17" s="1">
        <v>2010</v>
      </c>
      <c r="P17" s="1">
        <v>2011</v>
      </c>
      <c r="Q17" s="1">
        <v>2012</v>
      </c>
      <c r="R17" s="1">
        <v>2013</v>
      </c>
      <c r="S17" s="1">
        <v>2014</v>
      </c>
      <c r="T17" s="1">
        <v>2015</v>
      </c>
      <c r="U17" s="1">
        <v>2016</v>
      </c>
      <c r="V17" s="1">
        <v>2017</v>
      </c>
      <c r="W17" s="1">
        <v>2018</v>
      </c>
      <c r="X17" s="1">
        <v>2019</v>
      </c>
      <c r="Y17" s="1">
        <v>2020</v>
      </c>
      <c r="Z17" s="1">
        <v>2021</v>
      </c>
      <c r="AA17" s="1">
        <v>2022</v>
      </c>
      <c r="AB17" s="1">
        <v>2023</v>
      </c>
      <c r="AC17" s="1">
        <v>2024</v>
      </c>
      <c r="AD17" s="1">
        <v>2025</v>
      </c>
      <c r="AE17" s="1">
        <v>2026</v>
      </c>
      <c r="AF17" s="1">
        <v>2027</v>
      </c>
      <c r="AG17" s="1">
        <v>2028</v>
      </c>
      <c r="AH17" s="1">
        <v>2029</v>
      </c>
      <c r="AI17" s="1">
        <v>2030</v>
      </c>
      <c r="AJ17" s="1">
        <v>2031</v>
      </c>
      <c r="AK17" s="1">
        <v>2032</v>
      </c>
      <c r="AL17" s="1">
        <v>2033</v>
      </c>
      <c r="AM17" s="1">
        <v>2034</v>
      </c>
      <c r="AN17" s="1">
        <v>2035</v>
      </c>
      <c r="AO17" s="1">
        <v>2036</v>
      </c>
      <c r="AP17" s="1">
        <v>2037</v>
      </c>
      <c r="AQ17" s="1">
        <v>2038</v>
      </c>
      <c r="AR17" s="1">
        <v>2039</v>
      </c>
      <c r="AS17" s="1">
        <v>2040</v>
      </c>
      <c r="AT17" s="1">
        <v>2041</v>
      </c>
      <c r="AU17" s="1">
        <v>2042</v>
      </c>
      <c r="AV17" s="1">
        <v>2043</v>
      </c>
      <c r="AW17" s="1">
        <v>2044</v>
      </c>
      <c r="AX17" s="1">
        <v>2045</v>
      </c>
      <c r="AY17" s="1">
        <v>2046</v>
      </c>
      <c r="AZ17" s="1">
        <v>2047</v>
      </c>
      <c r="BA17" s="1">
        <v>2048</v>
      </c>
      <c r="BB17" s="1">
        <v>2049</v>
      </c>
      <c r="BC17" s="1">
        <v>2050</v>
      </c>
    </row>
    <row r="18" spans="1:55">
      <c r="A18" s="1" t="str">
        <f>'Population Definitions'!$A$2</f>
        <v>PWID_males</v>
      </c>
      <c r="C18" t="s">
        <v>36</v>
      </c>
      <c r="D18" s="3"/>
      <c r="E18" s="3">
        <v>0.4409999999999999</v>
      </c>
      <c r="F18" s="3"/>
      <c r="G18" s="3"/>
      <c r="H18" s="3"/>
      <c r="I18" s="3"/>
      <c r="J18" s="3"/>
      <c r="K18" s="3"/>
      <c r="L18" s="3"/>
      <c r="M18" s="3"/>
      <c r="N18" s="3"/>
      <c r="O18" s="3">
        <v>0.4409999999999999</v>
      </c>
      <c r="P18" s="3"/>
      <c r="Q18" s="3"/>
      <c r="R18" s="3"/>
      <c r="S18" s="3"/>
      <c r="T18" s="3">
        <v>0.473</v>
      </c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>
      <c r="A19" s="1" t="str">
        <f>'Population Definitions'!$A$3</f>
        <v>PWID_females</v>
      </c>
      <c r="C19" t="s">
        <v>36</v>
      </c>
      <c r="D19" s="3"/>
      <c r="E19" s="3">
        <v>0.4409999999999999</v>
      </c>
      <c r="F19" s="3"/>
      <c r="G19" s="3"/>
      <c r="H19" s="3"/>
      <c r="I19" s="3"/>
      <c r="J19" s="3"/>
      <c r="K19" s="3"/>
      <c r="L19" s="3"/>
      <c r="M19" s="3"/>
      <c r="N19" s="3"/>
      <c r="O19" s="3">
        <v>0.4409999999999999</v>
      </c>
      <c r="P19" s="3"/>
      <c r="Q19" s="3"/>
      <c r="R19" s="3"/>
      <c r="S19" s="3"/>
      <c r="T19" s="3">
        <v>0.473</v>
      </c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>
      <c r="A20" s="1" t="str">
        <f>'Population Definitions'!$A$4</f>
        <v>0-9_males</v>
      </c>
      <c r="C20" t="s">
        <v>36</v>
      </c>
      <c r="D20" s="3"/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>
      <c r="A21" s="1" t="str">
        <f>'Population Definitions'!$A$5</f>
        <v>0-9_females</v>
      </c>
      <c r="C21" t="s">
        <v>36</v>
      </c>
      <c r="D21" s="3"/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>
      <c r="A22" s="1" t="str">
        <f>'Population Definitions'!$A$6</f>
        <v>10-17_males</v>
      </c>
      <c r="C22" t="s">
        <v>36</v>
      </c>
      <c r="D22" s="3"/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>
      <c r="A23" s="1" t="str">
        <f>'Population Definitions'!$A$7</f>
        <v>10-17_females</v>
      </c>
      <c r="C23" t="s">
        <v>36</v>
      </c>
      <c r="D23" s="3"/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>
      <c r="A24" s="1" t="str">
        <f>'Population Definitions'!$A$8</f>
        <v>18-64_males</v>
      </c>
      <c r="C24" t="s">
        <v>36</v>
      </c>
      <c r="D24" s="3"/>
      <c r="E24" s="3">
        <v>0.003190348620166485</v>
      </c>
      <c r="F24" s="3"/>
      <c r="G24" s="3"/>
      <c r="H24" s="3"/>
      <c r="I24" s="3"/>
      <c r="J24" s="3"/>
      <c r="K24" s="3"/>
      <c r="L24" s="3"/>
      <c r="M24" s="3"/>
      <c r="N24" s="3"/>
      <c r="O24" s="3">
        <v>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>
      <c r="A25" s="1" t="str">
        <f>'Population Definitions'!$A$9</f>
        <v>18-64_females</v>
      </c>
      <c r="C25" t="s">
        <v>36</v>
      </c>
      <c r="D25" s="3"/>
      <c r="E25" s="3">
        <v>0.003190348620166485</v>
      </c>
      <c r="F25" s="3"/>
      <c r="G25" s="3"/>
      <c r="H25" s="3"/>
      <c r="I25" s="3"/>
      <c r="J25" s="3"/>
      <c r="K25" s="3"/>
      <c r="L25" s="3"/>
      <c r="M25" s="3"/>
      <c r="N25" s="3"/>
      <c r="O25" s="3"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>
      <c r="A26" s="1" t="str">
        <f>'Population Definitions'!$A$10</f>
        <v>65+_males</v>
      </c>
      <c r="C26" t="s">
        <v>36</v>
      </c>
      <c r="D26" s="3"/>
      <c r="E26" s="3">
        <v>0.003190348620166485</v>
      </c>
      <c r="F26" s="3"/>
      <c r="G26" s="3"/>
      <c r="H26" s="3"/>
      <c r="I26" s="3"/>
      <c r="J26" s="3"/>
      <c r="K26" s="3"/>
      <c r="L26" s="3"/>
      <c r="M26" s="3"/>
      <c r="N26" s="3"/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>
      <c r="A27" s="1" t="str">
        <f>'Population Definitions'!$A$11</f>
        <v>65+_females</v>
      </c>
      <c r="C27" t="s">
        <v>36</v>
      </c>
      <c r="D27" s="3"/>
      <c r="E27" s="3">
        <v>0.003190348620166485</v>
      </c>
      <c r="F27" s="3"/>
      <c r="G27" s="3"/>
      <c r="H27" s="3"/>
      <c r="I27" s="3"/>
      <c r="J27" s="3"/>
      <c r="K27" s="3"/>
      <c r="L27" s="3"/>
      <c r="M27" s="3"/>
      <c r="N27" s="3"/>
      <c r="O27" s="3">
        <v>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>
      <c r="A28" s="1" t="str">
        <f>'Population Definitions'!$A$12</f>
        <v>Prisoners_males</v>
      </c>
      <c r="C28" t="s">
        <v>36</v>
      </c>
      <c r="D28" s="3"/>
      <c r="E28" s="3">
        <v>0.129</v>
      </c>
      <c r="F28" s="3"/>
      <c r="G28" s="3"/>
      <c r="H28" s="3"/>
      <c r="I28" s="3"/>
      <c r="J28" s="3"/>
      <c r="K28" s="3"/>
      <c r="L28" s="3"/>
      <c r="M28" s="3"/>
      <c r="N28" s="3"/>
      <c r="O28" s="3">
        <v>0.129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>
      <c r="A29" s="1" t="str">
        <f>'Population Definitions'!$A$13</f>
        <v>Prisoners_females</v>
      </c>
      <c r="C29" t="s">
        <v>36</v>
      </c>
      <c r="D29" s="3"/>
      <c r="E29" s="3">
        <v>0.129</v>
      </c>
      <c r="F29" s="3"/>
      <c r="G29" s="3"/>
      <c r="H29" s="3"/>
      <c r="I29" s="3"/>
      <c r="J29" s="3"/>
      <c r="K29" s="3"/>
      <c r="L29" s="3"/>
      <c r="M29" s="3"/>
      <c r="N29" s="3"/>
      <c r="O29" s="3">
        <v>0.129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>
      <c r="A30" s="1" t="str">
        <f>'Population Definitions'!$A$14</f>
        <v>Prisoners_PWID_males</v>
      </c>
      <c r="C30" t="s">
        <v>36</v>
      </c>
      <c r="D30" s="3"/>
      <c r="E30" s="3">
        <v>0.129</v>
      </c>
      <c r="F30" s="3"/>
      <c r="G30" s="3"/>
      <c r="H30" s="3"/>
      <c r="I30" s="3"/>
      <c r="J30" s="3"/>
      <c r="K30" s="3"/>
      <c r="L30" s="3"/>
      <c r="M30" s="3"/>
      <c r="N30" s="3"/>
      <c r="O30" s="3">
        <v>0.129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>
      <c r="A31" s="1" t="str">
        <f>'Population Definitions'!$A$15</f>
        <v>Prisoners_PWID_females</v>
      </c>
      <c r="C31" t="s">
        <v>36</v>
      </c>
      <c r="D31" s="3"/>
      <c r="E31" s="3">
        <v>0.129</v>
      </c>
      <c r="F31" s="3"/>
      <c r="G31" s="3"/>
      <c r="H31" s="3"/>
      <c r="I31" s="3"/>
      <c r="J31" s="3"/>
      <c r="K31" s="3"/>
      <c r="L31" s="3"/>
      <c r="M31" s="3"/>
      <c r="N31" s="3"/>
      <c r="O31" s="3">
        <v>0.129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3" spans="1:57">
      <c r="A33" s="1" t="s">
        <v>37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36</v>
      </c>
      <c r="D34" s="3"/>
      <c r="E34" s="3">
        <v>0.945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36</v>
      </c>
      <c r="D35" s="3"/>
      <c r="E35" s="3">
        <v>0.945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36</v>
      </c>
      <c r="D36" s="3"/>
      <c r="E36" s="3">
        <v>0.945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36</v>
      </c>
      <c r="D37" s="3"/>
      <c r="E37" s="3">
        <v>0.945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36</v>
      </c>
      <c r="D38" s="3"/>
      <c r="E38" s="3">
        <v>0.945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36</v>
      </c>
      <c r="D39" s="3"/>
      <c r="E39" s="3">
        <v>0.945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36</v>
      </c>
      <c r="D40" s="3"/>
      <c r="E40" s="3">
        <v>0.945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36</v>
      </c>
      <c r="D41" s="3"/>
      <c r="E41" s="3">
        <v>0.945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36</v>
      </c>
      <c r="D42" s="3"/>
      <c r="E42" s="3">
        <v>0.945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36</v>
      </c>
      <c r="D43" s="3"/>
      <c r="E43" s="3">
        <v>0.945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36</v>
      </c>
      <c r="D44" s="3"/>
      <c r="E44" s="3">
        <v>0.945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36</v>
      </c>
      <c r="D45" s="3"/>
      <c r="E45" s="3">
        <v>0.945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36</v>
      </c>
      <c r="D46" s="3"/>
      <c r="E46" s="3">
        <v>0.945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36</v>
      </c>
      <c r="D47" s="3"/>
      <c r="E47" s="3">
        <v>0.945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40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36</v>
      </c>
      <c r="D50" s="3"/>
      <c r="E50" s="3">
        <v>0.03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36</v>
      </c>
      <c r="D51" s="3"/>
      <c r="E51" s="3">
        <v>0.03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36</v>
      </c>
      <c r="D52" s="3"/>
      <c r="E52" s="3">
        <v>0.03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36</v>
      </c>
      <c r="D53" s="3"/>
      <c r="E53" s="3">
        <v>0.03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36</v>
      </c>
      <c r="D54" s="3"/>
      <c r="E54" s="3">
        <v>0.03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36</v>
      </c>
      <c r="D55" s="3"/>
      <c r="E55" s="3">
        <v>0.03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36</v>
      </c>
      <c r="D56" s="3"/>
      <c r="E56" s="3">
        <v>0.03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36</v>
      </c>
      <c r="D57" s="3"/>
      <c r="E57" s="3">
        <v>0.03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36</v>
      </c>
      <c r="D58" s="3"/>
      <c r="E58" s="3">
        <v>0.03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36</v>
      </c>
      <c r="D59" s="3"/>
      <c r="E59" s="3">
        <v>0.03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36</v>
      </c>
      <c r="D60" s="3"/>
      <c r="E60" s="3">
        <v>0.03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36</v>
      </c>
      <c r="D61" s="3"/>
      <c r="E61" s="3">
        <v>0.03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36</v>
      </c>
      <c r="D62" s="3"/>
      <c r="E62" s="3">
        <v>0.03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36</v>
      </c>
      <c r="D63" s="3"/>
      <c r="E63" s="3">
        <v>0.03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41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36</v>
      </c>
      <c r="D66" s="3"/>
      <c r="E66" s="3">
        <v>0.02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36</v>
      </c>
      <c r="D67" s="3"/>
      <c r="E67" s="3">
        <v>0.02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36</v>
      </c>
      <c r="D68" s="3"/>
      <c r="E68" s="3">
        <v>0.02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36</v>
      </c>
      <c r="D69" s="3"/>
      <c r="E69" s="3">
        <v>0.02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36</v>
      </c>
      <c r="D70" s="3"/>
      <c r="E70" s="3">
        <v>0.02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36</v>
      </c>
      <c r="D71" s="3"/>
      <c r="E71" s="3">
        <v>0.02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36</v>
      </c>
      <c r="D72" s="3"/>
      <c r="E72" s="3">
        <v>0.02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36</v>
      </c>
      <c r="D73" s="3"/>
      <c r="E73" s="3">
        <v>0.02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36</v>
      </c>
      <c r="D74" s="3"/>
      <c r="E74" s="3">
        <v>0.02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36</v>
      </c>
      <c r="D75" s="3"/>
      <c r="E75" s="3">
        <v>0.02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36</v>
      </c>
      <c r="D76" s="3"/>
      <c r="E76" s="3">
        <v>0.02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36</v>
      </c>
      <c r="D77" s="3"/>
      <c r="E77" s="3">
        <v>0.02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36</v>
      </c>
      <c r="D78" s="3"/>
      <c r="E78" s="3">
        <v>0.02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36</v>
      </c>
      <c r="D79" s="3"/>
      <c r="E79" s="3">
        <v>0.02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42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36</v>
      </c>
      <c r="D82" s="3"/>
      <c r="E82" s="3">
        <v>0.0045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36</v>
      </c>
      <c r="D83" s="3"/>
      <c r="E83" s="3">
        <v>0.0045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36</v>
      </c>
      <c r="D84" s="3"/>
      <c r="E84" s="3">
        <v>0.0045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36</v>
      </c>
      <c r="D85" s="3"/>
      <c r="E85" s="3">
        <v>0.0045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36</v>
      </c>
      <c r="D86" s="3"/>
      <c r="E86" s="3">
        <v>0.0045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36</v>
      </c>
      <c r="D87" s="3"/>
      <c r="E87" s="3">
        <v>0.0045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36</v>
      </c>
      <c r="D88" s="3"/>
      <c r="E88" s="3">
        <v>0.0045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36</v>
      </c>
      <c r="D89" s="3"/>
      <c r="E89" s="3">
        <v>0.0045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36</v>
      </c>
      <c r="D90" s="3"/>
      <c r="E90" s="3">
        <v>0.0045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36</v>
      </c>
      <c r="D91" s="3"/>
      <c r="E91" s="3">
        <v>0.0045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36</v>
      </c>
      <c r="D92" s="3"/>
      <c r="E92" s="3">
        <v>0.0045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36</v>
      </c>
      <c r="D93" s="3"/>
      <c r="E93" s="3">
        <v>0.0045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36</v>
      </c>
      <c r="D94" s="3"/>
      <c r="E94" s="3">
        <v>0.0045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36</v>
      </c>
      <c r="D95" s="3"/>
      <c r="E95" s="3">
        <v>0.0045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43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36</v>
      </c>
      <c r="D98" s="3"/>
      <c r="E98" s="3">
        <v>0.000500000000000056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36</v>
      </c>
      <c r="D99" s="3"/>
      <c r="E99" s="3">
        <v>0.000500000000000056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36</v>
      </c>
      <c r="D100" s="3"/>
      <c r="E100" s="3">
        <v>0.000500000000000056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36</v>
      </c>
      <c r="D101" s="3"/>
      <c r="E101" s="3">
        <v>0.000500000000000056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36</v>
      </c>
      <c r="D102" s="3"/>
      <c r="E102" s="3">
        <v>0.000500000000000056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36</v>
      </c>
      <c r="D103" s="3"/>
      <c r="E103" s="3">
        <v>0.000500000000000056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36</v>
      </c>
      <c r="D104" s="3"/>
      <c r="E104" s="3">
        <v>0.000500000000000056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36</v>
      </c>
      <c r="D105" s="3"/>
      <c r="E105" s="3">
        <v>0.000500000000000056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36</v>
      </c>
      <c r="D106" s="3"/>
      <c r="E106" s="3">
        <v>0.000500000000000056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36</v>
      </c>
      <c r="D107" s="3"/>
      <c r="E107" s="3">
        <v>0.000500000000000056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36</v>
      </c>
      <c r="D108" s="3"/>
      <c r="E108" s="3">
        <v>0.000500000000000056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36</v>
      </c>
      <c r="D109" s="3"/>
      <c r="E109" s="3">
        <v>0.000500000000000056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36</v>
      </c>
      <c r="D110" s="3"/>
      <c r="E110" s="3">
        <v>0.000500000000000056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36</v>
      </c>
      <c r="D111" s="3"/>
      <c r="E111" s="3">
        <v>0.000500000000000056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5">
      <c r="A113" s="1" t="s">
        <v>44</v>
      </c>
      <c r="B113" s="1" t="s">
        <v>31</v>
      </c>
      <c r="C113" s="1" t="s">
        <v>32</v>
      </c>
      <c r="D113" s="1" t="s">
        <v>33</v>
      </c>
      <c r="E113" s="1">
        <v>2000</v>
      </c>
      <c r="F113" s="1">
        <v>2001</v>
      </c>
      <c r="G113" s="1">
        <v>2002</v>
      </c>
      <c r="H113" s="1">
        <v>2003</v>
      </c>
      <c r="I113" s="1">
        <v>2004</v>
      </c>
      <c r="J113" s="1">
        <v>2005</v>
      </c>
      <c r="K113" s="1">
        <v>2006</v>
      </c>
      <c r="L113" s="1">
        <v>2007</v>
      </c>
      <c r="M113" s="1">
        <v>2008</v>
      </c>
      <c r="N113" s="1">
        <v>2009</v>
      </c>
      <c r="O113" s="1">
        <v>2010</v>
      </c>
      <c r="P113" s="1">
        <v>2011</v>
      </c>
      <c r="Q113" s="1">
        <v>2012</v>
      </c>
      <c r="R113" s="1">
        <v>2013</v>
      </c>
      <c r="S113" s="1">
        <v>2014</v>
      </c>
      <c r="T113" s="1">
        <v>2015</v>
      </c>
      <c r="U113" s="1">
        <v>2016</v>
      </c>
      <c r="V113" s="1">
        <v>2017</v>
      </c>
      <c r="W113" s="1">
        <v>2018</v>
      </c>
      <c r="X113" s="1">
        <v>2019</v>
      </c>
      <c r="Y113" s="1">
        <v>2020</v>
      </c>
      <c r="Z113" s="1">
        <v>2021</v>
      </c>
      <c r="AA113" s="1">
        <v>2022</v>
      </c>
      <c r="AB113" s="1">
        <v>2023</v>
      </c>
      <c r="AC113" s="1">
        <v>2024</v>
      </c>
      <c r="AD113" s="1">
        <v>2025</v>
      </c>
      <c r="AE113" s="1">
        <v>2026</v>
      </c>
      <c r="AF113" s="1">
        <v>2027</v>
      </c>
      <c r="AG113" s="1">
        <v>2028</v>
      </c>
      <c r="AH113" s="1">
        <v>2029</v>
      </c>
      <c r="AI113" s="1">
        <v>2030</v>
      </c>
      <c r="AJ113" s="1">
        <v>2031</v>
      </c>
      <c r="AK113" s="1">
        <v>2032</v>
      </c>
      <c r="AL113" s="1">
        <v>2033</v>
      </c>
      <c r="AM113" s="1">
        <v>2034</v>
      </c>
      <c r="AN113" s="1">
        <v>2035</v>
      </c>
      <c r="AO113" s="1">
        <v>2036</v>
      </c>
      <c r="AP113" s="1">
        <v>2037</v>
      </c>
      <c r="AQ113" s="1">
        <v>2038</v>
      </c>
      <c r="AR113" s="1">
        <v>2039</v>
      </c>
      <c r="AS113" s="1">
        <v>2040</v>
      </c>
      <c r="AT113" s="1">
        <v>2041</v>
      </c>
      <c r="AU113" s="1">
        <v>2042</v>
      </c>
      <c r="AV113" s="1">
        <v>2043</v>
      </c>
      <c r="AW113" s="1">
        <v>2044</v>
      </c>
      <c r="AX113" s="1">
        <v>2045</v>
      </c>
      <c r="AY113" s="1">
        <v>2046</v>
      </c>
      <c r="AZ113" s="1">
        <v>2047</v>
      </c>
      <c r="BA113" s="1">
        <v>2048</v>
      </c>
      <c r="BB113" s="1">
        <v>2049</v>
      </c>
      <c r="BC113" s="1">
        <v>2050</v>
      </c>
    </row>
    <row r="114" spans="1:55">
      <c r="A114" s="1" t="str">
        <f>'Population Definitions'!$A$2</f>
        <v>PWID_males</v>
      </c>
      <c r="C114" t="s">
        <v>36</v>
      </c>
      <c r="D114" s="3"/>
      <c r="E114" s="3">
        <v>0.1966154873164219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</row>
    <row r="115" spans="1:55">
      <c r="A115" s="1" t="str">
        <f>'Population Definitions'!$A$3</f>
        <v>PWID_females</v>
      </c>
      <c r="C115" t="s">
        <v>36</v>
      </c>
      <c r="D115" s="3"/>
      <c r="E115" s="3">
        <v>0.1966154873164219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</row>
    <row r="116" spans="1:55">
      <c r="A116" s="1" t="str">
        <f>'Population Definitions'!$A$4</f>
        <v>0-9_males</v>
      </c>
      <c r="C116" t="s">
        <v>36</v>
      </c>
      <c r="D116" s="3"/>
      <c r="E116" s="3">
        <v>0.1966154873164219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</row>
    <row r="117" spans="1:55">
      <c r="A117" s="1" t="str">
        <f>'Population Definitions'!$A$5</f>
        <v>0-9_females</v>
      </c>
      <c r="C117" t="s">
        <v>36</v>
      </c>
      <c r="D117" s="3"/>
      <c r="E117" s="3">
        <v>0.1966154873164219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</row>
    <row r="118" spans="1:55">
      <c r="A118" s="1" t="str">
        <f>'Population Definitions'!$A$6</f>
        <v>10-17_males</v>
      </c>
      <c r="C118" t="s">
        <v>36</v>
      </c>
      <c r="D118" s="3"/>
      <c r="E118" s="3">
        <v>0.1966154873164219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</row>
    <row r="119" spans="1:55">
      <c r="A119" s="1" t="str">
        <f>'Population Definitions'!$A$7</f>
        <v>10-17_females</v>
      </c>
      <c r="C119" t="s">
        <v>36</v>
      </c>
      <c r="D119" s="3"/>
      <c r="E119" s="3">
        <v>0.1966154873164219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</row>
    <row r="120" spans="1:55">
      <c r="A120" s="1" t="str">
        <f>'Population Definitions'!$A$8</f>
        <v>18-64_males</v>
      </c>
      <c r="C120" t="s">
        <v>36</v>
      </c>
      <c r="D120" s="3"/>
      <c r="E120" s="3">
        <v>0.1966154873164219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</row>
    <row r="121" spans="1:55">
      <c r="A121" s="1" t="str">
        <f>'Population Definitions'!$A$9</f>
        <v>18-64_females</v>
      </c>
      <c r="C121" t="s">
        <v>36</v>
      </c>
      <c r="D121" s="3"/>
      <c r="E121" s="3">
        <v>0.1966154873164219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</row>
    <row r="122" spans="1:55">
      <c r="A122" s="1" t="str">
        <f>'Population Definitions'!$A$10</f>
        <v>65+_males</v>
      </c>
      <c r="C122" t="s">
        <v>36</v>
      </c>
      <c r="D122" s="3"/>
      <c r="E122" s="3">
        <v>0.1966154873164219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</row>
    <row r="123" spans="1:55">
      <c r="A123" s="1" t="str">
        <f>'Population Definitions'!$A$11</f>
        <v>65+_females</v>
      </c>
      <c r="C123" t="s">
        <v>36</v>
      </c>
      <c r="D123" s="3"/>
      <c r="E123" s="3">
        <v>0.1966154873164219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</row>
    <row r="124" spans="1:55">
      <c r="A124" s="1" t="str">
        <f>'Population Definitions'!$A$12</f>
        <v>Prisoners_males</v>
      </c>
      <c r="C124" t="s">
        <v>36</v>
      </c>
      <c r="D124" s="3"/>
      <c r="E124" s="3">
        <v>0.1966154873164219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</row>
    <row r="125" spans="1:55">
      <c r="A125" s="1" t="str">
        <f>'Population Definitions'!$A$13</f>
        <v>Prisoners_females</v>
      </c>
      <c r="C125" t="s">
        <v>36</v>
      </c>
      <c r="D125" s="3"/>
      <c r="E125" s="3">
        <v>0.1966154873164219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</row>
    <row r="126" spans="1:55">
      <c r="A126" s="1" t="str">
        <f>'Population Definitions'!$A$14</f>
        <v>Prisoners_PWID_males</v>
      </c>
      <c r="C126" t="s">
        <v>36</v>
      </c>
      <c r="D126" s="3"/>
      <c r="E126" s="3">
        <v>0.1966154873164219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</row>
    <row r="127" spans="1:55">
      <c r="A127" s="1" t="str">
        <f>'Population Definitions'!$A$15</f>
        <v>Prisoners_PWID_females</v>
      </c>
      <c r="C127" t="s">
        <v>36</v>
      </c>
      <c r="D127" s="3"/>
      <c r="E127" s="3">
        <v>0.1966154873164219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</row>
    <row r="129" spans="1:57">
      <c r="A129" s="1" t="s">
        <v>45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36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36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36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36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36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36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36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36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36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36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36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36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36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36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46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36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36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36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36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36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36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36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36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36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36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36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36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36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36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47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36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36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36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36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36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36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36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36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36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36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36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36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36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36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48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36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36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36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36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36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36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36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36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36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36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36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36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36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36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49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50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50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50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50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50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50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50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50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50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50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50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50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50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50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</sheetData>
  <conditionalFormatting sqref="E100">
    <cfRule type="expression" dxfId="0" priority="117">
      <formula>COUNTIF(G100:BE100,"&lt;&gt;" &amp; "")&gt;0</formula>
    </cfRule>
    <cfRule type="expression" dxfId="1" priority="118">
      <formula>AND(COUNTIF(G100:BE100,"&lt;&gt;" &amp; "")&gt;0,NOT(ISBLANK(E100)))</formula>
    </cfRule>
  </conditionalFormatting>
  <conditionalFormatting sqref="E101">
    <cfRule type="expression" dxfId="0" priority="119">
      <formula>COUNTIF(G101:BE101,"&lt;&gt;" &amp; "")&gt;0</formula>
    </cfRule>
    <cfRule type="expression" dxfId="1" priority="120">
      <formula>AND(COUNTIF(G101:BE101,"&lt;&gt;" &amp; "")&gt;0,NOT(ISBLANK(E101)))</formula>
    </cfRule>
  </conditionalFormatting>
  <conditionalFormatting sqref="E102">
    <cfRule type="expression" dxfId="0" priority="121">
      <formula>COUNTIF(G102:BE102,"&lt;&gt;" &amp; "")&gt;0</formula>
    </cfRule>
    <cfRule type="expression" dxfId="1" priority="122">
      <formula>AND(COUNTIF(G102:BE102,"&lt;&gt;" &amp; "")&gt;0,NOT(ISBLANK(E102)))</formula>
    </cfRule>
  </conditionalFormatting>
  <conditionalFormatting sqref="E103">
    <cfRule type="expression" dxfId="0" priority="123">
      <formula>COUNTIF(G103:BE103,"&lt;&gt;" &amp; "")&gt;0</formula>
    </cfRule>
    <cfRule type="expression" dxfId="1" priority="124">
      <formula>AND(COUNTIF(G103:BE103,"&lt;&gt;" &amp; "")&gt;0,NOT(ISBLANK(E103)))</formula>
    </cfRule>
  </conditionalFormatting>
  <conditionalFormatting sqref="E104">
    <cfRule type="expression" dxfId="0" priority="125">
      <formula>COUNTIF(G104:BE104,"&lt;&gt;" &amp; "")&gt;0</formula>
    </cfRule>
    <cfRule type="expression" dxfId="1" priority="126">
      <formula>AND(COUNTIF(G104:BE104,"&lt;&gt;" &amp; "")&gt;0,NOT(ISBLANK(E104)))</formula>
    </cfRule>
  </conditionalFormatting>
  <conditionalFormatting sqref="E105">
    <cfRule type="expression" dxfId="0" priority="127">
      <formula>COUNTIF(G105:BE105,"&lt;&gt;" &amp; "")&gt;0</formula>
    </cfRule>
    <cfRule type="expression" dxfId="1" priority="128">
      <formula>AND(COUNTIF(G105:BE105,"&lt;&gt;" &amp; "")&gt;0,NOT(ISBLANK(E105)))</formula>
    </cfRule>
  </conditionalFormatting>
  <conditionalFormatting sqref="E106">
    <cfRule type="expression" dxfId="0" priority="129">
      <formula>COUNTIF(G106:BE106,"&lt;&gt;" &amp; "")&gt;0</formula>
    </cfRule>
    <cfRule type="expression" dxfId="1" priority="130">
      <formula>AND(COUNTIF(G106:BE106,"&lt;&gt;" &amp; "")&gt;0,NOT(ISBLANK(E106)))</formula>
    </cfRule>
  </conditionalFormatting>
  <conditionalFormatting sqref="E107">
    <cfRule type="expression" dxfId="0" priority="131">
      <formula>COUNTIF(G107:BE107,"&lt;&gt;" &amp; "")&gt;0</formula>
    </cfRule>
    <cfRule type="expression" dxfId="1" priority="132">
      <formula>AND(COUNTIF(G107:BE107,"&lt;&gt;" &amp; "")&gt;0,NOT(ISBLANK(E107)))</formula>
    </cfRule>
  </conditionalFormatting>
  <conditionalFormatting sqref="E108">
    <cfRule type="expression" dxfId="0" priority="133">
      <formula>COUNTIF(G108:BE108,"&lt;&gt;" &amp; "")&gt;0</formula>
    </cfRule>
    <cfRule type="expression" dxfId="1" priority="134">
      <formula>AND(COUNTIF(G108:BE108,"&lt;&gt;" &amp; "")&gt;0,NOT(ISBLANK(E108)))</formula>
    </cfRule>
  </conditionalFormatting>
  <conditionalFormatting sqref="E109">
    <cfRule type="expression" dxfId="0" priority="135">
      <formula>COUNTIF(G109:BE109,"&lt;&gt;" &amp; "")&gt;0</formula>
    </cfRule>
    <cfRule type="expression" dxfId="1" priority="136">
      <formula>AND(COUNTIF(G109:BE109,"&lt;&gt;" &amp; "")&gt;0,NOT(ISBLANK(E109)))</formula>
    </cfRule>
  </conditionalFormatting>
  <conditionalFormatting sqref="E110">
    <cfRule type="expression" dxfId="0" priority="137">
      <formula>COUNTIF(G110:BE110,"&lt;&gt;" &amp; "")&gt;0</formula>
    </cfRule>
    <cfRule type="expression" dxfId="1" priority="138">
      <formula>AND(COUNTIF(G110:BE110,"&lt;&gt;" &amp; "")&gt;0,NOT(ISBLANK(E110)))</formula>
    </cfRule>
  </conditionalFormatting>
  <conditionalFormatting sqref="E111">
    <cfRule type="expression" dxfId="0" priority="139">
      <formula>COUNTIF(G111:BE111,"&lt;&gt;" &amp; "")&gt;0</formula>
    </cfRule>
    <cfRule type="expression" dxfId="1" priority="140">
      <formula>AND(COUNTIF(G111:BE111,"&lt;&gt;" &amp; "")&gt;0,NOT(ISBLANK(E111)))</formula>
    </cfRule>
  </conditionalFormatting>
  <conditionalFormatting sqref="E130">
    <cfRule type="expression" dxfId="0" priority="141">
      <formula>COUNTIF(G130:BE130,"&lt;&gt;" &amp; "")&gt;0</formula>
    </cfRule>
    <cfRule type="expression" dxfId="1" priority="142">
      <formula>AND(COUNTIF(G130:BE130,"&lt;&gt;" &amp; "")&gt;0,NOT(ISBLANK(E130)))</formula>
    </cfRule>
  </conditionalFormatting>
  <conditionalFormatting sqref="E131">
    <cfRule type="expression" dxfId="0" priority="143">
      <formula>COUNTIF(G131:BE131,"&lt;&gt;" &amp; "")&gt;0</formula>
    </cfRule>
    <cfRule type="expression" dxfId="1" priority="144">
      <formula>AND(COUNTIF(G131:BE131,"&lt;&gt;" &amp; "")&gt;0,NOT(ISBLANK(E131)))</formula>
    </cfRule>
  </conditionalFormatting>
  <conditionalFormatting sqref="E132">
    <cfRule type="expression" dxfId="0" priority="145">
      <formula>COUNTIF(G132:BE132,"&lt;&gt;" &amp; "")&gt;0</formula>
    </cfRule>
    <cfRule type="expression" dxfId="1" priority="146">
      <formula>AND(COUNTIF(G132:BE132,"&lt;&gt;" &amp; "")&gt;0,NOT(ISBLANK(E132)))</formula>
    </cfRule>
  </conditionalFormatting>
  <conditionalFormatting sqref="E133">
    <cfRule type="expression" dxfId="0" priority="147">
      <formula>COUNTIF(G133:BE133,"&lt;&gt;" &amp; "")&gt;0</formula>
    </cfRule>
    <cfRule type="expression" dxfId="1" priority="148">
      <formula>AND(COUNTIF(G133:BE133,"&lt;&gt;" &amp; "")&gt;0,NOT(ISBLANK(E133)))</formula>
    </cfRule>
  </conditionalFormatting>
  <conditionalFormatting sqref="E134">
    <cfRule type="expression" dxfId="0" priority="149">
      <formula>COUNTIF(G134:BE134,"&lt;&gt;" &amp; "")&gt;0</formula>
    </cfRule>
    <cfRule type="expression" dxfId="1" priority="150">
      <formula>AND(COUNTIF(G134:BE134,"&lt;&gt;" &amp; "")&gt;0,NOT(ISBLANK(E134)))</formula>
    </cfRule>
  </conditionalFormatting>
  <conditionalFormatting sqref="E135">
    <cfRule type="expression" dxfId="0" priority="151">
      <formula>COUNTIF(G135:BE135,"&lt;&gt;" &amp; "")&gt;0</formula>
    </cfRule>
    <cfRule type="expression" dxfId="1" priority="152">
      <formula>AND(COUNTIF(G135:BE135,"&lt;&gt;" &amp; "")&gt;0,NOT(ISBLANK(E135)))</formula>
    </cfRule>
  </conditionalFormatting>
  <conditionalFormatting sqref="E136">
    <cfRule type="expression" dxfId="0" priority="153">
      <formula>COUNTIF(G136:BE136,"&lt;&gt;" &amp; "")&gt;0</formula>
    </cfRule>
    <cfRule type="expression" dxfId="1" priority="154">
      <formula>AND(COUNTIF(G136:BE136,"&lt;&gt;" &amp; "")&gt;0,NOT(ISBLANK(E136)))</formula>
    </cfRule>
  </conditionalFormatting>
  <conditionalFormatting sqref="E137">
    <cfRule type="expression" dxfId="0" priority="155">
      <formula>COUNTIF(G137:BE137,"&lt;&gt;" &amp; "")&gt;0</formula>
    </cfRule>
    <cfRule type="expression" dxfId="1" priority="156">
      <formula>AND(COUNTIF(G137:BE137,"&lt;&gt;" &amp; "")&gt;0,NOT(ISBLANK(E137)))</formula>
    </cfRule>
  </conditionalFormatting>
  <conditionalFormatting sqref="E138">
    <cfRule type="expression" dxfId="0" priority="157">
      <formula>COUNTIF(G138:BE138,"&lt;&gt;" &amp; "")&gt;0</formula>
    </cfRule>
    <cfRule type="expression" dxfId="1" priority="158">
      <formula>AND(COUNTIF(G138:BE138,"&lt;&gt;" &amp; "")&gt;0,NOT(ISBLANK(E138)))</formula>
    </cfRule>
  </conditionalFormatting>
  <conditionalFormatting sqref="E139">
    <cfRule type="expression" dxfId="0" priority="159">
      <formula>COUNTIF(G139:BE139,"&lt;&gt;" &amp; "")&gt;0</formula>
    </cfRule>
    <cfRule type="expression" dxfId="1" priority="160">
      <formula>AND(COUNTIF(G139:BE139,"&lt;&gt;" &amp; "")&gt;0,NOT(ISBLANK(E139)))</formula>
    </cfRule>
  </conditionalFormatting>
  <conditionalFormatting sqref="E140">
    <cfRule type="expression" dxfId="0" priority="161">
      <formula>COUNTIF(G140:BE140,"&lt;&gt;" &amp; "")&gt;0</formula>
    </cfRule>
    <cfRule type="expression" dxfId="1" priority="162">
      <formula>AND(COUNTIF(G140:BE140,"&lt;&gt;" &amp; "")&gt;0,NOT(ISBLANK(E140)))</formula>
    </cfRule>
  </conditionalFormatting>
  <conditionalFormatting sqref="E141">
    <cfRule type="expression" dxfId="0" priority="163">
      <formula>COUNTIF(G141:BE141,"&lt;&gt;" &amp; "")&gt;0</formula>
    </cfRule>
    <cfRule type="expression" dxfId="1" priority="164">
      <formula>AND(COUNTIF(G141:BE141,"&lt;&gt;" &amp; "")&gt;0,NOT(ISBLANK(E141)))</formula>
    </cfRule>
  </conditionalFormatting>
  <conditionalFormatting sqref="E142">
    <cfRule type="expression" dxfId="0" priority="165">
      <formula>COUNTIF(G142:BE142,"&lt;&gt;" &amp; "")&gt;0</formula>
    </cfRule>
    <cfRule type="expression" dxfId="1" priority="166">
      <formula>AND(COUNTIF(G142:BE142,"&lt;&gt;" &amp; "")&gt;0,NOT(ISBLANK(E142)))</formula>
    </cfRule>
  </conditionalFormatting>
  <conditionalFormatting sqref="E143">
    <cfRule type="expression" dxfId="0" priority="167">
      <formula>COUNTIF(G143:BE143,"&lt;&gt;" &amp; "")&gt;0</formula>
    </cfRule>
    <cfRule type="expression" dxfId="1" priority="168">
      <formula>AND(COUNTIF(G143:BE143,"&lt;&gt;" &amp; "")&gt;0,NOT(ISBLANK(E143)))</formula>
    </cfRule>
  </conditionalFormatting>
  <conditionalFormatting sqref="E146">
    <cfRule type="expression" dxfId="0" priority="169">
      <formula>COUNTIF(G146:BE146,"&lt;&gt;" &amp; "")&gt;0</formula>
    </cfRule>
    <cfRule type="expression" dxfId="1" priority="170">
      <formula>AND(COUNTIF(G146:BE146,"&lt;&gt;" &amp; "")&gt;0,NOT(ISBLANK(E146)))</formula>
    </cfRule>
  </conditionalFormatting>
  <conditionalFormatting sqref="E147">
    <cfRule type="expression" dxfId="0" priority="171">
      <formula>COUNTIF(G147:BE147,"&lt;&gt;" &amp; "")&gt;0</formula>
    </cfRule>
    <cfRule type="expression" dxfId="1" priority="172">
      <formula>AND(COUNTIF(G147:BE147,"&lt;&gt;" &amp; "")&gt;0,NOT(ISBLANK(E147)))</formula>
    </cfRule>
  </conditionalFormatting>
  <conditionalFormatting sqref="E148">
    <cfRule type="expression" dxfId="0" priority="173">
      <formula>COUNTIF(G148:BE148,"&lt;&gt;" &amp; "")&gt;0</formula>
    </cfRule>
    <cfRule type="expression" dxfId="1" priority="174">
      <formula>AND(COUNTIF(G148:BE148,"&lt;&gt;" &amp; "")&gt;0,NOT(ISBLANK(E148)))</formula>
    </cfRule>
  </conditionalFormatting>
  <conditionalFormatting sqref="E149">
    <cfRule type="expression" dxfId="0" priority="175">
      <formula>COUNTIF(G149:BE149,"&lt;&gt;" &amp; "")&gt;0</formula>
    </cfRule>
    <cfRule type="expression" dxfId="1" priority="176">
      <formula>AND(COUNTIF(G149:BE149,"&lt;&gt;" &amp; "")&gt;0,NOT(ISBLANK(E149)))</formula>
    </cfRule>
  </conditionalFormatting>
  <conditionalFormatting sqref="E150">
    <cfRule type="expression" dxfId="0" priority="177">
      <formula>COUNTIF(G150:BE150,"&lt;&gt;" &amp; "")&gt;0</formula>
    </cfRule>
    <cfRule type="expression" dxfId="1" priority="178">
      <formula>AND(COUNTIF(G150:BE150,"&lt;&gt;" &amp; "")&gt;0,NOT(ISBLANK(E150)))</formula>
    </cfRule>
  </conditionalFormatting>
  <conditionalFormatting sqref="E151">
    <cfRule type="expression" dxfId="0" priority="179">
      <formula>COUNTIF(G151:BE151,"&lt;&gt;" &amp; "")&gt;0</formula>
    </cfRule>
    <cfRule type="expression" dxfId="1" priority="180">
      <formula>AND(COUNTIF(G151:BE151,"&lt;&gt;" &amp; "")&gt;0,NOT(ISBLANK(E151)))</formula>
    </cfRule>
  </conditionalFormatting>
  <conditionalFormatting sqref="E152">
    <cfRule type="expression" dxfId="0" priority="181">
      <formula>COUNTIF(G152:BE152,"&lt;&gt;" &amp; "")&gt;0</formula>
    </cfRule>
    <cfRule type="expression" dxfId="1" priority="182">
      <formula>AND(COUNTIF(G152:BE152,"&lt;&gt;" &amp; "")&gt;0,NOT(ISBLANK(E152)))</formula>
    </cfRule>
  </conditionalFormatting>
  <conditionalFormatting sqref="E153">
    <cfRule type="expression" dxfId="0" priority="183">
      <formula>COUNTIF(G153:BE153,"&lt;&gt;" &amp; "")&gt;0</formula>
    </cfRule>
    <cfRule type="expression" dxfId="1" priority="184">
      <formula>AND(COUNTIF(G153:BE153,"&lt;&gt;" &amp; "")&gt;0,NOT(ISBLANK(E153)))</formula>
    </cfRule>
  </conditionalFormatting>
  <conditionalFormatting sqref="E154">
    <cfRule type="expression" dxfId="0" priority="185">
      <formula>COUNTIF(G154:BE154,"&lt;&gt;" &amp; "")&gt;0</formula>
    </cfRule>
    <cfRule type="expression" dxfId="1" priority="186">
      <formula>AND(COUNTIF(G154:BE154,"&lt;&gt;" &amp; "")&gt;0,NOT(ISBLANK(E154)))</formula>
    </cfRule>
  </conditionalFormatting>
  <conditionalFormatting sqref="E155">
    <cfRule type="expression" dxfId="0" priority="187">
      <formula>COUNTIF(G155:BE155,"&lt;&gt;" &amp; "")&gt;0</formula>
    </cfRule>
    <cfRule type="expression" dxfId="1" priority="188">
      <formula>AND(COUNTIF(G155:BE155,"&lt;&gt;" &amp; "")&gt;0,NOT(ISBLANK(E155)))</formula>
    </cfRule>
  </conditionalFormatting>
  <conditionalFormatting sqref="E156">
    <cfRule type="expression" dxfId="0" priority="189">
      <formula>COUNTIF(G156:BE156,"&lt;&gt;" &amp; "")&gt;0</formula>
    </cfRule>
    <cfRule type="expression" dxfId="1" priority="190">
      <formula>AND(COUNTIF(G156:BE156,"&lt;&gt;" &amp; "")&gt;0,NOT(ISBLANK(E156)))</formula>
    </cfRule>
  </conditionalFormatting>
  <conditionalFormatting sqref="E157">
    <cfRule type="expression" dxfId="0" priority="191">
      <formula>COUNTIF(G157:BE157,"&lt;&gt;" &amp; "")&gt;0</formula>
    </cfRule>
    <cfRule type="expression" dxfId="1" priority="192">
      <formula>AND(COUNTIF(G157:BE157,"&lt;&gt;" &amp; "")&gt;0,NOT(ISBLANK(E157)))</formula>
    </cfRule>
  </conditionalFormatting>
  <conditionalFormatting sqref="E158">
    <cfRule type="expression" dxfId="0" priority="193">
      <formula>COUNTIF(G158:BE158,"&lt;&gt;" &amp; "")&gt;0</formula>
    </cfRule>
    <cfRule type="expression" dxfId="1" priority="194">
      <formula>AND(COUNTIF(G158:BE158,"&lt;&gt;" &amp; "")&gt;0,NOT(ISBLANK(E158)))</formula>
    </cfRule>
  </conditionalFormatting>
  <conditionalFormatting sqref="E159">
    <cfRule type="expression" dxfId="0" priority="195">
      <formula>COUNTIF(G159:BE159,"&lt;&gt;" &amp; "")&gt;0</formula>
    </cfRule>
    <cfRule type="expression" dxfId="1" priority="196">
      <formula>AND(COUNTIF(G159:BE159,"&lt;&gt;" &amp; "")&gt;0,NOT(ISBLANK(E159)))</formula>
    </cfRule>
  </conditionalFormatting>
  <conditionalFormatting sqref="E162">
    <cfRule type="expression" dxfId="0" priority="197">
      <formula>COUNTIF(G162:BE162,"&lt;&gt;" &amp; "")&gt;0</formula>
    </cfRule>
    <cfRule type="expression" dxfId="1" priority="198">
      <formula>AND(COUNTIF(G162:BE162,"&lt;&gt;" &amp; "")&gt;0,NOT(ISBLANK(E162)))</formula>
    </cfRule>
  </conditionalFormatting>
  <conditionalFormatting sqref="E163">
    <cfRule type="expression" dxfId="0" priority="199">
      <formula>COUNTIF(G163:BE163,"&lt;&gt;" &amp; "")&gt;0</formula>
    </cfRule>
    <cfRule type="expression" dxfId="1" priority="200">
      <formula>AND(COUNTIF(G163:BE163,"&lt;&gt;" &amp; "")&gt;0,NOT(ISBLANK(E163)))</formula>
    </cfRule>
  </conditionalFormatting>
  <conditionalFormatting sqref="E164">
    <cfRule type="expression" dxfId="0" priority="201">
      <formula>COUNTIF(G164:BE164,"&lt;&gt;" &amp; "")&gt;0</formula>
    </cfRule>
    <cfRule type="expression" dxfId="1" priority="202">
      <formula>AND(COUNTIF(G164:BE164,"&lt;&gt;" &amp; "")&gt;0,NOT(ISBLANK(E164)))</formula>
    </cfRule>
  </conditionalFormatting>
  <conditionalFormatting sqref="E165">
    <cfRule type="expression" dxfId="0" priority="203">
      <formula>COUNTIF(G165:BE165,"&lt;&gt;" &amp; "")&gt;0</formula>
    </cfRule>
    <cfRule type="expression" dxfId="1" priority="204">
      <formula>AND(COUNTIF(G165:BE165,"&lt;&gt;" &amp; "")&gt;0,NOT(ISBLANK(E165)))</formula>
    </cfRule>
  </conditionalFormatting>
  <conditionalFormatting sqref="E166">
    <cfRule type="expression" dxfId="0" priority="205">
      <formula>COUNTIF(G166:BE166,"&lt;&gt;" &amp; "")&gt;0</formula>
    </cfRule>
    <cfRule type="expression" dxfId="1" priority="206">
      <formula>AND(COUNTIF(G166:BE166,"&lt;&gt;" &amp; "")&gt;0,NOT(ISBLANK(E166)))</formula>
    </cfRule>
  </conditionalFormatting>
  <conditionalFormatting sqref="E167">
    <cfRule type="expression" dxfId="0" priority="207">
      <formula>COUNTIF(G167:BE167,"&lt;&gt;" &amp; "")&gt;0</formula>
    </cfRule>
    <cfRule type="expression" dxfId="1" priority="208">
      <formula>AND(COUNTIF(G167:BE167,"&lt;&gt;" &amp; "")&gt;0,NOT(ISBLANK(E167)))</formula>
    </cfRule>
  </conditionalFormatting>
  <conditionalFormatting sqref="E168">
    <cfRule type="expression" dxfId="0" priority="209">
      <formula>COUNTIF(G168:BE168,"&lt;&gt;" &amp; "")&gt;0</formula>
    </cfRule>
    <cfRule type="expression" dxfId="1" priority="210">
      <formula>AND(COUNTIF(G168:BE168,"&lt;&gt;" &amp; "")&gt;0,NOT(ISBLANK(E168)))</formula>
    </cfRule>
  </conditionalFormatting>
  <conditionalFormatting sqref="E169">
    <cfRule type="expression" dxfId="0" priority="211">
      <formula>COUNTIF(G169:BE169,"&lt;&gt;" &amp; "")&gt;0</formula>
    </cfRule>
    <cfRule type="expression" dxfId="1" priority="212">
      <formula>AND(COUNTIF(G169:BE169,"&lt;&gt;" &amp; "")&gt;0,NOT(ISBLANK(E169)))</formula>
    </cfRule>
  </conditionalFormatting>
  <conditionalFormatting sqref="E170">
    <cfRule type="expression" dxfId="0" priority="213">
      <formula>COUNTIF(G170:BE170,"&lt;&gt;" &amp; "")&gt;0</formula>
    </cfRule>
    <cfRule type="expression" dxfId="1" priority="214">
      <formula>AND(COUNTIF(G170:BE170,"&lt;&gt;" &amp; "")&gt;0,NOT(ISBLANK(E170)))</formula>
    </cfRule>
  </conditionalFormatting>
  <conditionalFormatting sqref="E171">
    <cfRule type="expression" dxfId="0" priority="215">
      <formula>COUNTIF(G171:BE171,"&lt;&gt;" &amp; "")&gt;0</formula>
    </cfRule>
    <cfRule type="expression" dxfId="1" priority="216">
      <formula>AND(COUNTIF(G171:BE171,"&lt;&gt;" &amp; "")&gt;0,NOT(ISBLANK(E171)))</formula>
    </cfRule>
  </conditionalFormatting>
  <conditionalFormatting sqref="E172">
    <cfRule type="expression" dxfId="0" priority="217">
      <formula>COUNTIF(G172:BE172,"&lt;&gt;" &amp; "")&gt;0</formula>
    </cfRule>
    <cfRule type="expression" dxfId="1" priority="218">
      <formula>AND(COUNTIF(G172:BE172,"&lt;&gt;" &amp; "")&gt;0,NOT(ISBLANK(E172)))</formula>
    </cfRule>
  </conditionalFormatting>
  <conditionalFormatting sqref="E173">
    <cfRule type="expression" dxfId="0" priority="219">
      <formula>COUNTIF(G173:BE173,"&lt;&gt;" &amp; "")&gt;0</formula>
    </cfRule>
    <cfRule type="expression" dxfId="1" priority="220">
      <formula>AND(COUNTIF(G173:BE173,"&lt;&gt;" &amp; "")&gt;0,NOT(ISBLANK(E173)))</formula>
    </cfRule>
  </conditionalFormatting>
  <conditionalFormatting sqref="E174">
    <cfRule type="expression" dxfId="0" priority="221">
      <formula>COUNTIF(G174:BE174,"&lt;&gt;" &amp; "")&gt;0</formula>
    </cfRule>
    <cfRule type="expression" dxfId="1" priority="222">
      <formula>AND(COUNTIF(G174:BE174,"&lt;&gt;" &amp; "")&gt;0,NOT(ISBLANK(E174)))</formula>
    </cfRule>
  </conditionalFormatting>
  <conditionalFormatting sqref="E175">
    <cfRule type="expression" dxfId="0" priority="223">
      <formula>COUNTIF(G175:BE175,"&lt;&gt;" &amp; "")&gt;0</formula>
    </cfRule>
    <cfRule type="expression" dxfId="1" priority="224">
      <formula>AND(COUNTIF(G175:BE175,"&lt;&gt;" &amp; "")&gt;0,NOT(ISBLANK(E175)))</formula>
    </cfRule>
  </conditionalFormatting>
  <conditionalFormatting sqref="E178">
    <cfRule type="expression" dxfId="0" priority="225">
      <formula>COUNTIF(G178:BE178,"&lt;&gt;" &amp; "")&gt;0</formula>
    </cfRule>
    <cfRule type="expression" dxfId="1" priority="226">
      <formula>AND(COUNTIF(G178:BE178,"&lt;&gt;" &amp; "")&gt;0,NOT(ISBLANK(E178)))</formula>
    </cfRule>
  </conditionalFormatting>
  <conditionalFormatting sqref="E179">
    <cfRule type="expression" dxfId="0" priority="227">
      <formula>COUNTIF(G179:BE179,"&lt;&gt;" &amp; "")&gt;0</formula>
    </cfRule>
    <cfRule type="expression" dxfId="1" priority="228">
      <formula>AND(COUNTIF(G179:BE179,"&lt;&gt;" &amp; "")&gt;0,NOT(ISBLANK(E179)))</formula>
    </cfRule>
  </conditionalFormatting>
  <conditionalFormatting sqref="E180">
    <cfRule type="expression" dxfId="0" priority="229">
      <formula>COUNTIF(G180:BE180,"&lt;&gt;" &amp; "")&gt;0</formula>
    </cfRule>
    <cfRule type="expression" dxfId="1" priority="230">
      <formula>AND(COUNTIF(G180:BE180,"&lt;&gt;" &amp; "")&gt;0,NOT(ISBLANK(E180)))</formula>
    </cfRule>
  </conditionalFormatting>
  <conditionalFormatting sqref="E181">
    <cfRule type="expression" dxfId="0" priority="231">
      <formula>COUNTIF(G181:BE181,"&lt;&gt;" &amp; "")&gt;0</formula>
    </cfRule>
    <cfRule type="expression" dxfId="1" priority="232">
      <formula>AND(COUNTIF(G181:BE181,"&lt;&gt;" &amp; "")&gt;0,NOT(ISBLANK(E181)))</formula>
    </cfRule>
  </conditionalFormatting>
  <conditionalFormatting sqref="E182">
    <cfRule type="expression" dxfId="0" priority="233">
      <formula>COUNTIF(G182:BE182,"&lt;&gt;" &amp; "")&gt;0</formula>
    </cfRule>
    <cfRule type="expression" dxfId="1" priority="234">
      <formula>AND(COUNTIF(G182:BE182,"&lt;&gt;" &amp; "")&gt;0,NOT(ISBLANK(E182)))</formula>
    </cfRule>
  </conditionalFormatting>
  <conditionalFormatting sqref="E183">
    <cfRule type="expression" dxfId="0" priority="235">
      <formula>COUNTIF(G183:BE183,"&lt;&gt;" &amp; "")&gt;0</formula>
    </cfRule>
    <cfRule type="expression" dxfId="1" priority="236">
      <formula>AND(COUNTIF(G183:BE183,"&lt;&gt;" &amp; "")&gt;0,NOT(ISBLANK(E183)))</formula>
    </cfRule>
  </conditionalFormatting>
  <conditionalFormatting sqref="E184">
    <cfRule type="expression" dxfId="0" priority="237">
      <formula>COUNTIF(G184:BE184,"&lt;&gt;" &amp; "")&gt;0</formula>
    </cfRule>
    <cfRule type="expression" dxfId="1" priority="238">
      <formula>AND(COUNTIF(G184:BE184,"&lt;&gt;" &amp; "")&gt;0,NOT(ISBLANK(E184)))</formula>
    </cfRule>
  </conditionalFormatting>
  <conditionalFormatting sqref="E185">
    <cfRule type="expression" dxfId="0" priority="239">
      <formula>COUNTIF(G185:BE185,"&lt;&gt;" &amp; "")&gt;0</formula>
    </cfRule>
    <cfRule type="expression" dxfId="1" priority="240">
      <formula>AND(COUNTIF(G185:BE185,"&lt;&gt;" &amp; "")&gt;0,NOT(ISBLANK(E185)))</formula>
    </cfRule>
  </conditionalFormatting>
  <conditionalFormatting sqref="E186">
    <cfRule type="expression" dxfId="0" priority="241">
      <formula>COUNTIF(G186:BE186,"&lt;&gt;" &amp; "")&gt;0</formula>
    </cfRule>
    <cfRule type="expression" dxfId="1" priority="242">
      <formula>AND(COUNTIF(G186:BE186,"&lt;&gt;" &amp; "")&gt;0,NOT(ISBLANK(E186)))</formula>
    </cfRule>
  </conditionalFormatting>
  <conditionalFormatting sqref="E187">
    <cfRule type="expression" dxfId="0" priority="243">
      <formula>COUNTIF(G187:BE187,"&lt;&gt;" &amp; "")&gt;0</formula>
    </cfRule>
    <cfRule type="expression" dxfId="1" priority="244">
      <formula>AND(COUNTIF(G187:BE187,"&lt;&gt;" &amp; "")&gt;0,NOT(ISBLANK(E187)))</formula>
    </cfRule>
  </conditionalFormatting>
  <conditionalFormatting sqref="E188">
    <cfRule type="expression" dxfId="0" priority="245">
      <formula>COUNTIF(G188:BE188,"&lt;&gt;" &amp; "")&gt;0</formula>
    </cfRule>
    <cfRule type="expression" dxfId="1" priority="246">
      <formula>AND(COUNTIF(G188:BE188,"&lt;&gt;" &amp; "")&gt;0,NOT(ISBLANK(E188)))</formula>
    </cfRule>
  </conditionalFormatting>
  <conditionalFormatting sqref="E189">
    <cfRule type="expression" dxfId="0" priority="247">
      <formula>COUNTIF(G189:BE189,"&lt;&gt;" &amp; "")&gt;0</formula>
    </cfRule>
    <cfRule type="expression" dxfId="1" priority="248">
      <formula>AND(COUNTIF(G189:BE189,"&lt;&gt;" &amp; "")&gt;0,NOT(ISBLANK(E189)))</formula>
    </cfRule>
  </conditionalFormatting>
  <conditionalFormatting sqref="E190">
    <cfRule type="expression" dxfId="0" priority="249">
      <formula>COUNTIF(G190:BE190,"&lt;&gt;" &amp; "")&gt;0</formula>
    </cfRule>
    <cfRule type="expression" dxfId="1" priority="250">
      <formula>AND(COUNTIF(G190:BE190,"&lt;&gt;" &amp; "")&gt;0,NOT(ISBLANK(E190)))</formula>
    </cfRule>
  </conditionalFormatting>
  <conditionalFormatting sqref="E191">
    <cfRule type="expression" dxfId="0" priority="251">
      <formula>COUNTIF(G191:BE191,"&lt;&gt;" &amp; "")&gt;0</formula>
    </cfRule>
    <cfRule type="expression" dxfId="1" priority="252">
      <formula>AND(COUNTIF(G191:BE191,"&lt;&gt;" &amp; "")&gt;0,NOT(ISBLANK(E191)))</formula>
    </cfRule>
  </conditionalFormatting>
  <conditionalFormatting sqref="E194">
    <cfRule type="expression" dxfId="0" priority="253">
      <formula>COUNTIF(G194:BE194,"&lt;&gt;" &amp; "")&gt;0</formula>
    </cfRule>
    <cfRule type="expression" dxfId="1" priority="254">
      <formula>AND(COUNTIF(G194:BE194,"&lt;&gt;" &amp; "")&gt;0,NOT(ISBLANK(E194)))</formula>
    </cfRule>
  </conditionalFormatting>
  <conditionalFormatting sqref="E195">
    <cfRule type="expression" dxfId="0" priority="255">
      <formula>COUNTIF(G195:BE195,"&lt;&gt;" &amp; "")&gt;0</formula>
    </cfRule>
    <cfRule type="expression" dxfId="1" priority="256">
      <formula>AND(COUNTIF(G195:BE195,"&lt;&gt;" &amp; "")&gt;0,NOT(ISBLANK(E195)))</formula>
    </cfRule>
  </conditionalFormatting>
  <conditionalFormatting sqref="E196">
    <cfRule type="expression" dxfId="0" priority="257">
      <formula>COUNTIF(G196:BE196,"&lt;&gt;" &amp; "")&gt;0</formula>
    </cfRule>
    <cfRule type="expression" dxfId="1" priority="258">
      <formula>AND(COUNTIF(G196:BE196,"&lt;&gt;" &amp; "")&gt;0,NOT(ISBLANK(E196)))</formula>
    </cfRule>
  </conditionalFormatting>
  <conditionalFormatting sqref="E197">
    <cfRule type="expression" dxfId="0" priority="259">
      <formula>COUNTIF(G197:BE197,"&lt;&gt;" &amp; "")&gt;0</formula>
    </cfRule>
    <cfRule type="expression" dxfId="1" priority="260">
      <formula>AND(COUNTIF(G197:BE197,"&lt;&gt;" &amp; "")&gt;0,NOT(ISBLANK(E197)))</formula>
    </cfRule>
  </conditionalFormatting>
  <conditionalFormatting sqref="E198">
    <cfRule type="expression" dxfId="0" priority="261">
      <formula>COUNTIF(G198:BE198,"&lt;&gt;" &amp; "")&gt;0</formula>
    </cfRule>
    <cfRule type="expression" dxfId="1" priority="262">
      <formula>AND(COUNTIF(G198:BE198,"&lt;&gt;" &amp; "")&gt;0,NOT(ISBLANK(E198)))</formula>
    </cfRule>
  </conditionalFormatting>
  <conditionalFormatting sqref="E199">
    <cfRule type="expression" dxfId="0" priority="263">
      <formula>COUNTIF(G199:BE199,"&lt;&gt;" &amp; "")&gt;0</formula>
    </cfRule>
    <cfRule type="expression" dxfId="1" priority="264">
      <formula>AND(COUNTIF(G199:BE199,"&lt;&gt;" &amp; "")&gt;0,NOT(ISBLANK(E199)))</formula>
    </cfRule>
  </conditionalFormatting>
  <conditionalFormatting sqref="E200">
    <cfRule type="expression" dxfId="0" priority="265">
      <formula>COUNTIF(G200:BE200,"&lt;&gt;" &amp; "")&gt;0</formula>
    </cfRule>
    <cfRule type="expression" dxfId="1" priority="266">
      <formula>AND(COUNTIF(G200:BE200,"&lt;&gt;" &amp; "")&gt;0,NOT(ISBLANK(E200)))</formula>
    </cfRule>
  </conditionalFormatting>
  <conditionalFormatting sqref="E201">
    <cfRule type="expression" dxfId="0" priority="267">
      <formula>COUNTIF(G201:BE201,"&lt;&gt;" &amp; "")&gt;0</formula>
    </cfRule>
    <cfRule type="expression" dxfId="1" priority="268">
      <formula>AND(COUNTIF(G201:BE201,"&lt;&gt;" &amp; "")&gt;0,NOT(ISBLANK(E201)))</formula>
    </cfRule>
  </conditionalFormatting>
  <conditionalFormatting sqref="E202">
    <cfRule type="expression" dxfId="0" priority="269">
      <formula>COUNTIF(G202:BE202,"&lt;&gt;" &amp; "")&gt;0</formula>
    </cfRule>
    <cfRule type="expression" dxfId="1" priority="270">
      <formula>AND(COUNTIF(G202:BE202,"&lt;&gt;" &amp; "")&gt;0,NOT(ISBLANK(E202)))</formula>
    </cfRule>
  </conditionalFormatting>
  <conditionalFormatting sqref="E203">
    <cfRule type="expression" dxfId="0" priority="271">
      <formula>COUNTIF(G203:BE203,"&lt;&gt;" &amp; "")&gt;0</formula>
    </cfRule>
    <cfRule type="expression" dxfId="1" priority="272">
      <formula>AND(COUNTIF(G203:BE203,"&lt;&gt;" &amp; "")&gt;0,NOT(ISBLANK(E203)))</formula>
    </cfRule>
  </conditionalFormatting>
  <conditionalFormatting sqref="E204">
    <cfRule type="expression" dxfId="0" priority="273">
      <formula>COUNTIF(G204:BE204,"&lt;&gt;" &amp; "")&gt;0</formula>
    </cfRule>
    <cfRule type="expression" dxfId="1" priority="274">
      <formula>AND(COUNTIF(G204:BE204,"&lt;&gt;" &amp; "")&gt;0,NOT(ISBLANK(E204)))</formula>
    </cfRule>
  </conditionalFormatting>
  <conditionalFormatting sqref="E205">
    <cfRule type="expression" dxfId="0" priority="275">
      <formula>COUNTIF(G205:BE205,"&lt;&gt;" &amp; "")&gt;0</formula>
    </cfRule>
    <cfRule type="expression" dxfId="1" priority="276">
      <formula>AND(COUNTIF(G205:BE205,"&lt;&gt;" &amp; "")&gt;0,NOT(ISBLANK(E205)))</formula>
    </cfRule>
  </conditionalFormatting>
  <conditionalFormatting sqref="E206">
    <cfRule type="expression" dxfId="0" priority="277">
      <formula>COUNTIF(G206:BE206,"&lt;&gt;" &amp; "")&gt;0</formula>
    </cfRule>
    <cfRule type="expression" dxfId="1" priority="278">
      <formula>AND(COUNTIF(G206:BE206,"&lt;&gt;" &amp; "")&gt;0,NOT(ISBLANK(E206)))</formula>
    </cfRule>
  </conditionalFormatting>
  <conditionalFormatting sqref="E207">
    <cfRule type="expression" dxfId="0" priority="279">
      <formula>COUNTIF(G207:BE207,"&lt;&gt;" &amp; "")&gt;0</formula>
    </cfRule>
    <cfRule type="expression" dxfId="1" priority="280">
      <formula>AND(COUNTIF(G207:BE207,"&lt;&gt;" &amp; "")&gt;0,NOT(ISBLANK(E207)))</formula>
    </cfRule>
  </conditionalFormatting>
  <conditionalFormatting sqref="E34">
    <cfRule type="expression" dxfId="0" priority="1">
      <formula>COUNTIF(G34:BE34,"&lt;&gt;" &amp; "")&gt;0</formula>
    </cfRule>
    <cfRule type="expression" dxfId="1" priority="2">
      <formula>AND(COUNTIF(G34:BE34,"&lt;&gt;" &amp; "")&gt;0,NOT(ISBLANK(E34)))</formula>
    </cfRule>
  </conditionalFormatting>
  <conditionalFormatting sqref="E35">
    <cfRule type="expression" dxfId="0" priority="3">
      <formula>COUNTIF(G35:BE35,"&lt;&gt;" &amp; "")&gt;0</formula>
    </cfRule>
    <cfRule type="expression" dxfId="1" priority="4">
      <formula>AND(COUNTIF(G35:BE35,"&lt;&gt;" &amp; "")&gt;0,NOT(ISBLANK(E35)))</formula>
    </cfRule>
  </conditionalFormatting>
  <conditionalFormatting sqref="E36">
    <cfRule type="expression" dxfId="0" priority="5">
      <formula>COUNTIF(G36:BE36,"&lt;&gt;" &amp; "")&gt;0</formula>
    </cfRule>
    <cfRule type="expression" dxfId="1" priority="6">
      <formula>AND(COUNTIF(G36:BE36,"&lt;&gt;" &amp; "")&gt;0,NOT(ISBLANK(E36)))</formula>
    </cfRule>
  </conditionalFormatting>
  <conditionalFormatting sqref="E37">
    <cfRule type="expression" dxfId="0" priority="7">
      <formula>COUNTIF(G37:BE37,"&lt;&gt;" &amp; "")&gt;0</formula>
    </cfRule>
    <cfRule type="expression" dxfId="1" priority="8">
      <formula>AND(COUNTIF(G37:BE37,"&lt;&gt;" &amp; "")&gt;0,NOT(ISBLANK(E37)))</formula>
    </cfRule>
  </conditionalFormatting>
  <conditionalFormatting sqref="E38">
    <cfRule type="expression" dxfId="0" priority="9">
      <formula>COUNTIF(G38:BE38,"&lt;&gt;" &amp; "")&gt;0</formula>
    </cfRule>
    <cfRule type="expression" dxfId="1" priority="10">
      <formula>AND(COUNTIF(G38:BE38,"&lt;&gt;" &amp; "")&gt;0,NOT(ISBLANK(E38)))</formula>
    </cfRule>
  </conditionalFormatting>
  <conditionalFormatting sqref="E39">
    <cfRule type="expression" dxfId="0" priority="11">
      <formula>COUNTIF(G39:BE39,"&lt;&gt;" &amp; "")&gt;0</formula>
    </cfRule>
    <cfRule type="expression" dxfId="1" priority="12">
      <formula>AND(COUNTIF(G39:BE39,"&lt;&gt;" &amp; "")&gt;0,NOT(ISBLANK(E39)))</formula>
    </cfRule>
  </conditionalFormatting>
  <conditionalFormatting sqref="E40">
    <cfRule type="expression" dxfId="0" priority="13">
      <formula>COUNTIF(G40:BE40,"&lt;&gt;" &amp; "")&gt;0</formula>
    </cfRule>
    <cfRule type="expression" dxfId="1" priority="14">
      <formula>AND(COUNTIF(G40:BE40,"&lt;&gt;" &amp; "")&gt;0,NOT(ISBLANK(E40)))</formula>
    </cfRule>
  </conditionalFormatting>
  <conditionalFormatting sqref="E41">
    <cfRule type="expression" dxfId="0" priority="15">
      <formula>COUNTIF(G41:BE41,"&lt;&gt;" &amp; "")&gt;0</formula>
    </cfRule>
    <cfRule type="expression" dxfId="1" priority="16">
      <formula>AND(COUNTIF(G41:BE41,"&lt;&gt;" &amp; "")&gt;0,NOT(ISBLANK(E41)))</formula>
    </cfRule>
  </conditionalFormatting>
  <conditionalFormatting sqref="E42">
    <cfRule type="expression" dxfId="0" priority="17">
      <formula>COUNTIF(G42:BE42,"&lt;&gt;" &amp; "")&gt;0</formula>
    </cfRule>
    <cfRule type="expression" dxfId="1" priority="18">
      <formula>AND(COUNTIF(G42:BE42,"&lt;&gt;" &amp; "")&gt;0,NOT(ISBLANK(E42)))</formula>
    </cfRule>
  </conditionalFormatting>
  <conditionalFormatting sqref="E43">
    <cfRule type="expression" dxfId="0" priority="19">
      <formula>COUNTIF(G43:BE43,"&lt;&gt;" &amp; "")&gt;0</formula>
    </cfRule>
    <cfRule type="expression" dxfId="1" priority="20">
      <formula>AND(COUNTIF(G43:BE43,"&lt;&gt;" &amp; "")&gt;0,NOT(ISBLANK(E43)))</formula>
    </cfRule>
  </conditionalFormatting>
  <conditionalFormatting sqref="E44">
    <cfRule type="expression" dxfId="0" priority="21">
      <formula>COUNTIF(G44:BE44,"&lt;&gt;" &amp; "")&gt;0</formula>
    </cfRule>
    <cfRule type="expression" dxfId="1" priority="22">
      <formula>AND(COUNTIF(G44:BE44,"&lt;&gt;" &amp; "")&gt;0,NOT(ISBLANK(E44)))</formula>
    </cfRule>
  </conditionalFormatting>
  <conditionalFormatting sqref="E45">
    <cfRule type="expression" dxfId="0" priority="23">
      <formula>COUNTIF(G45:BE45,"&lt;&gt;" &amp; "")&gt;0</formula>
    </cfRule>
    <cfRule type="expression" dxfId="1" priority="24">
      <formula>AND(COUNTIF(G45:BE45,"&lt;&gt;" &amp; "")&gt;0,NOT(ISBLANK(E45)))</formula>
    </cfRule>
  </conditionalFormatting>
  <conditionalFormatting sqref="E46">
    <cfRule type="expression" dxfId="0" priority="25">
      <formula>COUNTIF(G46:BE46,"&lt;&gt;" &amp; "")&gt;0</formula>
    </cfRule>
    <cfRule type="expression" dxfId="1" priority="26">
      <formula>AND(COUNTIF(G46:BE46,"&lt;&gt;" &amp; "")&gt;0,NOT(ISBLANK(E46)))</formula>
    </cfRule>
  </conditionalFormatting>
  <conditionalFormatting sqref="E47">
    <cfRule type="expression" dxfId="0" priority="27">
      <formula>COUNTIF(G47:BE47,"&lt;&gt;" &amp; "")&gt;0</formula>
    </cfRule>
    <cfRule type="expression" dxfId="1" priority="28">
      <formula>AND(COUNTIF(G47:BE47,"&lt;&gt;" &amp; "")&gt;0,NOT(ISBLANK(E47)))</formula>
    </cfRule>
  </conditionalFormatting>
  <conditionalFormatting sqref="E50">
    <cfRule type="expression" dxfId="0" priority="29">
      <formula>COUNTIF(G50:BE50,"&lt;&gt;" &amp; "")&gt;0</formula>
    </cfRule>
    <cfRule type="expression" dxfId="1" priority="30">
      <formula>AND(COUNTIF(G50:BE50,"&lt;&gt;" &amp; "")&gt;0,NOT(ISBLANK(E50)))</formula>
    </cfRule>
  </conditionalFormatting>
  <conditionalFormatting sqref="E51">
    <cfRule type="expression" dxfId="0" priority="31">
      <formula>COUNTIF(G51:BE51,"&lt;&gt;" &amp; "")&gt;0</formula>
    </cfRule>
    <cfRule type="expression" dxfId="1" priority="32">
      <formula>AND(COUNTIF(G51:BE51,"&lt;&gt;" &amp; "")&gt;0,NOT(ISBLANK(E51)))</formula>
    </cfRule>
  </conditionalFormatting>
  <conditionalFormatting sqref="E52">
    <cfRule type="expression" dxfId="0" priority="33">
      <formula>COUNTIF(G52:BE52,"&lt;&gt;" &amp; "")&gt;0</formula>
    </cfRule>
    <cfRule type="expression" dxfId="1" priority="34">
      <formula>AND(COUNTIF(G52:BE52,"&lt;&gt;" &amp; "")&gt;0,NOT(ISBLANK(E52)))</formula>
    </cfRule>
  </conditionalFormatting>
  <conditionalFormatting sqref="E53">
    <cfRule type="expression" dxfId="0" priority="35">
      <formula>COUNTIF(G53:BE53,"&lt;&gt;" &amp; "")&gt;0</formula>
    </cfRule>
    <cfRule type="expression" dxfId="1" priority="36">
      <formula>AND(COUNTIF(G53:BE53,"&lt;&gt;" &amp; "")&gt;0,NOT(ISBLANK(E53)))</formula>
    </cfRule>
  </conditionalFormatting>
  <conditionalFormatting sqref="E54">
    <cfRule type="expression" dxfId="0" priority="37">
      <formula>COUNTIF(G54:BE54,"&lt;&gt;" &amp; "")&gt;0</formula>
    </cfRule>
    <cfRule type="expression" dxfId="1" priority="38">
      <formula>AND(COUNTIF(G54:BE54,"&lt;&gt;" &amp; "")&gt;0,NOT(ISBLANK(E54)))</formula>
    </cfRule>
  </conditionalFormatting>
  <conditionalFormatting sqref="E55">
    <cfRule type="expression" dxfId="0" priority="39">
      <formula>COUNTIF(G55:BE55,"&lt;&gt;" &amp; "")&gt;0</formula>
    </cfRule>
    <cfRule type="expression" dxfId="1" priority="40">
      <formula>AND(COUNTIF(G55:BE55,"&lt;&gt;" &amp; "")&gt;0,NOT(ISBLANK(E55)))</formula>
    </cfRule>
  </conditionalFormatting>
  <conditionalFormatting sqref="E56">
    <cfRule type="expression" dxfId="0" priority="41">
      <formula>COUNTIF(G56:BE56,"&lt;&gt;" &amp; "")&gt;0</formula>
    </cfRule>
    <cfRule type="expression" dxfId="1" priority="42">
      <formula>AND(COUNTIF(G56:BE56,"&lt;&gt;" &amp; "")&gt;0,NOT(ISBLANK(E56)))</formula>
    </cfRule>
  </conditionalFormatting>
  <conditionalFormatting sqref="E57">
    <cfRule type="expression" dxfId="0" priority="43">
      <formula>COUNTIF(G57:BE57,"&lt;&gt;" &amp; "")&gt;0</formula>
    </cfRule>
    <cfRule type="expression" dxfId="1" priority="44">
      <formula>AND(COUNTIF(G57:BE57,"&lt;&gt;" &amp; "")&gt;0,NOT(ISBLANK(E57)))</formula>
    </cfRule>
  </conditionalFormatting>
  <conditionalFormatting sqref="E58">
    <cfRule type="expression" dxfId="0" priority="45">
      <formula>COUNTIF(G58:BE58,"&lt;&gt;" &amp; "")&gt;0</formula>
    </cfRule>
    <cfRule type="expression" dxfId="1" priority="46">
      <formula>AND(COUNTIF(G58:BE58,"&lt;&gt;" &amp; "")&gt;0,NOT(ISBLANK(E58)))</formula>
    </cfRule>
  </conditionalFormatting>
  <conditionalFormatting sqref="E59">
    <cfRule type="expression" dxfId="0" priority="47">
      <formula>COUNTIF(G59:BE59,"&lt;&gt;" &amp; "")&gt;0</formula>
    </cfRule>
    <cfRule type="expression" dxfId="1" priority="48">
      <formula>AND(COUNTIF(G59:BE59,"&lt;&gt;" &amp; "")&gt;0,NOT(ISBLANK(E59)))</formula>
    </cfRule>
  </conditionalFormatting>
  <conditionalFormatting sqref="E60">
    <cfRule type="expression" dxfId="0" priority="49">
      <formula>COUNTIF(G60:BE60,"&lt;&gt;" &amp; "")&gt;0</formula>
    </cfRule>
    <cfRule type="expression" dxfId="1" priority="50">
      <formula>AND(COUNTIF(G60:BE60,"&lt;&gt;" &amp; "")&gt;0,NOT(ISBLANK(E60)))</formula>
    </cfRule>
  </conditionalFormatting>
  <conditionalFormatting sqref="E61">
    <cfRule type="expression" dxfId="0" priority="51">
      <formula>COUNTIF(G61:BE61,"&lt;&gt;" &amp; "")&gt;0</formula>
    </cfRule>
    <cfRule type="expression" dxfId="1" priority="52">
      <formula>AND(COUNTIF(G61:BE61,"&lt;&gt;" &amp; "")&gt;0,NOT(ISBLANK(E61)))</formula>
    </cfRule>
  </conditionalFormatting>
  <conditionalFormatting sqref="E62">
    <cfRule type="expression" dxfId="0" priority="53">
      <formula>COUNTIF(G62:BE62,"&lt;&gt;" &amp; "")&gt;0</formula>
    </cfRule>
    <cfRule type="expression" dxfId="1" priority="54">
      <formula>AND(COUNTIF(G62:BE62,"&lt;&gt;" &amp; "")&gt;0,NOT(ISBLANK(E62)))</formula>
    </cfRule>
  </conditionalFormatting>
  <conditionalFormatting sqref="E63">
    <cfRule type="expression" dxfId="0" priority="55">
      <formula>COUNTIF(G63:BE63,"&lt;&gt;" &amp; "")&gt;0</formula>
    </cfRule>
    <cfRule type="expression" dxfId="1" priority="56">
      <formula>AND(COUNTIF(G63:BE63,"&lt;&gt;" &amp; "")&gt;0,NOT(ISBLANK(E63)))</formula>
    </cfRule>
  </conditionalFormatting>
  <conditionalFormatting sqref="E66">
    <cfRule type="expression" dxfId="0" priority="57">
      <formula>COUNTIF(G66:BE66,"&lt;&gt;" &amp; "")&gt;0</formula>
    </cfRule>
    <cfRule type="expression" dxfId="1" priority="58">
      <formula>AND(COUNTIF(G66:BE66,"&lt;&gt;" &amp; "")&gt;0,NOT(ISBLANK(E66)))</formula>
    </cfRule>
  </conditionalFormatting>
  <conditionalFormatting sqref="E67">
    <cfRule type="expression" dxfId="0" priority="59">
      <formula>COUNTIF(G67:BE67,"&lt;&gt;" &amp; "")&gt;0</formula>
    </cfRule>
    <cfRule type="expression" dxfId="1" priority="60">
      <formula>AND(COUNTIF(G67:BE67,"&lt;&gt;" &amp; "")&gt;0,NOT(ISBLANK(E67)))</formula>
    </cfRule>
  </conditionalFormatting>
  <conditionalFormatting sqref="E68">
    <cfRule type="expression" dxfId="0" priority="61">
      <formula>COUNTIF(G68:BE68,"&lt;&gt;" &amp; "")&gt;0</formula>
    </cfRule>
    <cfRule type="expression" dxfId="1" priority="62">
      <formula>AND(COUNTIF(G68:BE68,"&lt;&gt;" &amp; "")&gt;0,NOT(ISBLANK(E68)))</formula>
    </cfRule>
  </conditionalFormatting>
  <conditionalFormatting sqref="E69">
    <cfRule type="expression" dxfId="0" priority="63">
      <formula>COUNTIF(G69:BE69,"&lt;&gt;" &amp; "")&gt;0</formula>
    </cfRule>
    <cfRule type="expression" dxfId="1" priority="64">
      <formula>AND(COUNTIF(G69:BE69,"&lt;&gt;" &amp; "")&gt;0,NOT(ISBLANK(E69)))</formula>
    </cfRule>
  </conditionalFormatting>
  <conditionalFormatting sqref="E70">
    <cfRule type="expression" dxfId="0" priority="65">
      <formula>COUNTIF(G70:BE70,"&lt;&gt;" &amp; "")&gt;0</formula>
    </cfRule>
    <cfRule type="expression" dxfId="1" priority="66">
      <formula>AND(COUNTIF(G70:BE70,"&lt;&gt;" &amp; "")&gt;0,NOT(ISBLANK(E70)))</formula>
    </cfRule>
  </conditionalFormatting>
  <conditionalFormatting sqref="E71">
    <cfRule type="expression" dxfId="0" priority="67">
      <formula>COUNTIF(G71:BE71,"&lt;&gt;" &amp; "")&gt;0</formula>
    </cfRule>
    <cfRule type="expression" dxfId="1" priority="68">
      <formula>AND(COUNTIF(G71:BE71,"&lt;&gt;" &amp; "")&gt;0,NOT(ISBLANK(E71)))</formula>
    </cfRule>
  </conditionalFormatting>
  <conditionalFormatting sqref="E72">
    <cfRule type="expression" dxfId="0" priority="69">
      <formula>COUNTIF(G72:BE72,"&lt;&gt;" &amp; "")&gt;0</formula>
    </cfRule>
    <cfRule type="expression" dxfId="1" priority="70">
      <formula>AND(COUNTIF(G72:BE72,"&lt;&gt;" &amp; "")&gt;0,NOT(ISBLANK(E72)))</formula>
    </cfRule>
  </conditionalFormatting>
  <conditionalFormatting sqref="E73">
    <cfRule type="expression" dxfId="0" priority="71">
      <formula>COUNTIF(G73:BE73,"&lt;&gt;" &amp; "")&gt;0</formula>
    </cfRule>
    <cfRule type="expression" dxfId="1" priority="72">
      <formula>AND(COUNTIF(G73:BE73,"&lt;&gt;" &amp; "")&gt;0,NOT(ISBLANK(E73)))</formula>
    </cfRule>
  </conditionalFormatting>
  <conditionalFormatting sqref="E74">
    <cfRule type="expression" dxfId="0" priority="73">
      <formula>COUNTIF(G74:BE74,"&lt;&gt;" &amp; "")&gt;0</formula>
    </cfRule>
    <cfRule type="expression" dxfId="1" priority="74">
      <formula>AND(COUNTIF(G74:BE74,"&lt;&gt;" &amp; "")&gt;0,NOT(ISBLANK(E74)))</formula>
    </cfRule>
  </conditionalFormatting>
  <conditionalFormatting sqref="E75">
    <cfRule type="expression" dxfId="0" priority="75">
      <formula>COUNTIF(G75:BE75,"&lt;&gt;" &amp; "")&gt;0</formula>
    </cfRule>
    <cfRule type="expression" dxfId="1" priority="76">
      <formula>AND(COUNTIF(G75:BE75,"&lt;&gt;" &amp; "")&gt;0,NOT(ISBLANK(E75)))</formula>
    </cfRule>
  </conditionalFormatting>
  <conditionalFormatting sqref="E76">
    <cfRule type="expression" dxfId="0" priority="77">
      <formula>COUNTIF(G76:BE76,"&lt;&gt;" &amp; "")&gt;0</formula>
    </cfRule>
    <cfRule type="expression" dxfId="1" priority="78">
      <formula>AND(COUNTIF(G76:BE76,"&lt;&gt;" &amp; "")&gt;0,NOT(ISBLANK(E76)))</formula>
    </cfRule>
  </conditionalFormatting>
  <conditionalFormatting sqref="E77">
    <cfRule type="expression" dxfId="0" priority="79">
      <formula>COUNTIF(G77:BE77,"&lt;&gt;" &amp; "")&gt;0</formula>
    </cfRule>
    <cfRule type="expression" dxfId="1" priority="80">
      <formula>AND(COUNTIF(G77:BE77,"&lt;&gt;" &amp; "")&gt;0,NOT(ISBLANK(E77)))</formula>
    </cfRule>
  </conditionalFormatting>
  <conditionalFormatting sqref="E78">
    <cfRule type="expression" dxfId="0" priority="81">
      <formula>COUNTIF(G78:BE78,"&lt;&gt;" &amp; "")&gt;0</formula>
    </cfRule>
    <cfRule type="expression" dxfId="1" priority="82">
      <formula>AND(COUNTIF(G78:BE78,"&lt;&gt;" &amp; "")&gt;0,NOT(ISBLANK(E78)))</formula>
    </cfRule>
  </conditionalFormatting>
  <conditionalFormatting sqref="E79">
    <cfRule type="expression" dxfId="0" priority="83">
      <formula>COUNTIF(G79:BE79,"&lt;&gt;" &amp; "")&gt;0</formula>
    </cfRule>
    <cfRule type="expression" dxfId="1" priority="84">
      <formula>AND(COUNTIF(G79:BE79,"&lt;&gt;" &amp; "")&gt;0,NOT(ISBLANK(E79)))</formula>
    </cfRule>
  </conditionalFormatting>
  <conditionalFormatting sqref="E82">
    <cfRule type="expression" dxfId="0" priority="85">
      <formula>COUNTIF(G82:BE82,"&lt;&gt;" &amp; "")&gt;0</formula>
    </cfRule>
    <cfRule type="expression" dxfId="1" priority="86">
      <formula>AND(COUNTIF(G82:BE82,"&lt;&gt;" &amp; "")&gt;0,NOT(ISBLANK(E82)))</formula>
    </cfRule>
  </conditionalFormatting>
  <conditionalFormatting sqref="E83">
    <cfRule type="expression" dxfId="0" priority="87">
      <formula>COUNTIF(G83:BE83,"&lt;&gt;" &amp; "")&gt;0</formula>
    </cfRule>
    <cfRule type="expression" dxfId="1" priority="88">
      <formula>AND(COUNTIF(G83:BE83,"&lt;&gt;" &amp; "")&gt;0,NOT(ISBLANK(E83)))</formula>
    </cfRule>
  </conditionalFormatting>
  <conditionalFormatting sqref="E84">
    <cfRule type="expression" dxfId="0" priority="89">
      <formula>COUNTIF(G84:BE84,"&lt;&gt;" &amp; "")&gt;0</formula>
    </cfRule>
    <cfRule type="expression" dxfId="1" priority="90">
      <formula>AND(COUNTIF(G84:BE84,"&lt;&gt;" &amp; "")&gt;0,NOT(ISBLANK(E84)))</formula>
    </cfRule>
  </conditionalFormatting>
  <conditionalFormatting sqref="E85">
    <cfRule type="expression" dxfId="0" priority="91">
      <formula>COUNTIF(G85:BE85,"&lt;&gt;" &amp; "")&gt;0</formula>
    </cfRule>
    <cfRule type="expression" dxfId="1" priority="92">
      <formula>AND(COUNTIF(G85:BE85,"&lt;&gt;" &amp; "")&gt;0,NOT(ISBLANK(E85)))</formula>
    </cfRule>
  </conditionalFormatting>
  <conditionalFormatting sqref="E86">
    <cfRule type="expression" dxfId="0" priority="93">
      <formula>COUNTIF(G86:BE86,"&lt;&gt;" &amp; "")&gt;0</formula>
    </cfRule>
    <cfRule type="expression" dxfId="1" priority="94">
      <formula>AND(COUNTIF(G86:BE86,"&lt;&gt;" &amp; "")&gt;0,NOT(ISBLANK(E86)))</formula>
    </cfRule>
  </conditionalFormatting>
  <conditionalFormatting sqref="E87">
    <cfRule type="expression" dxfId="0" priority="95">
      <formula>COUNTIF(G87:BE87,"&lt;&gt;" &amp; "")&gt;0</formula>
    </cfRule>
    <cfRule type="expression" dxfId="1" priority="96">
      <formula>AND(COUNTIF(G87:BE87,"&lt;&gt;" &amp; "")&gt;0,NOT(ISBLANK(E87)))</formula>
    </cfRule>
  </conditionalFormatting>
  <conditionalFormatting sqref="E88">
    <cfRule type="expression" dxfId="0" priority="97">
      <formula>COUNTIF(G88:BE88,"&lt;&gt;" &amp; "")&gt;0</formula>
    </cfRule>
    <cfRule type="expression" dxfId="1" priority="98">
      <formula>AND(COUNTIF(G88:BE88,"&lt;&gt;" &amp; "")&gt;0,NOT(ISBLANK(E88)))</formula>
    </cfRule>
  </conditionalFormatting>
  <conditionalFormatting sqref="E89">
    <cfRule type="expression" dxfId="0" priority="99">
      <formula>COUNTIF(G89:BE89,"&lt;&gt;" &amp; "")&gt;0</formula>
    </cfRule>
    <cfRule type="expression" dxfId="1" priority="100">
      <formula>AND(COUNTIF(G89:BE89,"&lt;&gt;" &amp; "")&gt;0,NOT(ISBLANK(E89)))</formula>
    </cfRule>
  </conditionalFormatting>
  <conditionalFormatting sqref="E90">
    <cfRule type="expression" dxfId="0" priority="101">
      <formula>COUNTIF(G90:BE90,"&lt;&gt;" &amp; "")&gt;0</formula>
    </cfRule>
    <cfRule type="expression" dxfId="1" priority="102">
      <formula>AND(COUNTIF(G90:BE90,"&lt;&gt;" &amp; "")&gt;0,NOT(ISBLANK(E90)))</formula>
    </cfRule>
  </conditionalFormatting>
  <conditionalFormatting sqref="E91">
    <cfRule type="expression" dxfId="0" priority="103">
      <formula>COUNTIF(G91:BE91,"&lt;&gt;" &amp; "")&gt;0</formula>
    </cfRule>
    <cfRule type="expression" dxfId="1" priority="104">
      <formula>AND(COUNTIF(G91:BE91,"&lt;&gt;" &amp; "")&gt;0,NOT(ISBLANK(E91)))</formula>
    </cfRule>
  </conditionalFormatting>
  <conditionalFormatting sqref="E92">
    <cfRule type="expression" dxfId="0" priority="105">
      <formula>COUNTIF(G92:BE92,"&lt;&gt;" &amp; "")&gt;0</formula>
    </cfRule>
    <cfRule type="expression" dxfId="1" priority="106">
      <formula>AND(COUNTIF(G92:BE92,"&lt;&gt;" &amp; "")&gt;0,NOT(ISBLANK(E92)))</formula>
    </cfRule>
  </conditionalFormatting>
  <conditionalFormatting sqref="E93">
    <cfRule type="expression" dxfId="0" priority="107">
      <formula>COUNTIF(G93:BE93,"&lt;&gt;" &amp; "")&gt;0</formula>
    </cfRule>
    <cfRule type="expression" dxfId="1" priority="108">
      <formula>AND(COUNTIF(G93:BE93,"&lt;&gt;" &amp; "")&gt;0,NOT(ISBLANK(E93)))</formula>
    </cfRule>
  </conditionalFormatting>
  <conditionalFormatting sqref="E94">
    <cfRule type="expression" dxfId="0" priority="109">
      <formula>COUNTIF(G94:BE94,"&lt;&gt;" &amp; "")&gt;0</formula>
    </cfRule>
    <cfRule type="expression" dxfId="1" priority="110">
      <formula>AND(COUNTIF(G94:BE94,"&lt;&gt;" &amp; "")&gt;0,NOT(ISBLANK(E94)))</formula>
    </cfRule>
  </conditionalFormatting>
  <conditionalFormatting sqref="E95">
    <cfRule type="expression" dxfId="0" priority="111">
      <formula>COUNTIF(G95:BE95,"&lt;&gt;" &amp; "")&gt;0</formula>
    </cfRule>
    <cfRule type="expression" dxfId="1" priority="112">
      <formula>AND(COUNTIF(G95:BE95,"&lt;&gt;" &amp; "")&gt;0,NOT(ISBLANK(E95)))</formula>
    </cfRule>
  </conditionalFormatting>
  <conditionalFormatting sqref="E98">
    <cfRule type="expression" dxfId="0" priority="113">
      <formula>COUNTIF(G98:BE98,"&lt;&gt;" &amp; "")&gt;0</formula>
    </cfRule>
    <cfRule type="expression" dxfId="1" priority="114">
      <formula>AND(COUNTIF(G98:BE98,"&lt;&gt;" &amp; "")&gt;0,NOT(ISBLANK(E98)))</formula>
    </cfRule>
  </conditionalFormatting>
  <conditionalFormatting sqref="E99">
    <cfRule type="expression" dxfId="0" priority="115">
      <formula>COUNTIF(G99:BE99,"&lt;&gt;" &amp; "")&gt;0</formula>
    </cfRule>
    <cfRule type="expression" dxfId="1" priority="116">
      <formula>AND(COUNTIF(G99:BE99,"&lt;&gt;" &amp; "")&gt;0,NOT(ISBLANK(E99)))</formula>
    </cfRule>
  </conditionalFormatting>
  <dataValidations count="18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"Fraction"</formula1>
    </dataValidation>
    <dataValidation type="list" allowBlank="1" showInputMessage="1" showErrorMessage="1" sqref="C19">
      <formula1>"Fraction"</formula1>
    </dataValidation>
    <dataValidation type="list" allowBlank="1" showInputMessage="1" showErrorMessage="1" sqref="C20">
      <formula1>"Fraction"</formula1>
    </dataValidation>
    <dataValidation type="list" allowBlank="1" showInputMessage="1" showErrorMessage="1" sqref="C21">
      <formula1>"Fraction"</formula1>
    </dataValidation>
    <dataValidation type="list" allowBlank="1" showInputMessage="1" showErrorMessage="1" sqref="C22">
      <formula1>"Fraction"</formula1>
    </dataValidation>
    <dataValidation type="list" allowBlank="1" showInputMessage="1" showErrorMessage="1" sqref="C23">
      <formula1>"Fraction"</formula1>
    </dataValidation>
    <dataValidation type="list" allowBlank="1" showInputMessage="1" showErrorMessage="1" sqref="C24">
      <formula1>"Fraction"</formula1>
    </dataValidation>
    <dataValidation type="list" allowBlank="1" showInputMessage="1" showErrorMessage="1" sqref="C25">
      <formula1>"Fraction"</formula1>
    </dataValidation>
    <dataValidation type="list" allowBlank="1" showInputMessage="1" showErrorMessage="1" sqref="C26">
      <formula1>"Fraction"</formula1>
    </dataValidation>
    <dataValidation type="list" allowBlank="1" showInputMessage="1" showErrorMessage="1" sqref="C27">
      <formula1>"Fraction"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2">
      <formula1>"Fraction"</formula1>
    </dataValidation>
    <dataValidation type="list" allowBlank="1" showInputMessage="1" showErrorMessage="1" sqref="C53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78">
      <formula1>"Fraction"</formula1>
    </dataValidation>
    <dataValidation type="list" allowBlank="1" showInputMessage="1" showErrorMessage="1" sqref="C79">
      <formula1>"Fraction"</formula1>
    </dataValidation>
    <dataValidation type="list" allowBlank="1" showInputMessage="1" showErrorMessage="1" sqref="C82">
      <formula1>"Fraction"</formula1>
    </dataValidation>
    <dataValidation type="list" allowBlank="1" showInputMessage="1" showErrorMessage="1" sqref="C83">
      <formula1>"Fraction"</formula1>
    </dataValidation>
    <dataValidation type="list" allowBlank="1" showInputMessage="1" showErrorMessage="1" sqref="C84">
      <formula1>"Fraction"</formula1>
    </dataValidation>
    <dataValidation type="list" allowBlank="1" showInputMessage="1" showErrorMessage="1" sqref="C85">
      <formula1>"Fraction"</formula1>
    </dataValidation>
    <dataValidation type="list" allowBlank="1" showInputMessage="1" showErrorMessage="1" sqref="C86">
      <formula1>"Fraction"</formula1>
    </dataValidation>
    <dataValidation type="list" allowBlank="1" showInputMessage="1" showErrorMessage="1" sqref="C87">
      <formula1>"Fraction"</formula1>
    </dataValidation>
    <dataValidation type="list" allowBlank="1" showInputMessage="1" showErrorMessage="1" sqref="C88">
      <formula1>"Fraction"</formula1>
    </dataValidation>
    <dataValidation type="list" allowBlank="1" showInputMessage="1" showErrorMessage="1" sqref="C89">
      <formula1>"Fraction"</formula1>
    </dataValidation>
    <dataValidation type="list" allowBlank="1" showInputMessage="1" showErrorMessage="1" sqref="C90">
      <formula1>"Fraction"</formula1>
    </dataValidation>
    <dataValidation type="list" allowBlank="1" showInputMessage="1" showErrorMessage="1" sqref="C91">
      <formula1>"Fraction"</formula1>
    </dataValidation>
    <dataValidation type="list" allowBlank="1" showInputMessage="1" showErrorMessage="1" sqref="C92">
      <formula1>"Fraction"</formula1>
    </dataValidation>
    <dataValidation type="list" allowBlank="1" showInputMessage="1" showErrorMessage="1" sqref="C93">
      <formula1>"Fraction"</formula1>
    </dataValidation>
    <dataValidation type="list" allowBlank="1" showInputMessage="1" showErrorMessage="1" sqref="C94">
      <formula1>"Fraction"</formula1>
    </dataValidation>
    <dataValidation type="list" allowBlank="1" showInputMessage="1" showErrorMessage="1" sqref="C95">
      <formula1>"Fraction"</formula1>
    </dataValidation>
    <dataValidation type="list" allowBlank="1" showInputMessage="1" showErrorMessage="1" sqref="C98">
      <formula1>"Fraction"</formula1>
    </dataValidation>
    <dataValidation type="list" allowBlank="1" showInputMessage="1" showErrorMessage="1" sqref="C99">
      <formula1>"Fraction"</formula1>
    </dataValidation>
    <dataValidation type="list" allowBlank="1" showInputMessage="1" showErrorMessage="1" sqref="C100">
      <formula1>"Fraction"</formula1>
    </dataValidation>
    <dataValidation type="list" allowBlank="1" showInputMessage="1" showErrorMessage="1" sqref="C101">
      <formula1>"Fraction"</formula1>
    </dataValidation>
    <dataValidation type="list" allowBlank="1" showInputMessage="1" showErrorMessage="1" sqref="C102">
      <formula1>"Fraction"</formula1>
    </dataValidation>
    <dataValidation type="list" allowBlank="1" showInputMessage="1" showErrorMessage="1" sqref="C103">
      <formula1>"Fraction"</formula1>
    </dataValidation>
    <dataValidation type="list" allowBlank="1" showInputMessage="1" showErrorMessage="1" sqref="C104">
      <formula1>"Fraction"</formula1>
    </dataValidation>
    <dataValidation type="list" allowBlank="1" showInputMessage="1" showErrorMessage="1" sqref="C105">
      <formula1>"Fraction"</formula1>
    </dataValidation>
    <dataValidation type="list" allowBlank="1" showInputMessage="1" showErrorMessage="1" sqref="C106">
      <formula1>"Fraction"</formula1>
    </dataValidation>
    <dataValidation type="list" allowBlank="1" showInputMessage="1" showErrorMessage="1" sqref="C107">
      <formula1>"Fraction"</formula1>
    </dataValidation>
    <dataValidation type="list" allowBlank="1" showInputMessage="1" showErrorMessage="1" sqref="C108">
      <formula1>"Fraction"</formula1>
    </dataValidation>
    <dataValidation type="list" allowBlank="1" showInputMessage="1" showErrorMessage="1" sqref="C109">
      <formula1>"Fraction"</formula1>
    </dataValidation>
    <dataValidation type="list" allowBlank="1" showInputMessage="1" showErrorMessage="1" sqref="C110">
      <formula1>"Fraction"</formula1>
    </dataValidation>
    <dataValidation type="list" allowBlank="1" showInputMessage="1" showErrorMessage="1" sqref="C111">
      <formula1>"Fraction"</formula1>
    </dataValidation>
    <dataValidation type="list" allowBlank="1" showInputMessage="1" showErrorMessage="1" sqref="C114">
      <formula1>"Fraction"</formula1>
    </dataValidation>
    <dataValidation type="list" allowBlank="1" showInputMessage="1" showErrorMessage="1" sqref="C115">
      <formula1>"Fraction"</formula1>
    </dataValidation>
    <dataValidation type="list" allowBlank="1" showInputMessage="1" showErrorMessage="1" sqref="C116">
      <formula1>"Fraction"</formula1>
    </dataValidation>
    <dataValidation type="list" allowBlank="1" showInputMessage="1" showErrorMessage="1" sqref="C117">
      <formula1>"Fraction"</formula1>
    </dataValidation>
    <dataValidation type="list" allowBlank="1" showInputMessage="1" showErrorMessage="1" sqref="C118">
      <formula1>"Fraction"</formula1>
    </dataValidation>
    <dataValidation type="list" allowBlank="1" showInputMessage="1" showErrorMessage="1" sqref="C119">
      <formula1>"Fraction"</formula1>
    </dataValidation>
    <dataValidation type="list" allowBlank="1" showInputMessage="1" showErrorMessage="1" sqref="C120">
      <formula1>"Fraction"</formula1>
    </dataValidation>
    <dataValidation type="list" allowBlank="1" showInputMessage="1" showErrorMessage="1" sqref="C121">
      <formula1>"Fraction"</formula1>
    </dataValidation>
    <dataValidation type="list" allowBlank="1" showInputMessage="1" showErrorMessage="1" sqref="C122">
      <formula1>"Fraction"</formula1>
    </dataValidation>
    <dataValidation type="list" allowBlank="1" showInputMessage="1" showErrorMessage="1" sqref="C123">
      <formula1>"Fraction"</formula1>
    </dataValidation>
    <dataValidation type="list" allowBlank="1" showInputMessage="1" showErrorMessage="1" sqref="C124">
      <formula1>"Fraction"</formula1>
    </dataValidation>
    <dataValidation type="list" allowBlank="1" showInputMessage="1" showErrorMessage="1" sqref="C125">
      <formula1>"Fraction"</formula1>
    </dataValidation>
    <dataValidation type="list" allowBlank="1" showInputMessage="1" showErrorMessage="1" sqref="C126">
      <formula1>"Fraction"</formula1>
    </dataValidation>
    <dataValidation type="list" allowBlank="1" showInputMessage="1" showErrorMessage="1" sqref="C127">
      <formula1>"Fraction"</formula1>
    </dataValidation>
    <dataValidation type="list" allowBlank="1" showInputMessage="1" showErrorMessage="1" sqref="C130">
      <formula1>"Fraction"</formula1>
    </dataValidation>
    <dataValidation type="list" allowBlank="1" showInputMessage="1" showErrorMessage="1" sqref="C131">
      <formula1>"Fraction"</formula1>
    </dataValidation>
    <dataValidation type="list" allowBlank="1" showInputMessage="1" showErrorMessage="1" sqref="C132">
      <formula1>"Fraction"</formula1>
    </dataValidation>
    <dataValidation type="list" allowBlank="1" showInputMessage="1" showErrorMessage="1" sqref="C133">
      <formula1>"Fraction"</formula1>
    </dataValidation>
    <dataValidation type="list" allowBlank="1" showInputMessage="1" showErrorMessage="1" sqref="C134">
      <formula1>"Fraction"</formula1>
    </dataValidation>
    <dataValidation type="list" allowBlank="1" showInputMessage="1" showErrorMessage="1" sqref="C135">
      <formula1>"Fraction"</formula1>
    </dataValidation>
    <dataValidation type="list" allowBlank="1" showInputMessage="1" showErrorMessage="1" sqref="C136">
      <formula1>"Fraction"</formula1>
    </dataValidation>
    <dataValidation type="list" allowBlank="1" showInputMessage="1" showErrorMessage="1" sqref="C137">
      <formula1>"Fraction"</formula1>
    </dataValidation>
    <dataValidation type="list" allowBlank="1" showInputMessage="1" showErrorMessage="1" sqref="C138">
      <formula1>"Fraction"</formula1>
    </dataValidation>
    <dataValidation type="list" allowBlank="1" showInputMessage="1" showErrorMessage="1" sqref="C139">
      <formula1>"Fraction"</formula1>
    </dataValidation>
    <dataValidation type="list" allowBlank="1" showInputMessage="1" showErrorMessage="1" sqref="C140">
      <formula1>"Fraction"</formula1>
    </dataValidation>
    <dataValidation type="list" allowBlank="1" showInputMessage="1" showErrorMessage="1" sqref="C141">
      <formula1>"Fraction"</formula1>
    </dataValidation>
    <dataValidation type="list" allowBlank="1" showInputMessage="1" showErrorMessage="1" sqref="C142">
      <formula1>"Fraction"</formula1>
    </dataValidation>
    <dataValidation type="list" allowBlank="1" showInputMessage="1" showErrorMessage="1" sqref="C143">
      <formula1>"Fraction"</formula1>
    </dataValidation>
    <dataValidation type="list" allowBlank="1" showInputMessage="1" showErrorMessage="1" sqref="C146">
      <formula1>"Fraction"</formula1>
    </dataValidation>
    <dataValidation type="list" allowBlank="1" showInputMessage="1" showErrorMessage="1" sqref="C147">
      <formula1>"Fraction"</formula1>
    </dataValidation>
    <dataValidation type="list" allowBlank="1" showInputMessage="1" showErrorMessage="1" sqref="C148">
      <formula1>"Fraction"</formula1>
    </dataValidation>
    <dataValidation type="list" allowBlank="1" showInputMessage="1" showErrorMessage="1" sqref="C149">
      <formula1>"Fraction"</formula1>
    </dataValidation>
    <dataValidation type="list" allowBlank="1" showInputMessage="1" showErrorMessage="1" sqref="C150">
      <formula1>"Fraction"</formula1>
    </dataValidation>
    <dataValidation type="list" allowBlank="1" showInputMessage="1" showErrorMessage="1" sqref="C151">
      <formula1>"Fraction"</formula1>
    </dataValidation>
    <dataValidation type="list" allowBlank="1" showInputMessage="1" showErrorMessage="1" sqref="C152">
      <formula1>"Fraction"</formula1>
    </dataValidation>
    <dataValidation type="list" allowBlank="1" showInputMessage="1" showErrorMessage="1" sqref="C153">
      <formula1>"Fraction"</formula1>
    </dataValidation>
    <dataValidation type="list" allowBlank="1" showInputMessage="1" showErrorMessage="1" sqref="C154">
      <formula1>"Fraction"</formula1>
    </dataValidation>
    <dataValidation type="list" allowBlank="1" showInputMessage="1" showErrorMessage="1" sqref="C155">
      <formula1>"Fraction"</formula1>
    </dataValidation>
    <dataValidation type="list" allowBlank="1" showInputMessage="1" showErrorMessage="1" sqref="C156">
      <formula1>"Fraction"</formula1>
    </dataValidation>
    <dataValidation type="list" allowBlank="1" showInputMessage="1" showErrorMessage="1" sqref="C157">
      <formula1>"Fraction"</formula1>
    </dataValidation>
    <dataValidation type="list" allowBlank="1" showInputMessage="1" showErrorMessage="1" sqref="C158">
      <formula1>"Fraction"</formula1>
    </dataValidation>
    <dataValidation type="list" allowBlank="1" showInputMessage="1" showErrorMessage="1" sqref="C159">
      <formula1>"Fraction"</formula1>
    </dataValidation>
    <dataValidation type="list" allowBlank="1" showInputMessage="1" showErrorMessage="1" sqref="C162">
      <formula1>"Fraction"</formula1>
    </dataValidation>
    <dataValidation type="list" allowBlank="1" showInputMessage="1" showErrorMessage="1" sqref="C163">
      <formula1>"Fraction"</formula1>
    </dataValidation>
    <dataValidation type="list" allowBlank="1" showInputMessage="1" showErrorMessage="1" sqref="C164">
      <formula1>"Fraction"</formula1>
    </dataValidation>
    <dataValidation type="list" allowBlank="1" showInputMessage="1" showErrorMessage="1" sqref="C165">
      <formula1>"Fraction"</formula1>
    </dataValidation>
    <dataValidation type="list" allowBlank="1" showInputMessage="1" showErrorMessage="1" sqref="C166">
      <formula1>"Fraction"</formula1>
    </dataValidation>
    <dataValidation type="list" allowBlank="1" showInputMessage="1" showErrorMessage="1" sqref="C167">
      <formula1>"Fraction"</formula1>
    </dataValidation>
    <dataValidation type="list" allowBlank="1" showInputMessage="1" showErrorMessage="1" sqref="C168">
      <formula1>"Fraction"</formula1>
    </dataValidation>
    <dataValidation type="list" allowBlank="1" showInputMessage="1" showErrorMessage="1" sqref="C169">
      <formula1>"Fraction"</formula1>
    </dataValidation>
    <dataValidation type="list" allowBlank="1" showInputMessage="1" showErrorMessage="1" sqref="C170">
      <formula1>"Fraction"</formula1>
    </dataValidation>
    <dataValidation type="list" allowBlank="1" showInputMessage="1" showErrorMessage="1" sqref="C171">
      <formula1>"Fraction"</formula1>
    </dataValidation>
    <dataValidation type="list" allowBlank="1" showInputMessage="1" showErrorMessage="1" sqref="C172">
      <formula1>"Fraction"</formula1>
    </dataValidation>
    <dataValidation type="list" allowBlank="1" showInputMessage="1" showErrorMessage="1" sqref="C173">
      <formula1>"Fraction"</formula1>
    </dataValidation>
    <dataValidation type="list" allowBlank="1" showInputMessage="1" showErrorMessage="1" sqref="C174">
      <formula1>"Fraction"</formula1>
    </dataValidation>
    <dataValidation type="list" allowBlank="1" showInputMessage="1" showErrorMessage="1" sqref="C175">
      <formula1>"Fraction"</formula1>
    </dataValidation>
    <dataValidation type="list" allowBlank="1" showInputMessage="1" showErrorMessage="1" sqref="C178">
      <formula1>"Fraction"</formula1>
    </dataValidation>
    <dataValidation type="list" allowBlank="1" showInputMessage="1" showErrorMessage="1" sqref="C179">
      <formula1>"Fraction"</formula1>
    </dataValidation>
    <dataValidation type="list" allowBlank="1" showInputMessage="1" showErrorMessage="1" sqref="C180">
      <formula1>"Fraction"</formula1>
    </dataValidation>
    <dataValidation type="list" allowBlank="1" showInputMessage="1" showErrorMessage="1" sqref="C181">
      <formula1>"Fraction"</formula1>
    </dataValidation>
    <dataValidation type="list" allowBlank="1" showInputMessage="1" showErrorMessage="1" sqref="C182">
      <formula1>"Fraction"</formula1>
    </dataValidation>
    <dataValidation type="list" allowBlank="1" showInputMessage="1" showErrorMessage="1" sqref="C183">
      <formula1>"Fraction"</formula1>
    </dataValidation>
    <dataValidation type="list" allowBlank="1" showInputMessage="1" showErrorMessage="1" sqref="C184">
      <formula1>"Fraction"</formula1>
    </dataValidation>
    <dataValidation type="list" allowBlank="1" showInputMessage="1" showErrorMessage="1" sqref="C185">
      <formula1>"Fraction"</formula1>
    </dataValidation>
    <dataValidation type="list" allowBlank="1" showInputMessage="1" showErrorMessage="1" sqref="C186">
      <formula1>"Fraction"</formula1>
    </dataValidation>
    <dataValidation type="list" allowBlank="1" showInputMessage="1" showErrorMessage="1" sqref="C187">
      <formula1>"Fraction"</formula1>
    </dataValidation>
    <dataValidation type="list" allowBlank="1" showInputMessage="1" showErrorMessage="1" sqref="C188">
      <formula1>"Fraction"</formula1>
    </dataValidation>
    <dataValidation type="list" allowBlank="1" showInputMessage="1" showErrorMessage="1" sqref="C189">
      <formula1>"Fraction"</formula1>
    </dataValidation>
    <dataValidation type="list" allowBlank="1" showInputMessage="1" showErrorMessage="1" sqref="C190">
      <formula1>"Fraction"</formula1>
    </dataValidation>
    <dataValidation type="list" allowBlank="1" showInputMessage="1" showErrorMessage="1" sqref="C191">
      <formula1>"Fraction"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25.85546875" customWidth="1"/>
    <col min="2" max="2" width="12.7109375" customWidth="1"/>
    <col min="3" max="3" width="20.42578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51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118.6948125</v>
      </c>
      <c r="F2" s="3"/>
      <c r="G2" s="3"/>
      <c r="H2" s="3"/>
      <c r="I2" s="3"/>
      <c r="J2" s="3"/>
      <c r="K2" s="3"/>
      <c r="L2" s="3"/>
      <c r="M2" s="3"/>
      <c r="N2" s="3"/>
      <c r="O2" s="3">
        <v>118.6948125</v>
      </c>
      <c r="P2" s="3"/>
      <c r="Q2" s="3"/>
      <c r="R2" s="3"/>
      <c r="S2" s="3"/>
      <c r="T2" s="3">
        <v>118.6948125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90.10288799999998</v>
      </c>
      <c r="F3" s="3"/>
      <c r="G3" s="3"/>
      <c r="H3" s="3"/>
      <c r="I3" s="3"/>
      <c r="J3" s="3"/>
      <c r="K3" s="3"/>
      <c r="L3" s="3"/>
      <c r="M3" s="3"/>
      <c r="N3" s="3"/>
      <c r="O3" s="3">
        <v>90.10288799999998</v>
      </c>
      <c r="P3" s="3"/>
      <c r="Q3" s="3"/>
      <c r="R3" s="3"/>
      <c r="S3" s="3"/>
      <c r="T3" s="3">
        <v>90.10288799999998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22490</v>
      </c>
      <c r="F4" s="3">
        <v>22357</v>
      </c>
      <c r="G4" s="3">
        <v>22119.5</v>
      </c>
      <c r="H4" s="3">
        <v>21879</v>
      </c>
      <c r="I4" s="3">
        <v>21723</v>
      </c>
      <c r="J4" s="3">
        <v>21669</v>
      </c>
      <c r="K4" s="3">
        <v>21702.5</v>
      </c>
      <c r="L4" s="3">
        <v>21898</v>
      </c>
      <c r="M4" s="3">
        <v>22312.5</v>
      </c>
      <c r="N4" s="3">
        <v>22687</v>
      </c>
      <c r="O4" s="3">
        <v>22871</v>
      </c>
      <c r="P4" s="3">
        <v>22949</v>
      </c>
      <c r="Q4" s="3">
        <v>23112</v>
      </c>
      <c r="R4" s="3">
        <v>23308</v>
      </c>
      <c r="S4" s="3">
        <v>23385</v>
      </c>
      <c r="T4" s="3">
        <v>23294.5</v>
      </c>
      <c r="U4" s="3">
        <v>23120.5</v>
      </c>
      <c r="V4" s="3">
        <v>23071</v>
      </c>
      <c r="W4" s="3">
        <v>23055</v>
      </c>
      <c r="X4" s="3">
        <v>22948</v>
      </c>
      <c r="Y4" s="3">
        <v>22921</v>
      </c>
      <c r="Z4" s="3">
        <v>23093</v>
      </c>
      <c r="AA4" s="3">
        <v>23260.5</v>
      </c>
      <c r="AB4" s="3">
        <v>23385.5</v>
      </c>
      <c r="AC4" s="3">
        <v>23582.5</v>
      </c>
      <c r="AD4" s="3">
        <v>23807</v>
      </c>
      <c r="AE4" s="3">
        <v>24008</v>
      </c>
      <c r="AF4" s="3">
        <v>24145.5</v>
      </c>
      <c r="AG4" s="3">
        <v>24153.49999999999</v>
      </c>
      <c r="AH4" s="3">
        <v>24037</v>
      </c>
      <c r="AI4" s="3">
        <v>23805.5</v>
      </c>
      <c r="AJ4" s="3">
        <v>23423.5</v>
      </c>
      <c r="AK4" s="3">
        <v>23078.5</v>
      </c>
      <c r="AL4" s="3">
        <v>22846.5</v>
      </c>
      <c r="AM4" s="3">
        <v>22602.5</v>
      </c>
      <c r="AN4" s="3">
        <v>22361</v>
      </c>
      <c r="AO4" s="3">
        <v>22142</v>
      </c>
      <c r="AP4" s="3">
        <v>21937.5</v>
      </c>
      <c r="AQ4" s="3">
        <v>21746</v>
      </c>
      <c r="AR4" s="3">
        <v>21567.5</v>
      </c>
      <c r="AS4" s="3">
        <v>21397.5</v>
      </c>
      <c r="AT4" s="3">
        <v>21231</v>
      </c>
      <c r="AU4" s="3">
        <v>21072</v>
      </c>
      <c r="AV4" s="3">
        <v>20926</v>
      </c>
      <c r="AW4" s="3">
        <v>20783</v>
      </c>
      <c r="AX4" s="3">
        <v>20632</v>
      </c>
      <c r="AY4" s="3">
        <v>20482</v>
      </c>
      <c r="AZ4" s="3">
        <v>20340</v>
      </c>
      <c r="BA4" s="3">
        <v>20205</v>
      </c>
      <c r="BB4" s="3">
        <v>20079.5</v>
      </c>
      <c r="BC4" s="3">
        <v>19961</v>
      </c>
    </row>
    <row r="5" spans="1:55">
      <c r="A5" s="1" t="str">
        <f>'Population Definitions'!$A$5</f>
        <v>0-9_females</v>
      </c>
      <c r="C5" t="s">
        <v>34</v>
      </c>
      <c r="D5" s="3"/>
      <c r="E5" s="3">
        <v>21604.5</v>
      </c>
      <c r="F5" s="3">
        <v>21494</v>
      </c>
      <c r="G5" s="3">
        <v>21301.5</v>
      </c>
      <c r="H5" s="3">
        <v>21043.5</v>
      </c>
      <c r="I5" s="3">
        <v>20855</v>
      </c>
      <c r="J5" s="3">
        <v>20858.5</v>
      </c>
      <c r="K5" s="3">
        <v>20962.5</v>
      </c>
      <c r="L5" s="3">
        <v>21184.5</v>
      </c>
      <c r="M5" s="3">
        <v>21561.5</v>
      </c>
      <c r="N5" s="3">
        <v>21816.00000000001</v>
      </c>
      <c r="O5" s="3">
        <v>21886</v>
      </c>
      <c r="P5" s="3">
        <v>21908.5</v>
      </c>
      <c r="Q5" s="3">
        <v>22004.5</v>
      </c>
      <c r="R5" s="3">
        <v>22201.5</v>
      </c>
      <c r="S5" s="3">
        <v>22312</v>
      </c>
      <c r="T5" s="3">
        <v>22214</v>
      </c>
      <c r="U5" s="3">
        <v>22101.5</v>
      </c>
      <c r="V5" s="3">
        <v>22077</v>
      </c>
      <c r="W5" s="3">
        <v>21963</v>
      </c>
      <c r="X5" s="3">
        <v>21807</v>
      </c>
      <c r="Y5" s="3">
        <v>21733</v>
      </c>
      <c r="Z5" s="3">
        <v>21841</v>
      </c>
      <c r="AA5" s="3">
        <v>21998</v>
      </c>
      <c r="AB5" s="3">
        <v>22026.5</v>
      </c>
      <c r="AC5" s="3">
        <v>22086.5</v>
      </c>
      <c r="AD5" s="3">
        <v>22226</v>
      </c>
      <c r="AE5" s="3">
        <v>22345.5</v>
      </c>
      <c r="AF5" s="3">
        <v>22429</v>
      </c>
      <c r="AG5" s="3">
        <v>22479</v>
      </c>
      <c r="AH5" s="3">
        <v>22376.5</v>
      </c>
      <c r="AI5" s="3">
        <v>22164</v>
      </c>
      <c r="AJ5" s="3">
        <v>21840.5</v>
      </c>
      <c r="AK5" s="3">
        <v>21501</v>
      </c>
      <c r="AL5" s="3">
        <v>21272</v>
      </c>
      <c r="AM5" s="3">
        <v>21042</v>
      </c>
      <c r="AN5" s="3">
        <v>20819</v>
      </c>
      <c r="AO5" s="3">
        <v>20616</v>
      </c>
      <c r="AP5" s="3">
        <v>20427.5</v>
      </c>
      <c r="AQ5" s="3">
        <v>20250</v>
      </c>
      <c r="AR5" s="3">
        <v>20084</v>
      </c>
      <c r="AS5" s="3">
        <v>19925</v>
      </c>
      <c r="AT5" s="3">
        <v>19769</v>
      </c>
      <c r="AU5" s="3">
        <v>19620.5</v>
      </c>
      <c r="AV5" s="3">
        <v>19483</v>
      </c>
      <c r="AW5" s="3">
        <v>19348</v>
      </c>
      <c r="AX5" s="3">
        <v>19206</v>
      </c>
      <c r="AY5" s="3">
        <v>19064</v>
      </c>
      <c r="AZ5" s="3">
        <v>18930</v>
      </c>
      <c r="BA5" s="3">
        <v>18803</v>
      </c>
      <c r="BB5" s="3">
        <v>18684</v>
      </c>
      <c r="BC5" s="3">
        <v>18573.5</v>
      </c>
    </row>
    <row r="6" spans="1:55">
      <c r="A6" s="1" t="str">
        <f>'Population Definitions'!$A$6</f>
        <v>10-17_males</v>
      </c>
      <c r="C6" t="s">
        <v>34</v>
      </c>
      <c r="D6" s="3"/>
      <c r="E6" s="3">
        <v>17312.5</v>
      </c>
      <c r="F6" s="3">
        <v>17522.5</v>
      </c>
      <c r="G6" s="3">
        <v>17789.5</v>
      </c>
      <c r="H6" s="3">
        <v>18167.5</v>
      </c>
      <c r="I6" s="3">
        <v>18578</v>
      </c>
      <c r="J6" s="3">
        <v>18831</v>
      </c>
      <c r="K6" s="3">
        <v>18863.5</v>
      </c>
      <c r="L6" s="3">
        <v>18847.5</v>
      </c>
      <c r="M6" s="3">
        <v>18803</v>
      </c>
      <c r="N6" s="3">
        <v>18558.5</v>
      </c>
      <c r="O6" s="3">
        <v>18273.5</v>
      </c>
      <c r="P6" s="3">
        <v>18025.5</v>
      </c>
      <c r="Q6" s="3">
        <v>17724.5</v>
      </c>
      <c r="R6" s="3">
        <v>17523.5</v>
      </c>
      <c r="S6" s="3">
        <v>17456.5</v>
      </c>
      <c r="T6" s="3">
        <v>17403</v>
      </c>
      <c r="U6" s="3">
        <v>17487.5</v>
      </c>
      <c r="V6" s="3">
        <v>17796</v>
      </c>
      <c r="W6" s="3">
        <v>18163.5</v>
      </c>
      <c r="X6" s="3">
        <v>18580.5</v>
      </c>
      <c r="Y6" s="3">
        <v>19121.5</v>
      </c>
      <c r="Z6" s="3">
        <v>19601</v>
      </c>
      <c r="AA6" s="3">
        <v>19935</v>
      </c>
      <c r="AB6" s="3">
        <v>20075</v>
      </c>
      <c r="AC6" s="3">
        <v>20078</v>
      </c>
      <c r="AD6" s="3">
        <v>20018</v>
      </c>
      <c r="AE6" s="3">
        <v>19811.5</v>
      </c>
      <c r="AF6" s="3">
        <v>19504</v>
      </c>
      <c r="AG6" s="3">
        <v>19255.5</v>
      </c>
      <c r="AH6" s="3">
        <v>19180.5</v>
      </c>
      <c r="AI6" s="3">
        <v>19258</v>
      </c>
      <c r="AJ6" s="3">
        <v>19534.5</v>
      </c>
      <c r="AK6" s="3">
        <v>19769</v>
      </c>
      <c r="AL6" s="3">
        <v>19854.49999999999</v>
      </c>
      <c r="AM6" s="3">
        <v>19991.5</v>
      </c>
      <c r="AN6" s="3">
        <v>20108.5</v>
      </c>
      <c r="AO6" s="3">
        <v>20106</v>
      </c>
      <c r="AP6" s="3">
        <v>19991.5</v>
      </c>
      <c r="AQ6" s="3">
        <v>19771.5</v>
      </c>
      <c r="AR6" s="3">
        <v>19408.5</v>
      </c>
      <c r="AS6" s="3">
        <v>19090</v>
      </c>
      <c r="AT6" s="3">
        <v>18886</v>
      </c>
      <c r="AU6" s="3">
        <v>18670</v>
      </c>
      <c r="AV6" s="3">
        <v>18455.5</v>
      </c>
      <c r="AW6" s="3">
        <v>18259</v>
      </c>
      <c r="AX6" s="3">
        <v>18073</v>
      </c>
      <c r="AY6" s="3">
        <v>17899</v>
      </c>
      <c r="AZ6" s="3">
        <v>17738</v>
      </c>
      <c r="BA6" s="3">
        <v>17588</v>
      </c>
      <c r="BB6" s="3">
        <v>17450.5</v>
      </c>
      <c r="BC6" s="3">
        <v>17321.5</v>
      </c>
    </row>
    <row r="7" spans="1:55">
      <c r="A7" s="1" t="str">
        <f>'Population Definitions'!$A$7</f>
        <v>10-17_females</v>
      </c>
      <c r="C7" t="s">
        <v>34</v>
      </c>
      <c r="D7" s="3"/>
      <c r="E7" s="3">
        <v>16633</v>
      </c>
      <c r="F7" s="3">
        <v>16832.5</v>
      </c>
      <c r="G7" s="3">
        <v>16995</v>
      </c>
      <c r="H7" s="3">
        <v>17297.5</v>
      </c>
      <c r="I7" s="3">
        <v>17628.5</v>
      </c>
      <c r="J7" s="3">
        <v>17885</v>
      </c>
      <c r="K7" s="3">
        <v>17983.5</v>
      </c>
      <c r="L7" s="3">
        <v>17955.5</v>
      </c>
      <c r="M7" s="3">
        <v>17865.5</v>
      </c>
      <c r="N7" s="3">
        <v>17724.5</v>
      </c>
      <c r="O7" s="3">
        <v>17573</v>
      </c>
      <c r="P7" s="3">
        <v>17309</v>
      </c>
      <c r="Q7" s="3">
        <v>17025</v>
      </c>
      <c r="R7" s="3">
        <v>16925.5</v>
      </c>
      <c r="S7" s="3">
        <v>16929.5</v>
      </c>
      <c r="T7" s="3">
        <v>16932.5</v>
      </c>
      <c r="U7" s="3">
        <v>17025</v>
      </c>
      <c r="V7" s="3">
        <v>17206.5</v>
      </c>
      <c r="W7" s="3">
        <v>17430.5</v>
      </c>
      <c r="X7" s="3">
        <v>17763</v>
      </c>
      <c r="Y7" s="3">
        <v>18187.5</v>
      </c>
      <c r="Z7" s="3">
        <v>18558</v>
      </c>
      <c r="AA7" s="3">
        <v>18855.5</v>
      </c>
      <c r="AB7" s="3">
        <v>19103.5</v>
      </c>
      <c r="AC7" s="3">
        <v>19208.5</v>
      </c>
      <c r="AD7" s="3">
        <v>19131.5</v>
      </c>
      <c r="AE7" s="3">
        <v>18917</v>
      </c>
      <c r="AF7" s="3">
        <v>18603.5</v>
      </c>
      <c r="AG7" s="3">
        <v>18269</v>
      </c>
      <c r="AH7" s="3">
        <v>18130.5</v>
      </c>
      <c r="AI7" s="3">
        <v>18123</v>
      </c>
      <c r="AJ7" s="3">
        <v>18185.5</v>
      </c>
      <c r="AK7" s="3">
        <v>18263.5</v>
      </c>
      <c r="AL7" s="3">
        <v>18286.5</v>
      </c>
      <c r="AM7" s="3">
        <v>18346.5</v>
      </c>
      <c r="AN7" s="3">
        <v>18407</v>
      </c>
      <c r="AO7" s="3">
        <v>18444</v>
      </c>
      <c r="AP7" s="3">
        <v>18340.5</v>
      </c>
      <c r="AQ7" s="3">
        <v>18139</v>
      </c>
      <c r="AR7" s="3">
        <v>17832.5</v>
      </c>
      <c r="AS7" s="3">
        <v>17515</v>
      </c>
      <c r="AT7" s="3">
        <v>17311</v>
      </c>
      <c r="AU7" s="3">
        <v>17106</v>
      </c>
      <c r="AV7" s="3">
        <v>16907.5</v>
      </c>
      <c r="AW7" s="3">
        <v>16726</v>
      </c>
      <c r="AX7" s="3">
        <v>16554</v>
      </c>
      <c r="AY7" s="3">
        <v>16392</v>
      </c>
      <c r="AZ7" s="3">
        <v>16241</v>
      </c>
      <c r="BA7" s="3">
        <v>16101.5</v>
      </c>
      <c r="BB7" s="3">
        <v>15973.5</v>
      </c>
      <c r="BC7" s="3">
        <v>15853</v>
      </c>
    </row>
    <row r="8" spans="1:55">
      <c r="A8" s="1" t="str">
        <f>'Population Definitions'!$A$8</f>
        <v>18-64_males</v>
      </c>
      <c r="C8" t="s">
        <v>34</v>
      </c>
      <c r="D8" s="3"/>
      <c r="E8" s="3">
        <v>85910.34317399999</v>
      </c>
      <c r="F8" s="3">
        <v>87505.84317400002</v>
      </c>
      <c r="G8" s="3">
        <v>88465.84317400002</v>
      </c>
      <c r="H8" s="3">
        <v>89075.34317400002</v>
      </c>
      <c r="I8" s="3">
        <v>90047.34317400001</v>
      </c>
      <c r="J8" s="3">
        <v>92508.860174</v>
      </c>
      <c r="K8" s="3">
        <v>96898.36017399999</v>
      </c>
      <c r="L8" s="3">
        <v>101218.860174</v>
      </c>
      <c r="M8" s="3">
        <v>103201.860174</v>
      </c>
      <c r="N8" s="3">
        <v>102141.360174</v>
      </c>
      <c r="O8" s="3">
        <v>100639.877174</v>
      </c>
      <c r="P8" s="3">
        <v>100418.377174</v>
      </c>
      <c r="Q8" s="3">
        <v>100551.377174</v>
      </c>
      <c r="R8" s="3">
        <v>101301.377174</v>
      </c>
      <c r="S8" s="3">
        <v>102433.377174</v>
      </c>
      <c r="T8" s="3">
        <v>103727.231174</v>
      </c>
      <c r="U8" s="3">
        <v>105970.731174</v>
      </c>
      <c r="V8" s="3">
        <v>110115.231174</v>
      </c>
      <c r="W8" s="3">
        <v>114767.731174</v>
      </c>
      <c r="X8" s="3">
        <v>118215.731174</v>
      </c>
      <c r="Y8" s="3">
        <v>119932.195174</v>
      </c>
      <c r="Z8" s="3">
        <v>121179.695174</v>
      </c>
      <c r="AA8" s="3">
        <v>123439.695174</v>
      </c>
      <c r="AB8" s="3">
        <v>125713.695174</v>
      </c>
      <c r="AC8" s="3">
        <v>101346.2925644</v>
      </c>
      <c r="AD8" s="3">
        <v>102782.7925644</v>
      </c>
      <c r="AE8" s="3">
        <v>104070.2925644</v>
      </c>
      <c r="AF8" s="3">
        <v>105286.7925644</v>
      </c>
      <c r="AG8" s="3">
        <v>106361.7925644001</v>
      </c>
      <c r="AH8" s="3">
        <v>107233.2925644</v>
      </c>
      <c r="AI8" s="3">
        <v>107909.7925644</v>
      </c>
      <c r="AJ8" s="3">
        <v>108396.2925644</v>
      </c>
      <c r="AK8" s="3">
        <v>108847.7925644</v>
      </c>
      <c r="AL8" s="3">
        <v>109304.2925644</v>
      </c>
      <c r="AM8" s="3">
        <v>109658.7925644</v>
      </c>
      <c r="AN8" s="3">
        <v>110009.7925644</v>
      </c>
      <c r="AO8" s="3">
        <v>110389.7925644001</v>
      </c>
      <c r="AP8" s="3">
        <v>110694.2925644</v>
      </c>
      <c r="AQ8" s="3">
        <v>110950.7925644</v>
      </c>
      <c r="AR8" s="3">
        <v>111353.2925644</v>
      </c>
      <c r="AS8" s="3">
        <v>111708.7925644</v>
      </c>
      <c r="AT8" s="3">
        <v>111851.7925644</v>
      </c>
      <c r="AU8" s="3">
        <v>112026.2925644</v>
      </c>
      <c r="AV8" s="3">
        <v>112221.7925644</v>
      </c>
      <c r="AW8" s="3">
        <v>112192.7925644</v>
      </c>
      <c r="AX8" s="3">
        <v>111905.2925644</v>
      </c>
      <c r="AY8" s="3">
        <v>111546.2925644001</v>
      </c>
      <c r="AZ8" s="3">
        <v>111138.7925644</v>
      </c>
      <c r="BA8" s="3">
        <v>110677.7925644</v>
      </c>
      <c r="BB8" s="3">
        <v>110219.2925644</v>
      </c>
      <c r="BC8" s="3">
        <v>109771.7925644</v>
      </c>
    </row>
    <row r="9" spans="1:55">
      <c r="A9" s="1" t="str">
        <f>'Population Definitions'!$A$9</f>
        <v>18-64_females</v>
      </c>
      <c r="C9" t="s">
        <v>34</v>
      </c>
      <c r="D9" s="3"/>
      <c r="E9" s="3">
        <v>84273.01111199999</v>
      </c>
      <c r="F9" s="3">
        <v>85770.51111200001</v>
      </c>
      <c r="G9" s="3">
        <v>86872.51111200002</v>
      </c>
      <c r="H9" s="3">
        <v>87679.01111199999</v>
      </c>
      <c r="I9" s="3">
        <v>88480.51111200001</v>
      </c>
      <c r="J9" s="3">
        <v>89742.994112</v>
      </c>
      <c r="K9" s="3">
        <v>91614.49411199999</v>
      </c>
      <c r="L9" s="3">
        <v>94019.99411199999</v>
      </c>
      <c r="M9" s="3">
        <v>96459.99411199997</v>
      </c>
      <c r="N9" s="3">
        <v>97534.494112</v>
      </c>
      <c r="O9" s="3">
        <v>97712.47711199999</v>
      </c>
      <c r="P9" s="3">
        <v>98198.47711199999</v>
      </c>
      <c r="Q9" s="3">
        <v>98852.47711200004</v>
      </c>
      <c r="R9" s="3">
        <v>99699.97711200001</v>
      </c>
      <c r="S9" s="3">
        <v>100640.977112</v>
      </c>
      <c r="T9" s="3">
        <v>101534.123112</v>
      </c>
      <c r="U9" s="3">
        <v>102577.623112</v>
      </c>
      <c r="V9" s="3">
        <v>104518.623112</v>
      </c>
      <c r="W9" s="3">
        <v>107073.623112</v>
      </c>
      <c r="X9" s="3">
        <v>109233.623112</v>
      </c>
      <c r="Y9" s="3">
        <v>110789.659112</v>
      </c>
      <c r="Z9" s="3">
        <v>112429.659112</v>
      </c>
      <c r="AA9" s="3">
        <v>114857.159112</v>
      </c>
      <c r="AB9" s="3">
        <v>117235.659112</v>
      </c>
      <c r="AC9" s="3">
        <v>117405.606045</v>
      </c>
      <c r="AD9" s="3">
        <v>118527.606045</v>
      </c>
      <c r="AE9" s="3">
        <v>119488.106045</v>
      </c>
      <c r="AF9" s="3">
        <v>120316.606045</v>
      </c>
      <c r="AG9" s="3">
        <v>120979.106045</v>
      </c>
      <c r="AH9" s="3">
        <v>121401.606045</v>
      </c>
      <c r="AI9" s="3">
        <v>121696.606045</v>
      </c>
      <c r="AJ9" s="3">
        <v>121960.106045</v>
      </c>
      <c r="AK9" s="3">
        <v>122142.106045</v>
      </c>
      <c r="AL9" s="3">
        <v>122325.606045</v>
      </c>
      <c r="AM9" s="3">
        <v>122445.606045</v>
      </c>
      <c r="AN9" s="3">
        <v>122550.106045</v>
      </c>
      <c r="AO9" s="3">
        <v>122657.606045</v>
      </c>
      <c r="AP9" s="3">
        <v>122669.606045</v>
      </c>
      <c r="AQ9" s="3">
        <v>122635.606045</v>
      </c>
      <c r="AR9" s="3">
        <v>122786.106045</v>
      </c>
      <c r="AS9" s="3">
        <v>122931.106045</v>
      </c>
      <c r="AT9" s="3">
        <v>122878.106045</v>
      </c>
      <c r="AU9" s="3">
        <v>122824.606045</v>
      </c>
      <c r="AV9" s="3">
        <v>122748.606045</v>
      </c>
      <c r="AW9" s="3">
        <v>122509.606045</v>
      </c>
      <c r="AX9" s="3">
        <v>122094.106045</v>
      </c>
      <c r="AY9" s="3">
        <v>121672.106045</v>
      </c>
      <c r="AZ9" s="3">
        <v>121249.106045</v>
      </c>
      <c r="BA9" s="3">
        <v>120741.606045</v>
      </c>
      <c r="BB9" s="3">
        <v>120216.606045</v>
      </c>
      <c r="BC9" s="3">
        <v>119695.106045</v>
      </c>
    </row>
    <row r="10" spans="1:55">
      <c r="A10" s="1" t="str">
        <f>'Population Definitions'!$A$10</f>
        <v>65+_males</v>
      </c>
      <c r="C10" t="s">
        <v>34</v>
      </c>
      <c r="D10" s="3"/>
      <c r="E10" s="3">
        <v>14668.5</v>
      </c>
      <c r="F10" s="3">
        <v>14892</v>
      </c>
      <c r="G10" s="3">
        <v>15108</v>
      </c>
      <c r="H10" s="3">
        <v>15338.5</v>
      </c>
      <c r="I10" s="3">
        <v>15559</v>
      </c>
      <c r="J10" s="3">
        <v>15759.5</v>
      </c>
      <c r="K10" s="3">
        <v>16001</v>
      </c>
      <c r="L10" s="3">
        <v>16345.00000000001</v>
      </c>
      <c r="M10" s="3">
        <v>16746.5</v>
      </c>
      <c r="N10" s="3">
        <v>17201</v>
      </c>
      <c r="O10" s="3">
        <v>17733.5</v>
      </c>
      <c r="P10" s="3">
        <v>18338.5</v>
      </c>
      <c r="Q10" s="3">
        <v>19055.5</v>
      </c>
      <c r="R10" s="3">
        <v>19785</v>
      </c>
      <c r="S10" s="3">
        <v>20520.5</v>
      </c>
      <c r="T10" s="3">
        <v>21365</v>
      </c>
      <c r="U10" s="3">
        <v>22129.50000000001</v>
      </c>
      <c r="V10" s="3">
        <v>22890</v>
      </c>
      <c r="W10" s="3">
        <v>23791</v>
      </c>
      <c r="X10" s="3">
        <v>24705.99999999999</v>
      </c>
      <c r="Y10" s="3">
        <v>25629.49999999999</v>
      </c>
      <c r="Z10" s="3">
        <v>26661.5</v>
      </c>
      <c r="AA10" s="3">
        <v>27775.50000000001</v>
      </c>
      <c r="AB10" s="3">
        <v>28817.99999999999</v>
      </c>
      <c r="AC10" s="3">
        <v>29829</v>
      </c>
      <c r="AD10" s="3">
        <v>30856.50000000001</v>
      </c>
      <c r="AE10" s="3">
        <v>31792</v>
      </c>
      <c r="AF10" s="3">
        <v>32684.00000000001</v>
      </c>
      <c r="AG10" s="3">
        <v>33626.00000000001</v>
      </c>
      <c r="AH10" s="3">
        <v>34537.50000000001</v>
      </c>
      <c r="AI10" s="3">
        <v>35438</v>
      </c>
      <c r="AJ10" s="3">
        <v>36360.99999999999</v>
      </c>
      <c r="AK10" s="3">
        <v>37193.00000000001</v>
      </c>
      <c r="AL10" s="3">
        <v>37956.5</v>
      </c>
      <c r="AM10" s="3">
        <v>38695.5</v>
      </c>
      <c r="AN10" s="3">
        <v>39397.49999999999</v>
      </c>
      <c r="AO10" s="3">
        <v>40126</v>
      </c>
      <c r="AP10" s="3">
        <v>40952.99999999999</v>
      </c>
      <c r="AQ10" s="3">
        <v>41854.50000000001</v>
      </c>
      <c r="AR10" s="3">
        <v>42679.50000000002</v>
      </c>
      <c r="AS10" s="3">
        <v>43429.00000000001</v>
      </c>
      <c r="AT10" s="3">
        <v>44201.99999999999</v>
      </c>
      <c r="AU10" s="3">
        <v>44904.49999999999</v>
      </c>
      <c r="AV10" s="3">
        <v>45560.00000000001</v>
      </c>
      <c r="AW10" s="3">
        <v>46363.00000000001</v>
      </c>
      <c r="AX10" s="3">
        <v>47311.50000000002</v>
      </c>
      <c r="AY10" s="3">
        <v>48253.5</v>
      </c>
      <c r="AZ10" s="3">
        <v>49192.49999999999</v>
      </c>
      <c r="BA10" s="3">
        <v>50138</v>
      </c>
      <c r="BB10" s="3">
        <v>51042.5</v>
      </c>
      <c r="BC10" s="3">
        <v>51890.5</v>
      </c>
    </row>
    <row r="11" spans="1:55">
      <c r="A11" s="1" t="str">
        <f>'Population Definitions'!$A$11</f>
        <v>65+_females</v>
      </c>
      <c r="C11" t="s">
        <v>34</v>
      </c>
      <c r="D11" s="3"/>
      <c r="E11" s="3">
        <v>17881.99999999999</v>
      </c>
      <c r="F11" s="3">
        <v>18172</v>
      </c>
      <c r="G11" s="3">
        <v>18449</v>
      </c>
      <c r="H11" s="3">
        <v>18618.5</v>
      </c>
      <c r="I11" s="3">
        <v>18791</v>
      </c>
      <c r="J11" s="3">
        <v>19032.5</v>
      </c>
      <c r="K11" s="3">
        <v>19301</v>
      </c>
      <c r="L11" s="3">
        <v>19633.99999999999</v>
      </c>
      <c r="M11" s="3">
        <v>20016.5</v>
      </c>
      <c r="N11" s="3">
        <v>20402</v>
      </c>
      <c r="O11" s="3">
        <v>20875.49999999999</v>
      </c>
      <c r="P11" s="3">
        <v>21396.5</v>
      </c>
      <c r="Q11" s="3">
        <v>21922</v>
      </c>
      <c r="R11" s="3">
        <v>22547.5</v>
      </c>
      <c r="S11" s="3">
        <v>23241.50000000001</v>
      </c>
      <c r="T11" s="3">
        <v>23907</v>
      </c>
      <c r="U11" s="3">
        <v>24587</v>
      </c>
      <c r="V11" s="3">
        <v>25283</v>
      </c>
      <c r="W11" s="3">
        <v>26035.5</v>
      </c>
      <c r="X11" s="3">
        <v>26871.49999999999</v>
      </c>
      <c r="Y11" s="3">
        <v>27765.5</v>
      </c>
      <c r="Z11" s="3">
        <v>28745.5</v>
      </c>
      <c r="AA11" s="3">
        <v>29700.00000000001</v>
      </c>
      <c r="AB11" s="3">
        <v>30665.5</v>
      </c>
      <c r="AC11" s="3">
        <v>31717</v>
      </c>
      <c r="AD11" s="3">
        <v>32774.5</v>
      </c>
      <c r="AE11" s="3">
        <v>33754.49999999999</v>
      </c>
      <c r="AF11" s="3">
        <v>34727.5</v>
      </c>
      <c r="AG11" s="3">
        <v>35763.50000000001</v>
      </c>
      <c r="AH11" s="3">
        <v>36817</v>
      </c>
      <c r="AI11" s="3">
        <v>37810.99999999999</v>
      </c>
      <c r="AJ11" s="3">
        <v>38765.50000000001</v>
      </c>
      <c r="AK11" s="3">
        <v>39677.49999999999</v>
      </c>
      <c r="AL11" s="3">
        <v>40431.49999999999</v>
      </c>
      <c r="AM11" s="3">
        <v>41128.5</v>
      </c>
      <c r="AN11" s="3">
        <v>41783.5</v>
      </c>
      <c r="AO11" s="3">
        <v>42398.49999999999</v>
      </c>
      <c r="AP11" s="3">
        <v>43162.00000000001</v>
      </c>
      <c r="AQ11" s="3">
        <v>43998</v>
      </c>
      <c r="AR11" s="3">
        <v>44686.50000000001</v>
      </c>
      <c r="AS11" s="3">
        <v>45313.99999999999</v>
      </c>
      <c r="AT11" s="3">
        <v>45955</v>
      </c>
      <c r="AU11" s="3">
        <v>46551.00000000001</v>
      </c>
      <c r="AV11" s="3">
        <v>47140.49999999999</v>
      </c>
      <c r="AW11" s="3">
        <v>47819.5</v>
      </c>
      <c r="AX11" s="3">
        <v>48566.00000000001</v>
      </c>
      <c r="AY11" s="3">
        <v>49244.49999999999</v>
      </c>
      <c r="AZ11" s="3">
        <v>49876.50000000001</v>
      </c>
      <c r="BA11" s="3">
        <v>50545.50000000002</v>
      </c>
      <c r="BB11" s="3">
        <v>51190.49999999998</v>
      </c>
      <c r="BC11" s="3">
        <v>51784.49999999999</v>
      </c>
    </row>
    <row r="12" spans="1:55">
      <c r="A12" s="1" t="str">
        <f>'Population Definitions'!$A$12</f>
        <v>Prisoners_males</v>
      </c>
      <c r="C12" t="s">
        <v>34</v>
      </c>
      <c r="D12" s="3"/>
      <c r="E12" s="3">
        <v>18.7785</v>
      </c>
      <c r="F12" s="3"/>
      <c r="G12" s="3"/>
      <c r="H12" s="3"/>
      <c r="I12" s="3"/>
      <c r="J12" s="3">
        <v>28.64924999999999</v>
      </c>
      <c r="K12" s="3"/>
      <c r="L12" s="3"/>
      <c r="M12" s="3"/>
      <c r="N12" s="3"/>
      <c r="O12" s="3">
        <v>39.27000000000001</v>
      </c>
      <c r="P12" s="3"/>
      <c r="Q12" s="3"/>
      <c r="R12" s="3"/>
      <c r="S12" s="3"/>
      <c r="T12" s="3">
        <v>35.8065</v>
      </c>
      <c r="U12" s="3"/>
      <c r="V12" s="3"/>
      <c r="W12" s="3"/>
      <c r="X12" s="3"/>
      <c r="Y12" s="3">
        <v>24.5655</v>
      </c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2.078718144223314</v>
      </c>
      <c r="F13" s="3"/>
      <c r="G13" s="3"/>
      <c r="H13" s="3"/>
      <c r="I13" s="3"/>
      <c r="J13" s="3">
        <v>3.171377681571466</v>
      </c>
      <c r="K13" s="3"/>
      <c r="L13" s="3"/>
      <c r="M13" s="3"/>
      <c r="N13" s="3"/>
      <c r="O13" s="3">
        <v>5.704590333419489</v>
      </c>
      <c r="P13" s="3"/>
      <c r="Q13" s="3"/>
      <c r="R13" s="3"/>
      <c r="S13" s="3"/>
      <c r="T13" s="3">
        <v>1.998047169811322</v>
      </c>
      <c r="U13" s="3"/>
      <c r="V13" s="3"/>
      <c r="W13" s="3"/>
      <c r="X13" s="3"/>
      <c r="Y13" s="3">
        <v>5.573499999999992</v>
      </c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56.3355</v>
      </c>
      <c r="F14" s="3"/>
      <c r="G14" s="3"/>
      <c r="H14" s="3"/>
      <c r="I14" s="3"/>
      <c r="J14" s="3">
        <v>85.94775</v>
      </c>
      <c r="K14" s="3"/>
      <c r="L14" s="3"/>
      <c r="M14" s="3"/>
      <c r="N14" s="3"/>
      <c r="O14" s="3">
        <v>117.81</v>
      </c>
      <c r="P14" s="3"/>
      <c r="Q14" s="3"/>
      <c r="R14" s="3"/>
      <c r="S14" s="3"/>
      <c r="T14" s="3">
        <v>107.4195</v>
      </c>
      <c r="U14" s="3"/>
      <c r="V14" s="3"/>
      <c r="W14" s="3"/>
      <c r="X14" s="3"/>
      <c r="Y14" s="3">
        <v>73.6965</v>
      </c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0.8072818557766887</v>
      </c>
      <c r="F15" s="3"/>
      <c r="G15" s="3"/>
      <c r="H15" s="3"/>
      <c r="I15" s="3"/>
      <c r="J15" s="3">
        <v>1.231622318428538</v>
      </c>
      <c r="K15" s="3"/>
      <c r="L15" s="3"/>
      <c r="M15" s="3"/>
      <c r="N15" s="3"/>
      <c r="O15" s="3">
        <v>2.215409666580518</v>
      </c>
      <c r="P15" s="3"/>
      <c r="Q15" s="3"/>
      <c r="R15" s="3"/>
      <c r="S15" s="3"/>
      <c r="T15" s="3">
        <v>0.7759528301886814</v>
      </c>
      <c r="U15" s="3"/>
      <c r="V15" s="3"/>
      <c r="W15" s="3"/>
      <c r="X15" s="3"/>
      <c r="Y15" s="3">
        <v>2.164500000000003</v>
      </c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52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53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53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53</v>
      </c>
      <c r="D20" s="3"/>
      <c r="E20" s="3"/>
      <c r="F20" s="4" t="s">
        <v>39</v>
      </c>
      <c r="G20" s="3">
        <v>2186.579462102689</v>
      </c>
      <c r="H20" s="3">
        <v>2089.443792766373</v>
      </c>
      <c r="I20" s="3">
        <v>2077.632633121642</v>
      </c>
      <c r="J20" s="3">
        <v>2128.780654616512</v>
      </c>
      <c r="K20" s="3">
        <v>2167.12890625</v>
      </c>
      <c r="L20" s="3">
        <v>2174.793557833089</v>
      </c>
      <c r="M20" s="3">
        <v>2238.804878048781</v>
      </c>
      <c r="N20" s="3">
        <v>2302.361287176987</v>
      </c>
      <c r="O20" s="3">
        <v>2459.048780487805</v>
      </c>
      <c r="P20" s="3">
        <v>2594.780487804878</v>
      </c>
      <c r="Q20" s="3">
        <v>2522.048780487805</v>
      </c>
      <c r="R20" s="3">
        <v>2317.682926829268</v>
      </c>
      <c r="S20" s="3">
        <v>2321.15625</v>
      </c>
      <c r="T20" s="3">
        <v>2212.6634098681</v>
      </c>
      <c r="U20" s="3">
        <v>2231.121951219512</v>
      </c>
      <c r="V20" s="3">
        <v>2118.776046738072</v>
      </c>
      <c r="W20" s="3">
        <v>2062.100631988333</v>
      </c>
      <c r="X20" s="3">
        <v>2062.19592628516</v>
      </c>
      <c r="Y20" s="3">
        <v>2152.06724721819</v>
      </c>
      <c r="Z20" s="3">
        <v>2270.796610169491</v>
      </c>
      <c r="AA20" s="3">
        <v>2311.496849248667</v>
      </c>
      <c r="AB20" s="3">
        <v>2481.948593598448</v>
      </c>
      <c r="AC20" s="3">
        <v>2231.137311984473</v>
      </c>
      <c r="AD20" s="3">
        <v>2236.805825242719</v>
      </c>
      <c r="AE20" s="3">
        <v>2251.210781932977</v>
      </c>
      <c r="AF20" s="3">
        <v>2246.067508499272</v>
      </c>
      <c r="AG20" s="3">
        <v>2234.24101068999</v>
      </c>
      <c r="AH20" s="3">
        <v>2219.332361516035</v>
      </c>
      <c r="AI20" s="3">
        <v>2203.924647544969</v>
      </c>
      <c r="AJ20" s="3">
        <v>2190.050559066602</v>
      </c>
      <c r="AK20" s="3">
        <v>2171.037919299952</v>
      </c>
      <c r="AL20" s="3">
        <v>2152.575875486381</v>
      </c>
      <c r="AM20" s="3">
        <v>2134.085603112841</v>
      </c>
      <c r="AN20" s="3">
        <v>2120.217898832685</v>
      </c>
      <c r="AO20" s="3">
        <v>2103.839416058394</v>
      </c>
      <c r="AP20" s="3">
        <v>2088.951338199513</v>
      </c>
      <c r="AQ20" s="3">
        <v>2076.116788321167</v>
      </c>
      <c r="AR20" s="3">
        <v>2063.282238442822</v>
      </c>
      <c r="AS20" s="3">
        <v>2051.474452554744</v>
      </c>
      <c r="AT20" s="3">
        <v>2039.666666666667</v>
      </c>
      <c r="AU20" s="3">
        <v>2023.751824817518</v>
      </c>
      <c r="AV20" s="3">
        <v>2006.296836982968</v>
      </c>
      <c r="AW20" s="3">
        <v>1989.868613138686</v>
      </c>
      <c r="AX20" s="3">
        <v>1978.060827250608</v>
      </c>
      <c r="AY20" s="3">
        <v>1967.279805352798</v>
      </c>
      <c r="AZ20" s="3">
        <v>1956.498783454988</v>
      </c>
      <c r="BA20" s="3">
        <v>1945.204379562044</v>
      </c>
      <c r="BB20" s="3">
        <v>1936.476885644769</v>
      </c>
      <c r="BC20" s="3">
        <v>1929.802919708029</v>
      </c>
      <c r="BD20" s="3">
        <v>1923.642335766423</v>
      </c>
      <c r="BE20" s="3">
        <v>1916.968369829684</v>
      </c>
    </row>
    <row r="21" spans="1:57">
      <c r="A21" s="1" t="str">
        <f>'Population Definitions'!$A$5</f>
        <v>0-9_females</v>
      </c>
      <c r="C21" t="s">
        <v>53</v>
      </c>
      <c r="D21" s="3"/>
      <c r="E21" s="3"/>
      <c r="F21" s="4" t="s">
        <v>39</v>
      </c>
      <c r="G21" s="3">
        <v>2092.420537897311</v>
      </c>
      <c r="H21" s="3">
        <v>1997.556207233626</v>
      </c>
      <c r="I21" s="3">
        <v>1984.367366878359</v>
      </c>
      <c r="J21" s="3">
        <v>2033.219345383488</v>
      </c>
      <c r="K21" s="3">
        <v>2067.87109375</v>
      </c>
      <c r="L21" s="3">
        <v>2073.206442166911</v>
      </c>
      <c r="M21" s="3">
        <v>2132.195121951219</v>
      </c>
      <c r="N21" s="3">
        <v>2190.638712823013</v>
      </c>
      <c r="O21" s="3">
        <v>2341.951219512195</v>
      </c>
      <c r="P21" s="3">
        <v>2471.219512195122</v>
      </c>
      <c r="Q21" s="3">
        <v>2401.951219512195</v>
      </c>
      <c r="R21" s="3">
        <v>2207.317073170732</v>
      </c>
      <c r="S21" s="3">
        <v>2214.84375</v>
      </c>
      <c r="T21" s="3">
        <v>2113.3365901319</v>
      </c>
      <c r="U21" s="3">
        <v>2124.878048780488</v>
      </c>
      <c r="V21" s="3">
        <v>2010.223953261928</v>
      </c>
      <c r="W21" s="3">
        <v>1950.899368011668</v>
      </c>
      <c r="X21" s="3">
        <v>1941.80407371484</v>
      </c>
      <c r="Y21" s="3">
        <v>2016.93275278181</v>
      </c>
      <c r="Z21" s="3">
        <v>2132.203389830509</v>
      </c>
      <c r="AA21" s="3">
        <v>2174.503150751333</v>
      </c>
      <c r="AB21" s="3">
        <v>2337.051406401552</v>
      </c>
      <c r="AC21" s="3">
        <v>2102.862688015527</v>
      </c>
      <c r="AD21" s="3">
        <v>2110.194174757281</v>
      </c>
      <c r="AE21" s="3">
        <v>2125.789218067023</v>
      </c>
      <c r="AF21" s="3">
        <v>2120.932491500728</v>
      </c>
      <c r="AG21" s="3">
        <v>2111.758989310009</v>
      </c>
      <c r="AH21" s="3">
        <v>2097.667638483965</v>
      </c>
      <c r="AI21" s="3">
        <v>2085.075352455032</v>
      </c>
      <c r="AJ21" s="3">
        <v>2071.949440933398</v>
      </c>
      <c r="AK21" s="3">
        <v>2053.962080700049</v>
      </c>
      <c r="AL21" s="3">
        <v>2038.424124513619</v>
      </c>
      <c r="AM21" s="3">
        <v>2020.91439688716</v>
      </c>
      <c r="AN21" s="3">
        <v>2007.782101167315</v>
      </c>
      <c r="AO21" s="3">
        <v>1994.160583941606</v>
      </c>
      <c r="AP21" s="3">
        <v>1980.048661800487</v>
      </c>
      <c r="AQ21" s="3">
        <v>1967.883211678832</v>
      </c>
      <c r="AR21" s="3">
        <v>1955.717761557178</v>
      </c>
      <c r="AS21" s="3">
        <v>1944.525547445255</v>
      </c>
      <c r="AT21" s="3">
        <v>1933.333333333333</v>
      </c>
      <c r="AU21" s="3">
        <v>1918.248175182482</v>
      </c>
      <c r="AV21" s="3">
        <v>1901.703163017032</v>
      </c>
      <c r="AW21" s="3">
        <v>1886.131386861314</v>
      </c>
      <c r="AX21" s="3">
        <v>1874.939172749392</v>
      </c>
      <c r="AY21" s="3">
        <v>1864.720194647202</v>
      </c>
      <c r="AZ21" s="3">
        <v>1854.501216545012</v>
      </c>
      <c r="BA21" s="3">
        <v>1843.795620437956</v>
      </c>
      <c r="BB21" s="3">
        <v>1835.523114355231</v>
      </c>
      <c r="BC21" s="3">
        <v>1829.197080291971</v>
      </c>
      <c r="BD21" s="3">
        <v>1823.357664233577</v>
      </c>
      <c r="BE21" s="3">
        <v>1817.031630170316</v>
      </c>
    </row>
    <row r="22" spans="1:57">
      <c r="A22" s="1" t="str">
        <f>'Population Definitions'!$A$6</f>
        <v>10-17_males</v>
      </c>
      <c r="C22" t="s">
        <v>53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53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53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53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53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53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53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53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53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53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54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/>
      <c r="F36" s="4" t="s">
        <v>39</v>
      </c>
      <c r="G36" s="3">
        <v>0.002642087056349936</v>
      </c>
      <c r="H36" s="3">
        <v>0.001500926208061147</v>
      </c>
      <c r="I36" s="3">
        <v>0.001983198846192536</v>
      </c>
      <c r="J36" s="3">
        <v>0.001883968434731586</v>
      </c>
      <c r="K36" s="3">
        <v>0.00298628613681351</v>
      </c>
      <c r="L36" s="3">
        <v>0.006216550932987789</v>
      </c>
      <c r="M36" s="3">
        <v>0.009823528254865222</v>
      </c>
      <c r="N36" s="3">
        <v>0.01493920507914064</v>
      </c>
      <c r="O36" s="3">
        <v>0.003202295552367115</v>
      </c>
      <c r="P36" s="3">
        <v>-0.01012828879115237</v>
      </c>
      <c r="Q36" s="3">
        <v>-0.0103646006072236</v>
      </c>
      <c r="R36" s="3">
        <v>-0.001947053328217521</v>
      </c>
      <c r="S36" s="3">
        <v>-0.001283153772931904</v>
      </c>
      <c r="T36" s="3">
        <v>0.001773493655907769</v>
      </c>
      <c r="U36" s="3">
        <v>-0.003297923934979975</v>
      </c>
      <c r="V36" s="3">
        <v>-0.0001835646499421475</v>
      </c>
      <c r="W36" s="3">
        <v>0.009294754352702935</v>
      </c>
      <c r="X36" s="3">
        <v>0.01451190124896343</v>
      </c>
      <c r="Y36" s="3">
        <v>0.01183833236962955</v>
      </c>
      <c r="Z36" s="3">
        <v>0.01190532463964222</v>
      </c>
      <c r="AA36" s="3">
        <v>0.01588077094155272</v>
      </c>
      <c r="AB36" s="3">
        <v>0.005198605915279863</v>
      </c>
      <c r="AC36" s="3">
        <v>0.01029052204447547</v>
      </c>
      <c r="AD36" s="3">
        <v>0.01176772678614035</v>
      </c>
      <c r="AE36" s="3">
        <v>0.01266995518147022</v>
      </c>
      <c r="AF36" s="3">
        <v>0.009595181732294117</v>
      </c>
      <c r="AG36" s="3">
        <v>0.007716552370460006</v>
      </c>
      <c r="AH36" s="3">
        <v>0.006674851980036022</v>
      </c>
      <c r="AI36" s="3">
        <v>0.005654474608443202</v>
      </c>
      <c r="AJ36" s="3">
        <v>0.004740584970395487</v>
      </c>
      <c r="AK36" s="3">
        <v>0.004220120589781681</v>
      </c>
      <c r="AL36" s="3">
        <v>0.003753671505693701</v>
      </c>
      <c r="AM36" s="3">
        <v>0.003527716137840776</v>
      </c>
      <c r="AN36" s="3">
        <v>0.003163815077465434</v>
      </c>
      <c r="AO36" s="3">
        <v>0.00321471447590334</v>
      </c>
      <c r="AP36" s="3">
        <v>0.003378590483452704</v>
      </c>
      <c r="AQ36" s="3">
        <v>0.003223882742246941</v>
      </c>
      <c r="AR36" s="3">
        <v>0.003132433575255638</v>
      </c>
      <c r="AS36" s="3">
        <v>0.003059208472604585</v>
      </c>
      <c r="AT36" s="3">
        <v>0.002843785016034945</v>
      </c>
      <c r="AU36" s="3">
        <v>0.002628726495267128</v>
      </c>
      <c r="AV36" s="3">
        <v>0.00274142353243057</v>
      </c>
      <c r="AW36" s="3">
        <v>0.003209538100859839</v>
      </c>
      <c r="AX36" s="3">
        <v>0.003127170636977419</v>
      </c>
      <c r="AY36" s="3">
        <v>0.002512639881018218</v>
      </c>
      <c r="AZ36" s="3">
        <v>0.002326542096985777</v>
      </c>
      <c r="BA36" s="3">
        <v>0.002504424394002463</v>
      </c>
      <c r="BB36" s="3">
        <v>0.002606839447159991</v>
      </c>
      <c r="BC36" s="3">
        <v>0.002756598876118324</v>
      </c>
      <c r="BD36" s="3">
        <v>0.002657320363234975</v>
      </c>
      <c r="BE36" s="3">
        <v>0.002832104111533448</v>
      </c>
    </row>
    <row r="37" spans="1:57">
      <c r="A37" s="1" t="str">
        <f>'Population Definitions'!$A$5</f>
        <v>0-9_females</v>
      </c>
      <c r="C37" t="s">
        <v>55</v>
      </c>
      <c r="D37" s="3"/>
      <c r="E37" s="3"/>
      <c r="F37" s="4" t="s">
        <v>39</v>
      </c>
      <c r="G37" s="3">
        <v>0.003151170455353638</v>
      </c>
      <c r="H37" s="3">
        <v>0.0009046149049211037</v>
      </c>
      <c r="I37" s="3">
        <v>0.001766665874311486</v>
      </c>
      <c r="J37" s="3">
        <v>0.001961681973840583</v>
      </c>
      <c r="K37" s="3">
        <v>0.004201817609685924</v>
      </c>
      <c r="L37" s="3">
        <v>0.007900546915314423</v>
      </c>
      <c r="M37" s="3">
        <v>0.009889320360108811</v>
      </c>
      <c r="N37" s="3">
        <v>0.01356469528084159</v>
      </c>
      <c r="O37" s="3">
        <v>0.003202410801095087</v>
      </c>
      <c r="P37" s="3">
        <v>-0.009979808956505675</v>
      </c>
      <c r="Q37" s="3">
        <v>-0.01153482680764869</v>
      </c>
      <c r="R37" s="3">
        <v>-0.003323690493220838</v>
      </c>
      <c r="S37" s="3">
        <v>0.001688575064191365</v>
      </c>
      <c r="T37" s="3">
        <v>0.005570047513370598</v>
      </c>
      <c r="U37" s="3">
        <v>-0.003243906811602991</v>
      </c>
      <c r="V37" s="3">
        <v>0.001497976354464469</v>
      </c>
      <c r="W37" s="3">
        <v>0.009822891296442792</v>
      </c>
      <c r="X37" s="3">
        <v>0.01017782879400105</v>
      </c>
      <c r="Y37" s="3">
        <v>0.009018223704329751</v>
      </c>
      <c r="Z37" s="3">
        <v>0.009414252770646609</v>
      </c>
      <c r="AA37" s="3">
        <v>0.01320557903872773</v>
      </c>
      <c r="AB37" s="3">
        <v>0.005972647479439955</v>
      </c>
      <c r="AC37" s="3">
        <v>0.01098451277318269</v>
      </c>
      <c r="AD37" s="3">
        <v>0.01079635099733141</v>
      </c>
      <c r="AE37" s="3">
        <v>0.01035522975269847</v>
      </c>
      <c r="AF37" s="3">
        <v>0.007381782979360918</v>
      </c>
      <c r="AG37" s="3">
        <v>0.005380994414534969</v>
      </c>
      <c r="AH37" s="3">
        <v>0.004451039347096563</v>
      </c>
      <c r="AI37" s="3">
        <v>0.003333095224207842</v>
      </c>
      <c r="AJ37" s="3">
        <v>0.002326126028047304</v>
      </c>
      <c r="AK37" s="3">
        <v>0.001874116553868801</v>
      </c>
      <c r="AL37" s="3">
        <v>0.001308389253285668</v>
      </c>
      <c r="AM37" s="3">
        <v>0.0009806801131497925</v>
      </c>
      <c r="AN37" s="3">
        <v>0.0006448805393326665</v>
      </c>
      <c r="AO37" s="3">
        <v>0.0005864184040675082</v>
      </c>
      <c r="AP37" s="3">
        <v>0.000694141803137057</v>
      </c>
      <c r="AQ37" s="3">
        <v>0.0005877371129785348</v>
      </c>
      <c r="AR37" s="3">
        <v>0.0004543991405124548</v>
      </c>
      <c r="AS37" s="3">
        <v>0.0003444174101109653</v>
      </c>
      <c r="AT37" s="3">
        <v>8.29847971852571E-05</v>
      </c>
      <c r="AU37" s="3">
        <v>-0.0001630200844407079</v>
      </c>
      <c r="AV37" s="3">
        <v>-6.08610965163272E-05</v>
      </c>
      <c r="AW37" s="3">
        <v>0.0003500732977590746</v>
      </c>
      <c r="AX37" s="3">
        <v>0.0002854194554542717</v>
      </c>
      <c r="AY37" s="3">
        <v>-0.0003214903166840112</v>
      </c>
      <c r="AZ37" s="3">
        <v>-0.0005728010280647462</v>
      </c>
      <c r="BA37" s="3">
        <v>-0.0003826909587682517</v>
      </c>
      <c r="BB37" s="3">
        <v>-0.0002917651534721436</v>
      </c>
      <c r="BC37" s="3">
        <v>-0.0001966218311954252</v>
      </c>
      <c r="BD37" s="3">
        <v>-0.0002064688628545713</v>
      </c>
      <c r="BE37" s="3">
        <v>-8.246319596822778E-05</v>
      </c>
    </row>
    <row r="38" spans="1:57">
      <c r="A38" s="1" t="str">
        <f>'Population Definitions'!$A$6</f>
        <v>10-17_males</v>
      </c>
      <c r="C38" t="s">
        <v>55</v>
      </c>
      <c r="D38" s="3"/>
      <c r="E38" s="3"/>
      <c r="F38" s="4" t="s">
        <v>39</v>
      </c>
      <c r="G38" s="3">
        <v>0.003667870036101153</v>
      </c>
      <c r="H38" s="3">
        <v>0.002596661435297505</v>
      </c>
      <c r="I38" s="3">
        <v>0.002585794991427692</v>
      </c>
      <c r="J38" s="3">
        <v>0.003522774184670431</v>
      </c>
      <c r="K38" s="3">
        <v>0.004952093874475118</v>
      </c>
      <c r="L38" s="3">
        <v>0.005071424778290994</v>
      </c>
      <c r="M38" s="3">
        <v>0.00601691096562173</v>
      </c>
      <c r="N38" s="3">
        <v>0.008674890569040748</v>
      </c>
      <c r="O38" s="3">
        <v>0.003589852683082623</v>
      </c>
      <c r="P38" s="3">
        <v>-0.0009429641404209309</v>
      </c>
      <c r="Q38" s="3">
        <v>2.736202697889483E-05</v>
      </c>
      <c r="R38" s="3">
        <v>0.0001109539263822054</v>
      </c>
      <c r="S38" s="3">
        <v>0.002708115884792139</v>
      </c>
      <c r="T38" s="3">
        <v>0.004251433788911856</v>
      </c>
      <c r="U38" s="3">
        <v>0.0006014951450749233</v>
      </c>
      <c r="V38" s="3">
        <v>0.00364879618456595</v>
      </c>
      <c r="W38" s="3">
        <v>0.009435310936383081</v>
      </c>
      <c r="X38" s="3">
        <v>0.009159361654304353</v>
      </c>
      <c r="Y38" s="3">
        <v>0.007817876510584579</v>
      </c>
      <c r="Z38" s="3">
        <v>0.008288259196469411</v>
      </c>
      <c r="AA38" s="3">
        <v>0.009021258792458721</v>
      </c>
      <c r="AB38" s="3">
        <v>0.01066272128973046</v>
      </c>
      <c r="AC38" s="3">
        <v>0.01018309505894171</v>
      </c>
      <c r="AD38" s="3">
        <v>0.008293897882938939</v>
      </c>
      <c r="AE38" s="3">
        <v>0.007595378025699941</v>
      </c>
      <c r="AF38" s="3">
        <v>0.006219402537715935</v>
      </c>
      <c r="AG38" s="3">
        <v>0.005325189914948351</v>
      </c>
      <c r="AH38" s="3">
        <v>0.004845159967186219</v>
      </c>
      <c r="AI38" s="3">
        <v>0.004388356573446468</v>
      </c>
      <c r="AJ38" s="3">
        <v>0.003910221318526592</v>
      </c>
      <c r="AK38" s="3">
        <v>0.003660816284141794</v>
      </c>
      <c r="AL38" s="3">
        <v>0.003301850572064751</v>
      </c>
      <c r="AM38" s="3">
        <v>0.003009762759876569</v>
      </c>
      <c r="AN38" s="3">
        <v>0.002921252109093827</v>
      </c>
      <c r="AO38" s="3">
        <v>0.002851211765000233</v>
      </c>
      <c r="AP38" s="3">
        <v>0.002859487281497923</v>
      </c>
      <c r="AQ38" s="3">
        <v>0.00281010643588995</v>
      </c>
      <c r="AR38" s="3">
        <v>0.002726158617412267</v>
      </c>
      <c r="AS38" s="3">
        <v>0.00268062615380711</v>
      </c>
      <c r="AT38" s="3">
        <v>0.002705000386428913</v>
      </c>
      <c r="AU38" s="3">
        <v>0.00267155578837079</v>
      </c>
      <c r="AV38" s="3">
        <v>0.002673938367044536</v>
      </c>
      <c r="AW38" s="3">
        <v>0.002811997857525358</v>
      </c>
      <c r="AX38" s="3">
        <v>0.002844680447562972</v>
      </c>
      <c r="AY38" s="3">
        <v>0.002574073059860923</v>
      </c>
      <c r="AZ38" s="3">
        <v>0.002517567642339431</v>
      </c>
      <c r="BA38" s="3">
        <v>0.002653779540756633</v>
      </c>
      <c r="BB38" s="3">
        <v>0.00259330251437588</v>
      </c>
      <c r="BC38" s="3">
        <v>0.002643848078235058</v>
      </c>
      <c r="BD38" s="3">
        <v>0.002693332569267594</v>
      </c>
      <c r="BE38" s="3">
        <v>0.002828854314002799</v>
      </c>
    </row>
    <row r="39" spans="1:57">
      <c r="A39" s="1" t="str">
        <f>'Population Definitions'!$A$7</f>
        <v>10-17_females</v>
      </c>
      <c r="C39" t="s">
        <v>55</v>
      </c>
      <c r="D39" s="3"/>
      <c r="E39" s="3"/>
      <c r="F39" s="4" t="s">
        <v>39</v>
      </c>
      <c r="G39" s="3">
        <v>0.004448986953646035</v>
      </c>
      <c r="H39" s="3">
        <v>0.003356601811970876</v>
      </c>
      <c r="I39" s="3">
        <v>0.002912621359223411</v>
      </c>
      <c r="J39" s="3">
        <v>0.003092932504696985</v>
      </c>
      <c r="K39" s="3">
        <v>0.004708284879598288</v>
      </c>
      <c r="L39" s="3">
        <v>0.005339670114621262</v>
      </c>
      <c r="M39" s="3">
        <v>0.007145438874524008</v>
      </c>
      <c r="N39" s="3">
        <v>0.008242599760518846</v>
      </c>
      <c r="O39" s="3">
        <v>0.001931096246956697</v>
      </c>
      <c r="P39" s="3">
        <v>-0.003187678072724382</v>
      </c>
      <c r="Q39" s="3">
        <v>-0.002418482899903083</v>
      </c>
      <c r="R39" s="3">
        <v>0.0001444335316887907</v>
      </c>
      <c r="S39" s="3">
        <v>0.003377386196769306</v>
      </c>
      <c r="T39" s="3">
        <v>0.003101828601813949</v>
      </c>
      <c r="U39" s="3">
        <v>0.001063232818452827</v>
      </c>
      <c r="V39" s="3">
        <v>0.004104532703381157</v>
      </c>
      <c r="W39" s="3">
        <v>0.008017621145374545</v>
      </c>
      <c r="X39" s="3">
        <v>0.008310812774242331</v>
      </c>
      <c r="Y39" s="3">
        <v>0.007257393649063425</v>
      </c>
      <c r="Z39" s="3">
        <v>0.00762821595451221</v>
      </c>
      <c r="AA39" s="3">
        <v>0.009759450171821416</v>
      </c>
      <c r="AB39" s="3">
        <v>0.01239357689406169</v>
      </c>
      <c r="AC39" s="3">
        <v>0.01182678793985815</v>
      </c>
      <c r="AD39" s="3">
        <v>0.00829690894338753</v>
      </c>
      <c r="AE39" s="3">
        <v>0.006117083582788854</v>
      </c>
      <c r="AF39" s="3">
        <v>0.004756553328280641</v>
      </c>
      <c r="AG39" s="3">
        <v>0.003938256594597476</v>
      </c>
      <c r="AH39" s="3">
        <v>0.003520842852151483</v>
      </c>
      <c r="AI39" s="3">
        <v>0.002983195577207145</v>
      </c>
      <c r="AJ39" s="3">
        <v>0.002564738975759177</v>
      </c>
      <c r="AK39" s="3">
        <v>0.002262318600673002</v>
      </c>
      <c r="AL39" s="3">
        <v>0.001952104698798828</v>
      </c>
      <c r="AM39" s="3">
        <v>0.001806882580009377</v>
      </c>
      <c r="AN39" s="3">
        <v>0.001613211932299716</v>
      </c>
      <c r="AO39" s="3">
        <v>0.001526176654947739</v>
      </c>
      <c r="AP39" s="3">
        <v>0.001602651165317861</v>
      </c>
      <c r="AQ39" s="3">
        <v>0.001518108870093377</v>
      </c>
      <c r="AR39" s="3">
        <v>0.00144488972492583</v>
      </c>
      <c r="AS39" s="3">
        <v>0.001433375599537094</v>
      </c>
      <c r="AT39" s="3">
        <v>0.001345857283050461</v>
      </c>
      <c r="AU39" s="3">
        <v>0.001341707108192893</v>
      </c>
      <c r="AV39" s="3">
        <v>0.001386401709895495</v>
      </c>
      <c r="AW39" s="3">
        <v>0.001519934525897334</v>
      </c>
      <c r="AX39" s="3">
        <v>0.001537779092119081</v>
      </c>
      <c r="AY39" s="3">
        <v>0.001255530312089011</v>
      </c>
      <c r="AZ39" s="3">
        <v>0.001117554669566024</v>
      </c>
      <c r="BA39" s="3">
        <v>0.001189604685212344</v>
      </c>
      <c r="BB39" s="3">
        <v>0.001231451265316149</v>
      </c>
      <c r="BC39" s="3">
        <v>0.001273173306834889</v>
      </c>
      <c r="BD39" s="3">
        <v>0.0012833755908222</v>
      </c>
      <c r="BE39" s="3">
        <v>0.00135621018103849</v>
      </c>
    </row>
    <row r="40" spans="1:57">
      <c r="A40" s="1" t="str">
        <f>'Population Definitions'!$A$8</f>
        <v>18-64_males</v>
      </c>
      <c r="C40" t="s">
        <v>55</v>
      </c>
      <c r="D40" s="3"/>
      <c r="E40" s="3"/>
      <c r="F40" s="4" t="s">
        <v>39</v>
      </c>
      <c r="G40" s="3">
        <v>0.005896424496226738</v>
      </c>
      <c r="H40" s="3">
        <v>-0.0003355361184726707</v>
      </c>
      <c r="I40" s="3">
        <v>-0.00292532544245553</v>
      </c>
      <c r="J40" s="3">
        <v>0.001502986417248856</v>
      </c>
      <c r="K40" s="3">
        <v>0.01695767766041507</v>
      </c>
      <c r="L40" s="3">
        <v>0.03479935242008757</v>
      </c>
      <c r="M40" s="3">
        <v>0.03358465757927494</v>
      </c>
      <c r="N40" s="3">
        <v>0.0096438038191629</v>
      </c>
      <c r="O40" s="3">
        <v>-0.01987371508231689</v>
      </c>
      <c r="P40" s="3">
        <v>-0.0224233385967989</v>
      </c>
      <c r="Q40" s="3">
        <v>-0.01012013645127798</v>
      </c>
      <c r="R40" s="3">
        <v>-0.005727677664534507</v>
      </c>
      <c r="S40" s="3">
        <v>0.001672497315592155</v>
      </c>
      <c r="T40" s="3">
        <v>0.006066023880978713</v>
      </c>
      <c r="U40" s="3">
        <v>0.008671067780060483</v>
      </c>
      <c r="V40" s="3">
        <v>0.01795918759026414</v>
      </c>
      <c r="W40" s="3">
        <v>0.03633092849359274</v>
      </c>
      <c r="X40" s="3">
        <v>0.04048500630670997</v>
      </c>
      <c r="Y40" s="3">
        <v>0.02849048581766402</v>
      </c>
      <c r="Z40" s="3">
        <v>0.01342493913072787</v>
      </c>
      <c r="AA40" s="3">
        <v>0.01024769769499512</v>
      </c>
      <c r="AB40" s="3">
        <v>0.01845974213919166</v>
      </c>
      <c r="AC40" s="3">
        <v>0.01901498272466043</v>
      </c>
      <c r="AD40" s="3">
        <v>0.01345223939754263</v>
      </c>
      <c r="AE40" s="3">
        <v>0.009875066921457074</v>
      </c>
      <c r="AF40" s="3">
        <v>0.00762066700158456</v>
      </c>
      <c r="AG40" s="3">
        <v>0.006160439266103807</v>
      </c>
      <c r="AH40" s="3">
        <v>0.005402270090758612</v>
      </c>
      <c r="AI40" s="3">
        <v>0.004531301705724368</v>
      </c>
      <c r="AJ40" s="3">
        <v>0.003840535582861124</v>
      </c>
      <c r="AK40" s="3">
        <v>0.003401183537528115</v>
      </c>
      <c r="AL40" s="3">
        <v>0.002933365926287971</v>
      </c>
      <c r="AM40" s="3">
        <v>0.002650424510889903</v>
      </c>
      <c r="AN40" s="3">
        <v>0.002446534933943423</v>
      </c>
      <c r="AO40" s="3">
        <v>0.002443839396452594</v>
      </c>
      <c r="AP40" s="3">
        <v>0.002466840394694591</v>
      </c>
      <c r="AQ40" s="3">
        <v>0.002324953281943057</v>
      </c>
      <c r="AR40" s="3">
        <v>0.002232394853474256</v>
      </c>
      <c r="AS40" s="3">
        <v>0.002180977514121499</v>
      </c>
      <c r="AT40" s="3">
        <v>0.002040513063995643</v>
      </c>
      <c r="AU40" s="3">
        <v>0.001937662224985726</v>
      </c>
      <c r="AV40" s="3">
        <v>0.001968162711080994</v>
      </c>
      <c r="AW40" s="3">
        <v>0.002167663936347861</v>
      </c>
      <c r="AX40" s="3">
        <v>0.002085374286866647</v>
      </c>
      <c r="AY40" s="3">
        <v>0.001732771353434902</v>
      </c>
      <c r="AZ40" s="3">
        <v>0.001591971553887496</v>
      </c>
      <c r="BA40" s="3">
        <v>0.00163230147269008</v>
      </c>
      <c r="BB40" s="3">
        <v>0.001651650561560927</v>
      </c>
      <c r="BC40" s="3">
        <v>0.001726398601398564</v>
      </c>
      <c r="BD40" s="3">
        <v>0.00175045588595375</v>
      </c>
      <c r="BE40" s="3">
        <v>0.001873524278821356</v>
      </c>
    </row>
    <row r="41" spans="1:57">
      <c r="A41" s="1" t="str">
        <f>'Population Definitions'!$A$9</f>
        <v>18-64_females</v>
      </c>
      <c r="C41" t="s">
        <v>55</v>
      </c>
      <c r="D41" s="3"/>
      <c r="E41" s="3"/>
      <c r="F41" s="4" t="s">
        <v>39</v>
      </c>
      <c r="G41" s="3">
        <v>0.006051015812057079</v>
      </c>
      <c r="H41" s="3">
        <v>0.001321865519109006</v>
      </c>
      <c r="I41" s="3">
        <v>-0.001540840908176561</v>
      </c>
      <c r="J41" s="3">
        <v>-0.001338695711616377</v>
      </c>
      <c r="K41" s="3">
        <v>0.004623278971701564</v>
      </c>
      <c r="L41" s="3">
        <v>0.01017392514261847</v>
      </c>
      <c r="M41" s="3">
        <v>0.01534200569191663</v>
      </c>
      <c r="N41" s="3">
        <v>0.01569364975641378</v>
      </c>
      <c r="O41" s="3">
        <v>0.001481028848992322</v>
      </c>
      <c r="P41" s="3">
        <v>-0.006662979237726577</v>
      </c>
      <c r="Q41" s="3">
        <v>-0.003813496505998893</v>
      </c>
      <c r="R41" s="3">
        <v>-0.001485302121641605</v>
      </c>
      <c r="S41" s="3">
        <v>0.002930758308446928</v>
      </c>
      <c r="T41" s="3">
        <v>0.004849796589109664</v>
      </c>
      <c r="U41" s="3">
        <v>0.004412392420016273</v>
      </c>
      <c r="V41" s="3">
        <v>0.007099491276924359</v>
      </c>
      <c r="W41" s="3">
        <v>0.0159003803429414</v>
      </c>
      <c r="X41" s="3">
        <v>0.02123571500265274</v>
      </c>
      <c r="Y41" s="3">
        <v>0.01818665347846614</v>
      </c>
      <c r="Z41" s="3">
        <v>0.01335449319240983</v>
      </c>
      <c r="AA41" s="3">
        <v>0.01432082065156134</v>
      </c>
      <c r="AB41" s="3">
        <v>0.02059940903334726</v>
      </c>
      <c r="AC41" s="3">
        <v>0.01992083858901278</v>
      </c>
      <c r="AD41" s="3">
        <v>0.012911913477396</v>
      </c>
      <c r="AE41" s="3">
        <v>0.008150791749162401</v>
      </c>
      <c r="AF41" s="3">
        <v>0.00585503987340445</v>
      </c>
      <c r="AG41" s="3">
        <v>0.004341970453118588</v>
      </c>
      <c r="AH41" s="3">
        <v>0.003598494951028269</v>
      </c>
      <c r="AI41" s="3">
        <v>0.002783241782906975</v>
      </c>
      <c r="AJ41" s="3">
        <v>0.002045688396514079</v>
      </c>
      <c r="AK41" s="3">
        <v>0.001626953053681032</v>
      </c>
      <c r="AL41" s="3">
        <v>0.001129554655870546</v>
      </c>
      <c r="AM41" s="3">
        <v>0.0008489513429602043</v>
      </c>
      <c r="AN41" s="3">
        <v>0.0006458618420785778</v>
      </c>
      <c r="AO41" s="3">
        <v>0.000612974904323551</v>
      </c>
      <c r="AP41" s="3">
        <v>0.0006446933677173095</v>
      </c>
      <c r="AQ41" s="3">
        <v>0.0005032307413594137</v>
      </c>
      <c r="AR41" s="3">
        <v>0.0003985202420106609</v>
      </c>
      <c r="AS41" s="3">
        <v>0.0003503106490410309</v>
      </c>
      <c r="AT41" s="3">
        <v>0.0002453227804318895</v>
      </c>
      <c r="AU41" s="3">
        <v>0.000100424998594187</v>
      </c>
      <c r="AV41" s="3">
        <v>0.0001285987558069663</v>
      </c>
      <c r="AW41" s="3">
        <v>0.0003457578328217758</v>
      </c>
      <c r="AX41" s="3">
        <v>0.0002775799852767172</v>
      </c>
      <c r="AY41" s="3">
        <v>-0.0001088275244966747</v>
      </c>
      <c r="AZ41" s="3">
        <v>-0.0002426516977529396</v>
      </c>
      <c r="BA41" s="3">
        <v>-0.0002069603610037485</v>
      </c>
      <c r="BB41" s="3">
        <v>-0.0002117453517820638</v>
      </c>
      <c r="BC41" s="3">
        <v>-0.0001512902605876253</v>
      </c>
      <c r="BD41" s="3">
        <v>-0.0001847950622760014</v>
      </c>
      <c r="BE41" s="3">
        <v>-4.536643708463074E-05</v>
      </c>
    </row>
    <row r="42" spans="1:57">
      <c r="A42" s="1" t="str">
        <f>'Population Definitions'!$A$10</f>
        <v>65+_males</v>
      </c>
      <c r="C42" t="s">
        <v>55</v>
      </c>
      <c r="D42" s="3"/>
      <c r="E42" s="3"/>
      <c r="F42" s="4" t="s">
        <v>39</v>
      </c>
      <c r="G42" s="3">
        <v>-0.0009885127995364186</v>
      </c>
      <c r="H42" s="3">
        <v>-0.0005707762557077444</v>
      </c>
      <c r="I42" s="3">
        <v>0.0006619009796133181</v>
      </c>
      <c r="J42" s="3">
        <v>-0.0006845519444532938</v>
      </c>
      <c r="K42" s="3">
        <v>0.0006748505688025337</v>
      </c>
      <c r="L42" s="3">
        <v>0.0003172689488879092</v>
      </c>
      <c r="M42" s="3">
        <v>-0.001624898443846581</v>
      </c>
      <c r="N42" s="3">
        <v>-0.0007953502600188913</v>
      </c>
      <c r="O42" s="3">
        <v>-0.001612277192249188</v>
      </c>
      <c r="P42" s="3">
        <v>-0.002121969652926961</v>
      </c>
      <c r="Q42" s="3">
        <v>0.001156004172893222</v>
      </c>
      <c r="R42" s="3">
        <v>0.001254192000436223</v>
      </c>
      <c r="S42" s="3">
        <v>-0.003673480097609629</v>
      </c>
      <c r="T42" s="3">
        <v>0.001491028556987733</v>
      </c>
      <c r="U42" s="3">
        <v>-0.0009502692429523788</v>
      </c>
      <c r="V42" s="3">
        <v>-0.002808331383102814</v>
      </c>
      <c r="W42" s="3">
        <v>0.00259834158024345</v>
      </c>
      <c r="X42" s="3">
        <v>-0.0005897771952819599</v>
      </c>
      <c r="Y42" s="3">
        <v>-0.001366062796856205</v>
      </c>
      <c r="Z42" s="3">
        <v>-0.0009511859467335274</v>
      </c>
      <c r="AA42" s="3">
        <v>0.0007608419984784837</v>
      </c>
      <c r="AB42" s="3">
        <v>1.875363351711638E-05</v>
      </c>
      <c r="AC42" s="3">
        <v>0.001746143183740194</v>
      </c>
      <c r="AD42" s="3">
        <v>0.0005552085502119822</v>
      </c>
      <c r="AE42" s="3">
        <v>0.001391263535485932</v>
      </c>
      <c r="AF42" s="3">
        <v>0.001020854601137217</v>
      </c>
      <c r="AG42" s="3">
        <v>0.0006762707599399311</v>
      </c>
      <c r="AH42" s="3">
        <v>0.000397748133643098</v>
      </c>
      <c r="AI42" s="3">
        <v>0.0002379111401892188</v>
      </c>
      <c r="AJ42" s="3">
        <v>-2.895403546883169E-05</v>
      </c>
      <c r="AK42" s="3">
        <v>-1.410914837227265E-05</v>
      </c>
      <c r="AL42" s="3">
        <v>-0.0001375099694722709</v>
      </c>
      <c r="AM42" s="3">
        <v>-0.0002823111875892642</v>
      </c>
      <c r="AN42" s="3">
        <v>-0.000302978409495029</v>
      </c>
      <c r="AO42" s="3">
        <v>-0.0002584279825822698</v>
      </c>
      <c r="AP42" s="3">
        <v>-0.0003553524969857426</v>
      </c>
      <c r="AQ42" s="3">
        <v>-0.0002990579674030471</v>
      </c>
      <c r="AR42" s="3">
        <v>-0.0004029008863814449</v>
      </c>
      <c r="AS42" s="3">
        <v>-0.0004539535772734411</v>
      </c>
      <c r="AT42" s="3">
        <v>-0.0002225892993125465</v>
      </c>
      <c r="AU42" s="3">
        <v>-0.0002648000184213171</v>
      </c>
      <c r="AV42" s="3">
        <v>-0.0003732862766390803</v>
      </c>
      <c r="AW42" s="3">
        <v>-0.0002226948301389994</v>
      </c>
      <c r="AX42" s="3">
        <v>-0.000263388937664628</v>
      </c>
      <c r="AY42" s="3">
        <v>-0.0002372581584450655</v>
      </c>
      <c r="AZ42" s="3">
        <v>-0.000264206376885623</v>
      </c>
      <c r="BA42" s="3">
        <v>-0.0002901343943964687</v>
      </c>
      <c r="BB42" s="3">
        <v>-0.0002337754739033585</v>
      </c>
      <c r="BC42" s="3">
        <v>-0.0002193944712593798</v>
      </c>
      <c r="BD42" s="3">
        <v>-0.0001665278934219689</v>
      </c>
      <c r="BE42" s="3">
        <v>-0.000202349177594862</v>
      </c>
    </row>
    <row r="43" spans="1:57">
      <c r="A43" s="1" t="str">
        <f>'Population Definitions'!$A$11</f>
        <v>65+_females</v>
      </c>
      <c r="C43" t="s">
        <v>55</v>
      </c>
      <c r="D43" s="3"/>
      <c r="E43" s="3"/>
      <c r="F43" s="4" t="s">
        <v>39</v>
      </c>
      <c r="G43" s="3">
        <v>0.002879991052455225</v>
      </c>
      <c r="H43" s="3">
        <v>-0.001760950913493093</v>
      </c>
      <c r="I43" s="3">
        <v>-0.001626104395901893</v>
      </c>
      <c r="J43" s="3">
        <v>0.001879850686145317</v>
      </c>
      <c r="K43" s="3">
        <v>-0.00082486296631344</v>
      </c>
      <c r="L43" s="3">
        <v>-0.0002627085248917671</v>
      </c>
      <c r="M43" s="3">
        <v>0.0003885809025435562</v>
      </c>
      <c r="N43" s="3">
        <v>-0.002470204746867351</v>
      </c>
      <c r="O43" s="3">
        <v>-0.0001998351360128562</v>
      </c>
      <c r="P43" s="3">
        <v>9.80296049402895E-05</v>
      </c>
      <c r="Q43" s="3">
        <v>-0.0005029819645031827</v>
      </c>
      <c r="R43" s="3">
        <v>-0.0003972612343140937</v>
      </c>
      <c r="S43" s="3">
        <v>-0.0006842441383085743</v>
      </c>
      <c r="T43" s="3">
        <v>0.001818383412795384</v>
      </c>
      <c r="U43" s="3">
        <v>-0.002301916829809191</v>
      </c>
      <c r="V43" s="3">
        <v>-0.0005019450370184656</v>
      </c>
      <c r="W43" s="3">
        <v>-0.0008134379956886169</v>
      </c>
      <c r="X43" s="3">
        <v>0.0001779852074515136</v>
      </c>
      <c r="Y43" s="3">
        <v>-7.681819054747909E-05</v>
      </c>
      <c r="Z43" s="3">
        <v>-0.0005023910090614</v>
      </c>
      <c r="AA43" s="3">
        <v>0.0003781671498802614</v>
      </c>
      <c r="AB43" s="3">
        <v>-0.000730549129428611</v>
      </c>
      <c r="AC43" s="3">
        <v>0.003030303030302666</v>
      </c>
      <c r="AD43" s="3">
        <v>0.001043517959922273</v>
      </c>
      <c r="AE43" s="3">
        <v>0.0009616294100956436</v>
      </c>
      <c r="AF43" s="3">
        <v>0.0005949747517122651</v>
      </c>
      <c r="AG43" s="3">
        <v>7.406419884770423E-05</v>
      </c>
      <c r="AH43" s="3">
        <v>1.439781153271578E-05</v>
      </c>
      <c r="AI43" s="3">
        <v>-6.990367273910079E-05</v>
      </c>
      <c r="AJ43" s="3">
        <v>-0.0004345818507756021</v>
      </c>
      <c r="AK43" s="3">
        <v>-0.0003438152918458627</v>
      </c>
      <c r="AL43" s="3">
        <v>-0.000399840063974853</v>
      </c>
      <c r="AM43" s="3">
        <v>-0.0004662592149203723</v>
      </c>
      <c r="AN43" s="3">
        <v>-0.0005441301955156589</v>
      </c>
      <c r="AO43" s="3">
        <v>-0.0004254957024935361</v>
      </c>
      <c r="AP43" s="3">
        <v>-0.0004666913973220971</v>
      </c>
      <c r="AQ43" s="3">
        <v>-0.0005660577614769296</v>
      </c>
      <c r="AR43" s="3">
        <v>-0.0005560446689219223</v>
      </c>
      <c r="AS43" s="3">
        <v>-0.0005795717987178225</v>
      </c>
      <c r="AT43" s="3">
        <v>-0.0005258858939503592</v>
      </c>
      <c r="AU43" s="3">
        <v>-0.0005737741095466357</v>
      </c>
      <c r="AV43" s="3">
        <v>-0.0004896094005003536</v>
      </c>
      <c r="AW43" s="3">
        <v>-0.0003974135893969469</v>
      </c>
      <c r="AX43" s="3">
        <v>-0.0004772965921023505</v>
      </c>
      <c r="AY43" s="3">
        <v>-0.0004809753343297593</v>
      </c>
      <c r="AZ43" s="3">
        <v>-0.0004426965366723963</v>
      </c>
      <c r="BA43" s="3">
        <v>-0.0005178243255587864</v>
      </c>
      <c r="BB43" s="3">
        <v>-0.0004210399687224762</v>
      </c>
      <c r="BC43" s="3">
        <v>-0.0003857910199728217</v>
      </c>
      <c r="BD43" s="3">
        <v>-0.0003906974926986242</v>
      </c>
      <c r="BE43" s="3">
        <v>-0.0003475943573846706</v>
      </c>
    </row>
    <row r="44" spans="1:57">
      <c r="A44" s="1" t="str">
        <f>'Population Definitions'!$A$12</f>
        <v>Prisoners_males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56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/>
      <c r="F50" s="4" t="s">
        <v>39</v>
      </c>
      <c r="G50" s="3">
        <v>0.002493647347191278</v>
      </c>
      <c r="H50" s="3">
        <v>0.002232278603254532</v>
      </c>
      <c r="I50" s="3">
        <v>0.002253186654129539</v>
      </c>
      <c r="J50" s="3">
        <v>0.002003181057561561</v>
      </c>
      <c r="K50" s="3">
        <v>0.002235906224714659</v>
      </c>
      <c r="L50" s="3">
        <v>0.002175705840519902</v>
      </c>
      <c r="M50" s="3">
        <v>0.002303494177572878</v>
      </c>
      <c r="N50" s="3">
        <v>0.002067835108183644</v>
      </c>
      <c r="O50" s="3">
        <v>0.001893211495113713</v>
      </c>
      <c r="P50" s="3">
        <v>0.002263761410582866</v>
      </c>
      <c r="Q50" s="3">
        <v>0.002009781988960929</v>
      </c>
      <c r="R50" s="3">
        <v>0.001882997298948086</v>
      </c>
      <c r="S50" s="3">
        <v>0.002128008945528243</v>
      </c>
      <c r="T50" s="3">
        <v>0.001984696879638553</v>
      </c>
      <c r="U50" s="3">
        <v>0.002079522180500515</v>
      </c>
      <c r="V50" s="3">
        <v>0.001842919264104431</v>
      </c>
      <c r="W50" s="3">
        <v>0.001954404941116932</v>
      </c>
      <c r="X50" s="3">
        <v>0.002089094738613566</v>
      </c>
      <c r="Y50" s="3">
        <v>0.002082814298389393</v>
      </c>
      <c r="Z50" s="3">
        <v>0.001980193540372539</v>
      </c>
      <c r="AA50" s="3">
        <v>0.001918845774123731</v>
      </c>
      <c r="AB50" s="3">
        <v>0.001949240414406045</v>
      </c>
      <c r="AC50" s="3">
        <v>0.003512093827868973</v>
      </c>
      <c r="AD50" s="3">
        <v>0.002354889603681118</v>
      </c>
      <c r="AE50" s="3">
        <v>0.001672547939209917</v>
      </c>
      <c r="AF50" s="3">
        <v>0.001661707307647719</v>
      </c>
      <c r="AG50" s="3">
        <v>0.00161472383248197</v>
      </c>
      <c r="AH50" s="3">
        <v>0.001561919492906915</v>
      </c>
      <c r="AI50" s="3">
        <v>0.001511687374026052</v>
      </c>
      <c r="AJ50" s="3">
        <v>0.001501843681235547</v>
      </c>
      <c r="AK50" s="3">
        <v>0.001449684786487452</v>
      </c>
      <c r="AL50" s="3">
        <v>0.001422238024866944</v>
      </c>
      <c r="AM50" s="3">
        <v>0.001410114433370248</v>
      </c>
      <c r="AN50" s="3">
        <v>0.001390661962452128</v>
      </c>
      <c r="AO50" s="3">
        <v>0.001401721695863087</v>
      </c>
      <c r="AP50" s="3">
        <v>0.001376160220185636</v>
      </c>
      <c r="AQ50" s="3">
        <v>0.001372342910534922</v>
      </c>
      <c r="AR50" s="3">
        <v>0.001347448769633604</v>
      </c>
      <c r="AS50" s="3">
        <v>0.001330396283614317</v>
      </c>
      <c r="AT50" s="3">
        <v>0.001297519852416178</v>
      </c>
      <c r="AU50" s="3">
        <v>0.001286954761371114</v>
      </c>
      <c r="AV50" s="3">
        <v>0.001256735088910397</v>
      </c>
      <c r="AW50" s="3">
        <v>0.001276793732890424</v>
      </c>
      <c r="AX50" s="3">
        <v>0.001267792312568433</v>
      </c>
      <c r="AY50" s="3">
        <v>0.001253647465686805</v>
      </c>
      <c r="AZ50" s="3">
        <v>0.001212930707723409</v>
      </c>
      <c r="BA50" s="3">
        <v>0.001208844106161124</v>
      </c>
      <c r="BB50" s="3">
        <v>0.001190640404817739</v>
      </c>
      <c r="BC50" s="3">
        <v>0.001180069930069931</v>
      </c>
      <c r="BD50" s="3">
        <v>0.001184024440603269</v>
      </c>
      <c r="BE50" s="3">
        <v>0.001151245838649597</v>
      </c>
    </row>
    <row r="51" spans="1:57">
      <c r="A51" s="1" t="str">
        <f>'Population Definitions'!$A$3</f>
        <v>PWID_females</v>
      </c>
      <c r="C51" t="s">
        <v>55</v>
      </c>
      <c r="D51" s="3"/>
      <c r="E51" s="3"/>
      <c r="F51" s="4" t="s">
        <v>39</v>
      </c>
      <c r="G51" s="3">
        <v>0.001627430662457243</v>
      </c>
      <c r="H51" s="3">
        <v>0.001401065525627708</v>
      </c>
      <c r="I51" s="3">
        <v>0.001532773531299485</v>
      </c>
      <c r="J51" s="3">
        <v>0.001347753399989373</v>
      </c>
      <c r="K51" s="3">
        <v>0.001403325671858314</v>
      </c>
      <c r="L51" s="3">
        <v>0.001361518927303246</v>
      </c>
      <c r="M51" s="3">
        <v>0.001454045191306658</v>
      </c>
      <c r="N51" s="3">
        <v>0.001417111299990633</v>
      </c>
      <c r="O51" s="3">
        <v>0.001308695635454196</v>
      </c>
      <c r="P51" s="3">
        <v>0.001212069254082327</v>
      </c>
      <c r="Q51" s="3">
        <v>0.001178978959609498</v>
      </c>
      <c r="R51" s="3">
        <v>0.001343600223927931</v>
      </c>
      <c r="S51" s="3">
        <v>0.001334695266337651</v>
      </c>
      <c r="T51" s="3">
        <v>0.001363491949162904</v>
      </c>
      <c r="U51" s="3">
        <v>0.001370707941562232</v>
      </c>
      <c r="V51" s="3">
        <v>0.001408053092402065</v>
      </c>
      <c r="W51" s="3">
        <v>0.001374489980686461</v>
      </c>
      <c r="X51" s="3">
        <v>0.001138997888085575</v>
      </c>
      <c r="Y51" s="3">
        <v>0.001289391391096423</v>
      </c>
      <c r="Z51" s="3">
        <v>0.001355549888422337</v>
      </c>
      <c r="AA51" s="3">
        <v>0.001417009083244691</v>
      </c>
      <c r="AB51" s="3">
        <v>0.001254838938289802</v>
      </c>
      <c r="AC51" s="3">
        <v>0.001532804553340749</v>
      </c>
      <c r="AD51" s="3">
        <v>0.001348329817098553</v>
      </c>
      <c r="AE51" s="3">
        <v>0.001160195215455818</v>
      </c>
      <c r="AF51" s="3">
        <v>0.001132696191725488</v>
      </c>
      <c r="AG51" s="3">
        <v>0.001074131605909376</v>
      </c>
      <c r="AH51" s="3">
        <v>0.001058622231887507</v>
      </c>
      <c r="AI51" s="3">
        <v>0.001061059917237327</v>
      </c>
      <c r="AJ51" s="3">
        <v>0.001033011635615313</v>
      </c>
      <c r="AK51" s="3">
        <v>0.001014309883841233</v>
      </c>
      <c r="AL51" s="3">
        <v>0.0009716599190283401</v>
      </c>
      <c r="AM51" s="3">
        <v>0.0009783153571255316</v>
      </c>
      <c r="AN51" s="3">
        <v>0.0009849393091700272</v>
      </c>
      <c r="AO51" s="3">
        <v>0.0009678551120897202</v>
      </c>
      <c r="AP51" s="3">
        <v>0.0009428640502860827</v>
      </c>
      <c r="AQ51" s="3">
        <v>0.0009420479478250368</v>
      </c>
      <c r="AR51" s="3">
        <v>0.0009178041937210922</v>
      </c>
      <c r="AS51" s="3">
        <v>0.0009180554940386791</v>
      </c>
      <c r="AT51" s="3">
        <v>0.0009249875327767322</v>
      </c>
      <c r="AU51" s="3">
        <v>0.0008917739875151642</v>
      </c>
      <c r="AV51" s="3">
        <v>0.0008680416016975036</v>
      </c>
      <c r="AW51" s="3">
        <v>0.0008684150219717042</v>
      </c>
      <c r="AX51" s="3">
        <v>0.0008609002441899291</v>
      </c>
      <c r="AY51" s="3">
        <v>0.0008544975997484875</v>
      </c>
      <c r="AZ51" s="3">
        <v>0.0008411925522105569</v>
      </c>
      <c r="BA51" s="3">
        <v>0.0008278414440151934</v>
      </c>
      <c r="BB51" s="3">
        <v>0.0008062611471711636</v>
      </c>
      <c r="BC51" s="3">
        <v>0.0007932516365926162</v>
      </c>
      <c r="BD51" s="3">
        <v>0.0007720327046194659</v>
      </c>
      <c r="BE51" s="3">
        <v>0.000758856765785458</v>
      </c>
    </row>
    <row r="52" spans="1:57">
      <c r="A52" s="1" t="str">
        <f>'Population Definitions'!$A$4</f>
        <v>0-9_males</v>
      </c>
      <c r="C52" t="s">
        <v>55</v>
      </c>
      <c r="D52" s="3"/>
      <c r="E52" s="3"/>
      <c r="F52" s="4" t="s">
        <v>39</v>
      </c>
      <c r="G52" s="3">
        <v>0.0005780346820809249</v>
      </c>
      <c r="H52" s="3">
        <v>0.0003578297624904952</v>
      </c>
      <c r="I52" s="3">
        <v>0.0004972987635344379</v>
      </c>
      <c r="J52" s="3">
        <v>0.0004113533525298232</v>
      </c>
      <c r="K52" s="3">
        <v>0.0002762049440684988</v>
      </c>
      <c r="L52" s="3">
        <v>0.0003691910101989017</v>
      </c>
      <c r="M52" s="3">
        <v>0.0002303882041239489</v>
      </c>
      <c r="N52" s="3">
        <v>0.0004566627089231893</v>
      </c>
      <c r="O52" s="3">
        <v>0.0004929971988795518</v>
      </c>
      <c r="P52" s="3">
        <v>0.0003526248512363909</v>
      </c>
      <c r="Q52" s="3">
        <v>0.0003497879410607319</v>
      </c>
      <c r="R52" s="3">
        <v>0.0003921739509346813</v>
      </c>
      <c r="S52" s="3">
        <v>0.0003028729664243683</v>
      </c>
      <c r="T52" s="3">
        <v>0.0003003260683027287</v>
      </c>
      <c r="U52" s="3">
        <v>0.0002565747273893522</v>
      </c>
      <c r="V52" s="3">
        <v>0.0003863572946403658</v>
      </c>
      <c r="W52" s="3">
        <v>0.0002162582989122208</v>
      </c>
      <c r="X52" s="3">
        <v>0.0002167222920549608</v>
      </c>
      <c r="Y52" s="3">
        <v>0.0002602472348731295</v>
      </c>
      <c r="Z52" s="3">
        <v>0.0002178839114519784</v>
      </c>
      <c r="AA52" s="3">
        <v>0.0004799092535229702</v>
      </c>
      <c r="AB52" s="3">
        <v>0.0004330316546139523</v>
      </c>
      <c r="AC52" s="3">
        <v>0.0002149566862277251</v>
      </c>
      <c r="AD52" s="3">
        <v>0.0002138077013534028</v>
      </c>
      <c r="AE52" s="3">
        <v>0.0001272129757235238</v>
      </c>
      <c r="AF52" s="3">
        <v>0.0001260133574158861</v>
      </c>
      <c r="AG52" s="3">
        <v>0.0001249583472175941</v>
      </c>
      <c r="AH52" s="3">
        <v>8.283116936903356E-05</v>
      </c>
      <c r="AI52" s="3">
        <v>8.280373444842365E-05</v>
      </c>
      <c r="AJ52" s="3">
        <v>8.320505886757915E-05</v>
      </c>
      <c r="AK52" s="3">
        <v>8.401419839952952E-05</v>
      </c>
      <c r="AL52" s="3">
        <v>8.538433624351612E-05</v>
      </c>
      <c r="AM52" s="3">
        <v>8.666074484910198E-05</v>
      </c>
      <c r="AN52" s="3">
        <v>8.754076116691835E-05</v>
      </c>
      <c r="AO52" s="3">
        <v>8.848578697046787E-05</v>
      </c>
      <c r="AP52" s="3">
        <v>8.944143821832655E-05</v>
      </c>
      <c r="AQ52" s="3">
        <v>9.032607713846988E-05</v>
      </c>
      <c r="AR52" s="3">
        <v>9.116809116809116E-05</v>
      </c>
      <c r="AS52" s="3">
        <v>4.598546859192495E-05</v>
      </c>
      <c r="AT52" s="3">
        <v>4.636606004404776E-05</v>
      </c>
      <c r="AU52" s="3">
        <v>4.673443159247576E-05</v>
      </c>
      <c r="AV52" s="3">
        <v>4.710093730865244E-05</v>
      </c>
      <c r="AW52" s="3">
        <v>4.745634016704632E-05</v>
      </c>
      <c r="AX52" s="3">
        <v>4.778744146038421E-05</v>
      </c>
      <c r="AY52" s="3">
        <v>4.811624885723909E-05</v>
      </c>
      <c r="AZ52" s="3">
        <v>4.846839860411012E-05</v>
      </c>
      <c r="BA52" s="3">
        <v>4.882335709403378E-05</v>
      </c>
      <c r="BB52" s="3">
        <v>4.916420845624386E-05</v>
      </c>
      <c r="BC52" s="3">
        <v>4.949269982677555E-05</v>
      </c>
      <c r="BD52" s="3">
        <v>4.980203690330934E-05</v>
      </c>
      <c r="BE52" s="3">
        <v>5.009769049646811E-05</v>
      </c>
    </row>
    <row r="53" spans="1:57">
      <c r="A53" s="1" t="str">
        <f>'Population Definitions'!$A$5</f>
        <v>0-9_females</v>
      </c>
      <c r="C53" t="s">
        <v>55</v>
      </c>
      <c r="D53" s="3"/>
      <c r="E53" s="3"/>
      <c r="F53" s="4" t="s">
        <v>39</v>
      </c>
      <c r="G53" s="3">
        <v>0.0002777199194612234</v>
      </c>
      <c r="H53" s="3">
        <v>0.0003721968921559505</v>
      </c>
      <c r="I53" s="3">
        <v>0.0004694505081801751</v>
      </c>
      <c r="J53" s="3">
        <v>0.0003326442844583838</v>
      </c>
      <c r="K53" s="3">
        <v>0.000383601054902901</v>
      </c>
      <c r="L53" s="3">
        <v>0.0002876525157609607</v>
      </c>
      <c r="M53" s="3">
        <v>0.0002862254025044723</v>
      </c>
      <c r="N53" s="3">
        <v>0.000330430267412495</v>
      </c>
      <c r="O53" s="3">
        <v>0.0003710317000208706</v>
      </c>
      <c r="P53" s="3">
        <v>0.0001833516685001833</v>
      </c>
      <c r="Q53" s="3">
        <v>0.0003655304761034451</v>
      </c>
      <c r="R53" s="3">
        <v>0.0001369331537987539</v>
      </c>
      <c r="S53" s="3">
        <v>0.0001363357495057829</v>
      </c>
      <c r="T53" s="3">
        <v>0.0004053780149989866</v>
      </c>
      <c r="U53" s="3">
        <v>0.0003585514521333812</v>
      </c>
      <c r="V53" s="3">
        <v>0.0002700999369766813</v>
      </c>
      <c r="W53" s="3">
        <v>0.0001809831911861186</v>
      </c>
      <c r="X53" s="3">
        <v>0.0004982561036372695</v>
      </c>
      <c r="Y53" s="3">
        <v>0.0001821244820835041</v>
      </c>
      <c r="Z53" s="3">
        <v>4.585683496125097E-05</v>
      </c>
      <c r="AA53" s="3">
        <v>0.0001840519026365435</v>
      </c>
      <c r="AB53" s="3">
        <v>0.0004120690444576714</v>
      </c>
      <c r="AC53" s="3">
        <v>4.545867806164197E-05</v>
      </c>
      <c r="AD53" s="3">
        <v>4.539985926043629E-05</v>
      </c>
      <c r="AE53" s="3">
        <v>0.0001358295791546873</v>
      </c>
      <c r="AF53" s="3">
        <v>0.0001349770539008369</v>
      </c>
      <c r="AG53" s="3">
        <v>8.950347944776353E-05</v>
      </c>
      <c r="AH53" s="3">
        <v>8.917027063177136E-05</v>
      </c>
      <c r="AI53" s="3">
        <v>8.897192935628809E-05</v>
      </c>
      <c r="AJ53" s="3">
        <v>8.937948293969119E-05</v>
      </c>
      <c r="AK53" s="3">
        <v>9.023641941887746E-05</v>
      </c>
      <c r="AL53" s="3">
        <v>9.157299512373801E-05</v>
      </c>
      <c r="AM53" s="3">
        <v>9.301892935212315E-05</v>
      </c>
      <c r="AN53" s="3">
        <v>9.402030838661151E-05</v>
      </c>
      <c r="AO53" s="3">
        <v>9.5047999239616E-05</v>
      </c>
      <c r="AP53" s="3">
        <v>9.606609347230895E-05</v>
      </c>
      <c r="AQ53" s="3">
        <v>9.701202949165696E-05</v>
      </c>
      <c r="AR53" s="3">
        <v>9.790723289683025E-05</v>
      </c>
      <c r="AS53" s="3">
        <v>4.938271604938271E-05</v>
      </c>
      <c r="AT53" s="3">
        <v>4.979087831109341E-05</v>
      </c>
      <c r="AU53" s="3">
        <v>5.018820577164366E-05</v>
      </c>
      <c r="AV53" s="3">
        <v>5.058424806515251E-05</v>
      </c>
      <c r="AW53" s="3">
        <v>5.09671007364746E-05</v>
      </c>
      <c r="AX53" s="3">
        <v>5.132679772109018E-05</v>
      </c>
      <c r="AY53" s="3">
        <v>5.168492867479843E-05</v>
      </c>
      <c r="AZ53" s="3">
        <v>5.206706237634073E-05</v>
      </c>
      <c r="BA53" s="3">
        <v>5.245488879563575E-05</v>
      </c>
      <c r="BB53" s="3">
        <v>5.282620179609086E-05</v>
      </c>
      <c r="BC53" s="3">
        <v>5.318300271233314E-05</v>
      </c>
      <c r="BD53" s="3">
        <v>5.352172982230786E-05</v>
      </c>
      <c r="BE53" s="3">
        <v>5.384014859881013E-05</v>
      </c>
    </row>
    <row r="54" spans="1:57">
      <c r="A54" s="1" t="str">
        <f>'Population Definitions'!$A$6</f>
        <v>10-17_males</v>
      </c>
      <c r="C54" t="s">
        <v>55</v>
      </c>
      <c r="D54" s="3"/>
      <c r="E54" s="3"/>
      <c r="F54" s="4" t="s">
        <v>39</v>
      </c>
      <c r="G54" s="3">
        <v>0.0002888086642599278</v>
      </c>
      <c r="H54" s="3">
        <v>0.0003424168925667</v>
      </c>
      <c r="I54" s="3">
        <v>5.62129345962506E-05</v>
      </c>
      <c r="J54" s="3">
        <v>0.0001651300399064263</v>
      </c>
      <c r="K54" s="3">
        <v>0.0002691355366562601</v>
      </c>
      <c r="L54" s="3">
        <v>0.000159311773140035</v>
      </c>
      <c r="M54" s="3">
        <v>0.0002650621570758343</v>
      </c>
      <c r="N54" s="3">
        <v>0.0002652871733651678</v>
      </c>
      <c r="O54" s="3">
        <v>0.0001595490081369994</v>
      </c>
      <c r="P54" s="3">
        <v>0.0001077673303338093</v>
      </c>
      <c r="Q54" s="3">
        <v>0.000273620269789586</v>
      </c>
      <c r="R54" s="3">
        <v>0.0003328617791462095</v>
      </c>
      <c r="S54" s="3">
        <v>5.64190809331716E-05</v>
      </c>
      <c r="T54" s="3">
        <v>0.0001711986760635718</v>
      </c>
      <c r="U54" s="3">
        <v>0</v>
      </c>
      <c r="V54" s="3">
        <v>0.0001149227144745159</v>
      </c>
      <c r="W54" s="3">
        <v>0.0002859185132237312</v>
      </c>
      <c r="X54" s="3">
        <v>0.0002247696111485727</v>
      </c>
      <c r="Y54" s="3">
        <v>0.0001651664051531918</v>
      </c>
      <c r="Z54" s="3">
        <v>0.0001076397298242781</v>
      </c>
      <c r="AA54" s="3">
        <v>0.0002091886096802029</v>
      </c>
      <c r="AB54" s="3">
        <v>0.0002040712208560788</v>
      </c>
      <c r="AC54" s="3">
        <v>0</v>
      </c>
      <c r="AD54" s="3">
        <v>0</v>
      </c>
      <c r="AE54" s="3">
        <v>0.0001494172726367168</v>
      </c>
      <c r="AF54" s="3">
        <v>0.0001498651213907483</v>
      </c>
      <c r="AG54" s="3">
        <v>0.00015142720137294</v>
      </c>
      <c r="AH54" s="3">
        <v>0.0001025430680885972</v>
      </c>
      <c r="AI54" s="3">
        <v>0.0001038664277738828</v>
      </c>
      <c r="AJ54" s="3">
        <v>0.0001042725684940434</v>
      </c>
      <c r="AK54" s="3">
        <v>0.0001038529442309689</v>
      </c>
      <c r="AL54" s="3">
        <v>5.119148173743889E-05</v>
      </c>
      <c r="AM54" s="3">
        <v>5.058424806515251E-05</v>
      </c>
      <c r="AN54" s="3">
        <v>5.036641567402858E-05</v>
      </c>
      <c r="AO54" s="3">
        <v>5.002125903508991E-05</v>
      </c>
      <c r="AP54" s="3">
        <v>4.973021359126737E-05</v>
      </c>
      <c r="AQ54" s="3">
        <v>4.973639709539441E-05</v>
      </c>
      <c r="AR54" s="3">
        <v>5.002125903508991E-05</v>
      </c>
      <c r="AS54" s="3">
        <v>5.057785195862732E-05</v>
      </c>
      <c r="AT54" s="3">
        <v>5.152381688435479E-05</v>
      </c>
      <c r="AU54" s="3">
        <v>0</v>
      </c>
      <c r="AV54" s="3">
        <v>0</v>
      </c>
      <c r="AW54" s="3">
        <v>0</v>
      </c>
      <c r="AX54" s="3">
        <v>0</v>
      </c>
      <c r="AY54" s="3">
        <v>0</v>
      </c>
      <c r="AZ54" s="3">
        <v>0</v>
      </c>
      <c r="BA54" s="3">
        <v>0</v>
      </c>
      <c r="BB54" s="3">
        <v>0</v>
      </c>
      <c r="BC54" s="3">
        <v>0</v>
      </c>
      <c r="BD54" s="3">
        <v>0</v>
      </c>
      <c r="BE54" s="3">
        <v>0</v>
      </c>
    </row>
    <row r="55" spans="1:57">
      <c r="A55" s="1" t="str">
        <f>'Population Definitions'!$A$7</f>
        <v>10-17_females</v>
      </c>
      <c r="C55" t="s">
        <v>55</v>
      </c>
      <c r="D55" s="3"/>
      <c r="E55" s="3"/>
      <c r="F55" s="4" t="s">
        <v>39</v>
      </c>
      <c r="G55" s="3">
        <v>0.0001803643359586364</v>
      </c>
      <c r="H55" s="3">
        <v>0.0001188177632556067</v>
      </c>
      <c r="I55" s="3">
        <v>0.0001176816710797293</v>
      </c>
      <c r="J55" s="3">
        <v>0.0001156236450354097</v>
      </c>
      <c r="K55" s="3">
        <v>0.0002836316192529143</v>
      </c>
      <c r="L55" s="3">
        <v>5.591277606933184E-05</v>
      </c>
      <c r="M55" s="3">
        <v>0.0002780326410320572</v>
      </c>
      <c r="N55" s="3">
        <v>0</v>
      </c>
      <c r="O55" s="3">
        <v>0</v>
      </c>
      <c r="P55" s="3">
        <v>0</v>
      </c>
      <c r="Q55" s="3">
        <v>0.0002276219199908951</v>
      </c>
      <c r="R55" s="3">
        <v>0.0001733202380264602</v>
      </c>
      <c r="S55" s="3">
        <v>0.0001174743024963289</v>
      </c>
      <c r="T55" s="3">
        <v>5.908244955835869E-05</v>
      </c>
      <c r="U55" s="3">
        <v>0.000177205469742166</v>
      </c>
      <c r="V55" s="3">
        <v>0.0002362320980363207</v>
      </c>
      <c r="W55" s="3">
        <v>0</v>
      </c>
      <c r="X55" s="3">
        <v>0</v>
      </c>
      <c r="Y55" s="3">
        <v>0</v>
      </c>
      <c r="Z55" s="3">
        <v>0</v>
      </c>
      <c r="AA55" s="3">
        <v>5.49828178694158E-05</v>
      </c>
      <c r="AB55" s="3">
        <v>0.0001077702338614075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3">
        <v>0</v>
      </c>
      <c r="AW55" s="3">
        <v>0</v>
      </c>
      <c r="AX55" s="3">
        <v>0</v>
      </c>
      <c r="AY55" s="3">
        <v>0</v>
      </c>
      <c r="AZ55" s="3">
        <v>0</v>
      </c>
      <c r="BA55" s="3">
        <v>0</v>
      </c>
      <c r="BB55" s="3">
        <v>0</v>
      </c>
      <c r="BC55" s="3">
        <v>0</v>
      </c>
      <c r="BD55" s="3">
        <v>0</v>
      </c>
      <c r="BE55" s="3">
        <v>0</v>
      </c>
    </row>
    <row r="56" spans="1:57">
      <c r="A56" s="1" t="str">
        <f>'Population Definitions'!$A$8</f>
        <v>18-64_males</v>
      </c>
      <c r="C56" t="s">
        <v>55</v>
      </c>
      <c r="D56" s="3"/>
      <c r="E56" s="3"/>
      <c r="F56" s="4" t="s">
        <v>39</v>
      </c>
      <c r="G56" s="3">
        <v>0.002493647347191278</v>
      </c>
      <c r="H56" s="3">
        <v>0.002232278603254532</v>
      </c>
      <c r="I56" s="3">
        <v>0.002253186654129539</v>
      </c>
      <c r="J56" s="3">
        <v>0.002003181057561561</v>
      </c>
      <c r="K56" s="3">
        <v>0.002235906224714659</v>
      </c>
      <c r="L56" s="3">
        <v>0.002175705840519902</v>
      </c>
      <c r="M56" s="3">
        <v>0.002303494177572878</v>
      </c>
      <c r="N56" s="3">
        <v>0.002067835108183644</v>
      </c>
      <c r="O56" s="3">
        <v>0.001893211495113713</v>
      </c>
      <c r="P56" s="3">
        <v>0.002263761410582866</v>
      </c>
      <c r="Q56" s="3">
        <v>0.002009781988960929</v>
      </c>
      <c r="R56" s="3">
        <v>0.001882997298948086</v>
      </c>
      <c r="S56" s="3">
        <v>0.002128008945528243</v>
      </c>
      <c r="T56" s="3">
        <v>0.001984696879638553</v>
      </c>
      <c r="U56" s="3">
        <v>0.002079522180500515</v>
      </c>
      <c r="V56" s="3">
        <v>0.001842919264104431</v>
      </c>
      <c r="W56" s="3">
        <v>0.001954404941116932</v>
      </c>
      <c r="X56" s="3">
        <v>0.002089094738613566</v>
      </c>
      <c r="Y56" s="3">
        <v>0.002082814298389393</v>
      </c>
      <c r="Z56" s="3">
        <v>0.001980193540372539</v>
      </c>
      <c r="AA56" s="3">
        <v>0.001918845774123731</v>
      </c>
      <c r="AB56" s="3">
        <v>0.001949240414406045</v>
      </c>
      <c r="AC56" s="3">
        <v>0.003512093827868973</v>
      </c>
      <c r="AD56" s="3">
        <v>0.002354889603681118</v>
      </c>
      <c r="AE56" s="3">
        <v>0.001672547939209917</v>
      </c>
      <c r="AF56" s="3">
        <v>0.001661707307647719</v>
      </c>
      <c r="AG56" s="3">
        <v>0.00161472383248197</v>
      </c>
      <c r="AH56" s="3">
        <v>0.001561919492906915</v>
      </c>
      <c r="AI56" s="3">
        <v>0.001511687374026052</v>
      </c>
      <c r="AJ56" s="3">
        <v>0.001501843681235547</v>
      </c>
      <c r="AK56" s="3">
        <v>0.001449684786487452</v>
      </c>
      <c r="AL56" s="3">
        <v>0.001422238024866944</v>
      </c>
      <c r="AM56" s="3">
        <v>0.001410114433370248</v>
      </c>
      <c r="AN56" s="3">
        <v>0.001390661962452128</v>
      </c>
      <c r="AO56" s="3">
        <v>0.001401721695863087</v>
      </c>
      <c r="AP56" s="3">
        <v>0.001376160220185636</v>
      </c>
      <c r="AQ56" s="3">
        <v>0.001372342910534922</v>
      </c>
      <c r="AR56" s="3">
        <v>0.001347448769633604</v>
      </c>
      <c r="AS56" s="3">
        <v>0.001330396283614317</v>
      </c>
      <c r="AT56" s="3">
        <v>0.001297519852416178</v>
      </c>
      <c r="AU56" s="3">
        <v>0.001286954761371114</v>
      </c>
      <c r="AV56" s="3">
        <v>0.001256735088910397</v>
      </c>
      <c r="AW56" s="3">
        <v>0.001276793732890424</v>
      </c>
      <c r="AX56" s="3">
        <v>0.001267792312568433</v>
      </c>
      <c r="AY56" s="3">
        <v>0.001253647465686805</v>
      </c>
      <c r="AZ56" s="3">
        <v>0.001212930707723409</v>
      </c>
      <c r="BA56" s="3">
        <v>0.001208844106161124</v>
      </c>
      <c r="BB56" s="3">
        <v>0.001190640404817739</v>
      </c>
      <c r="BC56" s="3">
        <v>0.001180069930069931</v>
      </c>
      <c r="BD56" s="3">
        <v>0.001184024440603269</v>
      </c>
      <c r="BE56" s="3">
        <v>0.001151245838649597</v>
      </c>
    </row>
    <row r="57" spans="1:57">
      <c r="A57" s="1" t="str">
        <f>'Population Definitions'!$A$9</f>
        <v>18-64_females</v>
      </c>
      <c r="C57" t="s">
        <v>55</v>
      </c>
      <c r="D57" s="3"/>
      <c r="E57" s="3"/>
      <c r="F57" s="4" t="s">
        <v>39</v>
      </c>
      <c r="G57" s="3">
        <v>0.001627430662457243</v>
      </c>
      <c r="H57" s="3">
        <v>0.001401065525627708</v>
      </c>
      <c r="I57" s="3">
        <v>0.001532773531299485</v>
      </c>
      <c r="J57" s="3">
        <v>0.001347753399989373</v>
      </c>
      <c r="K57" s="3">
        <v>0.001403325671858314</v>
      </c>
      <c r="L57" s="3">
        <v>0.001361518927303246</v>
      </c>
      <c r="M57" s="3">
        <v>0.001454045191306658</v>
      </c>
      <c r="N57" s="3">
        <v>0.001417111299990633</v>
      </c>
      <c r="O57" s="3">
        <v>0.001308695635454196</v>
      </c>
      <c r="P57" s="3">
        <v>0.001212069254082327</v>
      </c>
      <c r="Q57" s="3">
        <v>0.001178978959609498</v>
      </c>
      <c r="R57" s="3">
        <v>0.001343600223927931</v>
      </c>
      <c r="S57" s="3">
        <v>0.001334695266337651</v>
      </c>
      <c r="T57" s="3">
        <v>0.001363491949162904</v>
      </c>
      <c r="U57" s="3">
        <v>0.001370707941562232</v>
      </c>
      <c r="V57" s="3">
        <v>0.001408053092402065</v>
      </c>
      <c r="W57" s="3">
        <v>0.001374489980686461</v>
      </c>
      <c r="X57" s="3">
        <v>0.001138997888085575</v>
      </c>
      <c r="Y57" s="3">
        <v>0.001289391391096423</v>
      </c>
      <c r="Z57" s="3">
        <v>0.001355549888422337</v>
      </c>
      <c r="AA57" s="3">
        <v>0.001417009083244691</v>
      </c>
      <c r="AB57" s="3">
        <v>0.001254838938289802</v>
      </c>
      <c r="AC57" s="3">
        <v>0.001532804553340749</v>
      </c>
      <c r="AD57" s="3">
        <v>0.001348329817098553</v>
      </c>
      <c r="AE57" s="3">
        <v>0.001160195215455818</v>
      </c>
      <c r="AF57" s="3">
        <v>0.001132696191725488</v>
      </c>
      <c r="AG57" s="3">
        <v>0.001074131605909376</v>
      </c>
      <c r="AH57" s="3">
        <v>0.001058622231887507</v>
      </c>
      <c r="AI57" s="3">
        <v>0.001061059917237327</v>
      </c>
      <c r="AJ57" s="3">
        <v>0.001033011635615313</v>
      </c>
      <c r="AK57" s="3">
        <v>0.001014309883841233</v>
      </c>
      <c r="AL57" s="3">
        <v>0.0009716599190283401</v>
      </c>
      <c r="AM57" s="3">
        <v>0.0009783153571255316</v>
      </c>
      <c r="AN57" s="3">
        <v>0.0009849393091700272</v>
      </c>
      <c r="AO57" s="3">
        <v>0.0009678551120897202</v>
      </c>
      <c r="AP57" s="3">
        <v>0.0009428640502860827</v>
      </c>
      <c r="AQ57" s="3">
        <v>0.0009420479478250368</v>
      </c>
      <c r="AR57" s="3">
        <v>0.0009178041937210922</v>
      </c>
      <c r="AS57" s="3">
        <v>0.0009180554940386791</v>
      </c>
      <c r="AT57" s="3">
        <v>0.0009249875327767322</v>
      </c>
      <c r="AU57" s="3">
        <v>0.0008917739875151642</v>
      </c>
      <c r="AV57" s="3">
        <v>0.0008680416016975036</v>
      </c>
      <c r="AW57" s="3">
        <v>0.0008684150219717042</v>
      </c>
      <c r="AX57" s="3">
        <v>0.0008609002441899291</v>
      </c>
      <c r="AY57" s="3">
        <v>0.0008544975997484875</v>
      </c>
      <c r="AZ57" s="3">
        <v>0.0008411925522105569</v>
      </c>
      <c r="BA57" s="3">
        <v>0.0008278414440151934</v>
      </c>
      <c r="BB57" s="3">
        <v>0.0008062611471711636</v>
      </c>
      <c r="BC57" s="3">
        <v>0.0007932516365926162</v>
      </c>
      <c r="BD57" s="3">
        <v>0.0007720327046194659</v>
      </c>
      <c r="BE57" s="3">
        <v>0.000758856765785458</v>
      </c>
    </row>
    <row r="58" spans="1:57">
      <c r="A58" s="1" t="str">
        <f>'Population Definitions'!$A$10</f>
        <v>65+_males</v>
      </c>
      <c r="C58" t="s">
        <v>55</v>
      </c>
      <c r="D58" s="3"/>
      <c r="E58" s="3"/>
      <c r="F58" s="4" t="s">
        <v>39</v>
      </c>
      <c r="G58" s="3">
        <v>0.04586047607064114</v>
      </c>
      <c r="H58" s="3">
        <v>0.04785826100421046</v>
      </c>
      <c r="I58" s="3">
        <v>0.04803444493031214</v>
      </c>
      <c r="J58" s="3">
        <v>0.04679088871685483</v>
      </c>
      <c r="K58" s="3">
        <v>0.04837720480150967</v>
      </c>
      <c r="L58" s="3">
        <v>0.04649287690245867</v>
      </c>
      <c r="M58" s="3">
        <v>0.04554165025857576</v>
      </c>
      <c r="N58" s="3">
        <v>0.04764252314834184</v>
      </c>
      <c r="O58" s="3">
        <v>0.04626134627748815</v>
      </c>
      <c r="P58" s="3">
        <v>0.04614303324455015</v>
      </c>
      <c r="Q58" s="3">
        <v>0.04797105915350371</v>
      </c>
      <c r="R58" s="3">
        <v>0.04365897739608857</v>
      </c>
      <c r="S58" s="3">
        <v>0.0387619369799082</v>
      </c>
      <c r="T58" s="3">
        <v>0.04466101207552704</v>
      </c>
      <c r="U58" s="3">
        <v>0.04067199434626659</v>
      </c>
      <c r="V58" s="3">
        <v>0.040514849866482</v>
      </c>
      <c r="W58" s="3">
        <v>0.04440202872677687</v>
      </c>
      <c r="X58" s="3">
        <v>0.03829601138498787</v>
      </c>
      <c r="Y58" s="3">
        <v>0.03756024808749422</v>
      </c>
      <c r="Z58" s="3">
        <v>0.03701905084260931</v>
      </c>
      <c r="AA58" s="3">
        <v>0.03595729377787374</v>
      </c>
      <c r="AB58" s="3">
        <v>0.03479078227390637</v>
      </c>
      <c r="AC58" s="3">
        <v>0.03793148422136858</v>
      </c>
      <c r="AD58" s="3">
        <v>0.03739187146095441</v>
      </c>
      <c r="AE58" s="3">
        <v>0.03885480572597137</v>
      </c>
      <c r="AF58" s="3">
        <v>0.03817672127428579</v>
      </c>
      <c r="AG58" s="3">
        <v>0.03761952692501258</v>
      </c>
      <c r="AH58" s="3">
        <v>0.03714355648023496</v>
      </c>
      <c r="AI58" s="3">
        <v>0.03684648783679295</v>
      </c>
      <c r="AJ58" s="3">
        <v>0.03659790083242851</v>
      </c>
      <c r="AK58" s="3">
        <v>0.03657091257971666</v>
      </c>
      <c r="AL58" s="3">
        <v>0.03652264789197215</v>
      </c>
      <c r="AM58" s="3">
        <v>0.03645847336864461</v>
      </c>
      <c r="AN58" s="3">
        <v>0.03669990647188229</v>
      </c>
      <c r="AO58" s="3">
        <v>0.03705857270225218</v>
      </c>
      <c r="AP58" s="3">
        <v>0.03723586521987436</v>
      </c>
      <c r="AQ58" s="3">
        <v>0.03755669640632009</v>
      </c>
      <c r="AR58" s="3">
        <v>0.03765291920005861</v>
      </c>
      <c r="AS58" s="3">
        <v>0.03777371608787585</v>
      </c>
      <c r="AT58" s="3">
        <v>0.03814477676636322</v>
      </c>
      <c r="AU58" s="3">
        <v>0.03829238527251375</v>
      </c>
      <c r="AV58" s="3">
        <v>0.03832405773494413</v>
      </c>
      <c r="AW58" s="3">
        <v>0.03857074458016458</v>
      </c>
      <c r="AX58" s="3">
        <v>0.03867427568042141</v>
      </c>
      <c r="AY58" s="3">
        <v>0.03875935552056596</v>
      </c>
      <c r="AZ58" s="3">
        <v>0.03867981357598045</v>
      </c>
      <c r="BA58" s="3">
        <v>0.03852570279876071</v>
      </c>
      <c r="BB58" s="3">
        <v>0.03835950602225949</v>
      </c>
      <c r="BC58" s="3">
        <v>0.03813474809525709</v>
      </c>
      <c r="BD58" s="3">
        <v>0.03798795121712299</v>
      </c>
      <c r="BE58" s="3">
        <v>0.03775257513417678</v>
      </c>
    </row>
    <row r="59" spans="1:57">
      <c r="A59" s="1" t="str">
        <f>'Population Definitions'!$A$11</f>
        <v>65+_females</v>
      </c>
      <c r="C59" t="s">
        <v>55</v>
      </c>
      <c r="D59" s="3"/>
      <c r="E59" s="3"/>
      <c r="F59" s="4" t="s">
        <v>39</v>
      </c>
      <c r="G59" s="3">
        <v>0.04315175222149283</v>
      </c>
      <c r="H59" s="3">
        <v>0.03707023428794108</v>
      </c>
      <c r="I59" s="3">
        <v>0.04009100890929704</v>
      </c>
      <c r="J59" s="3">
        <v>0.04294859048421744</v>
      </c>
      <c r="K59" s="3">
        <v>0.03872272922990794</v>
      </c>
      <c r="L59" s="3">
        <v>0.04038582012381502</v>
      </c>
      <c r="M59" s="3">
        <v>0.04163787048956547</v>
      </c>
      <c r="N59" s="3">
        <v>0.04088112981553975</v>
      </c>
      <c r="O59" s="3">
        <v>0.04369695546572758</v>
      </c>
      <c r="P59" s="3">
        <v>0.04169452317628967</v>
      </c>
      <c r="Q59" s="3">
        <v>0.0396944120402595</v>
      </c>
      <c r="R59" s="3">
        <v>0.0397532377759261</v>
      </c>
      <c r="S59" s="3">
        <v>0.03989472420790442</v>
      </c>
      <c r="T59" s="3">
        <v>0.04065039601250137</v>
      </c>
      <c r="U59" s="3">
        <v>0.03663954139123347</v>
      </c>
      <c r="V59" s="3">
        <v>0.04030418487750759</v>
      </c>
      <c r="W59" s="3">
        <v>0.03967745903152971</v>
      </c>
      <c r="X59" s="3">
        <v>0.03898087385756933</v>
      </c>
      <c r="Y59" s="3">
        <v>0.03731665360469057</v>
      </c>
      <c r="Z59" s="3">
        <v>0.03582073822966345</v>
      </c>
      <c r="AA59" s="3">
        <v>0.03509864444859225</v>
      </c>
      <c r="AB59" s="3">
        <v>0.03491124446475429</v>
      </c>
      <c r="AC59" s="3">
        <v>0.03863757121141086</v>
      </c>
      <c r="AD59" s="3">
        <v>0.03468166755786232</v>
      </c>
      <c r="AE59" s="3">
        <v>0.03433489926537819</v>
      </c>
      <c r="AF59" s="3">
        <v>0.03398983966193229</v>
      </c>
      <c r="AG59" s="3">
        <v>0.03350664355863663</v>
      </c>
      <c r="AH59" s="3">
        <v>0.03331653588654525</v>
      </c>
      <c r="AI59" s="3">
        <v>0.03316230234736532</v>
      </c>
      <c r="AJ59" s="3">
        <v>0.032810929733547</v>
      </c>
      <c r="AK59" s="3">
        <v>0.03279468937610749</v>
      </c>
      <c r="AL59" s="3">
        <v>0.03281268137906127</v>
      </c>
      <c r="AM59" s="3">
        <v>0.03294058345409868</v>
      </c>
      <c r="AN59" s="3">
        <v>0.03309300916364716</v>
      </c>
      <c r="AO59" s="3">
        <v>0.0334074911557679</v>
      </c>
      <c r="AP59" s="3">
        <v>0.03372144506802922</v>
      </c>
      <c r="AQ59" s="3">
        <v>0.03405780864889089</v>
      </c>
      <c r="AR59" s="3">
        <v>0.03424308419443028</v>
      </c>
      <c r="AS59" s="3">
        <v>0.03441065502977408</v>
      </c>
      <c r="AT59" s="3">
        <v>0.03477560337014534</v>
      </c>
      <c r="AU59" s="3">
        <v>0.03497815244736727</v>
      </c>
      <c r="AV59" s="3">
        <v>0.03525187683603525</v>
      </c>
      <c r="AW59" s="3">
        <v>0.03559536852054735</v>
      </c>
      <c r="AX59" s="3">
        <v>0.03578663781673933</v>
      </c>
      <c r="AY59" s="3">
        <v>0.03594767824841331</v>
      </c>
      <c r="AZ59" s="3">
        <v>0.03609521064118931</v>
      </c>
      <c r="BA59" s="3">
        <v>0.0361055549350689</v>
      </c>
      <c r="BB59" s="3">
        <v>0.03624953635479634</v>
      </c>
      <c r="BC59" s="3">
        <v>0.03634349249685925</v>
      </c>
      <c r="BD59" s="3">
        <v>0.03635440169562713</v>
      </c>
      <c r="BE59" s="3">
        <v>0.03636223194199037</v>
      </c>
    </row>
    <row r="60" spans="1:57">
      <c r="A60" s="1" t="str">
        <f>'Population Definitions'!$A$12</f>
        <v>Prisoners_males</v>
      </c>
      <c r="C60" t="s">
        <v>55</v>
      </c>
      <c r="D60" s="3"/>
      <c r="E60" s="3"/>
      <c r="F60" s="4" t="s">
        <v>39</v>
      </c>
      <c r="G60" s="3">
        <v>0.002493647347191278</v>
      </c>
      <c r="H60" s="3">
        <v>0.002232278603254532</v>
      </c>
      <c r="I60" s="3">
        <v>0.002253186654129539</v>
      </c>
      <c r="J60" s="3">
        <v>0.002003181057561561</v>
      </c>
      <c r="K60" s="3">
        <v>0.002235906224714659</v>
      </c>
      <c r="L60" s="3">
        <v>0.002175705840519902</v>
      </c>
      <c r="M60" s="3">
        <v>0.002303494177572878</v>
      </c>
      <c r="N60" s="3">
        <v>0.002067835108183644</v>
      </c>
      <c r="O60" s="3">
        <v>0.001893211495113713</v>
      </c>
      <c r="P60" s="3">
        <v>0.002263761410582866</v>
      </c>
      <c r="Q60" s="3">
        <v>0.002009781988960929</v>
      </c>
      <c r="R60" s="3">
        <v>0.001882997298948086</v>
      </c>
      <c r="S60" s="3">
        <v>0.002128008945528243</v>
      </c>
      <c r="T60" s="3">
        <v>0.001984696879638553</v>
      </c>
      <c r="U60" s="3">
        <v>0.002079522180500515</v>
      </c>
      <c r="V60" s="3">
        <v>0.001842919264104431</v>
      </c>
      <c r="W60" s="3">
        <v>0.001954404941116932</v>
      </c>
      <c r="X60" s="3">
        <v>0.002089094738613566</v>
      </c>
      <c r="Y60" s="3">
        <v>0.002082814298389393</v>
      </c>
      <c r="Z60" s="3">
        <v>0.001980193540372539</v>
      </c>
      <c r="AA60" s="3">
        <v>0.001918845774123731</v>
      </c>
      <c r="AB60" s="3">
        <v>0.001949240414406045</v>
      </c>
      <c r="AC60" s="3">
        <v>0.003512093827868973</v>
      </c>
      <c r="AD60" s="3">
        <v>0.002354889603681118</v>
      </c>
      <c r="AE60" s="3">
        <v>0.005496658709099337</v>
      </c>
      <c r="AF60" s="3">
        <v>0.005502573842014506</v>
      </c>
      <c r="AG60" s="3">
        <v>0.005508259796638959</v>
      </c>
      <c r="AH60" s="3">
        <v>0.005509249769017646</v>
      </c>
      <c r="AI60" s="3">
        <v>0.005506410718153364</v>
      </c>
      <c r="AJ60" s="3">
        <v>0.005507311817533226</v>
      </c>
      <c r="AK60" s="3">
        <v>0.005497680381807117</v>
      </c>
      <c r="AL60" s="3">
        <v>0.005486718239599161</v>
      </c>
      <c r="AM60" s="3">
        <v>0.005472099366004936</v>
      </c>
      <c r="AN60" s="3">
        <v>0.005450305580203162</v>
      </c>
      <c r="AO60" s="3">
        <v>0.005436747835222959</v>
      </c>
      <c r="AP60" s="3">
        <v>0.005420591211696838</v>
      </c>
      <c r="AQ60" s="3">
        <v>0.005406580197103853</v>
      </c>
      <c r="AR60" s="3">
        <v>0.005391964760859998</v>
      </c>
      <c r="AS60" s="3">
        <v>0.005372956533710005</v>
      </c>
      <c r="AT60" s="3">
        <v>0.005355713671573246</v>
      </c>
      <c r="AU60" s="3">
        <v>0.005335396311614618</v>
      </c>
      <c r="AV60" s="3">
        <v>0.005313572002138888</v>
      </c>
      <c r="AW60" s="3">
        <v>0.005298357995340789</v>
      </c>
      <c r="AX60" s="3">
        <v>0.005290724356447033</v>
      </c>
      <c r="AY60" s="3">
        <v>0.005273715919894695</v>
      </c>
      <c r="AZ60" s="3">
        <v>0.005255229381153029</v>
      </c>
      <c r="BA60" s="3">
        <v>0.005244794286694394</v>
      </c>
      <c r="BB60" s="3">
        <v>0.005234454502541308</v>
      </c>
      <c r="BC60" s="3">
        <v>0.005222221424981949</v>
      </c>
      <c r="BD60" s="3">
        <v>0.005202939180767435</v>
      </c>
      <c r="BE60" s="3">
        <v>0.005185310724107645</v>
      </c>
    </row>
    <row r="61" spans="1:57">
      <c r="A61" s="1" t="str">
        <f>'Population Definitions'!$A$13</f>
        <v>Prisoners_females</v>
      </c>
      <c r="C61" t="s">
        <v>55</v>
      </c>
      <c r="D61" s="3"/>
      <c r="E61" s="3"/>
      <c r="F61" s="4" t="s">
        <v>39</v>
      </c>
      <c r="G61" s="3">
        <v>0.001627430662457243</v>
      </c>
      <c r="H61" s="3">
        <v>0.001401065525627708</v>
      </c>
      <c r="I61" s="3">
        <v>0.001532773531299485</v>
      </c>
      <c r="J61" s="3">
        <v>0.001347753399989373</v>
      </c>
      <c r="K61" s="3">
        <v>0.001403325671858314</v>
      </c>
      <c r="L61" s="3">
        <v>0.001361518927303246</v>
      </c>
      <c r="M61" s="3">
        <v>0.001454045191306658</v>
      </c>
      <c r="N61" s="3">
        <v>0.001417111299990633</v>
      </c>
      <c r="O61" s="3">
        <v>0.001308695635454196</v>
      </c>
      <c r="P61" s="3">
        <v>0.001212069254082327</v>
      </c>
      <c r="Q61" s="3">
        <v>0.001178978959609498</v>
      </c>
      <c r="R61" s="3">
        <v>0.001343600223927931</v>
      </c>
      <c r="S61" s="3">
        <v>0.001334695266337651</v>
      </c>
      <c r="T61" s="3">
        <v>0.001363491949162904</v>
      </c>
      <c r="U61" s="3">
        <v>0.001370707941562232</v>
      </c>
      <c r="V61" s="3">
        <v>0.001408053092402065</v>
      </c>
      <c r="W61" s="3">
        <v>0.001374489980686461</v>
      </c>
      <c r="X61" s="3">
        <v>0.001138997888085575</v>
      </c>
      <c r="Y61" s="3">
        <v>0.001289391391096423</v>
      </c>
      <c r="Z61" s="3">
        <v>0.001355549888422337</v>
      </c>
      <c r="AA61" s="3">
        <v>0.001417009083244691</v>
      </c>
      <c r="AB61" s="3">
        <v>0.001254838938289802</v>
      </c>
      <c r="AC61" s="3">
        <v>0.001532804553340749</v>
      </c>
      <c r="AD61" s="3">
        <v>0.001348329817098553</v>
      </c>
      <c r="AE61" s="3">
        <v>0.003891286460386674</v>
      </c>
      <c r="AF61" s="3">
        <v>0.00387385504337513</v>
      </c>
      <c r="AG61" s="3">
        <v>0.003856232641652513</v>
      </c>
      <c r="AH61" s="3">
        <v>0.003834558599577484</v>
      </c>
      <c r="AI61" s="3">
        <v>0.003811361087403951</v>
      </c>
      <c r="AJ61" s="3">
        <v>0.003788787278380086</v>
      </c>
      <c r="AK61" s="3">
        <v>0.003762262162124709</v>
      </c>
      <c r="AL61" s="3">
        <v>0.003734055893560033</v>
      </c>
      <c r="AM61" s="3">
        <v>0.003702434473366311</v>
      </c>
      <c r="AN61" s="3">
        <v>0.003669942390564579</v>
      </c>
      <c r="AO61" s="3">
        <v>0.003642537314631957</v>
      </c>
      <c r="AP61" s="3">
        <v>0.003614858486652417</v>
      </c>
      <c r="AQ61" s="3">
        <v>0.003589708729254388</v>
      </c>
      <c r="AR61" s="3">
        <v>0.003562869385746438</v>
      </c>
      <c r="AS61" s="3">
        <v>0.003535167700155905</v>
      </c>
      <c r="AT61" s="3">
        <v>0.00350922269960475</v>
      </c>
      <c r="AU61" s="3">
        <v>0.003483243538412659</v>
      </c>
      <c r="AV61" s="3">
        <v>0.003456682466758553</v>
      </c>
      <c r="AW61" s="3">
        <v>0.003435282259917845</v>
      </c>
      <c r="AX61" s="3">
        <v>0.003417475047695278</v>
      </c>
      <c r="AY61" s="3">
        <v>0.003394332802172003</v>
      </c>
      <c r="AZ61" s="3">
        <v>0.003371754429294466</v>
      </c>
      <c r="BA61" s="3">
        <v>0.003354695988019184</v>
      </c>
      <c r="BB61" s="3">
        <v>0.003339587119058426</v>
      </c>
      <c r="BC61" s="3">
        <v>0.003324024929421227</v>
      </c>
      <c r="BD61" s="3">
        <v>0.003304777822238862</v>
      </c>
      <c r="BE61" s="3">
        <v>0.003285380299373674</v>
      </c>
    </row>
    <row r="62" spans="1:57">
      <c r="A62" s="1" t="str">
        <f>'Population Definitions'!$A$14</f>
        <v>Prisoners_PWID_males</v>
      </c>
      <c r="C62" t="s">
        <v>55</v>
      </c>
      <c r="D62" s="3"/>
      <c r="E62" s="3"/>
      <c r="F62" s="4" t="s">
        <v>39</v>
      </c>
      <c r="G62" s="3">
        <v>0.002493647347191278</v>
      </c>
      <c r="H62" s="3">
        <v>0.002232278603254532</v>
      </c>
      <c r="I62" s="3">
        <v>0.002253186654129539</v>
      </c>
      <c r="J62" s="3">
        <v>0.002003181057561561</v>
      </c>
      <c r="K62" s="3">
        <v>0.002235906224714659</v>
      </c>
      <c r="L62" s="3">
        <v>0.002175705840519902</v>
      </c>
      <c r="M62" s="3">
        <v>0.002303494177572878</v>
      </c>
      <c r="N62" s="3">
        <v>0.002067835108183644</v>
      </c>
      <c r="O62" s="3">
        <v>0.001893211495113713</v>
      </c>
      <c r="P62" s="3">
        <v>0.002263761410582866</v>
      </c>
      <c r="Q62" s="3">
        <v>0.002009781988960929</v>
      </c>
      <c r="R62" s="3">
        <v>0.001882997298948086</v>
      </c>
      <c r="S62" s="3">
        <v>0.002128008945528243</v>
      </c>
      <c r="T62" s="3">
        <v>0.001984696879638553</v>
      </c>
      <c r="U62" s="3">
        <v>0.002079522180500515</v>
      </c>
      <c r="V62" s="3">
        <v>0.001842919264104431</v>
      </c>
      <c r="W62" s="3">
        <v>0.001954404941116932</v>
      </c>
      <c r="X62" s="3">
        <v>0.002089094738613566</v>
      </c>
      <c r="Y62" s="3">
        <v>0.002082814298389393</v>
      </c>
      <c r="Z62" s="3">
        <v>0.001980193540372539</v>
      </c>
      <c r="AA62" s="3">
        <v>0.001918845774123731</v>
      </c>
      <c r="AB62" s="3">
        <v>0.001949240414406045</v>
      </c>
      <c r="AC62" s="3">
        <v>0.003512093827868973</v>
      </c>
      <c r="AD62" s="3">
        <v>0.002354889603681118</v>
      </c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/>
      <c r="F63" s="4" t="s">
        <v>39</v>
      </c>
      <c r="G63" s="3">
        <v>0.001627430662457243</v>
      </c>
      <c r="H63" s="3">
        <v>0.001401065525627708</v>
      </c>
      <c r="I63" s="3">
        <v>0.001532773531299485</v>
      </c>
      <c r="J63" s="3">
        <v>0.001347753399989373</v>
      </c>
      <c r="K63" s="3">
        <v>0.001403325671858314</v>
      </c>
      <c r="L63" s="3">
        <v>0.001361518927303246</v>
      </c>
      <c r="M63" s="3">
        <v>0.001454045191306658</v>
      </c>
      <c r="N63" s="3">
        <v>0.001417111299990633</v>
      </c>
      <c r="O63" s="3">
        <v>0.001308695635454196</v>
      </c>
      <c r="P63" s="3">
        <v>0.001212069254082327</v>
      </c>
      <c r="Q63" s="3">
        <v>0.001178978959609498</v>
      </c>
      <c r="R63" s="3">
        <v>0.001343600223927931</v>
      </c>
      <c r="S63" s="3">
        <v>0.001334695266337651</v>
      </c>
      <c r="T63" s="3">
        <v>0.001363491949162904</v>
      </c>
      <c r="U63" s="3">
        <v>0.001370707941562232</v>
      </c>
      <c r="V63" s="3">
        <v>0.001408053092402065</v>
      </c>
      <c r="W63" s="3">
        <v>0.001374489980686461</v>
      </c>
      <c r="X63" s="3">
        <v>0.001138997888085575</v>
      </c>
      <c r="Y63" s="3">
        <v>0.001289391391096423</v>
      </c>
      <c r="Z63" s="3">
        <v>0.001355549888422337</v>
      </c>
      <c r="AA63" s="3">
        <v>0.001417009083244691</v>
      </c>
      <c r="AB63" s="3">
        <v>0.001254838938289802</v>
      </c>
      <c r="AC63" s="3">
        <v>0.001532804553340749</v>
      </c>
      <c r="AD63" s="3">
        <v>0.001348329817098553</v>
      </c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dataValidations count="56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 (per year)"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31"/>
  <sheetViews>
    <sheetView workbookViewId="0"/>
  </sheetViews>
  <sheetFormatPr defaultRowHeight="15"/>
  <cols>
    <col min="1" max="1" width="45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57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0.1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0.1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0.1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0.1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59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7"/>
  <sheetViews>
    <sheetView workbookViewId="0"/>
  </sheetViews>
  <sheetFormatPr defaultRowHeight="15"/>
  <cols>
    <col min="1" max="1" width="67.7109375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60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50</v>
      </c>
      <c r="D2" s="3">
        <v>0.02806122448979592</v>
      </c>
      <c r="E2" s="3">
        <v>0.1988950276243094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50</v>
      </c>
      <c r="D3" s="3">
        <v>0.03316326530612245</v>
      </c>
      <c r="E3" s="3">
        <v>0.4210526315789473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50</v>
      </c>
      <c r="D4" s="3">
        <v>0.02806122448979592</v>
      </c>
      <c r="E4" s="3">
        <v>0.1988950276243094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50</v>
      </c>
      <c r="D5" s="3">
        <v>0.03316326530612245</v>
      </c>
      <c r="E5" s="3">
        <v>0.4210526315789473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50</v>
      </c>
      <c r="D6" s="3">
        <v>0.02806122448979592</v>
      </c>
      <c r="E6" s="3">
        <v>0.1988950276243094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50</v>
      </c>
      <c r="D7" s="3">
        <v>0.03316326530612245</v>
      </c>
      <c r="E7" s="3">
        <v>0.4210526315789473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50</v>
      </c>
      <c r="D8" s="3">
        <v>0.02806122448979592</v>
      </c>
      <c r="E8" s="3">
        <v>0.1988950276243094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50</v>
      </c>
      <c r="D9" s="3">
        <v>0.03316326530612245</v>
      </c>
      <c r="E9" s="3">
        <v>0.4210526315789473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50</v>
      </c>
      <c r="D10" s="3">
        <v>0.02806122448979592</v>
      </c>
      <c r="E10" s="3">
        <v>0.1988950276243094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50</v>
      </c>
      <c r="D11" s="3">
        <v>0.03316326530612245</v>
      </c>
      <c r="E11" s="3">
        <v>0.4210526315789473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50</v>
      </c>
      <c r="D12" s="3">
        <v>0.02806122448979592</v>
      </c>
      <c r="E12" s="3">
        <v>0.1988950276243094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50</v>
      </c>
      <c r="D13" s="3">
        <v>0.03316326530612245</v>
      </c>
      <c r="E13" s="3">
        <v>0.4210526315789473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50</v>
      </c>
      <c r="D14" s="3">
        <v>0.02806122448979592</v>
      </c>
      <c r="E14" s="3">
        <v>0.1988950276243094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50</v>
      </c>
      <c r="D15" s="3">
        <v>0.03316326530612245</v>
      </c>
      <c r="E15" s="3">
        <v>0.4210526315789473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61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64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>
        <v>0.09438775510204081</v>
      </c>
      <c r="E34" s="3">
        <v>0.25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>
        <v>0.09438775510204081</v>
      </c>
      <c r="E35" s="3">
        <v>0.25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>
        <v>0.09438775510204081</v>
      </c>
      <c r="E36" s="3">
        <v>0.25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>
        <v>0.09438775510204081</v>
      </c>
      <c r="E37" s="3">
        <v>0.25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>
        <v>0.09438775510204081</v>
      </c>
      <c r="E38" s="3">
        <v>0.25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>
        <v>0.09438775510204081</v>
      </c>
      <c r="E39" s="3">
        <v>0.25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>
        <v>0.09438775510204081</v>
      </c>
      <c r="E40" s="3">
        <v>0.25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>
        <v>0.09438775510204081</v>
      </c>
      <c r="E41" s="3">
        <v>0.25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>
        <v>0.09438775510204081</v>
      </c>
      <c r="E42" s="3">
        <v>0.25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>
        <v>0.09438775510204081</v>
      </c>
      <c r="E43" s="3">
        <v>0.25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>
        <v>0.09438775510204081</v>
      </c>
      <c r="E44" s="3">
        <v>0.25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>
        <v>0.09438775510204081</v>
      </c>
      <c r="E45" s="3">
        <v>0.25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>
        <v>0.09438775510204081</v>
      </c>
      <c r="E46" s="3">
        <v>0.25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>
        <v>0.09438775510204081</v>
      </c>
      <c r="E47" s="3">
        <v>0.25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65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>
        <v>0.03061224489795919</v>
      </c>
      <c r="E50" s="3">
        <v>0.08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>
        <v>0.03061224489795919</v>
      </c>
      <c r="E51" s="3">
        <v>0.08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>
        <v>0.03061224489795919</v>
      </c>
      <c r="E52" s="3">
        <v>0.08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>
        <v>0.03061224489795919</v>
      </c>
      <c r="E53" s="3">
        <v>0.08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>
        <v>0.03061224489795919</v>
      </c>
      <c r="E54" s="3">
        <v>0.08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>
        <v>0.03061224489795919</v>
      </c>
      <c r="E55" s="3">
        <v>0.08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>
        <v>0.03061224489795919</v>
      </c>
      <c r="E56" s="3">
        <v>0.08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>
        <v>0.03061224489795919</v>
      </c>
      <c r="E57" s="3">
        <v>0.08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>
        <v>0.03061224489795919</v>
      </c>
      <c r="E58" s="3">
        <v>0.08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>
        <v>0.03061224489795919</v>
      </c>
      <c r="E59" s="3">
        <v>0.08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>
        <v>0.03061224489795919</v>
      </c>
      <c r="E60" s="3">
        <v>0.08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>
        <v>0.03061224489795919</v>
      </c>
      <c r="E61" s="3">
        <v>0.08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>
        <v>0.03061224489795919</v>
      </c>
      <c r="E62" s="3">
        <v>0.08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>
        <v>0.03061224489795919</v>
      </c>
      <c r="E63" s="3">
        <v>0.08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66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55</v>
      </c>
      <c r="D66" s="3">
        <v>0.01530612244897959</v>
      </c>
      <c r="E66" s="3">
        <v>0.03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55</v>
      </c>
      <c r="D67" s="3">
        <v>0.01530612244897959</v>
      </c>
      <c r="E67" s="3">
        <v>0.03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55</v>
      </c>
      <c r="D68" s="3">
        <v>0.01530612244897959</v>
      </c>
      <c r="E68" s="3">
        <v>0.03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55</v>
      </c>
      <c r="D69" s="3">
        <v>0.01530612244897959</v>
      </c>
      <c r="E69" s="3">
        <v>0.03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55</v>
      </c>
      <c r="D70" s="3">
        <v>0.01530612244897959</v>
      </c>
      <c r="E70" s="3">
        <v>0.03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55</v>
      </c>
      <c r="D71" s="3">
        <v>0.01530612244897959</v>
      </c>
      <c r="E71" s="3">
        <v>0.03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55</v>
      </c>
      <c r="D72" s="3">
        <v>0.01530612244897959</v>
      </c>
      <c r="E72" s="3">
        <v>0.03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55</v>
      </c>
      <c r="D73" s="3">
        <v>0.01530612244897959</v>
      </c>
      <c r="E73" s="3">
        <v>0.03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55</v>
      </c>
      <c r="D74" s="3">
        <v>0.01530612244897959</v>
      </c>
      <c r="E74" s="3">
        <v>0.03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55</v>
      </c>
      <c r="D75" s="3">
        <v>0.01530612244897959</v>
      </c>
      <c r="E75" s="3">
        <v>0.03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55</v>
      </c>
      <c r="D76" s="3">
        <v>0.01530612244897959</v>
      </c>
      <c r="E76" s="3">
        <v>0.03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55</v>
      </c>
      <c r="D77" s="3">
        <v>0.01530612244897959</v>
      </c>
      <c r="E77" s="3">
        <v>0.03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55</v>
      </c>
      <c r="D78" s="3">
        <v>0.01530612244897959</v>
      </c>
      <c r="E78" s="3">
        <v>0.03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55</v>
      </c>
      <c r="D79" s="3">
        <v>0.01530612244897959</v>
      </c>
      <c r="E79" s="3">
        <v>0.03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67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55</v>
      </c>
      <c r="D82" s="3">
        <v>0.05102040816326531</v>
      </c>
      <c r="E82" s="3">
        <v>0.1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55</v>
      </c>
      <c r="D83" s="3">
        <v>0.05102040816326531</v>
      </c>
      <c r="E83" s="3">
        <v>0.1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55</v>
      </c>
      <c r="D84" s="3">
        <v>0.05102040816326531</v>
      </c>
      <c r="E84" s="3">
        <v>0.1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55</v>
      </c>
      <c r="D85" s="3">
        <v>0.05102040816326531</v>
      </c>
      <c r="E85" s="3">
        <v>0.1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55</v>
      </c>
      <c r="D86" s="3">
        <v>0.05102040816326531</v>
      </c>
      <c r="E86" s="3">
        <v>0.1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55</v>
      </c>
      <c r="D87" s="3">
        <v>0.05102040816326531</v>
      </c>
      <c r="E87" s="3">
        <v>0.1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55</v>
      </c>
      <c r="D88" s="3">
        <v>0.05102040816326531</v>
      </c>
      <c r="E88" s="3">
        <v>0.1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55</v>
      </c>
      <c r="D89" s="3">
        <v>0.05102040816326531</v>
      </c>
      <c r="E89" s="3">
        <v>0.1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55</v>
      </c>
      <c r="D90" s="3">
        <v>0.05102040816326531</v>
      </c>
      <c r="E90" s="3">
        <v>0.1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55</v>
      </c>
      <c r="D91" s="3">
        <v>0.05102040816326531</v>
      </c>
      <c r="E91" s="3">
        <v>0.1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55</v>
      </c>
      <c r="D92" s="3">
        <v>0.05102040816326531</v>
      </c>
      <c r="E92" s="3">
        <v>0.1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55</v>
      </c>
      <c r="D93" s="3">
        <v>0.05102040816326531</v>
      </c>
      <c r="E93" s="3">
        <v>0.1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55</v>
      </c>
      <c r="D94" s="3">
        <v>0.05102040816326531</v>
      </c>
      <c r="E94" s="3">
        <v>0.1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55</v>
      </c>
      <c r="D95" s="3">
        <v>0.05102040816326531</v>
      </c>
      <c r="E95" s="3">
        <v>0.1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68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55</v>
      </c>
      <c r="D98" s="3">
        <v>0.003571428571428571</v>
      </c>
      <c r="E98" s="3">
        <v>0.055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55</v>
      </c>
      <c r="D99" s="3">
        <v>0.003571428571428571</v>
      </c>
      <c r="E99" s="3">
        <v>0.055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55</v>
      </c>
      <c r="D100" s="3">
        <v>0.003571428571428571</v>
      </c>
      <c r="E100" s="3">
        <v>0.055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55</v>
      </c>
      <c r="D101" s="3">
        <v>0.003571428571428571</v>
      </c>
      <c r="E101" s="3">
        <v>0.055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55</v>
      </c>
      <c r="D102" s="3">
        <v>0.003571428571428571</v>
      </c>
      <c r="E102" s="3">
        <v>0.055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55</v>
      </c>
      <c r="D103" s="3">
        <v>0.003571428571428571</v>
      </c>
      <c r="E103" s="3">
        <v>0.055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55</v>
      </c>
      <c r="D104" s="3">
        <v>0.003571428571428571</v>
      </c>
      <c r="E104" s="3">
        <v>0.055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55</v>
      </c>
      <c r="D105" s="3">
        <v>0.003571428571428571</v>
      </c>
      <c r="E105" s="3">
        <v>0.055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55</v>
      </c>
      <c r="D106" s="3">
        <v>0.003571428571428571</v>
      </c>
      <c r="E106" s="3">
        <v>0.055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55</v>
      </c>
      <c r="D107" s="3">
        <v>0.003571428571428571</v>
      </c>
      <c r="E107" s="3">
        <v>0.055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55</v>
      </c>
      <c r="D108" s="3">
        <v>0.003571428571428571</v>
      </c>
      <c r="E108" s="3">
        <v>0.055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55</v>
      </c>
      <c r="D109" s="3">
        <v>0.003571428571428571</v>
      </c>
      <c r="E109" s="3">
        <v>0.055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55</v>
      </c>
      <c r="D110" s="3">
        <v>0.003571428571428571</v>
      </c>
      <c r="E110" s="3">
        <v>0.055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55</v>
      </c>
      <c r="D111" s="3">
        <v>0.003571428571428571</v>
      </c>
      <c r="E111" s="3">
        <v>0.055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69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C114" t="s">
        <v>55</v>
      </c>
      <c r="D114" s="3"/>
      <c r="E114" s="3">
        <v>0.015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C115" t="s">
        <v>55</v>
      </c>
      <c r="D115" s="3"/>
      <c r="E115" s="3">
        <v>0.015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C116" t="s">
        <v>55</v>
      </c>
      <c r="D116" s="3"/>
      <c r="E116" s="3">
        <v>0.015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C117" t="s">
        <v>55</v>
      </c>
      <c r="D117" s="3"/>
      <c r="E117" s="3">
        <v>0.015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C118" t="s">
        <v>55</v>
      </c>
      <c r="D118" s="3"/>
      <c r="E118" s="3">
        <v>0.015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C119" t="s">
        <v>55</v>
      </c>
      <c r="D119" s="3"/>
      <c r="E119" s="3">
        <v>0.015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C120" t="s">
        <v>55</v>
      </c>
      <c r="D120" s="3"/>
      <c r="E120" s="3">
        <v>0.015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C121" t="s">
        <v>55</v>
      </c>
      <c r="D121" s="3"/>
      <c r="E121" s="3">
        <v>0.015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C122" t="s">
        <v>55</v>
      </c>
      <c r="D122" s="3"/>
      <c r="E122" s="3">
        <v>0.015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C123" t="s">
        <v>55</v>
      </c>
      <c r="D123" s="3"/>
      <c r="E123" s="3">
        <v>0.015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C124" t="s">
        <v>55</v>
      </c>
      <c r="D124" s="3"/>
      <c r="E124" s="3">
        <v>0.015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C125" t="s">
        <v>55</v>
      </c>
      <c r="D125" s="3"/>
      <c r="E125" s="3">
        <v>0.015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C126" t="s">
        <v>55</v>
      </c>
      <c r="D126" s="3"/>
      <c r="E126" s="3">
        <v>0.015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C127" t="s">
        <v>55</v>
      </c>
      <c r="D127" s="3"/>
      <c r="E127" s="3">
        <v>0.015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70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55</v>
      </c>
      <c r="D130" s="3"/>
      <c r="E130" s="3">
        <v>0.02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55</v>
      </c>
      <c r="D131" s="3"/>
      <c r="E131" s="3">
        <v>0.02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55</v>
      </c>
      <c r="D132" s="3"/>
      <c r="E132" s="3">
        <v>0.02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55</v>
      </c>
      <c r="D133" s="3"/>
      <c r="E133" s="3">
        <v>0.02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55</v>
      </c>
      <c r="D134" s="3"/>
      <c r="E134" s="3">
        <v>0.02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55</v>
      </c>
      <c r="D135" s="3"/>
      <c r="E135" s="3">
        <v>0.02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55</v>
      </c>
      <c r="D136" s="3"/>
      <c r="E136" s="3">
        <v>0.02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55</v>
      </c>
      <c r="D137" s="3"/>
      <c r="E137" s="3">
        <v>0.02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55</v>
      </c>
      <c r="D138" s="3"/>
      <c r="E138" s="3">
        <v>0.02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55</v>
      </c>
      <c r="D139" s="3"/>
      <c r="E139" s="3">
        <v>0.02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55</v>
      </c>
      <c r="D140" s="3"/>
      <c r="E140" s="3">
        <v>0.02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55</v>
      </c>
      <c r="D141" s="3"/>
      <c r="E141" s="3">
        <v>0.02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55</v>
      </c>
      <c r="D142" s="3"/>
      <c r="E142" s="3">
        <v>0.02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55</v>
      </c>
      <c r="D143" s="3"/>
      <c r="E143" s="3">
        <v>0.02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71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55</v>
      </c>
      <c r="D146" s="3">
        <v>0.02551020408163265</v>
      </c>
      <c r="E146" s="3">
        <v>0.183258146374831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55</v>
      </c>
      <c r="D147" s="3">
        <v>0.02551020408163265</v>
      </c>
      <c r="E147" s="3">
        <v>0.183258146374831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55</v>
      </c>
      <c r="D148" s="3">
        <v>0.02551020408163265</v>
      </c>
      <c r="E148" s="3">
        <v>0.183258146374831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55</v>
      </c>
      <c r="D149" s="3">
        <v>0.02551020408163265</v>
      </c>
      <c r="E149" s="3">
        <v>0.183258146374831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55</v>
      </c>
      <c r="D150" s="3">
        <v>0.02551020408163265</v>
      </c>
      <c r="E150" s="3">
        <v>0.183258146374831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55</v>
      </c>
      <c r="D151" s="3">
        <v>0.02551020408163265</v>
      </c>
      <c r="E151" s="3">
        <v>0.183258146374831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55</v>
      </c>
      <c r="D152" s="3">
        <v>0.02551020408163265</v>
      </c>
      <c r="E152" s="3">
        <v>0.183258146374831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55</v>
      </c>
      <c r="D153" s="3">
        <v>0.02551020408163265</v>
      </c>
      <c r="E153" s="3">
        <v>0.183258146374831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55</v>
      </c>
      <c r="D154" s="3">
        <v>0.02551020408163265</v>
      </c>
      <c r="E154" s="3">
        <v>0.183258146374831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55</v>
      </c>
      <c r="D155" s="3">
        <v>0.02551020408163265</v>
      </c>
      <c r="E155" s="3">
        <v>0.183258146374831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55</v>
      </c>
      <c r="D156" s="3">
        <v>0.02551020408163265</v>
      </c>
      <c r="E156" s="3">
        <v>0.183258146374831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55</v>
      </c>
      <c r="D157" s="3">
        <v>0.02551020408163265</v>
      </c>
      <c r="E157" s="3">
        <v>0.183258146374831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55</v>
      </c>
      <c r="D158" s="3">
        <v>0.02551020408163265</v>
      </c>
      <c r="E158" s="3">
        <v>0.183258146374831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55</v>
      </c>
      <c r="D159" s="3">
        <v>0.02551020408163265</v>
      </c>
      <c r="E159" s="3">
        <v>0.183258146374831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72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55</v>
      </c>
      <c r="D162" s="3"/>
      <c r="E162" s="3">
        <v>0.068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55</v>
      </c>
      <c r="D163" s="3"/>
      <c r="E163" s="3">
        <v>0.068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55</v>
      </c>
      <c r="D164" s="3"/>
      <c r="E164" s="3">
        <v>0.068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55</v>
      </c>
      <c r="D165" s="3"/>
      <c r="E165" s="3">
        <v>0.068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55</v>
      </c>
      <c r="D166" s="3"/>
      <c r="E166" s="3">
        <v>0.068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55</v>
      </c>
      <c r="D167" s="3"/>
      <c r="E167" s="3">
        <v>0.068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55</v>
      </c>
      <c r="D168" s="3"/>
      <c r="E168" s="3">
        <v>0.068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55</v>
      </c>
      <c r="D169" s="3"/>
      <c r="E169" s="3">
        <v>0.068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55</v>
      </c>
      <c r="D170" s="3"/>
      <c r="E170" s="3">
        <v>0.068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55</v>
      </c>
      <c r="D171" s="3"/>
      <c r="E171" s="3">
        <v>0.068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55</v>
      </c>
      <c r="D172" s="3"/>
      <c r="E172" s="3">
        <v>0.068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55</v>
      </c>
      <c r="D173" s="3"/>
      <c r="E173" s="3">
        <v>0.068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55</v>
      </c>
      <c r="D174" s="3"/>
      <c r="E174" s="3">
        <v>0.068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55</v>
      </c>
      <c r="D175" s="3"/>
      <c r="E175" s="3">
        <v>0.068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73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55</v>
      </c>
      <c r="D178" s="3"/>
      <c r="E178" s="3">
        <v>0.03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55</v>
      </c>
      <c r="D179" s="3"/>
      <c r="E179" s="3">
        <v>0.03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55</v>
      </c>
      <c r="D180" s="3"/>
      <c r="E180" s="3">
        <v>0.03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55</v>
      </c>
      <c r="D181" s="3"/>
      <c r="E181" s="3">
        <v>0.03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55</v>
      </c>
      <c r="D182" s="3"/>
      <c r="E182" s="3">
        <v>0.03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55</v>
      </c>
      <c r="D183" s="3"/>
      <c r="E183" s="3">
        <v>0.03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55</v>
      </c>
      <c r="D184" s="3"/>
      <c r="E184" s="3">
        <v>0.03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55</v>
      </c>
      <c r="D185" s="3"/>
      <c r="E185" s="3">
        <v>0.03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55</v>
      </c>
      <c r="D186" s="3"/>
      <c r="E186" s="3">
        <v>0.03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55</v>
      </c>
      <c r="D187" s="3"/>
      <c r="E187" s="3">
        <v>0.03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55</v>
      </c>
      <c r="D188" s="3"/>
      <c r="E188" s="3">
        <v>0.03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55</v>
      </c>
      <c r="D189" s="3"/>
      <c r="E189" s="3">
        <v>0.03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55</v>
      </c>
      <c r="D190" s="3"/>
      <c r="E190" s="3">
        <v>0.03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55</v>
      </c>
      <c r="D191" s="3"/>
      <c r="E191" s="3">
        <v>0.03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74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55</v>
      </c>
      <c r="D194" s="3"/>
      <c r="E194" s="3">
        <v>0.138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55</v>
      </c>
      <c r="D195" s="3"/>
      <c r="E195" s="3">
        <v>0.138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55</v>
      </c>
      <c r="D196" s="3"/>
      <c r="E196" s="3">
        <v>0.138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55</v>
      </c>
      <c r="D197" s="3"/>
      <c r="E197" s="3">
        <v>0.138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55</v>
      </c>
      <c r="D198" s="3"/>
      <c r="E198" s="3">
        <v>0.138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55</v>
      </c>
      <c r="D199" s="3"/>
      <c r="E199" s="3">
        <v>0.138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55</v>
      </c>
      <c r="D200" s="3"/>
      <c r="E200" s="3">
        <v>0.138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55</v>
      </c>
      <c r="D201" s="3"/>
      <c r="E201" s="3">
        <v>0.138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55</v>
      </c>
      <c r="D202" s="3"/>
      <c r="E202" s="3">
        <v>0.138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55</v>
      </c>
      <c r="D203" s="3"/>
      <c r="E203" s="3">
        <v>0.138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55</v>
      </c>
      <c r="D204" s="3"/>
      <c r="E204" s="3">
        <v>0.138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55</v>
      </c>
      <c r="D205" s="3"/>
      <c r="E205" s="3">
        <v>0.138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55</v>
      </c>
      <c r="D206" s="3"/>
      <c r="E206" s="3">
        <v>0.138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55</v>
      </c>
      <c r="D207" s="3"/>
      <c r="E207" s="3">
        <v>0.138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75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C210" t="s">
        <v>55</v>
      </c>
      <c r="D210" s="3"/>
      <c r="E210" s="3">
        <v>0.3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C211" t="s">
        <v>55</v>
      </c>
      <c r="D211" s="3"/>
      <c r="E211" s="3">
        <v>0.3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C212" t="s">
        <v>55</v>
      </c>
      <c r="D212" s="3"/>
      <c r="E212" s="3">
        <v>0.3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C213" t="s">
        <v>55</v>
      </c>
      <c r="D213" s="3"/>
      <c r="E213" s="3">
        <v>0.3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C214" t="s">
        <v>55</v>
      </c>
      <c r="D214" s="3"/>
      <c r="E214" s="3">
        <v>0.3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C215" t="s">
        <v>55</v>
      </c>
      <c r="D215" s="3"/>
      <c r="E215" s="3">
        <v>0.3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C216" t="s">
        <v>55</v>
      </c>
      <c r="D216" s="3"/>
      <c r="E216" s="3">
        <v>0.3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C217" t="s">
        <v>55</v>
      </c>
      <c r="D217" s="3"/>
      <c r="E217" s="3">
        <v>0.3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C218" t="s">
        <v>55</v>
      </c>
      <c r="D218" s="3"/>
      <c r="E218" s="3">
        <v>0.3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C219" t="s">
        <v>55</v>
      </c>
      <c r="D219" s="3"/>
      <c r="E219" s="3">
        <v>0.3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C220" t="s">
        <v>55</v>
      </c>
      <c r="D220" s="3"/>
      <c r="E220" s="3">
        <v>0.3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C221" t="s">
        <v>55</v>
      </c>
      <c r="D221" s="3"/>
      <c r="E221" s="3">
        <v>0.3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C222" t="s">
        <v>55</v>
      </c>
      <c r="D222" s="3"/>
      <c r="E222" s="3">
        <v>0.3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C223" t="s">
        <v>55</v>
      </c>
      <c r="D223" s="3"/>
      <c r="E223" s="3">
        <v>0.3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76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C226" t="s">
        <v>55</v>
      </c>
      <c r="D226" s="3"/>
      <c r="E226" s="3">
        <v>0.09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C227" t="s">
        <v>55</v>
      </c>
      <c r="D227" s="3"/>
      <c r="E227" s="3">
        <v>0.09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C228" t="s">
        <v>55</v>
      </c>
      <c r="D228" s="3"/>
      <c r="E228" s="3">
        <v>0.09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C229" t="s">
        <v>55</v>
      </c>
      <c r="D229" s="3"/>
      <c r="E229" s="3">
        <v>0.09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C230" t="s">
        <v>55</v>
      </c>
      <c r="D230" s="3"/>
      <c r="E230" s="3">
        <v>0.09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C231" t="s">
        <v>55</v>
      </c>
      <c r="D231" s="3"/>
      <c r="E231" s="3">
        <v>0.09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C232" t="s">
        <v>55</v>
      </c>
      <c r="D232" s="3"/>
      <c r="E232" s="3">
        <v>0.09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C233" t="s">
        <v>55</v>
      </c>
      <c r="D233" s="3"/>
      <c r="E233" s="3">
        <v>0.09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C234" t="s">
        <v>55</v>
      </c>
      <c r="D234" s="3"/>
      <c r="E234" s="3">
        <v>0.09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C235" t="s">
        <v>55</v>
      </c>
      <c r="D235" s="3"/>
      <c r="E235" s="3">
        <v>0.09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C236" t="s">
        <v>55</v>
      </c>
      <c r="D236" s="3"/>
      <c r="E236" s="3">
        <v>0.09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C237" t="s">
        <v>55</v>
      </c>
      <c r="D237" s="3"/>
      <c r="E237" s="3">
        <v>0.09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C238" t="s">
        <v>55</v>
      </c>
      <c r="D238" s="3"/>
      <c r="E238" s="3">
        <v>0.09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C239" t="s">
        <v>55</v>
      </c>
      <c r="D239" s="3"/>
      <c r="E239" s="3">
        <v>0.09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77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C242" t="s">
        <v>55</v>
      </c>
      <c r="D242" s="3"/>
      <c r="E242" s="3">
        <v>0.03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C243" t="s">
        <v>55</v>
      </c>
      <c r="D243" s="3"/>
      <c r="E243" s="3">
        <v>0.03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C244" t="s">
        <v>55</v>
      </c>
      <c r="D244" s="3"/>
      <c r="E244" s="3">
        <v>0.03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C245" t="s">
        <v>55</v>
      </c>
      <c r="D245" s="3"/>
      <c r="E245" s="3">
        <v>0.03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C246" t="s">
        <v>55</v>
      </c>
      <c r="D246" s="3"/>
      <c r="E246" s="3">
        <v>0.03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C247" t="s">
        <v>55</v>
      </c>
      <c r="D247" s="3"/>
      <c r="E247" s="3">
        <v>0.03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C248" t="s">
        <v>55</v>
      </c>
      <c r="D248" s="3"/>
      <c r="E248" s="3">
        <v>0.03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C249" t="s">
        <v>55</v>
      </c>
      <c r="D249" s="3"/>
      <c r="E249" s="3">
        <v>0.03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C250" t="s">
        <v>55</v>
      </c>
      <c r="D250" s="3"/>
      <c r="E250" s="3">
        <v>0.03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C251" t="s">
        <v>55</v>
      </c>
      <c r="D251" s="3"/>
      <c r="E251" s="3">
        <v>0.03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C252" t="s">
        <v>55</v>
      </c>
      <c r="D252" s="3"/>
      <c r="E252" s="3">
        <v>0.03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C253" t="s">
        <v>55</v>
      </c>
      <c r="D253" s="3"/>
      <c r="E253" s="3">
        <v>0.03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C254" t="s">
        <v>55</v>
      </c>
      <c r="D254" s="3"/>
      <c r="E254" s="3">
        <v>0.03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C255" t="s">
        <v>55</v>
      </c>
      <c r="D255" s="3"/>
      <c r="E255" s="3">
        <v>0.03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78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C258" t="s">
        <v>58</v>
      </c>
      <c r="D258" s="3"/>
      <c r="E258" s="3">
        <v>0.5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C259" t="s">
        <v>58</v>
      </c>
      <c r="D259" s="3"/>
      <c r="E259" s="3">
        <v>0.5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C260" t="s">
        <v>58</v>
      </c>
      <c r="D260" s="3"/>
      <c r="E260" s="3">
        <v>0.5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C261" t="s">
        <v>58</v>
      </c>
      <c r="D261" s="3"/>
      <c r="E261" s="3">
        <v>0.5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C262" t="s">
        <v>58</v>
      </c>
      <c r="D262" s="3"/>
      <c r="E262" s="3">
        <v>0.5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C263" t="s">
        <v>58</v>
      </c>
      <c r="D263" s="3"/>
      <c r="E263" s="3">
        <v>0.5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C264" t="s">
        <v>58</v>
      </c>
      <c r="D264" s="3"/>
      <c r="E264" s="3">
        <v>0.5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C265" t="s">
        <v>58</v>
      </c>
      <c r="D265" s="3"/>
      <c r="E265" s="3">
        <v>0.5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C266" t="s">
        <v>58</v>
      </c>
      <c r="D266" s="3"/>
      <c r="E266" s="3">
        <v>0.5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C267" t="s">
        <v>58</v>
      </c>
      <c r="D267" s="3"/>
      <c r="E267" s="3">
        <v>0.5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C268" t="s">
        <v>58</v>
      </c>
      <c r="D268" s="3"/>
      <c r="E268" s="3">
        <v>0.5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C269" t="s">
        <v>58</v>
      </c>
      <c r="D269" s="3"/>
      <c r="E269" s="3">
        <v>0.5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C270" t="s">
        <v>58</v>
      </c>
      <c r="D270" s="3"/>
      <c r="E270" s="3">
        <v>0.5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C271" t="s">
        <v>58</v>
      </c>
      <c r="D271" s="3"/>
      <c r="E271" s="3">
        <v>0.5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79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58</v>
      </c>
      <c r="D274" s="3"/>
      <c r="E274" s="3">
        <v>0.5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58</v>
      </c>
      <c r="D275" s="3"/>
      <c r="E275" s="3">
        <v>0.5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58</v>
      </c>
      <c r="D276" s="3"/>
      <c r="E276" s="3">
        <v>0.5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58</v>
      </c>
      <c r="D277" s="3"/>
      <c r="E277" s="3">
        <v>0.5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58</v>
      </c>
      <c r="D278" s="3"/>
      <c r="E278" s="3">
        <v>0.5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58</v>
      </c>
      <c r="D279" s="3"/>
      <c r="E279" s="3">
        <v>0.5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58</v>
      </c>
      <c r="D280" s="3"/>
      <c r="E280" s="3">
        <v>0.5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58</v>
      </c>
      <c r="D281" s="3"/>
      <c r="E281" s="3">
        <v>0.5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58</v>
      </c>
      <c r="D282" s="3"/>
      <c r="E282" s="3">
        <v>0.5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58</v>
      </c>
      <c r="D283" s="3"/>
      <c r="E283" s="3">
        <v>0.5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58</v>
      </c>
      <c r="D284" s="3"/>
      <c r="E284" s="3">
        <v>0.5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58</v>
      </c>
      <c r="D285" s="3"/>
      <c r="E285" s="3">
        <v>0.5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58</v>
      </c>
      <c r="D286" s="3"/>
      <c r="E286" s="3">
        <v>0.5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58</v>
      </c>
      <c r="D287" s="3"/>
      <c r="E287" s="3">
        <v>0.5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30">
    <cfRule type="expression" dxfId="0" priority="225">
      <formula>COUNTIF(G130:BE130,"&lt;&gt;" &amp; "")&gt;0</formula>
    </cfRule>
    <cfRule type="expression" dxfId="1" priority="226">
      <formula>AND(COUNTIF(G130:BE130,"&lt;&gt;" &amp; "")&gt;0,NOT(ISBLANK(E130)))</formula>
    </cfRule>
  </conditionalFormatting>
  <conditionalFormatting sqref="E131">
    <cfRule type="expression" dxfId="0" priority="227">
      <formula>COUNTIF(G131:BE131,"&lt;&gt;" &amp; "")&gt;0</formula>
    </cfRule>
    <cfRule type="expression" dxfId="1" priority="228">
      <formula>AND(COUNTIF(G131:BE131,"&lt;&gt;" &amp; "")&gt;0,NOT(ISBLANK(E131)))</formula>
    </cfRule>
  </conditionalFormatting>
  <conditionalFormatting sqref="E132">
    <cfRule type="expression" dxfId="0" priority="229">
      <formula>COUNTIF(G132:BE132,"&lt;&gt;" &amp; "")&gt;0</formula>
    </cfRule>
    <cfRule type="expression" dxfId="1" priority="230">
      <formula>AND(COUNTIF(G132:BE132,"&lt;&gt;" &amp; "")&gt;0,NOT(ISBLANK(E132)))</formula>
    </cfRule>
  </conditionalFormatting>
  <conditionalFormatting sqref="E133">
    <cfRule type="expression" dxfId="0" priority="231">
      <formula>COUNTIF(G133:BE133,"&lt;&gt;" &amp; "")&gt;0</formula>
    </cfRule>
    <cfRule type="expression" dxfId="1" priority="232">
      <formula>AND(COUNTIF(G133:BE133,"&lt;&gt;" &amp; "")&gt;0,NOT(ISBLANK(E133)))</formula>
    </cfRule>
  </conditionalFormatting>
  <conditionalFormatting sqref="E134">
    <cfRule type="expression" dxfId="0" priority="233">
      <formula>COUNTIF(G134:BE134,"&lt;&gt;" &amp; "")&gt;0</formula>
    </cfRule>
    <cfRule type="expression" dxfId="1" priority="234">
      <formula>AND(COUNTIF(G134:BE134,"&lt;&gt;" &amp; "")&gt;0,NOT(ISBLANK(E134)))</formula>
    </cfRule>
  </conditionalFormatting>
  <conditionalFormatting sqref="E135">
    <cfRule type="expression" dxfId="0" priority="235">
      <formula>COUNTIF(G135:BE135,"&lt;&gt;" &amp; "")&gt;0</formula>
    </cfRule>
    <cfRule type="expression" dxfId="1" priority="236">
      <formula>AND(COUNTIF(G135:BE135,"&lt;&gt;" &amp; "")&gt;0,NOT(ISBLANK(E135)))</formula>
    </cfRule>
  </conditionalFormatting>
  <conditionalFormatting sqref="E136">
    <cfRule type="expression" dxfId="0" priority="237">
      <formula>COUNTIF(G136:BE136,"&lt;&gt;" &amp; "")&gt;0</formula>
    </cfRule>
    <cfRule type="expression" dxfId="1" priority="238">
      <formula>AND(COUNTIF(G136:BE136,"&lt;&gt;" &amp; "")&gt;0,NOT(ISBLANK(E136)))</formula>
    </cfRule>
  </conditionalFormatting>
  <conditionalFormatting sqref="E137">
    <cfRule type="expression" dxfId="0" priority="239">
      <formula>COUNTIF(G137:BE137,"&lt;&gt;" &amp; "")&gt;0</formula>
    </cfRule>
    <cfRule type="expression" dxfId="1" priority="240">
      <formula>AND(COUNTIF(G137:BE137,"&lt;&gt;" &amp; "")&gt;0,NOT(ISBLANK(E137)))</formula>
    </cfRule>
  </conditionalFormatting>
  <conditionalFormatting sqref="E138">
    <cfRule type="expression" dxfId="0" priority="241">
      <formula>COUNTIF(G138:BE138,"&lt;&gt;" &amp; "")&gt;0</formula>
    </cfRule>
    <cfRule type="expression" dxfId="1" priority="242">
      <formula>AND(COUNTIF(G138:BE138,"&lt;&gt;" &amp; "")&gt;0,NOT(ISBLANK(E138)))</formula>
    </cfRule>
  </conditionalFormatting>
  <conditionalFormatting sqref="E139">
    <cfRule type="expression" dxfId="0" priority="243">
      <formula>COUNTIF(G139:BE139,"&lt;&gt;" &amp; "")&gt;0</formula>
    </cfRule>
    <cfRule type="expression" dxfId="1" priority="244">
      <formula>AND(COUNTIF(G139:BE139,"&lt;&gt;" &amp; "")&gt;0,NOT(ISBLANK(E139)))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40">
    <cfRule type="expression" dxfId="0" priority="245">
      <formula>COUNTIF(G140:BE140,"&lt;&gt;" &amp; "")&gt;0</formula>
    </cfRule>
    <cfRule type="expression" dxfId="1" priority="246">
      <formula>AND(COUNTIF(G140:BE140,"&lt;&gt;" &amp; "")&gt;0,NOT(ISBLANK(E140)))</formula>
    </cfRule>
  </conditionalFormatting>
  <conditionalFormatting sqref="E141">
    <cfRule type="expression" dxfId="0" priority="247">
      <formula>COUNTIF(G141:BE141,"&lt;&gt;" &amp; "")&gt;0</formula>
    </cfRule>
    <cfRule type="expression" dxfId="1" priority="248">
      <formula>AND(COUNTIF(G141:BE141,"&lt;&gt;" &amp; "")&gt;0,NOT(ISBLANK(E141)))</formula>
    </cfRule>
  </conditionalFormatting>
  <conditionalFormatting sqref="E142">
    <cfRule type="expression" dxfId="0" priority="249">
      <formula>COUNTIF(G142:BE142,"&lt;&gt;" &amp; "")&gt;0</formula>
    </cfRule>
    <cfRule type="expression" dxfId="1" priority="250">
      <formula>AND(COUNTIF(G142:BE142,"&lt;&gt;" &amp; "")&gt;0,NOT(ISBLANK(E142)))</formula>
    </cfRule>
  </conditionalFormatting>
  <conditionalFormatting sqref="E143">
    <cfRule type="expression" dxfId="0" priority="251">
      <formula>COUNTIF(G143:BE143,"&lt;&gt;" &amp; "")&gt;0</formula>
    </cfRule>
    <cfRule type="expression" dxfId="1" priority="252">
      <formula>AND(COUNTIF(G143:BE143,"&lt;&gt;" &amp; "")&gt;0,NOT(ISBLANK(E143)))</formula>
    </cfRule>
  </conditionalFormatting>
  <conditionalFormatting sqref="E146">
    <cfRule type="expression" dxfId="0" priority="253">
      <formula>COUNTIF(G146:BE146,"&lt;&gt;" &amp; "")&gt;0</formula>
    </cfRule>
    <cfRule type="expression" dxfId="1" priority="254">
      <formula>AND(COUNTIF(G146:BE146,"&lt;&gt;" &amp; "")&gt;0,NOT(ISBLANK(E146)))</formula>
    </cfRule>
  </conditionalFormatting>
  <conditionalFormatting sqref="E147">
    <cfRule type="expression" dxfId="0" priority="255">
      <formula>COUNTIF(G147:BE147,"&lt;&gt;" &amp; "")&gt;0</formula>
    </cfRule>
    <cfRule type="expression" dxfId="1" priority="256">
      <formula>AND(COUNTIF(G147:BE147,"&lt;&gt;" &amp; "")&gt;0,NOT(ISBLANK(E147)))</formula>
    </cfRule>
  </conditionalFormatting>
  <conditionalFormatting sqref="E148">
    <cfRule type="expression" dxfId="0" priority="257">
      <formula>COUNTIF(G148:BE148,"&lt;&gt;" &amp; "")&gt;0</formula>
    </cfRule>
    <cfRule type="expression" dxfId="1" priority="258">
      <formula>AND(COUNTIF(G148:BE148,"&lt;&gt;" &amp; "")&gt;0,NOT(ISBLANK(E148)))</formula>
    </cfRule>
  </conditionalFormatting>
  <conditionalFormatting sqref="E149">
    <cfRule type="expression" dxfId="0" priority="259">
      <formula>COUNTIF(G149:BE149,"&lt;&gt;" &amp; "")&gt;0</formula>
    </cfRule>
    <cfRule type="expression" dxfId="1" priority="260">
      <formula>AND(COUNTIF(G149:BE149,"&lt;&gt;" &amp; "")&gt;0,NOT(ISBLANK(E149)))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50">
    <cfRule type="expression" dxfId="0" priority="261">
      <formula>COUNTIF(G150:BE150,"&lt;&gt;" &amp; "")&gt;0</formula>
    </cfRule>
    <cfRule type="expression" dxfId="1" priority="262">
      <formula>AND(COUNTIF(G150:BE150,"&lt;&gt;" &amp; "")&gt;0,NOT(ISBLANK(E150)))</formula>
    </cfRule>
  </conditionalFormatting>
  <conditionalFormatting sqref="E151">
    <cfRule type="expression" dxfId="0" priority="263">
      <formula>COUNTIF(G151:BE151,"&lt;&gt;" &amp; "")&gt;0</formula>
    </cfRule>
    <cfRule type="expression" dxfId="1" priority="264">
      <formula>AND(COUNTIF(G151:BE151,"&lt;&gt;" &amp; "")&gt;0,NOT(ISBLANK(E151)))</formula>
    </cfRule>
  </conditionalFormatting>
  <conditionalFormatting sqref="E152">
    <cfRule type="expression" dxfId="0" priority="265">
      <formula>COUNTIF(G152:BE152,"&lt;&gt;" &amp; "")&gt;0</formula>
    </cfRule>
    <cfRule type="expression" dxfId="1" priority="266">
      <formula>AND(COUNTIF(G152:BE152,"&lt;&gt;" &amp; "")&gt;0,NOT(ISBLANK(E152)))</formula>
    </cfRule>
  </conditionalFormatting>
  <conditionalFormatting sqref="E153">
    <cfRule type="expression" dxfId="0" priority="267">
      <formula>COUNTIF(G153:BE153,"&lt;&gt;" &amp; "")&gt;0</formula>
    </cfRule>
    <cfRule type="expression" dxfId="1" priority="268">
      <formula>AND(COUNTIF(G153:BE153,"&lt;&gt;" &amp; "")&gt;0,NOT(ISBLANK(E153)))</formula>
    </cfRule>
  </conditionalFormatting>
  <conditionalFormatting sqref="E154">
    <cfRule type="expression" dxfId="0" priority="269">
      <formula>COUNTIF(G154:BE154,"&lt;&gt;" &amp; "")&gt;0</formula>
    </cfRule>
    <cfRule type="expression" dxfId="1" priority="270">
      <formula>AND(COUNTIF(G154:BE154,"&lt;&gt;" &amp; "")&gt;0,NOT(ISBLANK(E154)))</formula>
    </cfRule>
  </conditionalFormatting>
  <conditionalFormatting sqref="E155">
    <cfRule type="expression" dxfId="0" priority="271">
      <formula>COUNTIF(G155:BE155,"&lt;&gt;" &amp; "")&gt;0</formula>
    </cfRule>
    <cfRule type="expression" dxfId="1" priority="272">
      <formula>AND(COUNTIF(G155:BE155,"&lt;&gt;" &amp; "")&gt;0,NOT(ISBLANK(E155)))</formula>
    </cfRule>
  </conditionalFormatting>
  <conditionalFormatting sqref="E156">
    <cfRule type="expression" dxfId="0" priority="273">
      <formula>COUNTIF(G156:BE156,"&lt;&gt;" &amp; "")&gt;0</formula>
    </cfRule>
    <cfRule type="expression" dxfId="1" priority="274">
      <formula>AND(COUNTIF(G156:BE156,"&lt;&gt;" &amp; "")&gt;0,NOT(ISBLANK(E156)))</formula>
    </cfRule>
  </conditionalFormatting>
  <conditionalFormatting sqref="E157">
    <cfRule type="expression" dxfId="0" priority="275">
      <formula>COUNTIF(G157:BE157,"&lt;&gt;" &amp; "")&gt;0</formula>
    </cfRule>
    <cfRule type="expression" dxfId="1" priority="276">
      <formula>AND(COUNTIF(G157:BE157,"&lt;&gt;" &amp; "")&gt;0,NOT(ISBLANK(E157)))</formula>
    </cfRule>
  </conditionalFormatting>
  <conditionalFormatting sqref="E158">
    <cfRule type="expression" dxfId="0" priority="277">
      <formula>COUNTIF(G158:BE158,"&lt;&gt;" &amp; "")&gt;0</formula>
    </cfRule>
    <cfRule type="expression" dxfId="1" priority="278">
      <formula>AND(COUNTIF(G158:BE158,"&lt;&gt;" &amp; "")&gt;0,NOT(ISBLANK(E158)))</formula>
    </cfRule>
  </conditionalFormatting>
  <conditionalFormatting sqref="E159">
    <cfRule type="expression" dxfId="0" priority="279">
      <formula>COUNTIF(G159:BE159,"&lt;&gt;" &amp; "")&gt;0</formula>
    </cfRule>
    <cfRule type="expression" dxfId="1" priority="280">
      <formula>AND(COUNTIF(G159:BE159,"&lt;&gt;" &amp; "")&gt;0,NOT(ISBLANK(E159)))</formula>
    </cfRule>
  </conditionalFormatting>
  <conditionalFormatting sqref="E162">
    <cfRule type="expression" dxfId="0" priority="281">
      <formula>COUNTIF(G162:BE162,"&lt;&gt;" &amp; "")&gt;0</formula>
    </cfRule>
    <cfRule type="expression" dxfId="1" priority="282">
      <formula>AND(COUNTIF(G162:BE162,"&lt;&gt;" &amp; "")&gt;0,NOT(ISBLANK(E162)))</formula>
    </cfRule>
  </conditionalFormatting>
  <conditionalFormatting sqref="E163">
    <cfRule type="expression" dxfId="0" priority="283">
      <formula>COUNTIF(G163:BE163,"&lt;&gt;" &amp; "")&gt;0</formula>
    </cfRule>
    <cfRule type="expression" dxfId="1" priority="284">
      <formula>AND(COUNTIF(G163:BE163,"&lt;&gt;" &amp; "")&gt;0,NOT(ISBLANK(E163)))</formula>
    </cfRule>
  </conditionalFormatting>
  <conditionalFormatting sqref="E164">
    <cfRule type="expression" dxfId="0" priority="285">
      <formula>COUNTIF(G164:BE164,"&lt;&gt;" &amp; "")&gt;0</formula>
    </cfRule>
    <cfRule type="expression" dxfId="1" priority="286">
      <formula>AND(COUNTIF(G164:BE164,"&lt;&gt;" &amp; "")&gt;0,NOT(ISBLANK(E164)))</formula>
    </cfRule>
  </conditionalFormatting>
  <conditionalFormatting sqref="E165">
    <cfRule type="expression" dxfId="0" priority="287">
      <formula>COUNTIF(G165:BE165,"&lt;&gt;" &amp; "")&gt;0</formula>
    </cfRule>
    <cfRule type="expression" dxfId="1" priority="288">
      <formula>AND(COUNTIF(G165:BE165,"&lt;&gt;" &amp; "")&gt;0,NOT(ISBLANK(E165)))</formula>
    </cfRule>
  </conditionalFormatting>
  <conditionalFormatting sqref="E166">
    <cfRule type="expression" dxfId="0" priority="289">
      <formula>COUNTIF(G166:BE166,"&lt;&gt;" &amp; "")&gt;0</formula>
    </cfRule>
    <cfRule type="expression" dxfId="1" priority="290">
      <formula>AND(COUNTIF(G166:BE166,"&lt;&gt;" &amp; "")&gt;0,NOT(ISBLANK(E166)))</formula>
    </cfRule>
  </conditionalFormatting>
  <conditionalFormatting sqref="E167">
    <cfRule type="expression" dxfId="0" priority="291">
      <formula>COUNTIF(G167:BE167,"&lt;&gt;" &amp; "")&gt;0</formula>
    </cfRule>
    <cfRule type="expression" dxfId="1" priority="292">
      <formula>AND(COUNTIF(G167:BE167,"&lt;&gt;" &amp; "")&gt;0,NOT(ISBLANK(E167)))</formula>
    </cfRule>
  </conditionalFormatting>
  <conditionalFormatting sqref="E168">
    <cfRule type="expression" dxfId="0" priority="293">
      <formula>COUNTIF(G168:BE168,"&lt;&gt;" &amp; "")&gt;0</formula>
    </cfRule>
    <cfRule type="expression" dxfId="1" priority="294">
      <formula>AND(COUNTIF(G168:BE168,"&lt;&gt;" &amp; "")&gt;0,NOT(ISBLANK(E168)))</formula>
    </cfRule>
  </conditionalFormatting>
  <conditionalFormatting sqref="E169">
    <cfRule type="expression" dxfId="0" priority="295">
      <formula>COUNTIF(G169:BE169,"&lt;&gt;" &amp; "")&gt;0</formula>
    </cfRule>
    <cfRule type="expression" dxfId="1" priority="296">
      <formula>AND(COUNTIF(G169:BE169,"&lt;&gt;" &amp; "")&gt;0,NOT(ISBLANK(E169)))</formula>
    </cfRule>
  </conditionalFormatting>
  <conditionalFormatting sqref="E170">
    <cfRule type="expression" dxfId="0" priority="297">
      <formula>COUNTIF(G170:BE170,"&lt;&gt;" &amp; "")&gt;0</formula>
    </cfRule>
    <cfRule type="expression" dxfId="1" priority="298">
      <formula>AND(COUNTIF(G170:BE170,"&lt;&gt;" &amp; "")&gt;0,NOT(ISBLANK(E170)))</formula>
    </cfRule>
  </conditionalFormatting>
  <conditionalFormatting sqref="E171">
    <cfRule type="expression" dxfId="0" priority="299">
      <formula>COUNTIF(G171:BE171,"&lt;&gt;" &amp; "")&gt;0</formula>
    </cfRule>
    <cfRule type="expression" dxfId="1" priority="300">
      <formula>AND(COUNTIF(G171:BE171,"&lt;&gt;" &amp; "")&gt;0,NOT(ISBLANK(E171)))</formula>
    </cfRule>
  </conditionalFormatting>
  <conditionalFormatting sqref="E172">
    <cfRule type="expression" dxfId="0" priority="301">
      <formula>COUNTIF(G172:BE172,"&lt;&gt;" &amp; "")&gt;0</formula>
    </cfRule>
    <cfRule type="expression" dxfId="1" priority="302">
      <formula>AND(COUNTIF(G172:BE172,"&lt;&gt;" &amp; "")&gt;0,NOT(ISBLANK(E172)))</formula>
    </cfRule>
  </conditionalFormatting>
  <conditionalFormatting sqref="E173">
    <cfRule type="expression" dxfId="0" priority="303">
      <formula>COUNTIF(G173:BE173,"&lt;&gt;" &amp; "")&gt;0</formula>
    </cfRule>
    <cfRule type="expression" dxfId="1" priority="304">
      <formula>AND(COUNTIF(G173:BE173,"&lt;&gt;" &amp; "")&gt;0,NOT(ISBLANK(E173)))</formula>
    </cfRule>
  </conditionalFormatting>
  <conditionalFormatting sqref="E174">
    <cfRule type="expression" dxfId="0" priority="305">
      <formula>COUNTIF(G174:BE174,"&lt;&gt;" &amp; "")&gt;0</formula>
    </cfRule>
    <cfRule type="expression" dxfId="1" priority="306">
      <formula>AND(COUNTIF(G174:BE174,"&lt;&gt;" &amp; "")&gt;0,NOT(ISBLANK(E174)))</formula>
    </cfRule>
  </conditionalFormatting>
  <conditionalFormatting sqref="E175">
    <cfRule type="expression" dxfId="0" priority="307">
      <formula>COUNTIF(G175:BE175,"&lt;&gt;" &amp; "")&gt;0</formula>
    </cfRule>
    <cfRule type="expression" dxfId="1" priority="308">
      <formula>AND(COUNTIF(G175:BE175,"&lt;&gt;" &amp; "")&gt;0,NOT(ISBLANK(E175)))</formula>
    </cfRule>
  </conditionalFormatting>
  <conditionalFormatting sqref="E178">
    <cfRule type="expression" dxfId="0" priority="309">
      <formula>COUNTIF(G178:BE178,"&lt;&gt;" &amp; "")&gt;0</formula>
    </cfRule>
    <cfRule type="expression" dxfId="1" priority="310">
      <formula>AND(COUNTIF(G178:BE178,"&lt;&gt;" &amp; "")&gt;0,NOT(ISBLANK(E178)))</formula>
    </cfRule>
  </conditionalFormatting>
  <conditionalFormatting sqref="E179">
    <cfRule type="expression" dxfId="0" priority="311">
      <formula>COUNTIF(G179:BE179,"&lt;&gt;" &amp; "")&gt;0</formula>
    </cfRule>
    <cfRule type="expression" dxfId="1" priority="312">
      <formula>AND(COUNTIF(G179:BE179,"&lt;&gt;" &amp; "")&gt;0,NOT(ISBLANK(E179)))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80">
    <cfRule type="expression" dxfId="0" priority="313">
      <formula>COUNTIF(G180:BE180,"&lt;&gt;" &amp; "")&gt;0</formula>
    </cfRule>
    <cfRule type="expression" dxfId="1" priority="314">
      <formula>AND(COUNTIF(G180:BE180,"&lt;&gt;" &amp; "")&gt;0,NOT(ISBLANK(E180)))</formula>
    </cfRule>
  </conditionalFormatting>
  <conditionalFormatting sqref="E181">
    <cfRule type="expression" dxfId="0" priority="315">
      <formula>COUNTIF(G181:BE181,"&lt;&gt;" &amp; "")&gt;0</formula>
    </cfRule>
    <cfRule type="expression" dxfId="1" priority="316">
      <formula>AND(COUNTIF(G181:BE181,"&lt;&gt;" &amp; "")&gt;0,NOT(ISBLANK(E181)))</formula>
    </cfRule>
  </conditionalFormatting>
  <conditionalFormatting sqref="E182">
    <cfRule type="expression" dxfId="0" priority="317">
      <formula>COUNTIF(G182:BE182,"&lt;&gt;" &amp; "")&gt;0</formula>
    </cfRule>
    <cfRule type="expression" dxfId="1" priority="318">
      <formula>AND(COUNTIF(G182:BE182,"&lt;&gt;" &amp; "")&gt;0,NOT(ISBLANK(E182)))</formula>
    </cfRule>
  </conditionalFormatting>
  <conditionalFormatting sqref="E183">
    <cfRule type="expression" dxfId="0" priority="319">
      <formula>COUNTIF(G183:BE183,"&lt;&gt;" &amp; "")&gt;0</formula>
    </cfRule>
    <cfRule type="expression" dxfId="1" priority="320">
      <formula>AND(COUNTIF(G183:BE183,"&lt;&gt;" &amp; "")&gt;0,NOT(ISBLANK(E183)))</formula>
    </cfRule>
  </conditionalFormatting>
  <conditionalFormatting sqref="E184">
    <cfRule type="expression" dxfId="0" priority="321">
      <formula>COUNTIF(G184:BE184,"&lt;&gt;" &amp; "")&gt;0</formula>
    </cfRule>
    <cfRule type="expression" dxfId="1" priority="322">
      <formula>AND(COUNTIF(G184:BE184,"&lt;&gt;" &amp; "")&gt;0,NOT(ISBLANK(E184)))</formula>
    </cfRule>
  </conditionalFormatting>
  <conditionalFormatting sqref="E185">
    <cfRule type="expression" dxfId="0" priority="323">
      <formula>COUNTIF(G185:BE185,"&lt;&gt;" &amp; "")&gt;0</formula>
    </cfRule>
    <cfRule type="expression" dxfId="1" priority="324">
      <formula>AND(COUNTIF(G185:BE185,"&lt;&gt;" &amp; "")&gt;0,NOT(ISBLANK(E185)))</formula>
    </cfRule>
  </conditionalFormatting>
  <conditionalFormatting sqref="E186">
    <cfRule type="expression" dxfId="0" priority="325">
      <formula>COUNTIF(G186:BE186,"&lt;&gt;" &amp; "")&gt;0</formula>
    </cfRule>
    <cfRule type="expression" dxfId="1" priority="326">
      <formula>AND(COUNTIF(G186:BE186,"&lt;&gt;" &amp; "")&gt;0,NOT(ISBLANK(E186)))</formula>
    </cfRule>
  </conditionalFormatting>
  <conditionalFormatting sqref="E187">
    <cfRule type="expression" dxfId="0" priority="327">
      <formula>COUNTIF(G187:BE187,"&lt;&gt;" &amp; "")&gt;0</formula>
    </cfRule>
    <cfRule type="expression" dxfId="1" priority="328">
      <formula>AND(COUNTIF(G187:BE187,"&lt;&gt;" &amp; "")&gt;0,NOT(ISBLANK(E187)))</formula>
    </cfRule>
  </conditionalFormatting>
  <conditionalFormatting sqref="E188">
    <cfRule type="expression" dxfId="0" priority="329">
      <formula>COUNTIF(G188:BE188,"&lt;&gt;" &amp; "")&gt;0</formula>
    </cfRule>
    <cfRule type="expression" dxfId="1" priority="330">
      <formula>AND(COUNTIF(G188:BE188,"&lt;&gt;" &amp; "")&gt;0,NOT(ISBLANK(E188)))</formula>
    </cfRule>
  </conditionalFormatting>
  <conditionalFormatting sqref="E189">
    <cfRule type="expression" dxfId="0" priority="331">
      <formula>COUNTIF(G189:BE189,"&lt;&gt;" &amp; "")&gt;0</formula>
    </cfRule>
    <cfRule type="expression" dxfId="1" priority="332">
      <formula>AND(COUNTIF(G189:BE189,"&lt;&gt;" &amp; "")&gt;0,NOT(ISBLANK(E189)))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190">
    <cfRule type="expression" dxfId="0" priority="333">
      <formula>COUNTIF(G190:BE190,"&lt;&gt;" &amp; "")&gt;0</formula>
    </cfRule>
    <cfRule type="expression" dxfId="1" priority="334">
      <formula>AND(COUNTIF(G190:BE190,"&lt;&gt;" &amp; "")&gt;0,NOT(ISBLANK(E190)))</formula>
    </cfRule>
  </conditionalFormatting>
  <conditionalFormatting sqref="E191">
    <cfRule type="expression" dxfId="0" priority="335">
      <formula>COUNTIF(G191:BE191,"&lt;&gt;" &amp; "")&gt;0</formula>
    </cfRule>
    <cfRule type="expression" dxfId="1" priority="336">
      <formula>AND(COUNTIF(G191:BE191,"&lt;&gt;" &amp; "")&gt;0,NOT(ISBLANK(E191)))</formula>
    </cfRule>
  </conditionalFormatting>
  <conditionalFormatting sqref="E194">
    <cfRule type="expression" dxfId="0" priority="337">
      <formula>COUNTIF(G194:BE194,"&lt;&gt;" &amp; "")&gt;0</formula>
    </cfRule>
    <cfRule type="expression" dxfId="1" priority="338">
      <formula>AND(COUNTIF(G194:BE194,"&lt;&gt;" &amp; "")&gt;0,NOT(ISBLANK(E194)))</formula>
    </cfRule>
  </conditionalFormatting>
  <conditionalFormatting sqref="E195">
    <cfRule type="expression" dxfId="0" priority="339">
      <formula>COUNTIF(G195:BE195,"&lt;&gt;" &amp; "")&gt;0</formula>
    </cfRule>
    <cfRule type="expression" dxfId="1" priority="340">
      <formula>AND(COUNTIF(G195:BE195,"&lt;&gt;" &amp; "")&gt;0,NOT(ISBLANK(E195)))</formula>
    </cfRule>
  </conditionalFormatting>
  <conditionalFormatting sqref="E196">
    <cfRule type="expression" dxfId="0" priority="341">
      <formula>COUNTIF(G196:BE196,"&lt;&gt;" &amp; "")&gt;0</formula>
    </cfRule>
    <cfRule type="expression" dxfId="1" priority="342">
      <formula>AND(COUNTIF(G196:BE196,"&lt;&gt;" &amp; "")&gt;0,NOT(ISBLANK(E196)))</formula>
    </cfRule>
  </conditionalFormatting>
  <conditionalFormatting sqref="E197">
    <cfRule type="expression" dxfId="0" priority="343">
      <formula>COUNTIF(G197:BE197,"&lt;&gt;" &amp; "")&gt;0</formula>
    </cfRule>
    <cfRule type="expression" dxfId="1" priority="344">
      <formula>AND(COUNTIF(G197:BE197,"&lt;&gt;" &amp; "")&gt;0,NOT(ISBLANK(E197)))</formula>
    </cfRule>
  </conditionalFormatting>
  <conditionalFormatting sqref="E198">
    <cfRule type="expression" dxfId="0" priority="345">
      <formula>COUNTIF(G198:BE198,"&lt;&gt;" &amp; "")&gt;0</formula>
    </cfRule>
    <cfRule type="expression" dxfId="1" priority="346">
      <formula>AND(COUNTIF(G198:BE198,"&lt;&gt;" &amp; "")&gt;0,NOT(ISBLANK(E198)))</formula>
    </cfRule>
  </conditionalFormatting>
  <conditionalFormatting sqref="E199">
    <cfRule type="expression" dxfId="0" priority="347">
      <formula>COUNTIF(G199:BE199,"&lt;&gt;" &amp; "")&gt;0</formula>
    </cfRule>
    <cfRule type="expression" dxfId="1" priority="348">
      <formula>AND(COUNTIF(G199:BE199,"&lt;&gt;" &amp; "")&gt;0,NOT(ISBLANK(E199)))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00">
    <cfRule type="expression" dxfId="0" priority="349">
      <formula>COUNTIF(G200:BE200,"&lt;&gt;" &amp; "")&gt;0</formula>
    </cfRule>
    <cfRule type="expression" dxfId="1" priority="350">
      <formula>AND(COUNTIF(G200:BE200,"&lt;&gt;" &amp; "")&gt;0,NOT(ISBLANK(E200)))</formula>
    </cfRule>
  </conditionalFormatting>
  <conditionalFormatting sqref="E201">
    <cfRule type="expression" dxfId="0" priority="351">
      <formula>COUNTIF(G201:BE201,"&lt;&gt;" &amp; "")&gt;0</formula>
    </cfRule>
    <cfRule type="expression" dxfId="1" priority="352">
      <formula>AND(COUNTIF(G201:BE201,"&lt;&gt;" &amp; "")&gt;0,NOT(ISBLANK(E201)))</formula>
    </cfRule>
  </conditionalFormatting>
  <conditionalFormatting sqref="E202">
    <cfRule type="expression" dxfId="0" priority="353">
      <formula>COUNTIF(G202:BE202,"&lt;&gt;" &amp; "")&gt;0</formula>
    </cfRule>
    <cfRule type="expression" dxfId="1" priority="354">
      <formula>AND(COUNTIF(G202:BE202,"&lt;&gt;" &amp; "")&gt;0,NOT(ISBLANK(E202)))</formula>
    </cfRule>
  </conditionalFormatting>
  <conditionalFormatting sqref="E203">
    <cfRule type="expression" dxfId="0" priority="355">
      <formula>COUNTIF(G203:BE203,"&lt;&gt;" &amp; "")&gt;0</formula>
    </cfRule>
    <cfRule type="expression" dxfId="1" priority="356">
      <formula>AND(COUNTIF(G203:BE203,"&lt;&gt;" &amp; "")&gt;0,NOT(ISBLANK(E203)))</formula>
    </cfRule>
  </conditionalFormatting>
  <conditionalFormatting sqref="E204">
    <cfRule type="expression" dxfId="0" priority="357">
      <formula>COUNTIF(G204:BE204,"&lt;&gt;" &amp; "")&gt;0</formula>
    </cfRule>
    <cfRule type="expression" dxfId="1" priority="358">
      <formula>AND(COUNTIF(G204:BE204,"&lt;&gt;" &amp; "")&gt;0,NOT(ISBLANK(E204)))</formula>
    </cfRule>
  </conditionalFormatting>
  <conditionalFormatting sqref="E205">
    <cfRule type="expression" dxfId="0" priority="359">
      <formula>COUNTIF(G205:BE205,"&lt;&gt;" &amp; "")&gt;0</formula>
    </cfRule>
    <cfRule type="expression" dxfId="1" priority="360">
      <formula>AND(COUNTIF(G205:BE205,"&lt;&gt;" &amp; "")&gt;0,NOT(ISBLANK(E205)))</formula>
    </cfRule>
  </conditionalFormatting>
  <conditionalFormatting sqref="E206">
    <cfRule type="expression" dxfId="0" priority="361">
      <formula>COUNTIF(G206:BE206,"&lt;&gt;" &amp; "")&gt;0</formula>
    </cfRule>
    <cfRule type="expression" dxfId="1" priority="362">
      <formula>AND(COUNTIF(G206:BE206,"&lt;&gt;" &amp; "")&gt;0,NOT(ISBLANK(E206)))</formula>
    </cfRule>
  </conditionalFormatting>
  <conditionalFormatting sqref="E207">
    <cfRule type="expression" dxfId="0" priority="363">
      <formula>COUNTIF(G207:BE207,"&lt;&gt;" &amp; "")&gt;0</formula>
    </cfRule>
    <cfRule type="expression" dxfId="1" priority="364">
      <formula>AND(COUNTIF(G207:BE207,"&lt;&gt;" &amp; "")&gt;0,NOT(ISBLANK(E207)))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10">
    <cfRule type="expression" dxfId="0" priority="365">
      <formula>COUNTIF(G210:BE210,"&lt;&gt;" &amp; "")&gt;0</formula>
    </cfRule>
    <cfRule type="expression" dxfId="1" priority="366">
      <formula>AND(COUNTIF(G210:BE210,"&lt;&gt;" &amp; "")&gt;0,NOT(ISBLANK(E210)))</formula>
    </cfRule>
  </conditionalFormatting>
  <conditionalFormatting sqref="E211">
    <cfRule type="expression" dxfId="0" priority="367">
      <formula>COUNTIF(G211:BE211,"&lt;&gt;" &amp; "")&gt;0</formula>
    </cfRule>
    <cfRule type="expression" dxfId="1" priority="368">
      <formula>AND(COUNTIF(G211:BE211,"&lt;&gt;" &amp; "")&gt;0,NOT(ISBLANK(E211)))</formula>
    </cfRule>
  </conditionalFormatting>
  <conditionalFormatting sqref="E212">
    <cfRule type="expression" dxfId="0" priority="369">
      <formula>COUNTIF(G212:BE212,"&lt;&gt;" &amp; "")&gt;0</formula>
    </cfRule>
    <cfRule type="expression" dxfId="1" priority="370">
      <formula>AND(COUNTIF(G212:BE212,"&lt;&gt;" &amp; "")&gt;0,NOT(ISBLANK(E212)))</formula>
    </cfRule>
  </conditionalFormatting>
  <conditionalFormatting sqref="E213">
    <cfRule type="expression" dxfId="0" priority="371">
      <formula>COUNTIF(G213:BE213,"&lt;&gt;" &amp; "")&gt;0</formula>
    </cfRule>
    <cfRule type="expression" dxfId="1" priority="372">
      <formula>AND(COUNTIF(G213:BE213,"&lt;&gt;" &amp; "")&gt;0,NOT(ISBLANK(E213)))</formula>
    </cfRule>
  </conditionalFormatting>
  <conditionalFormatting sqref="E214">
    <cfRule type="expression" dxfId="0" priority="373">
      <formula>COUNTIF(G214:BE214,"&lt;&gt;" &amp; "")&gt;0</formula>
    </cfRule>
    <cfRule type="expression" dxfId="1" priority="374">
      <formula>AND(COUNTIF(G214:BE214,"&lt;&gt;" &amp; "")&gt;0,NOT(ISBLANK(E214)))</formula>
    </cfRule>
  </conditionalFormatting>
  <conditionalFormatting sqref="E215">
    <cfRule type="expression" dxfId="0" priority="375">
      <formula>COUNTIF(G215:BE215,"&lt;&gt;" &amp; "")&gt;0</formula>
    </cfRule>
    <cfRule type="expression" dxfId="1" priority="376">
      <formula>AND(COUNTIF(G215:BE215,"&lt;&gt;" &amp; "")&gt;0,NOT(ISBLANK(E215)))</formula>
    </cfRule>
  </conditionalFormatting>
  <conditionalFormatting sqref="E216">
    <cfRule type="expression" dxfId="0" priority="377">
      <formula>COUNTIF(G216:BE216,"&lt;&gt;" &amp; "")&gt;0</formula>
    </cfRule>
    <cfRule type="expression" dxfId="1" priority="378">
      <formula>AND(COUNTIF(G216:BE216,"&lt;&gt;" &amp; "")&gt;0,NOT(ISBLANK(E216)))</formula>
    </cfRule>
  </conditionalFormatting>
  <conditionalFormatting sqref="E217">
    <cfRule type="expression" dxfId="0" priority="379">
      <formula>COUNTIF(G217:BE217,"&lt;&gt;" &amp; "")&gt;0</formula>
    </cfRule>
    <cfRule type="expression" dxfId="1" priority="380">
      <formula>AND(COUNTIF(G217:BE217,"&lt;&gt;" &amp; "")&gt;0,NOT(ISBLANK(E217)))</formula>
    </cfRule>
  </conditionalFormatting>
  <conditionalFormatting sqref="E218">
    <cfRule type="expression" dxfId="0" priority="381">
      <formula>COUNTIF(G218:BE218,"&lt;&gt;" &amp; "")&gt;0</formula>
    </cfRule>
    <cfRule type="expression" dxfId="1" priority="382">
      <formula>AND(COUNTIF(G218:BE218,"&lt;&gt;" &amp; "")&gt;0,NOT(ISBLANK(E218)))</formula>
    </cfRule>
  </conditionalFormatting>
  <conditionalFormatting sqref="E219">
    <cfRule type="expression" dxfId="0" priority="383">
      <formula>COUNTIF(G219:BE219,"&lt;&gt;" &amp; "")&gt;0</formula>
    </cfRule>
    <cfRule type="expression" dxfId="1" priority="384">
      <formula>AND(COUNTIF(G219:BE219,"&lt;&gt;" &amp; "")&gt;0,NOT(ISBLANK(E219)))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20">
    <cfRule type="expression" dxfId="0" priority="385">
      <formula>COUNTIF(G220:BE220,"&lt;&gt;" &amp; "")&gt;0</formula>
    </cfRule>
    <cfRule type="expression" dxfId="1" priority="386">
      <formula>AND(COUNTIF(G220:BE220,"&lt;&gt;" &amp; "")&gt;0,NOT(ISBLANK(E220)))</formula>
    </cfRule>
  </conditionalFormatting>
  <conditionalFormatting sqref="E221">
    <cfRule type="expression" dxfId="0" priority="387">
      <formula>COUNTIF(G221:BE221,"&lt;&gt;" &amp; "")&gt;0</formula>
    </cfRule>
    <cfRule type="expression" dxfId="1" priority="388">
      <formula>AND(COUNTIF(G221:BE221,"&lt;&gt;" &amp; "")&gt;0,NOT(ISBLANK(E221)))</formula>
    </cfRule>
  </conditionalFormatting>
  <conditionalFormatting sqref="E222">
    <cfRule type="expression" dxfId="0" priority="389">
      <formula>COUNTIF(G222:BE222,"&lt;&gt;" &amp; "")&gt;0</formula>
    </cfRule>
    <cfRule type="expression" dxfId="1" priority="390">
      <formula>AND(COUNTIF(G222:BE222,"&lt;&gt;" &amp; "")&gt;0,NOT(ISBLANK(E222)))</formula>
    </cfRule>
  </conditionalFormatting>
  <conditionalFormatting sqref="E223">
    <cfRule type="expression" dxfId="0" priority="391">
      <formula>COUNTIF(G223:BE223,"&lt;&gt;" &amp; "")&gt;0</formula>
    </cfRule>
    <cfRule type="expression" dxfId="1" priority="392">
      <formula>AND(COUNTIF(G223:BE223,"&lt;&gt;" &amp; "")&gt;0,NOT(ISBLANK(E223)))</formula>
    </cfRule>
  </conditionalFormatting>
  <conditionalFormatting sqref="E226">
    <cfRule type="expression" dxfId="0" priority="393">
      <formula>COUNTIF(G226:BE226,"&lt;&gt;" &amp; "")&gt;0</formula>
    </cfRule>
    <cfRule type="expression" dxfId="1" priority="394">
      <formula>AND(COUNTIF(G226:BE226,"&lt;&gt;" &amp; "")&gt;0,NOT(ISBLANK(E226)))</formula>
    </cfRule>
  </conditionalFormatting>
  <conditionalFormatting sqref="E227">
    <cfRule type="expression" dxfId="0" priority="395">
      <formula>COUNTIF(G227:BE227,"&lt;&gt;" &amp; "")&gt;0</formula>
    </cfRule>
    <cfRule type="expression" dxfId="1" priority="396">
      <formula>AND(COUNTIF(G227:BE227,"&lt;&gt;" &amp; "")&gt;0,NOT(ISBLANK(E227)))</formula>
    </cfRule>
  </conditionalFormatting>
  <conditionalFormatting sqref="E228">
    <cfRule type="expression" dxfId="0" priority="397">
      <formula>COUNTIF(G228:BE228,"&lt;&gt;" &amp; "")&gt;0</formula>
    </cfRule>
    <cfRule type="expression" dxfId="1" priority="398">
      <formula>AND(COUNTIF(G228:BE228,"&lt;&gt;" &amp; "")&gt;0,NOT(ISBLANK(E228)))</formula>
    </cfRule>
  </conditionalFormatting>
  <conditionalFormatting sqref="E229">
    <cfRule type="expression" dxfId="0" priority="399">
      <formula>COUNTIF(G229:BE229,"&lt;&gt;" &amp; "")&gt;0</formula>
    </cfRule>
    <cfRule type="expression" dxfId="1" priority="400">
      <formula>AND(COUNTIF(G229:BE229,"&lt;&gt;" &amp; "")&gt;0,NOT(ISBLANK(E229)))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30">
    <cfRule type="expression" dxfId="0" priority="401">
      <formula>COUNTIF(G230:BE230,"&lt;&gt;" &amp; "")&gt;0</formula>
    </cfRule>
    <cfRule type="expression" dxfId="1" priority="402">
      <formula>AND(COUNTIF(G230:BE230,"&lt;&gt;" &amp; "")&gt;0,NOT(ISBLANK(E230)))</formula>
    </cfRule>
  </conditionalFormatting>
  <conditionalFormatting sqref="E231">
    <cfRule type="expression" dxfId="0" priority="403">
      <formula>COUNTIF(G231:BE231,"&lt;&gt;" &amp; "")&gt;0</formula>
    </cfRule>
    <cfRule type="expression" dxfId="1" priority="404">
      <formula>AND(COUNTIF(G231:BE231,"&lt;&gt;" &amp; "")&gt;0,NOT(ISBLANK(E231)))</formula>
    </cfRule>
  </conditionalFormatting>
  <conditionalFormatting sqref="E232">
    <cfRule type="expression" dxfId="0" priority="405">
      <formula>COUNTIF(G232:BE232,"&lt;&gt;" &amp; "")&gt;0</formula>
    </cfRule>
    <cfRule type="expression" dxfId="1" priority="406">
      <formula>AND(COUNTIF(G232:BE232,"&lt;&gt;" &amp; "")&gt;0,NOT(ISBLANK(E232)))</formula>
    </cfRule>
  </conditionalFormatting>
  <conditionalFormatting sqref="E233">
    <cfRule type="expression" dxfId="0" priority="407">
      <formula>COUNTIF(G233:BE233,"&lt;&gt;" &amp; "")&gt;0</formula>
    </cfRule>
    <cfRule type="expression" dxfId="1" priority="408">
      <formula>AND(COUNTIF(G233:BE233,"&lt;&gt;" &amp; "")&gt;0,NOT(ISBLANK(E233)))</formula>
    </cfRule>
  </conditionalFormatting>
  <conditionalFormatting sqref="E234">
    <cfRule type="expression" dxfId="0" priority="409">
      <formula>COUNTIF(G234:BE234,"&lt;&gt;" &amp; "")&gt;0</formula>
    </cfRule>
    <cfRule type="expression" dxfId="1" priority="410">
      <formula>AND(COUNTIF(G234:BE234,"&lt;&gt;" &amp; "")&gt;0,NOT(ISBLANK(E234)))</formula>
    </cfRule>
  </conditionalFormatting>
  <conditionalFormatting sqref="E235">
    <cfRule type="expression" dxfId="0" priority="411">
      <formula>COUNTIF(G235:BE235,"&lt;&gt;" &amp; "")&gt;0</formula>
    </cfRule>
    <cfRule type="expression" dxfId="1" priority="412">
      <formula>AND(COUNTIF(G235:BE235,"&lt;&gt;" &amp; "")&gt;0,NOT(ISBLANK(E235)))</formula>
    </cfRule>
  </conditionalFormatting>
  <conditionalFormatting sqref="E236">
    <cfRule type="expression" dxfId="0" priority="413">
      <formula>COUNTIF(G236:BE236,"&lt;&gt;" &amp; "")&gt;0</formula>
    </cfRule>
    <cfRule type="expression" dxfId="1" priority="414">
      <formula>AND(COUNTIF(G236:BE236,"&lt;&gt;" &amp; "")&gt;0,NOT(ISBLANK(E236)))</formula>
    </cfRule>
  </conditionalFormatting>
  <conditionalFormatting sqref="E237">
    <cfRule type="expression" dxfId="0" priority="415">
      <formula>COUNTIF(G237:BE237,"&lt;&gt;" &amp; "")&gt;0</formula>
    </cfRule>
    <cfRule type="expression" dxfId="1" priority="416">
      <formula>AND(COUNTIF(G237:BE237,"&lt;&gt;" &amp; "")&gt;0,NOT(ISBLANK(E237)))</formula>
    </cfRule>
  </conditionalFormatting>
  <conditionalFormatting sqref="E238">
    <cfRule type="expression" dxfId="0" priority="417">
      <formula>COUNTIF(G238:BE238,"&lt;&gt;" &amp; "")&gt;0</formula>
    </cfRule>
    <cfRule type="expression" dxfId="1" priority="418">
      <formula>AND(COUNTIF(G238:BE238,"&lt;&gt;" &amp; "")&gt;0,NOT(ISBLANK(E238)))</formula>
    </cfRule>
  </conditionalFormatting>
  <conditionalFormatting sqref="E239">
    <cfRule type="expression" dxfId="0" priority="419">
      <formula>COUNTIF(G239:BE239,"&lt;&gt;" &amp; "")&gt;0</formula>
    </cfRule>
    <cfRule type="expression" dxfId="1" priority="420">
      <formula>AND(COUNTIF(G239:BE239,"&lt;&gt;" &amp; "")&gt;0,NOT(ISBLANK(E239)))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42">
    <cfRule type="expression" dxfId="0" priority="421">
      <formula>COUNTIF(G242:BE242,"&lt;&gt;" &amp; "")&gt;0</formula>
    </cfRule>
    <cfRule type="expression" dxfId="1" priority="422">
      <formula>AND(COUNTIF(G242:BE242,"&lt;&gt;" &amp; "")&gt;0,NOT(ISBLANK(E242)))</formula>
    </cfRule>
  </conditionalFormatting>
  <conditionalFormatting sqref="E243">
    <cfRule type="expression" dxfId="0" priority="423">
      <formula>COUNTIF(G243:BE243,"&lt;&gt;" &amp; "")&gt;0</formula>
    </cfRule>
    <cfRule type="expression" dxfId="1" priority="424">
      <formula>AND(COUNTIF(G243:BE243,"&lt;&gt;" &amp; "")&gt;0,NOT(ISBLANK(E243)))</formula>
    </cfRule>
  </conditionalFormatting>
  <conditionalFormatting sqref="E244">
    <cfRule type="expression" dxfId="0" priority="425">
      <formula>COUNTIF(G244:BE244,"&lt;&gt;" &amp; "")&gt;0</formula>
    </cfRule>
    <cfRule type="expression" dxfId="1" priority="426">
      <formula>AND(COUNTIF(G244:BE244,"&lt;&gt;" &amp; "")&gt;0,NOT(ISBLANK(E244)))</formula>
    </cfRule>
  </conditionalFormatting>
  <conditionalFormatting sqref="E245">
    <cfRule type="expression" dxfId="0" priority="427">
      <formula>COUNTIF(G245:BE245,"&lt;&gt;" &amp; "")&gt;0</formula>
    </cfRule>
    <cfRule type="expression" dxfId="1" priority="428">
      <formula>AND(COUNTIF(G245:BE245,"&lt;&gt;" &amp; "")&gt;0,NOT(ISBLANK(E245)))</formula>
    </cfRule>
  </conditionalFormatting>
  <conditionalFormatting sqref="E246">
    <cfRule type="expression" dxfId="0" priority="429">
      <formula>COUNTIF(G246:BE246,"&lt;&gt;" &amp; "")&gt;0</formula>
    </cfRule>
    <cfRule type="expression" dxfId="1" priority="430">
      <formula>AND(COUNTIF(G246:BE246,"&lt;&gt;" &amp; "")&gt;0,NOT(ISBLANK(E246)))</formula>
    </cfRule>
  </conditionalFormatting>
  <conditionalFormatting sqref="E247">
    <cfRule type="expression" dxfId="0" priority="431">
      <formula>COUNTIF(G247:BE247,"&lt;&gt;" &amp; "")&gt;0</formula>
    </cfRule>
    <cfRule type="expression" dxfId="1" priority="432">
      <formula>AND(COUNTIF(G247:BE247,"&lt;&gt;" &amp; "")&gt;0,NOT(ISBLANK(E247)))</formula>
    </cfRule>
  </conditionalFormatting>
  <conditionalFormatting sqref="E248">
    <cfRule type="expression" dxfId="0" priority="433">
      <formula>COUNTIF(G248:BE248,"&lt;&gt;" &amp; "")&gt;0</formula>
    </cfRule>
    <cfRule type="expression" dxfId="1" priority="434">
      <formula>AND(COUNTIF(G248:BE248,"&lt;&gt;" &amp; "")&gt;0,NOT(ISBLANK(E248)))</formula>
    </cfRule>
  </conditionalFormatting>
  <conditionalFormatting sqref="E249">
    <cfRule type="expression" dxfId="0" priority="435">
      <formula>COUNTIF(G249:BE249,"&lt;&gt;" &amp; "")&gt;0</formula>
    </cfRule>
    <cfRule type="expression" dxfId="1" priority="436">
      <formula>AND(COUNTIF(G249:BE249,"&lt;&gt;" &amp; "")&gt;0,NOT(ISBLANK(E249)))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50">
    <cfRule type="expression" dxfId="0" priority="437">
      <formula>COUNTIF(G250:BE250,"&lt;&gt;" &amp; "")&gt;0</formula>
    </cfRule>
    <cfRule type="expression" dxfId="1" priority="438">
      <formula>AND(COUNTIF(G250:BE250,"&lt;&gt;" &amp; "")&gt;0,NOT(ISBLANK(E250)))</formula>
    </cfRule>
  </conditionalFormatting>
  <conditionalFormatting sqref="E251">
    <cfRule type="expression" dxfId="0" priority="439">
      <formula>COUNTIF(G251:BE251,"&lt;&gt;" &amp; "")&gt;0</formula>
    </cfRule>
    <cfRule type="expression" dxfId="1" priority="440">
      <formula>AND(COUNTIF(G251:BE251,"&lt;&gt;" &amp; "")&gt;0,NOT(ISBLANK(E251)))</formula>
    </cfRule>
  </conditionalFormatting>
  <conditionalFormatting sqref="E252">
    <cfRule type="expression" dxfId="0" priority="441">
      <formula>COUNTIF(G252:BE252,"&lt;&gt;" &amp; "")&gt;0</formula>
    </cfRule>
    <cfRule type="expression" dxfId="1" priority="442">
      <formula>AND(COUNTIF(G252:BE252,"&lt;&gt;" &amp; "")&gt;0,NOT(ISBLANK(E252)))</formula>
    </cfRule>
  </conditionalFormatting>
  <conditionalFormatting sqref="E253">
    <cfRule type="expression" dxfId="0" priority="443">
      <formula>COUNTIF(G253:BE253,"&lt;&gt;" &amp; "")&gt;0</formula>
    </cfRule>
    <cfRule type="expression" dxfId="1" priority="444">
      <formula>AND(COUNTIF(G253:BE253,"&lt;&gt;" &amp; "")&gt;0,NOT(ISBLANK(E253)))</formula>
    </cfRule>
  </conditionalFormatting>
  <conditionalFormatting sqref="E254">
    <cfRule type="expression" dxfId="0" priority="445">
      <formula>COUNTIF(G254:BE254,"&lt;&gt;" &amp; "")&gt;0</formula>
    </cfRule>
    <cfRule type="expression" dxfId="1" priority="446">
      <formula>AND(COUNTIF(G254:BE254,"&lt;&gt;" &amp; "")&gt;0,NOT(ISBLANK(E254)))</formula>
    </cfRule>
  </conditionalFormatting>
  <conditionalFormatting sqref="E255">
    <cfRule type="expression" dxfId="0" priority="447">
      <formula>COUNTIF(G255:BE255,"&lt;&gt;" &amp; "")&gt;0</formula>
    </cfRule>
    <cfRule type="expression" dxfId="1" priority="448">
      <formula>AND(COUNTIF(G255:BE255,"&lt;&gt;" &amp; "")&gt;0,NOT(ISBLANK(E255)))</formula>
    </cfRule>
  </conditionalFormatting>
  <conditionalFormatting sqref="E258">
    <cfRule type="expression" dxfId="0" priority="449">
      <formula>COUNTIF(G258:BE258,"&lt;&gt;" &amp; "")&gt;0</formula>
    </cfRule>
    <cfRule type="expression" dxfId="1" priority="450">
      <formula>AND(COUNTIF(G258:BE258,"&lt;&gt;" &amp; "")&gt;0,NOT(ISBLANK(E258)))</formula>
    </cfRule>
  </conditionalFormatting>
  <conditionalFormatting sqref="E259">
    <cfRule type="expression" dxfId="0" priority="451">
      <formula>COUNTIF(G259:BE259,"&lt;&gt;" &amp; "")&gt;0</formula>
    </cfRule>
    <cfRule type="expression" dxfId="1" priority="452">
      <formula>AND(COUNTIF(G259:BE259,"&lt;&gt;" &amp; "")&gt;0,NOT(ISBLANK(E259)))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60">
    <cfRule type="expression" dxfId="0" priority="453">
      <formula>COUNTIF(G260:BE260,"&lt;&gt;" &amp; "")&gt;0</formula>
    </cfRule>
    <cfRule type="expression" dxfId="1" priority="454">
      <formula>AND(COUNTIF(G260:BE260,"&lt;&gt;" &amp; "")&gt;0,NOT(ISBLANK(E260)))</formula>
    </cfRule>
  </conditionalFormatting>
  <conditionalFormatting sqref="E261">
    <cfRule type="expression" dxfId="0" priority="455">
      <formula>COUNTIF(G261:BE261,"&lt;&gt;" &amp; "")&gt;0</formula>
    </cfRule>
    <cfRule type="expression" dxfId="1" priority="456">
      <formula>AND(COUNTIF(G261:BE261,"&lt;&gt;" &amp; "")&gt;0,NOT(ISBLANK(E261)))</formula>
    </cfRule>
  </conditionalFormatting>
  <conditionalFormatting sqref="E262">
    <cfRule type="expression" dxfId="0" priority="457">
      <formula>COUNTIF(G262:BE262,"&lt;&gt;" &amp; "")&gt;0</formula>
    </cfRule>
    <cfRule type="expression" dxfId="1" priority="458">
      <formula>AND(COUNTIF(G262:BE262,"&lt;&gt;" &amp; "")&gt;0,NOT(ISBLANK(E262)))</formula>
    </cfRule>
  </conditionalFormatting>
  <conditionalFormatting sqref="E263">
    <cfRule type="expression" dxfId="0" priority="459">
      <formula>COUNTIF(G263:BE263,"&lt;&gt;" &amp; "")&gt;0</formula>
    </cfRule>
    <cfRule type="expression" dxfId="1" priority="460">
      <formula>AND(COUNTIF(G263:BE263,"&lt;&gt;" &amp; "")&gt;0,NOT(ISBLANK(E263)))</formula>
    </cfRule>
  </conditionalFormatting>
  <conditionalFormatting sqref="E264">
    <cfRule type="expression" dxfId="0" priority="461">
      <formula>COUNTIF(G264:BE264,"&lt;&gt;" &amp; "")&gt;0</formula>
    </cfRule>
    <cfRule type="expression" dxfId="1" priority="462">
      <formula>AND(COUNTIF(G264:BE264,"&lt;&gt;" &amp; "")&gt;0,NOT(ISBLANK(E264)))</formula>
    </cfRule>
  </conditionalFormatting>
  <conditionalFormatting sqref="E265">
    <cfRule type="expression" dxfId="0" priority="463">
      <formula>COUNTIF(G265:BE265,"&lt;&gt;" &amp; "")&gt;0</formula>
    </cfRule>
    <cfRule type="expression" dxfId="1" priority="464">
      <formula>AND(COUNTIF(G265:BE265,"&lt;&gt;" &amp; "")&gt;0,NOT(ISBLANK(E265)))</formula>
    </cfRule>
  </conditionalFormatting>
  <conditionalFormatting sqref="E266">
    <cfRule type="expression" dxfId="0" priority="465">
      <formula>COUNTIF(G266:BE266,"&lt;&gt;" &amp; "")&gt;0</formula>
    </cfRule>
    <cfRule type="expression" dxfId="1" priority="466">
      <formula>AND(COUNTIF(G266:BE266,"&lt;&gt;" &amp; "")&gt;0,NOT(ISBLANK(E266)))</formula>
    </cfRule>
  </conditionalFormatting>
  <conditionalFormatting sqref="E267">
    <cfRule type="expression" dxfId="0" priority="467">
      <formula>COUNTIF(G267:BE267,"&lt;&gt;" &amp; "")&gt;0</formula>
    </cfRule>
    <cfRule type="expression" dxfId="1" priority="468">
      <formula>AND(COUNTIF(G267:BE267,"&lt;&gt;" &amp; "")&gt;0,NOT(ISBLANK(E267)))</formula>
    </cfRule>
  </conditionalFormatting>
  <conditionalFormatting sqref="E268">
    <cfRule type="expression" dxfId="0" priority="469">
      <formula>COUNTIF(G268:BE268,"&lt;&gt;" &amp; "")&gt;0</formula>
    </cfRule>
    <cfRule type="expression" dxfId="1" priority="470">
      <formula>AND(COUNTIF(G268:BE268,"&lt;&gt;" &amp; "")&gt;0,NOT(ISBLANK(E268)))</formula>
    </cfRule>
  </conditionalFormatting>
  <conditionalFormatting sqref="E269">
    <cfRule type="expression" dxfId="0" priority="471">
      <formula>COUNTIF(G269:BE269,"&lt;&gt;" &amp; "")&gt;0</formula>
    </cfRule>
    <cfRule type="expression" dxfId="1" priority="472">
      <formula>AND(COUNTIF(G269:BE269,"&lt;&gt;" &amp; "")&gt;0,NOT(ISBLANK(E269)))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70">
    <cfRule type="expression" dxfId="0" priority="473">
      <formula>COUNTIF(G270:BE270,"&lt;&gt;" &amp; "")&gt;0</formula>
    </cfRule>
    <cfRule type="expression" dxfId="1" priority="474">
      <formula>AND(COUNTIF(G270:BE270,"&lt;&gt;" &amp; "")&gt;0,NOT(ISBLANK(E270)))</formula>
    </cfRule>
  </conditionalFormatting>
  <conditionalFormatting sqref="E271">
    <cfRule type="expression" dxfId="0" priority="475">
      <formula>COUNTIF(G271:BE271,"&lt;&gt;" &amp; "")&gt;0</formula>
    </cfRule>
    <cfRule type="expression" dxfId="1" priority="476">
      <formula>AND(COUNTIF(G271:BE271,"&lt;&gt;" &amp; "")&gt;0,NOT(ISBLANK(E271)))</formula>
    </cfRule>
  </conditionalFormatting>
  <conditionalFormatting sqref="E274">
    <cfRule type="expression" dxfId="0" priority="477">
      <formula>COUNTIF(G274:BE274,"&lt;&gt;" &amp; "")&gt;0</formula>
    </cfRule>
    <cfRule type="expression" dxfId="1" priority="478">
      <formula>AND(COUNTIF(G274:BE274,"&lt;&gt;" &amp; "")&gt;0,NOT(ISBLANK(E274)))</formula>
    </cfRule>
  </conditionalFormatting>
  <conditionalFormatting sqref="E275">
    <cfRule type="expression" dxfId="0" priority="479">
      <formula>COUNTIF(G275:BE275,"&lt;&gt;" &amp; "")&gt;0</formula>
    </cfRule>
    <cfRule type="expression" dxfId="1" priority="480">
      <formula>AND(COUNTIF(G275:BE275,"&lt;&gt;" &amp; "")&gt;0,NOT(ISBLANK(E275)))</formula>
    </cfRule>
  </conditionalFormatting>
  <conditionalFormatting sqref="E276">
    <cfRule type="expression" dxfId="0" priority="481">
      <formula>COUNTIF(G276:BE276,"&lt;&gt;" &amp; "")&gt;0</formula>
    </cfRule>
    <cfRule type="expression" dxfId="1" priority="482">
      <formula>AND(COUNTIF(G276:BE276,"&lt;&gt;" &amp; "")&gt;0,NOT(ISBLANK(E276)))</formula>
    </cfRule>
  </conditionalFormatting>
  <conditionalFormatting sqref="E277">
    <cfRule type="expression" dxfId="0" priority="483">
      <formula>COUNTIF(G277:BE277,"&lt;&gt;" &amp; "")&gt;0</formula>
    </cfRule>
    <cfRule type="expression" dxfId="1" priority="484">
      <formula>AND(COUNTIF(G277:BE277,"&lt;&gt;" &amp; "")&gt;0,NOT(ISBLANK(E277)))</formula>
    </cfRule>
  </conditionalFormatting>
  <conditionalFormatting sqref="E278">
    <cfRule type="expression" dxfId="0" priority="485">
      <formula>COUNTIF(G278:BE278,"&lt;&gt;" &amp; "")&gt;0</formula>
    </cfRule>
    <cfRule type="expression" dxfId="1" priority="486">
      <formula>AND(COUNTIF(G278:BE278,"&lt;&gt;" &amp; "")&gt;0,NOT(ISBLANK(E278)))</formula>
    </cfRule>
  </conditionalFormatting>
  <conditionalFormatting sqref="E279">
    <cfRule type="expression" dxfId="0" priority="487">
      <formula>COUNTIF(G279:BE279,"&lt;&gt;" &amp; "")&gt;0</formula>
    </cfRule>
    <cfRule type="expression" dxfId="1" priority="488">
      <formula>AND(COUNTIF(G279:BE279,"&lt;&gt;" &amp; "")&gt;0,NOT(ISBLANK(E279)))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80">
    <cfRule type="expression" dxfId="0" priority="489">
      <formula>COUNTIF(G280:BE280,"&lt;&gt;" &amp; "")&gt;0</formula>
    </cfRule>
    <cfRule type="expression" dxfId="1" priority="490">
      <formula>AND(COUNTIF(G280:BE280,"&lt;&gt;" &amp; "")&gt;0,NOT(ISBLANK(E280)))</formula>
    </cfRule>
  </conditionalFormatting>
  <conditionalFormatting sqref="E281">
    <cfRule type="expression" dxfId="0" priority="491">
      <formula>COUNTIF(G281:BE281,"&lt;&gt;" &amp; "")&gt;0</formula>
    </cfRule>
    <cfRule type="expression" dxfId="1" priority="492">
      <formula>AND(COUNTIF(G281:BE281,"&lt;&gt;" &amp; "")&gt;0,NOT(ISBLANK(E281)))</formula>
    </cfRule>
  </conditionalFormatting>
  <conditionalFormatting sqref="E282">
    <cfRule type="expression" dxfId="0" priority="493">
      <formula>COUNTIF(G282:BE282,"&lt;&gt;" &amp; "")&gt;0</formula>
    </cfRule>
    <cfRule type="expression" dxfId="1" priority="494">
      <formula>AND(COUNTIF(G282:BE282,"&lt;&gt;" &amp; "")&gt;0,NOT(ISBLANK(E282)))</formula>
    </cfRule>
  </conditionalFormatting>
  <conditionalFormatting sqref="E283">
    <cfRule type="expression" dxfId="0" priority="495">
      <formula>COUNTIF(G283:BE283,"&lt;&gt;" &amp; "")&gt;0</formula>
    </cfRule>
    <cfRule type="expression" dxfId="1" priority="496">
      <formula>AND(COUNTIF(G283:BE283,"&lt;&gt;" &amp; "")&gt;0,NOT(ISBLANK(E283)))</formula>
    </cfRule>
  </conditionalFormatting>
  <conditionalFormatting sqref="E284">
    <cfRule type="expression" dxfId="0" priority="497">
      <formula>COUNTIF(G284:BE284,"&lt;&gt;" &amp; "")&gt;0</formula>
    </cfRule>
    <cfRule type="expression" dxfId="1" priority="498">
      <formula>AND(COUNTIF(G284:BE284,"&lt;&gt;" &amp; "")&gt;0,NOT(ISBLANK(E284)))</formula>
    </cfRule>
  </conditionalFormatting>
  <conditionalFormatting sqref="E285">
    <cfRule type="expression" dxfId="0" priority="499">
      <formula>COUNTIF(G285:BE285,"&lt;&gt;" &amp; "")&gt;0</formula>
    </cfRule>
    <cfRule type="expression" dxfId="1" priority="500">
      <formula>AND(COUNTIF(G285:BE285,"&lt;&gt;" &amp; "")&gt;0,NOT(ISBLANK(E285)))</formula>
    </cfRule>
  </conditionalFormatting>
  <conditionalFormatting sqref="E286">
    <cfRule type="expression" dxfId="0" priority="501">
      <formula>COUNTIF(G286:BE286,"&lt;&gt;" &amp; "")&gt;0</formula>
    </cfRule>
    <cfRule type="expression" dxfId="1" priority="502">
      <formula>AND(COUNTIF(G286:BE286,"&lt;&gt;" &amp; "")&gt;0,NOT(ISBLANK(E286)))</formula>
    </cfRule>
  </conditionalFormatting>
  <conditionalFormatting sqref="E287">
    <cfRule type="expression" dxfId="0" priority="503">
      <formula>COUNTIF(G287:BE287,"&lt;&gt;" &amp; "")&gt;0</formula>
    </cfRule>
    <cfRule type="expression" dxfId="1" priority="504">
      <formula>AND(COUNTIF(G287:BE287,"&lt;&gt;" &amp; "")&gt;0,NOT(ISBLANK(E287)))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252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  <dataValidation type="list" allowBlank="1" showInputMessage="1" showErrorMessage="1" sqref="C130">
      <formula1>"Rate (per year)"</formula1>
    </dataValidation>
    <dataValidation type="list" allowBlank="1" showInputMessage="1" showErrorMessage="1" sqref="C131">
      <formula1>"Rate (per year)"</formula1>
    </dataValidation>
    <dataValidation type="list" allowBlank="1" showInputMessage="1" showErrorMessage="1" sqref="C132">
      <formula1>"Rate (per year)"</formula1>
    </dataValidation>
    <dataValidation type="list" allowBlank="1" showInputMessage="1" showErrorMessage="1" sqref="C133">
      <formula1>"Rate (per year)"</formula1>
    </dataValidation>
    <dataValidation type="list" allowBlank="1" showInputMessage="1" showErrorMessage="1" sqref="C134">
      <formula1>"Rate (per year)"</formula1>
    </dataValidation>
    <dataValidation type="list" allowBlank="1" showInputMessage="1" showErrorMessage="1" sqref="C135">
      <formula1>"Rate (per year)"</formula1>
    </dataValidation>
    <dataValidation type="list" allowBlank="1" showInputMessage="1" showErrorMessage="1" sqref="C136">
      <formula1>"Rate (per year)"</formula1>
    </dataValidation>
    <dataValidation type="list" allowBlank="1" showInputMessage="1" showErrorMessage="1" sqref="C137">
      <formula1>"Rate (per year)"</formula1>
    </dataValidation>
    <dataValidation type="list" allowBlank="1" showInputMessage="1" showErrorMessage="1" sqref="C138">
      <formula1>"Rate (per year)"</formula1>
    </dataValidation>
    <dataValidation type="list" allowBlank="1" showInputMessage="1" showErrorMessage="1" sqref="C139">
      <formula1>"Rate (per year)"</formula1>
    </dataValidation>
    <dataValidation type="list" allowBlank="1" showInputMessage="1" showErrorMessage="1" sqref="C140">
      <formula1>"Rate (per year)"</formula1>
    </dataValidation>
    <dataValidation type="list" allowBlank="1" showInputMessage="1" showErrorMessage="1" sqref="C141">
      <formula1>"Rate (per year)"</formula1>
    </dataValidation>
    <dataValidation type="list" allowBlank="1" showInputMessage="1" showErrorMessage="1" sqref="C142">
      <formula1>"Rate (per year)"</formula1>
    </dataValidation>
    <dataValidation type="list" allowBlank="1" showInputMessage="1" showErrorMessage="1" sqref="C143">
      <formula1>"Rate (per year)"</formula1>
    </dataValidation>
    <dataValidation type="list" allowBlank="1" showInputMessage="1" showErrorMessage="1" sqref="C146">
      <formula1>"Rate (per year)"</formula1>
    </dataValidation>
    <dataValidation type="list" allowBlank="1" showInputMessage="1" showErrorMessage="1" sqref="C147">
      <formula1>"Rate (per year)"</formula1>
    </dataValidation>
    <dataValidation type="list" allowBlank="1" showInputMessage="1" showErrorMessage="1" sqref="C148">
      <formula1>"Rate (per year)"</formula1>
    </dataValidation>
    <dataValidation type="list" allowBlank="1" showInputMessage="1" showErrorMessage="1" sqref="C149">
      <formula1>"Rate (per year)"</formula1>
    </dataValidation>
    <dataValidation type="list" allowBlank="1" showInputMessage="1" showErrorMessage="1" sqref="C150">
      <formula1>"Rate (per year)"</formula1>
    </dataValidation>
    <dataValidation type="list" allowBlank="1" showInputMessage="1" showErrorMessage="1" sqref="C151">
      <formula1>"Rate (per year)"</formula1>
    </dataValidation>
    <dataValidation type="list" allowBlank="1" showInputMessage="1" showErrorMessage="1" sqref="C152">
      <formula1>"Rate (per year)"</formula1>
    </dataValidation>
    <dataValidation type="list" allowBlank="1" showInputMessage="1" showErrorMessage="1" sqref="C153">
      <formula1>"Rate (per year)"</formula1>
    </dataValidation>
    <dataValidation type="list" allowBlank="1" showInputMessage="1" showErrorMessage="1" sqref="C154">
      <formula1>"Rate (per year)"</formula1>
    </dataValidation>
    <dataValidation type="list" allowBlank="1" showInputMessage="1" showErrorMessage="1" sqref="C155">
      <formula1>"Rate (per year)"</formula1>
    </dataValidation>
    <dataValidation type="list" allowBlank="1" showInputMessage="1" showErrorMessage="1" sqref="C156">
      <formula1>"Rate (per year)"</formula1>
    </dataValidation>
    <dataValidation type="list" allowBlank="1" showInputMessage="1" showErrorMessage="1" sqref="C157">
      <formula1>"Rate (per year)"</formula1>
    </dataValidation>
    <dataValidation type="list" allowBlank="1" showInputMessage="1" showErrorMessage="1" sqref="C158">
      <formula1>"Rate (per year)"</formula1>
    </dataValidation>
    <dataValidation type="list" allowBlank="1" showInputMessage="1" showErrorMessage="1" sqref="C159">
      <formula1>"Rate (per year)"</formula1>
    </dataValidation>
    <dataValidation type="list" allowBlank="1" showInputMessage="1" showErrorMessage="1" sqref="C162">
      <formula1>"Rate (per year)"</formula1>
    </dataValidation>
    <dataValidation type="list" allowBlank="1" showInputMessage="1" showErrorMessage="1" sqref="C163">
      <formula1>"Rate (per year)"</formula1>
    </dataValidation>
    <dataValidation type="list" allowBlank="1" showInputMessage="1" showErrorMessage="1" sqref="C164">
      <formula1>"Rate (per year)"</formula1>
    </dataValidation>
    <dataValidation type="list" allowBlank="1" showInputMessage="1" showErrorMessage="1" sqref="C165">
      <formula1>"Rate (per year)"</formula1>
    </dataValidation>
    <dataValidation type="list" allowBlank="1" showInputMessage="1" showErrorMessage="1" sqref="C166">
      <formula1>"Rate (per year)"</formula1>
    </dataValidation>
    <dataValidation type="list" allowBlank="1" showInputMessage="1" showErrorMessage="1" sqref="C167">
      <formula1>"Rate (per year)"</formula1>
    </dataValidation>
    <dataValidation type="list" allowBlank="1" showInputMessage="1" showErrorMessage="1" sqref="C168">
      <formula1>"Rate (per year)"</formula1>
    </dataValidation>
    <dataValidation type="list" allowBlank="1" showInputMessage="1" showErrorMessage="1" sqref="C169">
      <formula1>"Rate (per year)"</formula1>
    </dataValidation>
    <dataValidation type="list" allowBlank="1" showInputMessage="1" showErrorMessage="1" sqref="C170">
      <formula1>"Rate (per year)"</formula1>
    </dataValidation>
    <dataValidation type="list" allowBlank="1" showInputMessage="1" showErrorMessage="1" sqref="C171">
      <formula1>"Rate (per year)"</formula1>
    </dataValidation>
    <dataValidation type="list" allowBlank="1" showInputMessage="1" showErrorMessage="1" sqref="C172">
      <formula1>"Rate (per year)"</formula1>
    </dataValidation>
    <dataValidation type="list" allowBlank="1" showInputMessage="1" showErrorMessage="1" sqref="C173">
      <formula1>"Rate (per year)"</formula1>
    </dataValidation>
    <dataValidation type="list" allowBlank="1" showInputMessage="1" showErrorMessage="1" sqref="C174">
      <formula1>"Rate (per year)"</formula1>
    </dataValidation>
    <dataValidation type="list" allowBlank="1" showInputMessage="1" showErrorMessage="1" sqref="C175">
      <formula1>"Rate (per year)"</formula1>
    </dataValidation>
    <dataValidation type="list" allowBlank="1" showInputMessage="1" showErrorMessage="1" sqref="C178">
      <formula1>"Rate (per year)"</formula1>
    </dataValidation>
    <dataValidation type="list" allowBlank="1" showInputMessage="1" showErrorMessage="1" sqref="C179">
      <formula1>"Rate (per year)"</formula1>
    </dataValidation>
    <dataValidation type="list" allowBlank="1" showInputMessage="1" showErrorMessage="1" sqref="C180">
      <formula1>"Rate (per year)"</formula1>
    </dataValidation>
    <dataValidation type="list" allowBlank="1" showInputMessage="1" showErrorMessage="1" sqref="C181">
      <formula1>"Rate (per year)"</formula1>
    </dataValidation>
    <dataValidation type="list" allowBlank="1" showInputMessage="1" showErrorMessage="1" sqref="C182">
      <formula1>"Rate (per year)"</formula1>
    </dataValidation>
    <dataValidation type="list" allowBlank="1" showInputMessage="1" showErrorMessage="1" sqref="C183">
      <formula1>"Rate (per year)"</formula1>
    </dataValidation>
    <dataValidation type="list" allowBlank="1" showInputMessage="1" showErrorMessage="1" sqref="C184">
      <formula1>"Rate (per year)"</formula1>
    </dataValidation>
    <dataValidation type="list" allowBlank="1" showInputMessage="1" showErrorMessage="1" sqref="C185">
      <formula1>"Rate (per year)"</formula1>
    </dataValidation>
    <dataValidation type="list" allowBlank="1" showInputMessage="1" showErrorMessage="1" sqref="C186">
      <formula1>"Rate (per year)"</formula1>
    </dataValidation>
    <dataValidation type="list" allowBlank="1" showInputMessage="1" showErrorMessage="1" sqref="C187">
      <formula1>"Rate (per year)"</formula1>
    </dataValidation>
    <dataValidation type="list" allowBlank="1" showInputMessage="1" showErrorMessage="1" sqref="C188">
      <formula1>"Rate (per year)"</formula1>
    </dataValidation>
    <dataValidation type="list" allowBlank="1" showInputMessage="1" showErrorMessage="1" sqref="C189">
      <formula1>"Rate (per year)"</formula1>
    </dataValidation>
    <dataValidation type="list" allowBlank="1" showInputMessage="1" showErrorMessage="1" sqref="C190">
      <formula1>"Rate (per year)"</formula1>
    </dataValidation>
    <dataValidation type="list" allowBlank="1" showInputMessage="1" showErrorMessage="1" sqref="C191">
      <formula1>"Rate (per year)"</formula1>
    </dataValidation>
    <dataValidation type="list" allowBlank="1" showInputMessage="1" showErrorMessage="1" sqref="C194">
      <formula1>"Rate (per year)"</formula1>
    </dataValidation>
    <dataValidation type="list" allowBlank="1" showInputMessage="1" showErrorMessage="1" sqref="C195">
      <formula1>"Rate (per year)"</formula1>
    </dataValidation>
    <dataValidation type="list" allowBlank="1" showInputMessage="1" showErrorMessage="1" sqref="C196">
      <formula1>"Rate (per year)"</formula1>
    </dataValidation>
    <dataValidation type="list" allowBlank="1" showInputMessage="1" showErrorMessage="1" sqref="C197">
      <formula1>"Rate (per year)"</formula1>
    </dataValidation>
    <dataValidation type="list" allowBlank="1" showInputMessage="1" showErrorMessage="1" sqref="C198">
      <formula1>"Rate (per year)"</formula1>
    </dataValidation>
    <dataValidation type="list" allowBlank="1" showInputMessage="1" showErrorMessage="1" sqref="C199">
      <formula1>"Rate (per year)"</formula1>
    </dataValidation>
    <dataValidation type="list" allowBlank="1" showInputMessage="1" showErrorMessage="1" sqref="C200">
      <formula1>"Rate (per year)"</formula1>
    </dataValidation>
    <dataValidation type="list" allowBlank="1" showInputMessage="1" showErrorMessage="1" sqref="C201">
      <formula1>"Rate (per year)"</formula1>
    </dataValidation>
    <dataValidation type="list" allowBlank="1" showInputMessage="1" showErrorMessage="1" sqref="C202">
      <formula1>"Rate (per year)"</formula1>
    </dataValidation>
    <dataValidation type="list" allowBlank="1" showInputMessage="1" showErrorMessage="1" sqref="C203">
      <formula1>"Rate (per year)"</formula1>
    </dataValidation>
    <dataValidation type="list" allowBlank="1" showInputMessage="1" showErrorMessage="1" sqref="C204">
      <formula1>"Rate (per year)"</formula1>
    </dataValidation>
    <dataValidation type="list" allowBlank="1" showInputMessage="1" showErrorMessage="1" sqref="C205">
      <formula1>"Rate (per year)"</formula1>
    </dataValidation>
    <dataValidation type="list" allowBlank="1" showInputMessage="1" showErrorMessage="1" sqref="C206">
      <formula1>"Rate (per year)"</formula1>
    </dataValidation>
    <dataValidation type="list" allowBlank="1" showInputMessage="1" showErrorMessage="1" sqref="C207">
      <formula1>"Rate (per year)"</formula1>
    </dataValidation>
    <dataValidation type="list" allowBlank="1" showInputMessage="1" showErrorMessage="1" sqref="C210">
      <formula1>"Rate (per year)"</formula1>
    </dataValidation>
    <dataValidation type="list" allowBlank="1" showInputMessage="1" showErrorMessage="1" sqref="C211">
      <formula1>"Rate (per year)"</formula1>
    </dataValidation>
    <dataValidation type="list" allowBlank="1" showInputMessage="1" showErrorMessage="1" sqref="C212">
      <formula1>"Rate (per year)"</formula1>
    </dataValidation>
    <dataValidation type="list" allowBlank="1" showInputMessage="1" showErrorMessage="1" sqref="C213">
      <formula1>"Rate (per year)"</formula1>
    </dataValidation>
    <dataValidation type="list" allowBlank="1" showInputMessage="1" showErrorMessage="1" sqref="C214">
      <formula1>"Rate (per year)"</formula1>
    </dataValidation>
    <dataValidation type="list" allowBlank="1" showInputMessage="1" showErrorMessage="1" sqref="C215">
      <formula1>"Rate (per year)"</formula1>
    </dataValidation>
    <dataValidation type="list" allowBlank="1" showInputMessage="1" showErrorMessage="1" sqref="C216">
      <formula1>"Rate (per year)"</formula1>
    </dataValidation>
    <dataValidation type="list" allowBlank="1" showInputMessage="1" showErrorMessage="1" sqref="C217">
      <formula1>"Rate (per year)"</formula1>
    </dataValidation>
    <dataValidation type="list" allowBlank="1" showInputMessage="1" showErrorMessage="1" sqref="C218">
      <formula1>"Rate (per year)"</formula1>
    </dataValidation>
    <dataValidation type="list" allowBlank="1" showInputMessage="1" showErrorMessage="1" sqref="C219">
      <formula1>"Rate (per year)"</formula1>
    </dataValidation>
    <dataValidation type="list" allowBlank="1" showInputMessage="1" showErrorMessage="1" sqref="C220">
      <formula1>"Rate (per year)"</formula1>
    </dataValidation>
    <dataValidation type="list" allowBlank="1" showInputMessage="1" showErrorMessage="1" sqref="C221">
      <formula1>"Rate (per year)"</formula1>
    </dataValidation>
    <dataValidation type="list" allowBlank="1" showInputMessage="1" showErrorMessage="1" sqref="C222">
      <formula1>"Rate (per year)"</formula1>
    </dataValidation>
    <dataValidation type="list" allowBlank="1" showInputMessage="1" showErrorMessage="1" sqref="C223">
      <formula1>"Rate (per year)"</formula1>
    </dataValidation>
    <dataValidation type="list" allowBlank="1" showInputMessage="1" showErrorMessage="1" sqref="C226">
      <formula1>"Rate (per year)"</formula1>
    </dataValidation>
    <dataValidation type="list" allowBlank="1" showInputMessage="1" showErrorMessage="1" sqref="C227">
      <formula1>"Rate (per year)"</formula1>
    </dataValidation>
    <dataValidation type="list" allowBlank="1" showInputMessage="1" showErrorMessage="1" sqref="C228">
      <formula1>"Rate (per year)"</formula1>
    </dataValidation>
    <dataValidation type="list" allowBlank="1" showInputMessage="1" showErrorMessage="1" sqref="C229">
      <formula1>"Rate (per year)"</formula1>
    </dataValidation>
    <dataValidation type="list" allowBlank="1" showInputMessage="1" showErrorMessage="1" sqref="C230">
      <formula1>"Rate (per year)"</formula1>
    </dataValidation>
    <dataValidation type="list" allowBlank="1" showInputMessage="1" showErrorMessage="1" sqref="C231">
      <formula1>"Rate (per year)"</formula1>
    </dataValidation>
    <dataValidation type="list" allowBlank="1" showInputMessage="1" showErrorMessage="1" sqref="C232">
      <formula1>"Rate (per year)"</formula1>
    </dataValidation>
    <dataValidation type="list" allowBlank="1" showInputMessage="1" showErrorMessage="1" sqref="C233">
      <formula1>"Rate (per year)"</formula1>
    </dataValidation>
    <dataValidation type="list" allowBlank="1" showInputMessage="1" showErrorMessage="1" sqref="C234">
      <formula1>"Rate (per year)"</formula1>
    </dataValidation>
    <dataValidation type="list" allowBlank="1" showInputMessage="1" showErrorMessage="1" sqref="C235">
      <formula1>"Rate (per year)"</formula1>
    </dataValidation>
    <dataValidation type="list" allowBlank="1" showInputMessage="1" showErrorMessage="1" sqref="C236">
      <formula1>"Rate (per year)"</formula1>
    </dataValidation>
    <dataValidation type="list" allowBlank="1" showInputMessage="1" showErrorMessage="1" sqref="C237">
      <formula1>"Rate (per year)"</formula1>
    </dataValidation>
    <dataValidation type="list" allowBlank="1" showInputMessage="1" showErrorMessage="1" sqref="C238">
      <formula1>"Rate (per year)"</formula1>
    </dataValidation>
    <dataValidation type="list" allowBlank="1" showInputMessage="1" showErrorMessage="1" sqref="C239">
      <formula1>"Rate (per year)"</formula1>
    </dataValidation>
    <dataValidation type="list" allowBlank="1" showInputMessage="1" showErrorMessage="1" sqref="C242">
      <formula1>"Rate (per year)"</formula1>
    </dataValidation>
    <dataValidation type="list" allowBlank="1" showInputMessage="1" showErrorMessage="1" sqref="C243">
      <formula1>"Rate (per year)"</formula1>
    </dataValidation>
    <dataValidation type="list" allowBlank="1" showInputMessage="1" showErrorMessage="1" sqref="C244">
      <formula1>"Rate (per year)"</formula1>
    </dataValidation>
    <dataValidation type="list" allowBlank="1" showInputMessage="1" showErrorMessage="1" sqref="C245">
      <formula1>"Rate (per year)"</formula1>
    </dataValidation>
    <dataValidation type="list" allowBlank="1" showInputMessage="1" showErrorMessage="1" sqref="C246">
      <formula1>"Rate (per year)"</formula1>
    </dataValidation>
    <dataValidation type="list" allowBlank="1" showInputMessage="1" showErrorMessage="1" sqref="C247">
      <formula1>"Rate (per year)"</formula1>
    </dataValidation>
    <dataValidation type="list" allowBlank="1" showInputMessage="1" showErrorMessage="1" sqref="C248">
      <formula1>"Rate (per year)"</formula1>
    </dataValidation>
    <dataValidation type="list" allowBlank="1" showInputMessage="1" showErrorMessage="1" sqref="C249">
      <formula1>"Rate (per year)"</formula1>
    </dataValidation>
    <dataValidation type="list" allowBlank="1" showInputMessage="1" showErrorMessage="1" sqref="C250">
      <formula1>"Rate (per year)"</formula1>
    </dataValidation>
    <dataValidation type="list" allowBlank="1" showInputMessage="1" showErrorMessage="1" sqref="C251">
      <formula1>"Rate (per year)"</formula1>
    </dataValidation>
    <dataValidation type="list" allowBlank="1" showInputMessage="1" showErrorMessage="1" sqref="C252">
      <formula1>"Rate (per year)"</formula1>
    </dataValidation>
    <dataValidation type="list" allowBlank="1" showInputMessage="1" showErrorMessage="1" sqref="C253">
      <formula1>"Rate (per year)"</formula1>
    </dataValidation>
    <dataValidation type="list" allowBlank="1" showInputMessage="1" showErrorMessage="1" sqref="C254">
      <formula1>"Rate (per year)"</formula1>
    </dataValidation>
    <dataValidation type="list" allowBlank="1" showInputMessage="1" showErrorMessage="1" sqref="C255">
      <formula1>"Rate (per year)"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0">
      <formula1>"N.A."</formula1>
    </dataValidation>
    <dataValidation type="list" allowBlank="1" showInputMessage="1" showErrorMessage="1" sqref="C261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6">
      <formula1>"N.A."</formula1>
    </dataValidation>
    <dataValidation type="list" allowBlank="1" showInputMessage="1" showErrorMessage="1" sqref="C287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80.85546875" customWidth="1"/>
    <col min="2" max="2" width="12.710937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>
        <v>0.02576530612244899</v>
      </c>
      <c r="E2" s="3"/>
      <c r="F2" s="4" t="s">
        <v>39</v>
      </c>
      <c r="G2" s="3">
        <v>0.10732421875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>
        <v>0.2146484375</v>
      </c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>
        <v>0.02576530612244899</v>
      </c>
      <c r="E3" s="3"/>
      <c r="F3" s="4" t="s">
        <v>39</v>
      </c>
      <c r="G3" s="3">
        <v>0.10732421875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>
        <v>0.2146484375</v>
      </c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0.01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0.01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0.01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0.01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0.05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0.05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0.05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0.05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/>
      <c r="F12" s="4" t="s">
        <v>39</v>
      </c>
      <c r="G12" s="3">
        <v>0.10732421875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>
        <v>0.2146484375</v>
      </c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/>
      <c r="F13" s="4" t="s">
        <v>39</v>
      </c>
      <c r="G13" s="3">
        <v>0.10732421875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>
        <v>0.2146484375</v>
      </c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/>
      <c r="F14" s="4" t="s">
        <v>39</v>
      </c>
      <c r="G14" s="3">
        <v>0.10732421875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>
        <v>0.2146484375</v>
      </c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/>
      <c r="F15" s="4" t="s">
        <v>39</v>
      </c>
      <c r="G15" s="3">
        <v>0.10732421875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>
        <v>0.2146484375</v>
      </c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>
        <v>0.02576530612244899</v>
      </c>
      <c r="E18" s="3"/>
      <c r="F18" s="4" t="s">
        <v>39</v>
      </c>
      <c r="G18" s="3">
        <v>0.10732421875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>
        <v>0.2146484375</v>
      </c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>
        <v>0.02576530612244899</v>
      </c>
      <c r="E19" s="3"/>
      <c r="F19" s="4" t="s">
        <v>39</v>
      </c>
      <c r="G19" s="3">
        <v>0.10732421875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>
        <v>0.2146484375</v>
      </c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0.01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0.01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0.01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0.01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0.05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0.05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0.05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0.05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/>
      <c r="F28" s="4" t="s">
        <v>39</v>
      </c>
      <c r="G28" s="3">
        <v>0.10732421875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>
        <v>0.2146484375</v>
      </c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/>
      <c r="F29" s="4" t="s">
        <v>39</v>
      </c>
      <c r="G29" s="3">
        <v>0.10732421875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>
        <v>0.2146484375</v>
      </c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/>
      <c r="F30" s="4" t="s">
        <v>39</v>
      </c>
      <c r="G30" s="3">
        <v>0.10732421875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>
        <v>0.2146484375</v>
      </c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/>
      <c r="F31" s="4" t="s">
        <v>39</v>
      </c>
      <c r="G31" s="3">
        <v>0.10732421875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>
        <v>0.2146484375</v>
      </c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65.5703125" customWidth="1"/>
    <col min="2" max="2" width="30.28515625" customWidth="1"/>
    <col min="3" max="3" width="12.71093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84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50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50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50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50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50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50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50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50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50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50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50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50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50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50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85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50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50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50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50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50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50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50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50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50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50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50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50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50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50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86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87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88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50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50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50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50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50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50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50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50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50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50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50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50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50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50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89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50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50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50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50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50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50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50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50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50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50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50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50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50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50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"Proportion"</formula1>
    </dataValidation>
    <dataValidation type="list" allowBlank="1" showInputMessage="1" showErrorMessage="1" sqref="C19">
      <formula1>"Proportion"</formula1>
    </dataValidation>
    <dataValidation type="list" allowBlank="1" showInputMessage="1" showErrorMessage="1" sqref="C20">
      <formula1>"Proportion"</formula1>
    </dataValidation>
    <dataValidation type="list" allowBlank="1" showInputMessage="1" showErrorMessage="1" sqref="C21">
      <formula1>"Proportion"</formula1>
    </dataValidation>
    <dataValidation type="list" allowBlank="1" showInputMessage="1" showErrorMessage="1" sqref="C22">
      <formula1>"Proportion"</formula1>
    </dataValidation>
    <dataValidation type="list" allowBlank="1" showInputMessage="1" showErrorMessage="1" sqref="C23">
      <formula1>"Proportion"</formula1>
    </dataValidation>
    <dataValidation type="list" allowBlank="1" showInputMessage="1" showErrorMessage="1" sqref="C24">
      <formula1>"Proportion"</formula1>
    </dataValidation>
    <dataValidation type="list" allowBlank="1" showInputMessage="1" showErrorMessage="1" sqref="C25">
      <formula1>"Proportion"</formula1>
    </dataValidation>
    <dataValidation type="list" allowBlank="1" showInputMessage="1" showErrorMessage="1" sqref="C26">
      <formula1>"Proportion"</formula1>
    </dataValidation>
    <dataValidation type="list" allowBlank="1" showInputMessage="1" showErrorMessage="1" sqref="C27">
      <formula1>"Proportion"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78">
      <formula1>"Proportion"</formula1>
    </dataValidation>
    <dataValidation type="list" allowBlank="1" showInputMessage="1" showErrorMessage="1" sqref="C79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27"/>
  <sheetViews>
    <sheetView workbookViewId="0"/>
  </sheetViews>
  <sheetFormatPr defaultRowHeight="15"/>
  <cols>
    <col min="1" max="1" width="78.7109375" customWidth="1"/>
    <col min="2" max="2" width="30.2851562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55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55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55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55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55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55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55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55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55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55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55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55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55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55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55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55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55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55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55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55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92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55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55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55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55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55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55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55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55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93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55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55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55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55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55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55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55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55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55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55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55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55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55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55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94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55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55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55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55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55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55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55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55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55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55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55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55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55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55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95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55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55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55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55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55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55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55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55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55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55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55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55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55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55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96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55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55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55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55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55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55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55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55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55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55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55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55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55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55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97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55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55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55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55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55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55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55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55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55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55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55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55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55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55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112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93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98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/>
      <c r="F4" s="4" t="s">
        <v>39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>
        <v>0</v>
      </c>
      <c r="V4" s="3">
        <v>0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/>
      <c r="F5" s="4" t="s">
        <v>39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>
        <v>0</v>
      </c>
      <c r="V5" s="3">
        <v>0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/>
      <c r="F6" s="4" t="s">
        <v>39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>
        <v>0</v>
      </c>
      <c r="V6" s="3">
        <v>0</v>
      </c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/>
      <c r="F7" s="4" t="s">
        <v>39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>
        <v>0</v>
      </c>
      <c r="V7" s="3">
        <v>0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/>
      <c r="F8" s="4" t="s">
        <v>39</v>
      </c>
      <c r="G8" s="3">
        <v>0.2875357197411642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>
        <v>0.2875357197411642</v>
      </c>
      <c r="V8" s="3">
        <v>0</v>
      </c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/>
      <c r="F9" s="4" t="s">
        <v>39</v>
      </c>
      <c r="G9" s="3">
        <v>0.2820556874713719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>
        <v>0.2820556874713719</v>
      </c>
      <c r="V9" s="3">
        <v>0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/>
      <c r="F10" s="4" t="s">
        <v>39</v>
      </c>
      <c r="G10" s="3">
        <v>0.04909441109414312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>
        <v>0.04909441109414312</v>
      </c>
      <c r="V10" s="3">
        <v>0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/>
      <c r="F11" s="4" t="s">
        <v>39</v>
      </c>
      <c r="G11" s="3">
        <v>0.05984976372399814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>
        <v>0.05984976372399814</v>
      </c>
      <c r="V11" s="3">
        <v>0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>
        <v>0</v>
      </c>
      <c r="V20" s="3">
        <v>0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>
        <v>0</v>
      </c>
      <c r="V21" s="3">
        <v>0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>
        <v>0</v>
      </c>
      <c r="V22" s="3">
        <v>0</v>
      </c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>
        <v>0</v>
      </c>
      <c r="V23" s="3">
        <v>0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>
        <v>0</v>
      </c>
      <c r="V24" s="3">
        <v>0.2875357197411642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>
        <v>0</v>
      </c>
      <c r="V25" s="3">
        <v>0.2820556874713719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>
        <v>0</v>
      </c>
      <c r="V26" s="3">
        <v>0.04909441109414312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>
        <v>0</v>
      </c>
      <c r="V27" s="3">
        <v>0.05984976372399814</v>
      </c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100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/>
      <c r="F34" s="4" t="s">
        <v>39</v>
      </c>
      <c r="G34" s="3">
        <v>0.1647402763358858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>
        <v>0.1647402763358858</v>
      </c>
      <c r="V34" s="3">
        <v>0</v>
      </c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/>
      <c r="F35" s="4" t="s">
        <v>39</v>
      </c>
      <c r="G35" s="3">
        <v>0.1250566419470216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>
        <v>0.1250566419470216</v>
      </c>
      <c r="V35" s="3">
        <v>0</v>
      </c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/>
      <c r="F44" s="4" t="s">
        <v>39</v>
      </c>
      <c r="G44" s="3">
        <v>0.007623950549504465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>
        <v>0.007623950549504465</v>
      </c>
      <c r="V44" s="3">
        <v>0</v>
      </c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/>
      <c r="F45" s="4" t="s">
        <v>39</v>
      </c>
      <c r="G45" s="3">
        <v>0.0008439462330812491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>
        <v>0.0008439462330812491</v>
      </c>
      <c r="V45" s="3">
        <v>0</v>
      </c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/>
      <c r="F46" s="4" t="s">
        <v>39</v>
      </c>
      <c r="G46" s="3">
        <v>0.02287185164851339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>
        <v>0.02287185164851339</v>
      </c>
      <c r="V46" s="3">
        <v>0</v>
      </c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/>
      <c r="F47" s="4" t="s">
        <v>39</v>
      </c>
      <c r="G47" s="3">
        <v>0.0003277512553161152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>
        <v>0.0003277512553161152</v>
      </c>
      <c r="V47" s="3">
        <v>0</v>
      </c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101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>
        <v>0</v>
      </c>
      <c r="V50" s="3">
        <v>0.1647402763358858</v>
      </c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/>
      <c r="F51" s="4" t="s">
        <v>39</v>
      </c>
      <c r="G51" s="3">
        <v>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>
        <v>0</v>
      </c>
      <c r="V51" s="3">
        <v>0.1250566419470216</v>
      </c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>
        <v>0</v>
      </c>
      <c r="V60" s="3">
        <v>0.007623950549504465</v>
      </c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>
        <v>0</v>
      </c>
      <c r="V61" s="3">
        <v>0.0008439462330812491</v>
      </c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>
        <v>0</v>
      </c>
      <c r="V62" s="3">
        <v>0.02287185164851339</v>
      </c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>
        <v>0</v>
      </c>
      <c r="V63" s="3">
        <v>0.0003277512553161152</v>
      </c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102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63</v>
      </c>
      <c r="D66" s="3"/>
      <c r="E66" s="3"/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>
        <v>0.46</v>
      </c>
      <c r="W66" s="3">
        <v>0.23</v>
      </c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63</v>
      </c>
      <c r="D67" s="3"/>
      <c r="E67" s="3"/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0.46</v>
      </c>
      <c r="W67" s="3">
        <v>0.23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63</v>
      </c>
      <c r="D68" s="3"/>
      <c r="E68" s="3"/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>
        <v>0.46</v>
      </c>
      <c r="W68" s="3">
        <v>0.23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63</v>
      </c>
      <c r="D69" s="3"/>
      <c r="E69" s="3"/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>
        <v>0.46</v>
      </c>
      <c r="W69" s="3">
        <v>0.23</v>
      </c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63</v>
      </c>
      <c r="D70" s="3"/>
      <c r="E70" s="3"/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>
        <v>0.46</v>
      </c>
      <c r="W70" s="3">
        <v>0.23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63</v>
      </c>
      <c r="D71" s="3"/>
      <c r="E71" s="3"/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>
        <v>0.46</v>
      </c>
      <c r="W71" s="3">
        <v>0.23</v>
      </c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63</v>
      </c>
      <c r="D72" s="3"/>
      <c r="E72" s="3"/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>
        <v>0.46</v>
      </c>
      <c r="W72" s="3">
        <v>0.23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63</v>
      </c>
      <c r="D73" s="3"/>
      <c r="E73" s="3"/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>
        <v>0.46</v>
      </c>
      <c r="W73" s="3">
        <v>0.23</v>
      </c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63</v>
      </c>
      <c r="D74" s="3"/>
      <c r="E74" s="3"/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>
        <v>0.46</v>
      </c>
      <c r="W74" s="3">
        <v>0.23</v>
      </c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63</v>
      </c>
      <c r="D75" s="3"/>
      <c r="E75" s="3"/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>
        <v>0.46</v>
      </c>
      <c r="W75" s="3">
        <v>0.23</v>
      </c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63</v>
      </c>
      <c r="D76" s="3"/>
      <c r="E76" s="3"/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>
        <v>0.46</v>
      </c>
      <c r="W76" s="3">
        <v>0.23</v>
      </c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63</v>
      </c>
      <c r="D77" s="3"/>
      <c r="E77" s="3"/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>
        <v>0.46</v>
      </c>
      <c r="W77" s="3">
        <v>0.23</v>
      </c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63</v>
      </c>
      <c r="D78" s="3"/>
      <c r="E78" s="3"/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>
        <v>0.46</v>
      </c>
      <c r="W78" s="3">
        <v>0.23</v>
      </c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63</v>
      </c>
      <c r="D79" s="3"/>
      <c r="E79" s="3"/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>
        <v>0.46</v>
      </c>
      <c r="W79" s="3">
        <v>0.23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103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50</v>
      </c>
      <c r="D82" s="3"/>
      <c r="E82" s="3"/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>
        <v>0.5</v>
      </c>
      <c r="W82" s="3">
        <v>0.95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50</v>
      </c>
      <c r="D83" s="3"/>
      <c r="E83" s="3"/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>
        <v>0.5</v>
      </c>
      <c r="W83" s="3">
        <v>0.95</v>
      </c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50</v>
      </c>
      <c r="D84" s="3"/>
      <c r="E84" s="3"/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>
        <v>0.5</v>
      </c>
      <c r="W84" s="3">
        <v>0.95</v>
      </c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50</v>
      </c>
      <c r="D85" s="3"/>
      <c r="E85" s="3"/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>
        <v>0.5</v>
      </c>
      <c r="W85" s="3">
        <v>0.95</v>
      </c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50</v>
      </c>
      <c r="D86" s="3"/>
      <c r="E86" s="3"/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>
        <v>0.5</v>
      </c>
      <c r="W86" s="3">
        <v>0.95</v>
      </c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50</v>
      </c>
      <c r="D87" s="3"/>
      <c r="E87" s="3"/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>
        <v>0.5</v>
      </c>
      <c r="W87" s="3">
        <v>0.95</v>
      </c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50</v>
      </c>
      <c r="D88" s="3"/>
      <c r="E88" s="3"/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>
        <v>0.5</v>
      </c>
      <c r="W88" s="3">
        <v>0.95</v>
      </c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50</v>
      </c>
      <c r="D89" s="3"/>
      <c r="E89" s="3"/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>
        <v>0.5</v>
      </c>
      <c r="W89" s="3">
        <v>0.95</v>
      </c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50</v>
      </c>
      <c r="D90" s="3"/>
      <c r="E90" s="3"/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>
        <v>0.5</v>
      </c>
      <c r="W90" s="3">
        <v>0.95</v>
      </c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50</v>
      </c>
      <c r="D91" s="3"/>
      <c r="E91" s="3"/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>
        <v>0.5</v>
      </c>
      <c r="W91" s="3">
        <v>0.95</v>
      </c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50</v>
      </c>
      <c r="D92" s="3"/>
      <c r="E92" s="3"/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>
        <v>0.5</v>
      </c>
      <c r="W92" s="3">
        <v>0.95</v>
      </c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50</v>
      </c>
      <c r="D93" s="3"/>
      <c r="E93" s="3"/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>
        <v>0.5</v>
      </c>
      <c r="W93" s="3">
        <v>0.95</v>
      </c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50</v>
      </c>
      <c r="D94" s="3"/>
      <c r="E94" s="3"/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>
        <v>0.5</v>
      </c>
      <c r="W94" s="3">
        <v>0.95</v>
      </c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50</v>
      </c>
      <c r="D95" s="3"/>
      <c r="E95" s="3"/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>
        <v>0.5</v>
      </c>
      <c r="W95" s="3">
        <v>0.95</v>
      </c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104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50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50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50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50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50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50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50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50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50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50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50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50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50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50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4">
      <formula1>"Proportion"</formula1>
    </dataValidation>
    <dataValidation type="list" allowBlank="1" showInputMessage="1" showErrorMessage="1" sqref="C105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49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105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/>
      <c r="E2" s="3">
        <v>0.45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/>
      <c r="E3" s="3">
        <v>0.45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0.45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0.45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0.45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0.45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0.45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0.45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0.45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0.45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0.45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0.45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0.45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0.45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106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/>
      <c r="E18" s="3">
        <v>0.328548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/>
      <c r="E19" s="3">
        <v>0.328548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0.328548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0.328548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0.328548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0.328548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0.328548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0.328548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0.328548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0.328548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0.328548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0.328548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0.328548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0.328548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63</v>
      </c>
      <c r="D34" s="3"/>
      <c r="E34" s="3">
        <v>1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63</v>
      </c>
      <c r="D35" s="3"/>
      <c r="E35" s="3">
        <v>1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63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63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63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63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63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63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63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63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63</v>
      </c>
      <c r="D44" s="3"/>
      <c r="E44" s="3">
        <v>1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63</v>
      </c>
      <c r="D45" s="3"/>
      <c r="E45" s="3">
        <v>1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63</v>
      </c>
      <c r="D46" s="3"/>
      <c r="E46" s="3">
        <v>1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63</v>
      </c>
      <c r="D47" s="3"/>
      <c r="E47" s="3">
        <v>1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108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63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63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63</v>
      </c>
      <c r="D52" s="3"/>
      <c r="E52" s="3">
        <v>1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63</v>
      </c>
      <c r="D53" s="3"/>
      <c r="E53" s="3">
        <v>1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63</v>
      </c>
      <c r="D54" s="3"/>
      <c r="E54" s="3">
        <v>1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63</v>
      </c>
      <c r="D55" s="3"/>
      <c r="E55" s="3">
        <v>1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63</v>
      </c>
      <c r="D56" s="3"/>
      <c r="E56" s="3">
        <v>1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63</v>
      </c>
      <c r="D57" s="3"/>
      <c r="E57" s="3">
        <v>1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63</v>
      </c>
      <c r="D58" s="3"/>
      <c r="E58" s="3">
        <v>1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63</v>
      </c>
      <c r="D59" s="3"/>
      <c r="E59" s="3">
        <v>1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63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63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63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63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"Duration (years)"</formula1>
    </dataValidation>
    <dataValidation type="list" allowBlank="1" showInputMessage="1" showErrorMessage="1" sqref="C35">
      <formula1>"Duration (years)"</formula1>
    </dataValidation>
    <dataValidation type="list" allowBlank="1" showInputMessage="1" showErrorMessage="1" sqref="C36">
      <formula1>"Duration (years)"</formula1>
    </dataValidation>
    <dataValidation type="list" allowBlank="1" showInputMessage="1" showErrorMessage="1" sqref="C37">
      <formula1>"Duration (years)"</formula1>
    </dataValidation>
    <dataValidation type="list" allowBlank="1" showInputMessage="1" showErrorMessage="1" sqref="C38">
      <formula1>"Duration (years)"</formula1>
    </dataValidation>
    <dataValidation type="list" allowBlank="1" showInputMessage="1" showErrorMessage="1" sqref="C39">
      <formula1>"Duration (years)"</formula1>
    </dataValidation>
    <dataValidation type="list" allowBlank="1" showInputMessage="1" showErrorMessage="1" sqref="C40">
      <formula1>"Duration (years)"</formula1>
    </dataValidation>
    <dataValidation type="list" allowBlank="1" showInputMessage="1" showErrorMessage="1" sqref="C41">
      <formula1>"Duration (years)"</formula1>
    </dataValidation>
    <dataValidation type="list" allowBlank="1" showInputMessage="1" showErrorMessage="1" sqref="C42">
      <formula1>"Duration (years)"</formula1>
    </dataValidation>
    <dataValidation type="list" allowBlank="1" showInputMessage="1" showErrorMessage="1" sqref="C43">
      <formula1>"Duration (years)"</formula1>
    </dataValidation>
    <dataValidation type="list" allowBlank="1" showInputMessage="1" showErrorMessage="1" sqref="C44">
      <formula1>"Duration (years)"</formula1>
    </dataValidation>
    <dataValidation type="list" allowBlank="1" showInputMessage="1" showErrorMessage="1" sqref="C45">
      <formula1>"Duration (years)"</formula1>
    </dataValidation>
    <dataValidation type="list" allowBlank="1" showInputMessage="1" showErrorMessage="1" sqref="C46">
      <formula1>"Duration (years)"</formula1>
    </dataValidation>
    <dataValidation type="list" allowBlank="1" showInputMessage="1" showErrorMessage="1" sqref="C47">
      <formula1>"Duration (years)"</formula1>
    </dataValidation>
    <dataValidation type="list" allowBlank="1" showInputMessage="1" showErrorMessage="1" sqref="C50">
      <formula1>"Duration (years)"</formula1>
    </dataValidation>
    <dataValidation type="list" allowBlank="1" showInputMessage="1" showErrorMessage="1" sqref="C51">
      <formula1>"Duration (years)"</formula1>
    </dataValidation>
    <dataValidation type="list" allowBlank="1" showInputMessage="1" showErrorMessage="1" sqref="C52">
      <formula1>"Duration (years)"</formula1>
    </dataValidation>
    <dataValidation type="list" allowBlank="1" showInputMessage="1" showErrorMessage="1" sqref="C53">
      <formula1>"Duration (years)"</formula1>
    </dataValidation>
    <dataValidation type="list" allowBlank="1" showInputMessage="1" showErrorMessage="1" sqref="C54">
      <formula1>"Duration (years)"</formula1>
    </dataValidation>
    <dataValidation type="list" allowBlank="1" showInputMessage="1" showErrorMessage="1" sqref="C55">
      <formula1>"Duration (years)"</formula1>
    </dataValidation>
    <dataValidation type="list" allowBlank="1" showInputMessage="1" showErrorMessage="1" sqref="C56">
      <formula1>"Duration (years)"</formula1>
    </dataValidation>
    <dataValidation type="list" allowBlank="1" showInputMessage="1" showErrorMessage="1" sqref="C57">
      <formula1>"Duration (years)"</formula1>
    </dataValidation>
    <dataValidation type="list" allowBlank="1" showInputMessage="1" showErrorMessage="1" sqref="C58">
      <formula1>"Duration (years)"</formula1>
    </dataValidation>
    <dataValidation type="list" allowBlank="1" showInputMessage="1" showErrorMessage="1" sqref="C59">
      <formula1>"Duration (years)"</formula1>
    </dataValidation>
    <dataValidation type="list" allowBlank="1" showInputMessage="1" showErrorMessage="1" sqref="C60">
      <formula1>"Duration (years)"</formula1>
    </dataValidation>
    <dataValidation type="list" allowBlank="1" showInputMessage="1" showErrorMessage="1" sqref="C61">
      <formula1>"Duration (years)"</formula1>
    </dataValidation>
    <dataValidation type="list" allowBlank="1" showInputMessage="1" showErrorMessage="1" sqref="C62">
      <formula1>"Duration (years)"</formula1>
    </dataValidation>
    <dataValidation type="list" allowBlank="1" showInputMessage="1" showErrorMessage="1" sqref="C63">
      <formula1>"Duration (years)"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8"/>
  <sheetViews>
    <sheetView workbookViewId="0"/>
  </sheetViews>
  <sheetFormatPr defaultRowHeight="15"/>
  <cols>
    <col min="1" max="1" width="104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109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36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36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36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36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36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36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36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36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36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36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36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36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36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36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>
      <c r="A16" s="1" t="s">
        <v>110</v>
      </c>
      <c r="C16" t="s">
        <v>36</v>
      </c>
      <c r="D16" s="3"/>
      <c r="E16" s="3">
        <v>0.2677948375611927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>
        <v>0.8033845126835781</v>
      </c>
      <c r="U16" s="3">
        <v>0.7585987577639752</v>
      </c>
      <c r="V16" s="3">
        <v>0.5345298165137615</v>
      </c>
      <c r="W16" s="3">
        <v>0.5269190938511328</v>
      </c>
      <c r="X16" s="3">
        <v>0.398957528957529</v>
      </c>
      <c r="Y16" s="3">
        <v>0.2907126865671642</v>
      </c>
      <c r="Z16" s="3">
        <v>0.349765625</v>
      </c>
      <c r="AA16" s="3">
        <v>0.3680905511811024</v>
      </c>
      <c r="AB16" s="3">
        <v>0.4446394849785408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8" spans="1:57">
      <c r="A18" s="1" t="s">
        <v>111</v>
      </c>
      <c r="B18" s="1" t="s">
        <v>31</v>
      </c>
      <c r="C18" s="1" t="s">
        <v>32</v>
      </c>
      <c r="D18" s="1" t="s">
        <v>33</v>
      </c>
      <c r="E18" s="1" t="s">
        <v>38</v>
      </c>
      <c r="F18" s="1"/>
      <c r="G18" s="1">
        <v>2000</v>
      </c>
      <c r="H18" s="1">
        <v>2001</v>
      </c>
      <c r="I18" s="1">
        <v>2002</v>
      </c>
      <c r="J18" s="1">
        <v>2003</v>
      </c>
      <c r="K18" s="1">
        <v>2004</v>
      </c>
      <c r="L18" s="1">
        <v>2005</v>
      </c>
      <c r="M18" s="1">
        <v>2006</v>
      </c>
      <c r="N18" s="1">
        <v>2007</v>
      </c>
      <c r="O18" s="1">
        <v>2008</v>
      </c>
      <c r="P18" s="1">
        <v>2009</v>
      </c>
      <c r="Q18" s="1">
        <v>2010</v>
      </c>
      <c r="R18" s="1">
        <v>2011</v>
      </c>
      <c r="S18" s="1">
        <v>2012</v>
      </c>
      <c r="T18" s="1">
        <v>2013</v>
      </c>
      <c r="U18" s="1">
        <v>2014</v>
      </c>
      <c r="V18" s="1">
        <v>2015</v>
      </c>
      <c r="W18" s="1">
        <v>2016</v>
      </c>
      <c r="X18" s="1">
        <v>2017</v>
      </c>
      <c r="Y18" s="1">
        <v>2018</v>
      </c>
      <c r="Z18" s="1">
        <v>2019</v>
      </c>
      <c r="AA18" s="1">
        <v>2020</v>
      </c>
      <c r="AB18" s="1">
        <v>2021</v>
      </c>
      <c r="AC18" s="1">
        <v>2022</v>
      </c>
      <c r="AD18" s="1">
        <v>2023</v>
      </c>
      <c r="AE18" s="1">
        <v>2024</v>
      </c>
      <c r="AF18" s="1">
        <v>2025</v>
      </c>
      <c r="AG18" s="1">
        <v>2026</v>
      </c>
      <c r="AH18" s="1">
        <v>2027</v>
      </c>
      <c r="AI18" s="1">
        <v>2028</v>
      </c>
      <c r="AJ18" s="1">
        <v>2029</v>
      </c>
      <c r="AK18" s="1">
        <v>2030</v>
      </c>
      <c r="AL18" s="1">
        <v>2031</v>
      </c>
      <c r="AM18" s="1">
        <v>2032</v>
      </c>
      <c r="AN18" s="1">
        <v>2033</v>
      </c>
      <c r="AO18" s="1">
        <v>2034</v>
      </c>
      <c r="AP18" s="1">
        <v>2035</v>
      </c>
      <c r="AQ18" s="1">
        <v>2036</v>
      </c>
      <c r="AR18" s="1">
        <v>2037</v>
      </c>
      <c r="AS18" s="1">
        <v>2038</v>
      </c>
      <c r="AT18" s="1">
        <v>2039</v>
      </c>
      <c r="AU18" s="1">
        <v>2040</v>
      </c>
      <c r="AV18" s="1">
        <v>2041</v>
      </c>
      <c r="AW18" s="1">
        <v>2042</v>
      </c>
      <c r="AX18" s="1">
        <v>2043</v>
      </c>
      <c r="AY18" s="1">
        <v>2044</v>
      </c>
      <c r="AZ18" s="1">
        <v>2045</v>
      </c>
      <c r="BA18" s="1">
        <v>2046</v>
      </c>
      <c r="BB18" s="1">
        <v>2047</v>
      </c>
      <c r="BC18" s="1">
        <v>2048</v>
      </c>
      <c r="BD18" s="1">
        <v>2049</v>
      </c>
      <c r="BE18" s="1">
        <v>2050</v>
      </c>
    </row>
    <row r="19" spans="1:57">
      <c r="A19" s="1" t="str">
        <f>'Population Definitions'!$A$2</f>
        <v>PWID_males</v>
      </c>
      <c r="C19" t="s">
        <v>34</v>
      </c>
      <c r="D19" s="3"/>
      <c r="E19" s="3"/>
      <c r="F19" s="4" t="s">
        <v>39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Definitions'!$A$3</f>
        <v>PWID_females</v>
      </c>
      <c r="C20" t="s">
        <v>34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Definitions'!$A$4</f>
        <v>0-9_males</v>
      </c>
      <c r="C21" t="s">
        <v>34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Definitions'!$A$5</f>
        <v>0-9_females</v>
      </c>
      <c r="C22" t="s">
        <v>34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Definitions'!$A$6</f>
        <v>10-17_males</v>
      </c>
      <c r="C23" t="s">
        <v>34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Definitions'!$A$7</f>
        <v>10-17_females</v>
      </c>
      <c r="C24" t="s">
        <v>34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Definitions'!$A$8</f>
        <v>18-64_males</v>
      </c>
      <c r="C25" t="s">
        <v>34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Definitions'!$A$9</f>
        <v>18-64_females</v>
      </c>
      <c r="C26" t="s">
        <v>34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Definitions'!$A$10</f>
        <v>65+_males</v>
      </c>
      <c r="C27" t="s">
        <v>34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Definitions'!$A$11</f>
        <v>65+_females</v>
      </c>
      <c r="C28" t="s">
        <v>34</v>
      </c>
      <c r="D28" s="3"/>
      <c r="E28" s="3"/>
      <c r="F28" s="4" t="s">
        <v>39</v>
      </c>
      <c r="G28" s="3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Definitions'!$A$12</f>
        <v>Prisoners_males</v>
      </c>
      <c r="C29" t="s">
        <v>34</v>
      </c>
      <c r="D29" s="3"/>
      <c r="E29" s="3"/>
      <c r="F29" s="4" t="s">
        <v>39</v>
      </c>
      <c r="G29" s="3">
        <v>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Definitions'!$A$13</f>
        <v>Prisoners_females</v>
      </c>
      <c r="C30" t="s">
        <v>34</v>
      </c>
      <c r="D30" s="3"/>
      <c r="E30" s="3"/>
      <c r="F30" s="4" t="s">
        <v>39</v>
      </c>
      <c r="G30" s="3">
        <v>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Definitions'!$A$14</f>
        <v>Prisoners_PWID_males</v>
      </c>
      <c r="C31" t="s">
        <v>34</v>
      </c>
      <c r="D31" s="3"/>
      <c r="E31" s="3"/>
      <c r="F31" s="4" t="s">
        <v>39</v>
      </c>
      <c r="G31" s="3">
        <v>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2" spans="1:57">
      <c r="A32" s="1" t="str">
        <f>'Population Definitions'!$A$15</f>
        <v>Prisoners_PWID_females</v>
      </c>
      <c r="C32" t="s">
        <v>34</v>
      </c>
      <c r="D32" s="3"/>
      <c r="E32" s="3"/>
      <c r="F32" s="4" t="s">
        <v>39</v>
      </c>
      <c r="G32" s="3">
        <v>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>
      <c r="A33" s="1" t="s">
        <v>110</v>
      </c>
      <c r="C33" t="s">
        <v>34</v>
      </c>
      <c r="D33" s="3"/>
      <c r="E33" s="3"/>
      <c r="F33" s="4" t="s">
        <v>39</v>
      </c>
      <c r="G33" s="3">
        <v>8.666666666666666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>
        <v>8.666666666666666</v>
      </c>
      <c r="V33" s="3">
        <v>26</v>
      </c>
      <c r="W33" s="3">
        <v>482</v>
      </c>
      <c r="X33" s="3">
        <v>171</v>
      </c>
      <c r="Y33" s="3">
        <v>102</v>
      </c>
      <c r="Z33" s="3">
        <v>78</v>
      </c>
      <c r="AA33" s="3">
        <v>74.886</v>
      </c>
      <c r="AB33" s="3">
        <v>45</v>
      </c>
      <c r="AC33" s="3">
        <v>65</v>
      </c>
      <c r="AD33" s="3">
        <v>70</v>
      </c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  <row r="35" spans="1:57">
      <c r="A35" s="1" t="s">
        <v>112</v>
      </c>
      <c r="B35" s="1" t="s">
        <v>31</v>
      </c>
      <c r="C35" s="1" t="s">
        <v>32</v>
      </c>
      <c r="D35" s="1" t="s">
        <v>33</v>
      </c>
      <c r="E35" s="1" t="s">
        <v>38</v>
      </c>
      <c r="F35" s="1"/>
      <c r="G35" s="1">
        <v>2000</v>
      </c>
      <c r="H35" s="1">
        <v>2001</v>
      </c>
      <c r="I35" s="1">
        <v>2002</v>
      </c>
      <c r="J35" s="1">
        <v>2003</v>
      </c>
      <c r="K35" s="1">
        <v>2004</v>
      </c>
      <c r="L35" s="1">
        <v>2005</v>
      </c>
      <c r="M35" s="1">
        <v>2006</v>
      </c>
      <c r="N35" s="1">
        <v>2007</v>
      </c>
      <c r="O35" s="1">
        <v>2008</v>
      </c>
      <c r="P35" s="1">
        <v>2009</v>
      </c>
      <c r="Q35" s="1">
        <v>2010</v>
      </c>
      <c r="R35" s="1">
        <v>2011</v>
      </c>
      <c r="S35" s="1">
        <v>2012</v>
      </c>
      <c r="T35" s="1">
        <v>2013</v>
      </c>
      <c r="U35" s="1">
        <v>2014</v>
      </c>
      <c r="V35" s="1">
        <v>2015</v>
      </c>
      <c r="W35" s="1">
        <v>2016</v>
      </c>
      <c r="X35" s="1">
        <v>2017</v>
      </c>
      <c r="Y35" s="1">
        <v>2018</v>
      </c>
      <c r="Z35" s="1">
        <v>2019</v>
      </c>
      <c r="AA35" s="1">
        <v>2020</v>
      </c>
      <c r="AB35" s="1">
        <v>2021</v>
      </c>
      <c r="AC35" s="1">
        <v>2022</v>
      </c>
      <c r="AD35" s="1">
        <v>2023</v>
      </c>
      <c r="AE35" s="1">
        <v>2024</v>
      </c>
      <c r="AF35" s="1">
        <v>2025</v>
      </c>
      <c r="AG35" s="1">
        <v>2026</v>
      </c>
      <c r="AH35" s="1">
        <v>2027</v>
      </c>
      <c r="AI35" s="1">
        <v>2028</v>
      </c>
      <c r="AJ35" s="1">
        <v>2029</v>
      </c>
      <c r="AK35" s="1">
        <v>2030</v>
      </c>
      <c r="AL35" s="1">
        <v>2031</v>
      </c>
      <c r="AM35" s="1">
        <v>2032</v>
      </c>
      <c r="AN35" s="1">
        <v>2033</v>
      </c>
      <c r="AO35" s="1">
        <v>2034</v>
      </c>
      <c r="AP35" s="1">
        <v>2035</v>
      </c>
      <c r="AQ35" s="1">
        <v>2036</v>
      </c>
      <c r="AR35" s="1">
        <v>2037</v>
      </c>
      <c r="AS35" s="1">
        <v>2038</v>
      </c>
      <c r="AT35" s="1">
        <v>2039</v>
      </c>
      <c r="AU35" s="1">
        <v>2040</v>
      </c>
      <c r="AV35" s="1">
        <v>2041</v>
      </c>
      <c r="AW35" s="1">
        <v>2042</v>
      </c>
      <c r="AX35" s="1">
        <v>2043</v>
      </c>
      <c r="AY35" s="1">
        <v>2044</v>
      </c>
      <c r="AZ35" s="1">
        <v>2045</v>
      </c>
      <c r="BA35" s="1">
        <v>2046</v>
      </c>
      <c r="BB35" s="1">
        <v>2047</v>
      </c>
      <c r="BC35" s="1">
        <v>2048</v>
      </c>
      <c r="BD35" s="1">
        <v>2049</v>
      </c>
      <c r="BE35" s="1">
        <v>2050</v>
      </c>
    </row>
    <row r="36" spans="1:57">
      <c r="A36" s="1" t="str">
        <f>'Population Definitions'!$A$2</f>
        <v>PWID_males</v>
      </c>
      <c r="C36" t="s">
        <v>34</v>
      </c>
      <c r="D36" s="3"/>
      <c r="E36" s="3"/>
      <c r="F36" s="4" t="s">
        <v>39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Definitions'!$A$3</f>
        <v>PWID_females</v>
      </c>
      <c r="C37" t="s">
        <v>34</v>
      </c>
      <c r="D37" s="3"/>
      <c r="E37" s="3"/>
      <c r="F37" s="4" t="s">
        <v>39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Definitions'!$A$4</f>
        <v>0-9_males</v>
      </c>
      <c r="C38" t="s">
        <v>34</v>
      </c>
      <c r="D38" s="3"/>
      <c r="E38" s="3"/>
      <c r="F38" s="4" t="s">
        <v>39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Definitions'!$A$5</f>
        <v>0-9_females</v>
      </c>
      <c r="C39" t="s">
        <v>34</v>
      </c>
      <c r="D39" s="3"/>
      <c r="E39" s="3"/>
      <c r="F39" s="4" t="s">
        <v>39</v>
      </c>
      <c r="G39" s="3">
        <v>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Definitions'!$A$6</f>
        <v>10-17_males</v>
      </c>
      <c r="C40" t="s">
        <v>34</v>
      </c>
      <c r="D40" s="3"/>
      <c r="E40" s="3"/>
      <c r="F40" s="4" t="s">
        <v>39</v>
      </c>
      <c r="G40" s="3">
        <v>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Definitions'!$A$7</f>
        <v>10-17_females</v>
      </c>
      <c r="C41" t="s">
        <v>34</v>
      </c>
      <c r="D41" s="3"/>
      <c r="E41" s="3"/>
      <c r="F41" s="4" t="s">
        <v>39</v>
      </c>
      <c r="G41" s="3">
        <v>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Definitions'!$A$8</f>
        <v>18-64_males</v>
      </c>
      <c r="C42" t="s">
        <v>34</v>
      </c>
      <c r="D42" s="3"/>
      <c r="E42" s="3"/>
      <c r="F42" s="4" t="s">
        <v>39</v>
      </c>
      <c r="G42" s="3">
        <v>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Definitions'!$A$9</f>
        <v>18-64_females</v>
      </c>
      <c r="C43" t="s">
        <v>34</v>
      </c>
      <c r="D43" s="3"/>
      <c r="E43" s="3"/>
      <c r="F43" s="4" t="s">
        <v>39</v>
      </c>
      <c r="G43" s="3">
        <v>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Definitions'!$A$10</f>
        <v>65+_males</v>
      </c>
      <c r="C44" t="s">
        <v>34</v>
      </c>
      <c r="D44" s="3"/>
      <c r="E44" s="3"/>
      <c r="F44" s="4" t="s">
        <v>39</v>
      </c>
      <c r="G44" s="3">
        <v>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Definitions'!$A$11</f>
        <v>65+_females</v>
      </c>
      <c r="C45" t="s">
        <v>34</v>
      </c>
      <c r="D45" s="3"/>
      <c r="E45" s="3"/>
      <c r="F45" s="4" t="s">
        <v>39</v>
      </c>
      <c r="G45" s="3">
        <v>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Definitions'!$A$12</f>
        <v>Prisoners_males</v>
      </c>
      <c r="C46" t="s">
        <v>34</v>
      </c>
      <c r="D46" s="3"/>
      <c r="E46" s="3"/>
      <c r="F46" s="4" t="s">
        <v>39</v>
      </c>
      <c r="G46" s="3">
        <v>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Definitions'!$A$13</f>
        <v>Prisoners_females</v>
      </c>
      <c r="C47" t="s">
        <v>34</v>
      </c>
      <c r="D47" s="3"/>
      <c r="E47" s="3"/>
      <c r="F47" s="4" t="s">
        <v>39</v>
      </c>
      <c r="G47" s="3">
        <v>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8" spans="1:57">
      <c r="A48" s="1" t="str">
        <f>'Population Definitions'!$A$14</f>
        <v>Prisoners_PWID_males</v>
      </c>
      <c r="C48" t="s">
        <v>34</v>
      </c>
      <c r="D48" s="3"/>
      <c r="E48" s="3"/>
      <c r="F48" s="4" t="s">
        <v>39</v>
      </c>
      <c r="G48" s="3">
        <v>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</row>
    <row r="49" spans="1:57">
      <c r="A49" s="1" t="str">
        <f>'Population Definitions'!$A$15</f>
        <v>Prisoners_PWID_females</v>
      </c>
      <c r="C49" t="s">
        <v>34</v>
      </c>
      <c r="D49" s="3"/>
      <c r="E49" s="3"/>
      <c r="F49" s="4" t="s">
        <v>39</v>
      </c>
      <c r="G49" s="3">
        <v>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</row>
    <row r="50" spans="1:57">
      <c r="A50" s="1" t="s">
        <v>110</v>
      </c>
      <c r="C50" t="s">
        <v>34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2" spans="1:57">
      <c r="A52" s="1" t="s">
        <v>113</v>
      </c>
      <c r="B52" s="1" t="s">
        <v>31</v>
      </c>
      <c r="C52" s="1" t="s">
        <v>32</v>
      </c>
      <c r="D52" s="1" t="s">
        <v>33</v>
      </c>
      <c r="E52" s="1" t="s">
        <v>38</v>
      </c>
      <c r="F52" s="1"/>
      <c r="G52" s="1">
        <v>2000</v>
      </c>
      <c r="H52" s="1">
        <v>2001</v>
      </c>
      <c r="I52" s="1">
        <v>2002</v>
      </c>
      <c r="J52" s="1">
        <v>2003</v>
      </c>
      <c r="K52" s="1">
        <v>2004</v>
      </c>
      <c r="L52" s="1">
        <v>2005</v>
      </c>
      <c r="M52" s="1">
        <v>2006</v>
      </c>
      <c r="N52" s="1">
        <v>2007</v>
      </c>
      <c r="O52" s="1">
        <v>2008</v>
      </c>
      <c r="P52" s="1">
        <v>2009</v>
      </c>
      <c r="Q52" s="1">
        <v>2010</v>
      </c>
      <c r="R52" s="1">
        <v>2011</v>
      </c>
      <c r="S52" s="1">
        <v>2012</v>
      </c>
      <c r="T52" s="1">
        <v>2013</v>
      </c>
      <c r="U52" s="1">
        <v>2014</v>
      </c>
      <c r="V52" s="1">
        <v>2015</v>
      </c>
      <c r="W52" s="1">
        <v>2016</v>
      </c>
      <c r="X52" s="1">
        <v>2017</v>
      </c>
      <c r="Y52" s="1">
        <v>2018</v>
      </c>
      <c r="Z52" s="1">
        <v>2019</v>
      </c>
      <c r="AA52" s="1">
        <v>2020</v>
      </c>
      <c r="AB52" s="1">
        <v>2021</v>
      </c>
      <c r="AC52" s="1">
        <v>2022</v>
      </c>
      <c r="AD52" s="1">
        <v>2023</v>
      </c>
      <c r="AE52" s="1">
        <v>2024</v>
      </c>
      <c r="AF52" s="1">
        <v>2025</v>
      </c>
      <c r="AG52" s="1">
        <v>2026</v>
      </c>
      <c r="AH52" s="1">
        <v>2027</v>
      </c>
      <c r="AI52" s="1">
        <v>2028</v>
      </c>
      <c r="AJ52" s="1">
        <v>2029</v>
      </c>
      <c r="AK52" s="1">
        <v>2030</v>
      </c>
      <c r="AL52" s="1">
        <v>2031</v>
      </c>
      <c r="AM52" s="1">
        <v>2032</v>
      </c>
      <c r="AN52" s="1">
        <v>2033</v>
      </c>
      <c r="AO52" s="1">
        <v>2034</v>
      </c>
      <c r="AP52" s="1">
        <v>2035</v>
      </c>
      <c r="AQ52" s="1">
        <v>2036</v>
      </c>
      <c r="AR52" s="1">
        <v>2037</v>
      </c>
      <c r="AS52" s="1">
        <v>2038</v>
      </c>
      <c r="AT52" s="1">
        <v>2039</v>
      </c>
      <c r="AU52" s="1">
        <v>2040</v>
      </c>
      <c r="AV52" s="1">
        <v>2041</v>
      </c>
      <c r="AW52" s="1">
        <v>2042</v>
      </c>
      <c r="AX52" s="1">
        <v>2043</v>
      </c>
      <c r="AY52" s="1">
        <v>2044</v>
      </c>
      <c r="AZ52" s="1">
        <v>2045</v>
      </c>
      <c r="BA52" s="1">
        <v>2046</v>
      </c>
      <c r="BB52" s="1">
        <v>2047</v>
      </c>
      <c r="BC52" s="1">
        <v>2048</v>
      </c>
      <c r="BD52" s="1">
        <v>2049</v>
      </c>
      <c r="BE52" s="1">
        <v>2050</v>
      </c>
    </row>
    <row r="53" spans="1:57">
      <c r="A53" s="1" t="str">
        <f>'Population Definitions'!$A$2</f>
        <v>PWID_males</v>
      </c>
      <c r="C53" t="s">
        <v>34</v>
      </c>
      <c r="D53" s="3"/>
      <c r="E53" s="3"/>
      <c r="F53" s="4" t="s">
        <v>39</v>
      </c>
      <c r="G53" s="3">
        <v>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Definitions'!$A$3</f>
        <v>PWID_females</v>
      </c>
      <c r="C54" t="s">
        <v>34</v>
      </c>
      <c r="D54" s="3"/>
      <c r="E54" s="3"/>
      <c r="F54" s="4" t="s">
        <v>39</v>
      </c>
      <c r="G54" s="3">
        <v>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Definitions'!$A$4</f>
        <v>0-9_males</v>
      </c>
      <c r="C55" t="s">
        <v>34</v>
      </c>
      <c r="D55" s="3"/>
      <c r="E55" s="3"/>
      <c r="F55" s="4" t="s">
        <v>39</v>
      </c>
      <c r="G55" s="3">
        <v>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Definitions'!$A$5</f>
        <v>0-9_females</v>
      </c>
      <c r="C56" t="s">
        <v>34</v>
      </c>
      <c r="D56" s="3"/>
      <c r="E56" s="3"/>
      <c r="F56" s="4" t="s">
        <v>39</v>
      </c>
      <c r="G56" s="3">
        <v>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Definitions'!$A$6</f>
        <v>10-17_males</v>
      </c>
      <c r="C57" t="s">
        <v>34</v>
      </c>
      <c r="D57" s="3"/>
      <c r="E57" s="3"/>
      <c r="F57" s="4" t="s">
        <v>39</v>
      </c>
      <c r="G57" s="3">
        <v>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Definitions'!$A$7</f>
        <v>10-17_females</v>
      </c>
      <c r="C58" t="s">
        <v>34</v>
      </c>
      <c r="D58" s="3"/>
      <c r="E58" s="3"/>
      <c r="F58" s="4" t="s">
        <v>39</v>
      </c>
      <c r="G58" s="3">
        <v>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Definitions'!$A$8</f>
        <v>18-64_males</v>
      </c>
      <c r="C59" t="s">
        <v>34</v>
      </c>
      <c r="D59" s="3"/>
      <c r="E59" s="3"/>
      <c r="F59" s="4" t="s">
        <v>39</v>
      </c>
      <c r="G59" s="3">
        <v>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Definitions'!$A$9</f>
        <v>18-64_females</v>
      </c>
      <c r="C60" t="s">
        <v>34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Definitions'!$A$10</f>
        <v>65+_males</v>
      </c>
      <c r="C61" t="s">
        <v>34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Definitions'!$A$11</f>
        <v>65+_females</v>
      </c>
      <c r="C62" t="s">
        <v>34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Definitions'!$A$12</f>
        <v>Prisoners_males</v>
      </c>
      <c r="C63" t="s">
        <v>34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4" spans="1:57">
      <c r="A64" s="1" t="str">
        <f>'Population Definitions'!$A$13</f>
        <v>Prisoners_females</v>
      </c>
      <c r="C64" t="s">
        <v>34</v>
      </c>
      <c r="D64" s="3"/>
      <c r="E64" s="3"/>
      <c r="F64" s="4" t="s">
        <v>39</v>
      </c>
      <c r="G64" s="3">
        <v>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</row>
    <row r="65" spans="1:57">
      <c r="A65" s="1" t="str">
        <f>'Population Definitions'!$A$14</f>
        <v>Prisoners_PWID_males</v>
      </c>
      <c r="C65" t="s">
        <v>34</v>
      </c>
      <c r="D65" s="3"/>
      <c r="E65" s="3"/>
      <c r="F65" s="4" t="s">
        <v>39</v>
      </c>
      <c r="G65" s="3">
        <v>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</row>
    <row r="66" spans="1:57">
      <c r="A66" s="1" t="str">
        <f>'Population Definitions'!$A$15</f>
        <v>Prisoners_PWID_females</v>
      </c>
      <c r="C66" t="s">
        <v>34</v>
      </c>
      <c r="D66" s="3"/>
      <c r="E66" s="3"/>
      <c r="F66" s="4" t="s">
        <v>39</v>
      </c>
      <c r="G66" s="3">
        <v>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">
        <v>110</v>
      </c>
      <c r="C67" t="s">
        <v>34</v>
      </c>
      <c r="D67" s="3"/>
      <c r="E67" s="3"/>
      <c r="F67" s="4" t="s">
        <v>39</v>
      </c>
      <c r="G67" s="3">
        <v>749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749</v>
      </c>
      <c r="W67" s="3">
        <v>805</v>
      </c>
      <c r="X67" s="3">
        <v>436</v>
      </c>
      <c r="Y67" s="3">
        <v>309</v>
      </c>
      <c r="Z67" s="3">
        <v>259</v>
      </c>
      <c r="AA67" s="3">
        <v>268</v>
      </c>
      <c r="AB67" s="3">
        <v>256</v>
      </c>
      <c r="AC67" s="3">
        <v>254</v>
      </c>
      <c r="AD67" s="3">
        <v>233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9" spans="1:57">
      <c r="A69" s="1" t="s">
        <v>114</v>
      </c>
      <c r="B69" s="1" t="s">
        <v>31</v>
      </c>
      <c r="C69" s="1" t="s">
        <v>32</v>
      </c>
      <c r="D69" s="1" t="s">
        <v>33</v>
      </c>
      <c r="E69" s="1" t="s">
        <v>38</v>
      </c>
      <c r="F69" s="1"/>
      <c r="G69" s="1">
        <v>2000</v>
      </c>
      <c r="H69" s="1">
        <v>2001</v>
      </c>
      <c r="I69" s="1">
        <v>2002</v>
      </c>
      <c r="J69" s="1">
        <v>2003</v>
      </c>
      <c r="K69" s="1">
        <v>2004</v>
      </c>
      <c r="L69" s="1">
        <v>2005</v>
      </c>
      <c r="M69" s="1">
        <v>2006</v>
      </c>
      <c r="N69" s="1">
        <v>2007</v>
      </c>
      <c r="O69" s="1">
        <v>2008</v>
      </c>
      <c r="P69" s="1">
        <v>2009</v>
      </c>
      <c r="Q69" s="1">
        <v>2010</v>
      </c>
      <c r="R69" s="1">
        <v>2011</v>
      </c>
      <c r="S69" s="1">
        <v>2012</v>
      </c>
      <c r="T69" s="1">
        <v>2013</v>
      </c>
      <c r="U69" s="1">
        <v>2014</v>
      </c>
      <c r="V69" s="1">
        <v>2015</v>
      </c>
      <c r="W69" s="1">
        <v>2016</v>
      </c>
      <c r="X69" s="1">
        <v>2017</v>
      </c>
      <c r="Y69" s="1">
        <v>2018</v>
      </c>
      <c r="Z69" s="1">
        <v>2019</v>
      </c>
      <c r="AA69" s="1">
        <v>2020</v>
      </c>
      <c r="AB69" s="1">
        <v>2021</v>
      </c>
      <c r="AC69" s="1">
        <v>2022</v>
      </c>
      <c r="AD69" s="1">
        <v>2023</v>
      </c>
      <c r="AE69" s="1">
        <v>2024</v>
      </c>
      <c r="AF69" s="1">
        <v>2025</v>
      </c>
      <c r="AG69" s="1">
        <v>2026</v>
      </c>
      <c r="AH69" s="1">
        <v>2027</v>
      </c>
      <c r="AI69" s="1">
        <v>2028</v>
      </c>
      <c r="AJ69" s="1">
        <v>2029</v>
      </c>
      <c r="AK69" s="1">
        <v>2030</v>
      </c>
      <c r="AL69" s="1">
        <v>2031</v>
      </c>
      <c r="AM69" s="1">
        <v>2032</v>
      </c>
      <c r="AN69" s="1">
        <v>2033</v>
      </c>
      <c r="AO69" s="1">
        <v>2034</v>
      </c>
      <c r="AP69" s="1">
        <v>2035</v>
      </c>
      <c r="AQ69" s="1">
        <v>2036</v>
      </c>
      <c r="AR69" s="1">
        <v>2037</v>
      </c>
      <c r="AS69" s="1">
        <v>2038</v>
      </c>
      <c r="AT69" s="1">
        <v>2039</v>
      </c>
      <c r="AU69" s="1">
        <v>2040</v>
      </c>
      <c r="AV69" s="1">
        <v>2041</v>
      </c>
      <c r="AW69" s="1">
        <v>2042</v>
      </c>
      <c r="AX69" s="1">
        <v>2043</v>
      </c>
      <c r="AY69" s="1">
        <v>2044</v>
      </c>
      <c r="AZ69" s="1">
        <v>2045</v>
      </c>
      <c r="BA69" s="1">
        <v>2046</v>
      </c>
      <c r="BB69" s="1">
        <v>2047</v>
      </c>
      <c r="BC69" s="1">
        <v>2048</v>
      </c>
      <c r="BD69" s="1">
        <v>2049</v>
      </c>
      <c r="BE69" s="1">
        <v>2050</v>
      </c>
    </row>
    <row r="70" spans="1:57">
      <c r="A70" s="1" t="str">
        <f>'Population Definitions'!$A$2</f>
        <v>PWID_males</v>
      </c>
      <c r="C70" t="s">
        <v>34</v>
      </c>
      <c r="D70" s="3"/>
      <c r="E70" s="3"/>
      <c r="F70" s="4" t="s">
        <v>39</v>
      </c>
      <c r="G70" s="3">
        <v>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Definitions'!$A$3</f>
        <v>PWID_females</v>
      </c>
      <c r="C71" t="s">
        <v>34</v>
      </c>
      <c r="D71" s="3"/>
      <c r="E71" s="3"/>
      <c r="F71" s="4" t="s">
        <v>39</v>
      </c>
      <c r="G71" s="3">
        <v>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Definitions'!$A$4</f>
        <v>0-9_males</v>
      </c>
      <c r="C72" t="s">
        <v>34</v>
      </c>
      <c r="D72" s="3"/>
      <c r="E72" s="3"/>
      <c r="F72" s="4" t="s">
        <v>39</v>
      </c>
      <c r="G72" s="3">
        <v>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Definitions'!$A$5</f>
        <v>0-9_females</v>
      </c>
      <c r="C73" t="s">
        <v>34</v>
      </c>
      <c r="D73" s="3"/>
      <c r="E73" s="3"/>
      <c r="F73" s="4" t="s">
        <v>39</v>
      </c>
      <c r="G73" s="3">
        <v>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Definitions'!$A$6</f>
        <v>10-17_males</v>
      </c>
      <c r="C74" t="s">
        <v>34</v>
      </c>
      <c r="D74" s="3"/>
      <c r="E74" s="3"/>
      <c r="F74" s="4" t="s">
        <v>39</v>
      </c>
      <c r="G74" s="3">
        <v>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Definitions'!$A$7</f>
        <v>10-17_females</v>
      </c>
      <c r="C75" t="s">
        <v>34</v>
      </c>
      <c r="D75" s="3"/>
      <c r="E75" s="3"/>
      <c r="F75" s="4" t="s">
        <v>39</v>
      </c>
      <c r="G75" s="3">
        <v>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Definitions'!$A$8</f>
        <v>18-64_males</v>
      </c>
      <c r="C76" t="s">
        <v>34</v>
      </c>
      <c r="D76" s="3"/>
      <c r="E76" s="3"/>
      <c r="F76" s="4" t="s">
        <v>39</v>
      </c>
      <c r="G76" s="3">
        <v>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Definitions'!$A$9</f>
        <v>18-64_females</v>
      </c>
      <c r="C77" t="s">
        <v>34</v>
      </c>
      <c r="D77" s="3"/>
      <c r="E77" s="3"/>
      <c r="F77" s="4" t="s">
        <v>39</v>
      </c>
      <c r="G77" s="3">
        <v>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Definitions'!$A$10</f>
        <v>65+_males</v>
      </c>
      <c r="C78" t="s">
        <v>34</v>
      </c>
      <c r="D78" s="3"/>
      <c r="E78" s="3"/>
      <c r="F78" s="4" t="s">
        <v>39</v>
      </c>
      <c r="G78" s="3">
        <v>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Definitions'!$A$11</f>
        <v>65+_females</v>
      </c>
      <c r="C79" t="s">
        <v>34</v>
      </c>
      <c r="D79" s="3"/>
      <c r="E79" s="3"/>
      <c r="F79" s="4" t="s">
        <v>39</v>
      </c>
      <c r="G79" s="3">
        <v>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0" spans="1:57">
      <c r="A80" s="1" t="str">
        <f>'Population Definitions'!$A$12</f>
        <v>Prisoners_males</v>
      </c>
      <c r="C80" t="s">
        <v>34</v>
      </c>
      <c r="D80" s="3"/>
      <c r="E80" s="3"/>
      <c r="F80" s="4" t="s">
        <v>39</v>
      </c>
      <c r="G80" s="3">
        <v>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</row>
    <row r="81" spans="1:57">
      <c r="A81" s="1" t="str">
        <f>'Population Definitions'!$A$13</f>
        <v>Prisoners_females</v>
      </c>
      <c r="C81" t="s">
        <v>34</v>
      </c>
      <c r="D81" s="3"/>
      <c r="E81" s="3"/>
      <c r="F81" s="4" t="s">
        <v>39</v>
      </c>
      <c r="G81" s="3">
        <v>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</row>
    <row r="82" spans="1:57">
      <c r="A82" s="1" t="str">
        <f>'Population Definitions'!$A$14</f>
        <v>Prisoners_PWID_males</v>
      </c>
      <c r="C82" t="s">
        <v>34</v>
      </c>
      <c r="D82" s="3"/>
      <c r="E82" s="3"/>
      <c r="F82" s="4" t="s">
        <v>39</v>
      </c>
      <c r="G82" s="3">
        <v>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Definitions'!$A$15</f>
        <v>Prisoners_PWID_females</v>
      </c>
      <c r="C83" t="s">
        <v>34</v>
      </c>
      <c r="D83" s="3"/>
      <c r="E83" s="3"/>
      <c r="F83" s="4" t="s">
        <v>39</v>
      </c>
      <c r="G83" s="3">
        <v>0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">
        <v>110</v>
      </c>
      <c r="C84" t="s">
        <v>34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6" spans="1:57">
      <c r="A86" s="1" t="s">
        <v>115</v>
      </c>
      <c r="B86" s="1" t="s">
        <v>31</v>
      </c>
      <c r="C86" s="1" t="s">
        <v>32</v>
      </c>
      <c r="D86" s="1" t="s">
        <v>33</v>
      </c>
      <c r="E86" s="1" t="s">
        <v>38</v>
      </c>
      <c r="F86" s="1"/>
      <c r="G86" s="1">
        <v>2000</v>
      </c>
      <c r="H86" s="1">
        <v>2001</v>
      </c>
      <c r="I86" s="1">
        <v>2002</v>
      </c>
      <c r="J86" s="1">
        <v>2003</v>
      </c>
      <c r="K86" s="1">
        <v>2004</v>
      </c>
      <c r="L86" s="1">
        <v>2005</v>
      </c>
      <c r="M86" s="1">
        <v>2006</v>
      </c>
      <c r="N86" s="1">
        <v>2007</v>
      </c>
      <c r="O86" s="1">
        <v>2008</v>
      </c>
      <c r="P86" s="1">
        <v>2009</v>
      </c>
      <c r="Q86" s="1">
        <v>2010</v>
      </c>
      <c r="R86" s="1">
        <v>2011</v>
      </c>
      <c r="S86" s="1">
        <v>2012</v>
      </c>
      <c r="T86" s="1">
        <v>2013</v>
      </c>
      <c r="U86" s="1">
        <v>2014</v>
      </c>
      <c r="V86" s="1">
        <v>2015</v>
      </c>
      <c r="W86" s="1">
        <v>2016</v>
      </c>
      <c r="X86" s="1">
        <v>2017</v>
      </c>
      <c r="Y86" s="1">
        <v>2018</v>
      </c>
      <c r="Z86" s="1">
        <v>2019</v>
      </c>
      <c r="AA86" s="1">
        <v>2020</v>
      </c>
      <c r="AB86" s="1">
        <v>2021</v>
      </c>
      <c r="AC86" s="1">
        <v>2022</v>
      </c>
      <c r="AD86" s="1">
        <v>2023</v>
      </c>
      <c r="AE86" s="1">
        <v>2024</v>
      </c>
      <c r="AF86" s="1">
        <v>2025</v>
      </c>
      <c r="AG86" s="1">
        <v>2026</v>
      </c>
      <c r="AH86" s="1">
        <v>2027</v>
      </c>
      <c r="AI86" s="1">
        <v>2028</v>
      </c>
      <c r="AJ86" s="1">
        <v>2029</v>
      </c>
      <c r="AK86" s="1">
        <v>2030</v>
      </c>
      <c r="AL86" s="1">
        <v>2031</v>
      </c>
      <c r="AM86" s="1">
        <v>2032</v>
      </c>
      <c r="AN86" s="1">
        <v>2033</v>
      </c>
      <c r="AO86" s="1">
        <v>2034</v>
      </c>
      <c r="AP86" s="1">
        <v>2035</v>
      </c>
      <c r="AQ86" s="1">
        <v>2036</v>
      </c>
      <c r="AR86" s="1">
        <v>2037</v>
      </c>
      <c r="AS86" s="1">
        <v>2038</v>
      </c>
      <c r="AT86" s="1">
        <v>2039</v>
      </c>
      <c r="AU86" s="1">
        <v>2040</v>
      </c>
      <c r="AV86" s="1">
        <v>2041</v>
      </c>
      <c r="AW86" s="1">
        <v>2042</v>
      </c>
      <c r="AX86" s="1">
        <v>2043</v>
      </c>
      <c r="AY86" s="1">
        <v>2044</v>
      </c>
      <c r="AZ86" s="1">
        <v>2045</v>
      </c>
      <c r="BA86" s="1">
        <v>2046</v>
      </c>
      <c r="BB86" s="1">
        <v>2047</v>
      </c>
      <c r="BC86" s="1">
        <v>2048</v>
      </c>
      <c r="BD86" s="1">
        <v>2049</v>
      </c>
      <c r="BE86" s="1">
        <v>2050</v>
      </c>
    </row>
    <row r="87" spans="1:57">
      <c r="A87" s="1" t="str">
        <f>'Population Definitions'!$A$2</f>
        <v>PWID_males</v>
      </c>
      <c r="C87" t="s">
        <v>34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Definitions'!$A$3</f>
        <v>PWID_females</v>
      </c>
      <c r="C88" t="s">
        <v>34</v>
      </c>
      <c r="D88" s="3"/>
      <c r="E88" s="3"/>
      <c r="F88" s="4" t="s">
        <v>39</v>
      </c>
      <c r="G88" s="3">
        <v>0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Definitions'!$A$4</f>
        <v>0-9_males</v>
      </c>
      <c r="C89" t="s">
        <v>34</v>
      </c>
      <c r="D89" s="3"/>
      <c r="E89" s="3"/>
      <c r="F89" s="4" t="s">
        <v>39</v>
      </c>
      <c r="G89" s="3">
        <v>0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Definitions'!$A$5</f>
        <v>0-9_females</v>
      </c>
      <c r="C90" t="s">
        <v>34</v>
      </c>
      <c r="D90" s="3"/>
      <c r="E90" s="3"/>
      <c r="F90" s="4" t="s">
        <v>39</v>
      </c>
      <c r="G90" s="3">
        <v>0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Definitions'!$A$6</f>
        <v>10-17_males</v>
      </c>
      <c r="C91" t="s">
        <v>34</v>
      </c>
      <c r="D91" s="3"/>
      <c r="E91" s="3"/>
      <c r="F91" s="4" t="s">
        <v>39</v>
      </c>
      <c r="G91" s="3">
        <v>0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Definitions'!$A$7</f>
        <v>10-17_females</v>
      </c>
      <c r="C92" t="s">
        <v>34</v>
      </c>
      <c r="D92" s="3"/>
      <c r="E92" s="3"/>
      <c r="F92" s="4" t="s">
        <v>39</v>
      </c>
      <c r="G92" s="3">
        <v>0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Definitions'!$A$8</f>
        <v>18-64_males</v>
      </c>
      <c r="C93" t="s">
        <v>34</v>
      </c>
      <c r="D93" s="3"/>
      <c r="E93" s="3"/>
      <c r="F93" s="4" t="s">
        <v>39</v>
      </c>
      <c r="G93" s="3">
        <v>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Definitions'!$A$9</f>
        <v>18-64_females</v>
      </c>
      <c r="C94" t="s">
        <v>34</v>
      </c>
      <c r="D94" s="3"/>
      <c r="E94" s="3"/>
      <c r="F94" s="4" t="s">
        <v>39</v>
      </c>
      <c r="G94" s="3">
        <v>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Definitions'!$A$10</f>
        <v>65+_males</v>
      </c>
      <c r="C95" t="s">
        <v>34</v>
      </c>
      <c r="D95" s="3"/>
      <c r="E95" s="3"/>
      <c r="F95" s="4" t="s">
        <v>39</v>
      </c>
      <c r="G95" s="3">
        <v>0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6" spans="1:57">
      <c r="A96" s="1" t="str">
        <f>'Population Definitions'!$A$11</f>
        <v>65+_females</v>
      </c>
      <c r="C96" t="s">
        <v>34</v>
      </c>
      <c r="D96" s="3"/>
      <c r="E96" s="3"/>
      <c r="F96" s="4" t="s">
        <v>39</v>
      </c>
      <c r="G96" s="3">
        <v>0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</row>
    <row r="97" spans="1:57">
      <c r="A97" s="1" t="str">
        <f>'Population Definitions'!$A$12</f>
        <v>Prisoners_males</v>
      </c>
      <c r="C97" t="s">
        <v>34</v>
      </c>
      <c r="D97" s="3"/>
      <c r="E97" s="3"/>
      <c r="F97" s="4" t="s">
        <v>39</v>
      </c>
      <c r="G97" s="3">
        <v>0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</row>
    <row r="98" spans="1:57">
      <c r="A98" s="1" t="str">
        <f>'Population Definitions'!$A$13</f>
        <v>Prisoners_females</v>
      </c>
      <c r="C98" t="s">
        <v>34</v>
      </c>
      <c r="D98" s="3"/>
      <c r="E98" s="3"/>
      <c r="F98" s="4" t="s">
        <v>39</v>
      </c>
      <c r="G98" s="3">
        <v>0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Definitions'!$A$14</f>
        <v>Prisoners_PWID_males</v>
      </c>
      <c r="C99" t="s">
        <v>34</v>
      </c>
      <c r="D99" s="3"/>
      <c r="E99" s="3"/>
      <c r="F99" s="4" t="s">
        <v>39</v>
      </c>
      <c r="G99" s="3">
        <v>0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Definitions'!$A$15</f>
        <v>Prisoners_PWID_females</v>
      </c>
      <c r="C100" t="s">
        <v>34</v>
      </c>
      <c r="D100" s="3"/>
      <c r="E100" s="3"/>
      <c r="F100" s="4" t="s">
        <v>39</v>
      </c>
      <c r="G100" s="3">
        <v>0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">
        <v>110</v>
      </c>
      <c r="C101" t="s">
        <v>34</v>
      </c>
      <c r="D101" s="3"/>
      <c r="E101" s="3"/>
      <c r="F101" s="4" t="s">
        <v>39</v>
      </c>
      <c r="G101" s="3">
        <v>37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>
        <v>37</v>
      </c>
      <c r="W101" s="3">
        <v>82</v>
      </c>
      <c r="X101" s="3">
        <v>93</v>
      </c>
      <c r="Y101" s="3">
        <v>38</v>
      </c>
      <c r="Z101" s="3">
        <v>49</v>
      </c>
      <c r="AA101" s="3">
        <v>83</v>
      </c>
      <c r="AB101" s="3">
        <v>47</v>
      </c>
      <c r="AC101" s="3">
        <v>72</v>
      </c>
      <c r="AD101" s="3">
        <v>79</v>
      </c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3" spans="1:57">
      <c r="A103" s="1" t="s">
        <v>116</v>
      </c>
      <c r="B103" s="1" t="s">
        <v>31</v>
      </c>
      <c r="C103" s="1" t="s">
        <v>32</v>
      </c>
      <c r="D103" s="1" t="s">
        <v>33</v>
      </c>
      <c r="E103" s="1" t="s">
        <v>38</v>
      </c>
      <c r="F103" s="1"/>
      <c r="G103" s="1">
        <v>2000</v>
      </c>
      <c r="H103" s="1">
        <v>2001</v>
      </c>
      <c r="I103" s="1">
        <v>2002</v>
      </c>
      <c r="J103" s="1">
        <v>2003</v>
      </c>
      <c r="K103" s="1">
        <v>2004</v>
      </c>
      <c r="L103" s="1">
        <v>2005</v>
      </c>
      <c r="M103" s="1">
        <v>2006</v>
      </c>
      <c r="N103" s="1">
        <v>2007</v>
      </c>
      <c r="O103" s="1">
        <v>2008</v>
      </c>
      <c r="P103" s="1">
        <v>2009</v>
      </c>
      <c r="Q103" s="1">
        <v>2010</v>
      </c>
      <c r="R103" s="1">
        <v>2011</v>
      </c>
      <c r="S103" s="1">
        <v>2012</v>
      </c>
      <c r="T103" s="1">
        <v>2013</v>
      </c>
      <c r="U103" s="1">
        <v>2014</v>
      </c>
      <c r="V103" s="1">
        <v>2015</v>
      </c>
      <c r="W103" s="1">
        <v>2016</v>
      </c>
      <c r="X103" s="1">
        <v>2017</v>
      </c>
      <c r="Y103" s="1">
        <v>2018</v>
      </c>
      <c r="Z103" s="1">
        <v>2019</v>
      </c>
      <c r="AA103" s="1">
        <v>2020</v>
      </c>
      <c r="AB103" s="1">
        <v>2021</v>
      </c>
      <c r="AC103" s="1">
        <v>2022</v>
      </c>
      <c r="AD103" s="1">
        <v>2023</v>
      </c>
      <c r="AE103" s="1">
        <v>2024</v>
      </c>
      <c r="AF103" s="1">
        <v>2025</v>
      </c>
      <c r="AG103" s="1">
        <v>2026</v>
      </c>
      <c r="AH103" s="1">
        <v>2027</v>
      </c>
      <c r="AI103" s="1">
        <v>2028</v>
      </c>
      <c r="AJ103" s="1">
        <v>2029</v>
      </c>
      <c r="AK103" s="1">
        <v>2030</v>
      </c>
      <c r="AL103" s="1">
        <v>2031</v>
      </c>
      <c r="AM103" s="1">
        <v>2032</v>
      </c>
      <c r="AN103" s="1">
        <v>2033</v>
      </c>
      <c r="AO103" s="1">
        <v>2034</v>
      </c>
      <c r="AP103" s="1">
        <v>2035</v>
      </c>
      <c r="AQ103" s="1">
        <v>2036</v>
      </c>
      <c r="AR103" s="1">
        <v>2037</v>
      </c>
      <c r="AS103" s="1">
        <v>2038</v>
      </c>
      <c r="AT103" s="1">
        <v>2039</v>
      </c>
      <c r="AU103" s="1">
        <v>2040</v>
      </c>
      <c r="AV103" s="1">
        <v>2041</v>
      </c>
      <c r="AW103" s="1">
        <v>2042</v>
      </c>
      <c r="AX103" s="1">
        <v>2043</v>
      </c>
      <c r="AY103" s="1">
        <v>2044</v>
      </c>
      <c r="AZ103" s="1">
        <v>2045</v>
      </c>
      <c r="BA103" s="1">
        <v>2046</v>
      </c>
      <c r="BB103" s="1">
        <v>2047</v>
      </c>
      <c r="BC103" s="1">
        <v>2048</v>
      </c>
      <c r="BD103" s="1">
        <v>2049</v>
      </c>
      <c r="BE103" s="1">
        <v>2050</v>
      </c>
    </row>
    <row r="104" spans="1:57">
      <c r="A104" s="1" t="str">
        <f>'Population Definitions'!$A$2</f>
        <v>PWID_males</v>
      </c>
      <c r="C104" t="s">
        <v>34</v>
      </c>
      <c r="D104" s="3"/>
      <c r="E104" s="3"/>
      <c r="F104" s="4" t="s">
        <v>39</v>
      </c>
      <c r="G104" s="3">
        <v>0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Definitions'!$A$3</f>
        <v>PWID_females</v>
      </c>
      <c r="C105" t="s">
        <v>34</v>
      </c>
      <c r="D105" s="3"/>
      <c r="E105" s="3"/>
      <c r="F105" s="4" t="s">
        <v>39</v>
      </c>
      <c r="G105" s="3">
        <v>0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Definitions'!$A$4</f>
        <v>0-9_males</v>
      </c>
      <c r="C106" t="s">
        <v>34</v>
      </c>
      <c r="D106" s="3"/>
      <c r="E106" s="3"/>
      <c r="F106" s="4" t="s">
        <v>39</v>
      </c>
      <c r="G106" s="3">
        <v>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Definitions'!$A$5</f>
        <v>0-9_females</v>
      </c>
      <c r="C107" t="s">
        <v>34</v>
      </c>
      <c r="D107" s="3"/>
      <c r="E107" s="3"/>
      <c r="F107" s="4" t="s">
        <v>39</v>
      </c>
      <c r="G107" s="3">
        <v>0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Definitions'!$A$6</f>
        <v>10-17_males</v>
      </c>
      <c r="C108" t="s">
        <v>34</v>
      </c>
      <c r="D108" s="3"/>
      <c r="E108" s="3"/>
      <c r="F108" s="4" t="s">
        <v>39</v>
      </c>
      <c r="G108" s="3">
        <v>0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Definitions'!$A$7</f>
        <v>10-17_females</v>
      </c>
      <c r="C109" t="s">
        <v>34</v>
      </c>
      <c r="D109" s="3"/>
      <c r="E109" s="3"/>
      <c r="F109" s="4" t="s">
        <v>39</v>
      </c>
      <c r="G109" s="3">
        <v>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Definitions'!$A$8</f>
        <v>18-64_males</v>
      </c>
      <c r="C110" t="s">
        <v>34</v>
      </c>
      <c r="D110" s="3"/>
      <c r="E110" s="3"/>
      <c r="F110" s="4" t="s">
        <v>39</v>
      </c>
      <c r="G110" s="3">
        <v>0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Definitions'!$A$9</f>
        <v>18-64_females</v>
      </c>
      <c r="C111" t="s">
        <v>34</v>
      </c>
      <c r="D111" s="3"/>
      <c r="E111" s="3"/>
      <c r="F111" s="4" t="s">
        <v>39</v>
      </c>
      <c r="G111" s="3">
        <v>0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2" spans="1:57">
      <c r="A112" s="1" t="str">
        <f>'Population Definitions'!$A$10</f>
        <v>65+_males</v>
      </c>
      <c r="C112" t="s">
        <v>34</v>
      </c>
      <c r="D112" s="3"/>
      <c r="E112" s="3"/>
      <c r="F112" s="4" t="s">
        <v>39</v>
      </c>
      <c r="G112" s="3">
        <v>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</row>
    <row r="113" spans="1:57">
      <c r="A113" s="1" t="str">
        <f>'Population Definitions'!$A$11</f>
        <v>65+_females</v>
      </c>
      <c r="C113" t="s">
        <v>34</v>
      </c>
      <c r="D113" s="3"/>
      <c r="E113" s="3"/>
      <c r="F113" s="4" t="s">
        <v>39</v>
      </c>
      <c r="G113" s="3">
        <v>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</row>
    <row r="114" spans="1:57">
      <c r="A114" s="1" t="str">
        <f>'Population Definitions'!$A$12</f>
        <v>Prisoners_males</v>
      </c>
      <c r="C114" t="s">
        <v>34</v>
      </c>
      <c r="D114" s="3"/>
      <c r="E114" s="3"/>
      <c r="F114" s="4" t="s">
        <v>39</v>
      </c>
      <c r="G114" s="3">
        <v>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Definitions'!$A$13</f>
        <v>Prisoners_females</v>
      </c>
      <c r="C115" t="s">
        <v>34</v>
      </c>
      <c r="D115" s="3"/>
      <c r="E115" s="3"/>
      <c r="F115" s="4" t="s">
        <v>39</v>
      </c>
      <c r="G115" s="3">
        <v>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Definitions'!$A$14</f>
        <v>Prisoners_PWID_males</v>
      </c>
      <c r="C116" t="s">
        <v>34</v>
      </c>
      <c r="D116" s="3"/>
      <c r="E116" s="3"/>
      <c r="F116" s="4" t="s">
        <v>39</v>
      </c>
      <c r="G116" s="3">
        <v>0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Definitions'!$A$15</f>
        <v>Prisoners_PWID_females</v>
      </c>
      <c r="C117" t="s">
        <v>34</v>
      </c>
      <c r="D117" s="3"/>
      <c r="E117" s="3"/>
      <c r="F117" s="4" t="s">
        <v>39</v>
      </c>
      <c r="G117" s="3">
        <v>0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">
        <v>110</v>
      </c>
      <c r="C118" t="s">
        <v>34</v>
      </c>
      <c r="D118" s="3"/>
      <c r="E118" s="3"/>
      <c r="F118" s="4" t="s">
        <v>39</v>
      </c>
      <c r="G118" s="3">
        <v>0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20" spans="1:57">
      <c r="A120" s="1" t="s">
        <v>117</v>
      </c>
      <c r="B120" s="1" t="s">
        <v>31</v>
      </c>
      <c r="C120" s="1" t="s">
        <v>32</v>
      </c>
      <c r="D120" s="1" t="s">
        <v>33</v>
      </c>
      <c r="E120" s="1" t="s">
        <v>38</v>
      </c>
      <c r="F120" s="1"/>
      <c r="G120" s="1">
        <v>2000</v>
      </c>
      <c r="H120" s="1">
        <v>2001</v>
      </c>
      <c r="I120" s="1">
        <v>2002</v>
      </c>
      <c r="J120" s="1">
        <v>2003</v>
      </c>
      <c r="K120" s="1">
        <v>2004</v>
      </c>
      <c r="L120" s="1">
        <v>2005</v>
      </c>
      <c r="M120" s="1">
        <v>2006</v>
      </c>
      <c r="N120" s="1">
        <v>2007</v>
      </c>
      <c r="O120" s="1">
        <v>2008</v>
      </c>
      <c r="P120" s="1">
        <v>2009</v>
      </c>
      <c r="Q120" s="1">
        <v>2010</v>
      </c>
      <c r="R120" s="1">
        <v>2011</v>
      </c>
      <c r="S120" s="1">
        <v>2012</v>
      </c>
      <c r="T120" s="1">
        <v>2013</v>
      </c>
      <c r="U120" s="1">
        <v>2014</v>
      </c>
      <c r="V120" s="1">
        <v>2015</v>
      </c>
      <c r="W120" s="1">
        <v>2016</v>
      </c>
      <c r="X120" s="1">
        <v>2017</v>
      </c>
      <c r="Y120" s="1">
        <v>2018</v>
      </c>
      <c r="Z120" s="1">
        <v>2019</v>
      </c>
      <c r="AA120" s="1">
        <v>2020</v>
      </c>
      <c r="AB120" s="1">
        <v>2021</v>
      </c>
      <c r="AC120" s="1">
        <v>2022</v>
      </c>
      <c r="AD120" s="1">
        <v>2023</v>
      </c>
      <c r="AE120" s="1">
        <v>2024</v>
      </c>
      <c r="AF120" s="1">
        <v>2025</v>
      </c>
      <c r="AG120" s="1">
        <v>2026</v>
      </c>
      <c r="AH120" s="1">
        <v>2027</v>
      </c>
      <c r="AI120" s="1">
        <v>2028</v>
      </c>
      <c r="AJ120" s="1">
        <v>2029</v>
      </c>
      <c r="AK120" s="1">
        <v>2030</v>
      </c>
      <c r="AL120" s="1">
        <v>2031</v>
      </c>
      <c r="AM120" s="1">
        <v>2032</v>
      </c>
      <c r="AN120" s="1">
        <v>2033</v>
      </c>
      <c r="AO120" s="1">
        <v>2034</v>
      </c>
      <c r="AP120" s="1">
        <v>2035</v>
      </c>
      <c r="AQ120" s="1">
        <v>2036</v>
      </c>
      <c r="AR120" s="1">
        <v>2037</v>
      </c>
      <c r="AS120" s="1">
        <v>2038</v>
      </c>
      <c r="AT120" s="1">
        <v>2039</v>
      </c>
      <c r="AU120" s="1">
        <v>2040</v>
      </c>
      <c r="AV120" s="1">
        <v>2041</v>
      </c>
      <c r="AW120" s="1">
        <v>2042</v>
      </c>
      <c r="AX120" s="1">
        <v>2043</v>
      </c>
      <c r="AY120" s="1">
        <v>2044</v>
      </c>
      <c r="AZ120" s="1">
        <v>2045</v>
      </c>
      <c r="BA120" s="1">
        <v>2046</v>
      </c>
      <c r="BB120" s="1">
        <v>2047</v>
      </c>
      <c r="BC120" s="1">
        <v>2048</v>
      </c>
      <c r="BD120" s="1">
        <v>2049</v>
      </c>
      <c r="BE120" s="1">
        <v>2050</v>
      </c>
    </row>
    <row r="121" spans="1:57">
      <c r="A121" s="1" t="str">
        <f>'Population Definitions'!$A$2</f>
        <v>PWID_males</v>
      </c>
      <c r="C121" t="s">
        <v>34</v>
      </c>
      <c r="D121" s="3"/>
      <c r="E121" s="3"/>
      <c r="F121" s="4" t="s">
        <v>39</v>
      </c>
      <c r="G121" s="3">
        <v>0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Definitions'!$A$3</f>
        <v>PWID_females</v>
      </c>
      <c r="C122" t="s">
        <v>34</v>
      </c>
      <c r="D122" s="3"/>
      <c r="E122" s="3"/>
      <c r="F122" s="4" t="s">
        <v>39</v>
      </c>
      <c r="G122" s="3">
        <v>0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Definitions'!$A$4</f>
        <v>0-9_males</v>
      </c>
      <c r="C123" t="s">
        <v>34</v>
      </c>
      <c r="D123" s="3"/>
      <c r="E123" s="3"/>
      <c r="F123" s="4" t="s">
        <v>39</v>
      </c>
      <c r="G123" s="3">
        <v>0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Definitions'!$A$5</f>
        <v>0-9_females</v>
      </c>
      <c r="C124" t="s">
        <v>34</v>
      </c>
      <c r="D124" s="3"/>
      <c r="E124" s="3"/>
      <c r="F124" s="4" t="s">
        <v>39</v>
      </c>
      <c r="G124" s="3">
        <v>0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Definitions'!$A$6</f>
        <v>10-17_males</v>
      </c>
      <c r="C125" t="s">
        <v>34</v>
      </c>
      <c r="D125" s="3"/>
      <c r="E125" s="3"/>
      <c r="F125" s="4" t="s">
        <v>39</v>
      </c>
      <c r="G125" s="3">
        <v>0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Definitions'!$A$7</f>
        <v>10-17_females</v>
      </c>
      <c r="C126" t="s">
        <v>34</v>
      </c>
      <c r="D126" s="3"/>
      <c r="E126" s="3"/>
      <c r="F126" s="4" t="s">
        <v>39</v>
      </c>
      <c r="G126" s="3">
        <v>0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Definitions'!$A$8</f>
        <v>18-64_males</v>
      </c>
      <c r="C127" t="s">
        <v>34</v>
      </c>
      <c r="D127" s="3"/>
      <c r="E127" s="3"/>
      <c r="F127" s="4" t="s">
        <v>39</v>
      </c>
      <c r="G127" s="3">
        <v>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8" spans="1:57">
      <c r="A128" s="1" t="str">
        <f>'Population Definitions'!$A$9</f>
        <v>18-64_females</v>
      </c>
      <c r="C128" t="s">
        <v>34</v>
      </c>
      <c r="D128" s="3"/>
      <c r="E128" s="3"/>
      <c r="F128" s="4" t="s">
        <v>39</v>
      </c>
      <c r="G128" s="3">
        <v>0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</row>
    <row r="129" spans="1:57">
      <c r="A129" s="1" t="str">
        <f>'Population Definitions'!$A$10</f>
        <v>65+_males</v>
      </c>
      <c r="C129" t="s">
        <v>34</v>
      </c>
      <c r="D129" s="3"/>
      <c r="E129" s="3"/>
      <c r="F129" s="4" t="s">
        <v>39</v>
      </c>
      <c r="G129" s="3">
        <v>0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</row>
    <row r="130" spans="1:57">
      <c r="A130" s="1" t="str">
        <f>'Population Definitions'!$A$11</f>
        <v>65+_females</v>
      </c>
      <c r="C130" t="s">
        <v>34</v>
      </c>
      <c r="D130" s="3"/>
      <c r="E130" s="3"/>
      <c r="F130" s="4" t="s">
        <v>39</v>
      </c>
      <c r="G130" s="3">
        <v>0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Definitions'!$A$12</f>
        <v>Prisoners_males</v>
      </c>
      <c r="C131" t="s">
        <v>34</v>
      </c>
      <c r="D131" s="3"/>
      <c r="E131" s="3"/>
      <c r="F131" s="4" t="s">
        <v>39</v>
      </c>
      <c r="G131" s="3">
        <v>0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Definitions'!$A$13</f>
        <v>Prisoners_females</v>
      </c>
      <c r="C132" t="s">
        <v>34</v>
      </c>
      <c r="D132" s="3"/>
      <c r="E132" s="3"/>
      <c r="F132" s="4" t="s">
        <v>39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Definitions'!$A$14</f>
        <v>Prisoners_PWID_males</v>
      </c>
      <c r="C133" t="s">
        <v>34</v>
      </c>
      <c r="D133" s="3"/>
      <c r="E133" s="3"/>
      <c r="F133" s="4" t="s">
        <v>39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Definitions'!$A$15</f>
        <v>Prisoners_PWID_females</v>
      </c>
      <c r="C134" t="s">
        <v>34</v>
      </c>
      <c r="D134" s="3"/>
      <c r="E134" s="3"/>
      <c r="F134" s="4" t="s">
        <v>39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">
        <v>110</v>
      </c>
      <c r="C135" t="s">
        <v>34</v>
      </c>
      <c r="D135" s="3"/>
      <c r="E135" s="3"/>
      <c r="F135" s="4" t="s">
        <v>39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7" spans="1:57">
      <c r="A137" s="1" t="s">
        <v>118</v>
      </c>
      <c r="B137" s="1" t="s">
        <v>31</v>
      </c>
      <c r="C137" s="1" t="s">
        <v>32</v>
      </c>
      <c r="D137" s="1" t="s">
        <v>33</v>
      </c>
      <c r="E137" s="1" t="s">
        <v>38</v>
      </c>
      <c r="F137" s="1"/>
      <c r="G137" s="1">
        <v>2000</v>
      </c>
      <c r="H137" s="1">
        <v>2001</v>
      </c>
      <c r="I137" s="1">
        <v>2002</v>
      </c>
      <c r="J137" s="1">
        <v>2003</v>
      </c>
      <c r="K137" s="1">
        <v>2004</v>
      </c>
      <c r="L137" s="1">
        <v>2005</v>
      </c>
      <c r="M137" s="1">
        <v>2006</v>
      </c>
      <c r="N137" s="1">
        <v>2007</v>
      </c>
      <c r="O137" s="1">
        <v>2008</v>
      </c>
      <c r="P137" s="1">
        <v>2009</v>
      </c>
      <c r="Q137" s="1">
        <v>2010</v>
      </c>
      <c r="R137" s="1">
        <v>2011</v>
      </c>
      <c r="S137" s="1">
        <v>2012</v>
      </c>
      <c r="T137" s="1">
        <v>2013</v>
      </c>
      <c r="U137" s="1">
        <v>2014</v>
      </c>
      <c r="V137" s="1">
        <v>2015</v>
      </c>
      <c r="W137" s="1">
        <v>2016</v>
      </c>
      <c r="X137" s="1">
        <v>2017</v>
      </c>
      <c r="Y137" s="1">
        <v>2018</v>
      </c>
      <c r="Z137" s="1">
        <v>2019</v>
      </c>
      <c r="AA137" s="1">
        <v>2020</v>
      </c>
      <c r="AB137" s="1">
        <v>2021</v>
      </c>
      <c r="AC137" s="1">
        <v>2022</v>
      </c>
      <c r="AD137" s="1">
        <v>2023</v>
      </c>
      <c r="AE137" s="1">
        <v>2024</v>
      </c>
      <c r="AF137" s="1">
        <v>2025</v>
      </c>
      <c r="AG137" s="1">
        <v>2026</v>
      </c>
      <c r="AH137" s="1">
        <v>2027</v>
      </c>
      <c r="AI137" s="1">
        <v>2028</v>
      </c>
      <c r="AJ137" s="1">
        <v>2029</v>
      </c>
      <c r="AK137" s="1">
        <v>2030</v>
      </c>
      <c r="AL137" s="1">
        <v>2031</v>
      </c>
      <c r="AM137" s="1">
        <v>2032</v>
      </c>
      <c r="AN137" s="1">
        <v>2033</v>
      </c>
      <c r="AO137" s="1">
        <v>2034</v>
      </c>
      <c r="AP137" s="1">
        <v>2035</v>
      </c>
      <c r="AQ137" s="1">
        <v>2036</v>
      </c>
      <c r="AR137" s="1">
        <v>2037</v>
      </c>
      <c r="AS137" s="1">
        <v>2038</v>
      </c>
      <c r="AT137" s="1">
        <v>2039</v>
      </c>
      <c r="AU137" s="1">
        <v>2040</v>
      </c>
      <c r="AV137" s="1">
        <v>2041</v>
      </c>
      <c r="AW137" s="1">
        <v>2042</v>
      </c>
      <c r="AX137" s="1">
        <v>2043</v>
      </c>
      <c r="AY137" s="1">
        <v>2044</v>
      </c>
      <c r="AZ137" s="1">
        <v>2045</v>
      </c>
      <c r="BA137" s="1">
        <v>2046</v>
      </c>
      <c r="BB137" s="1">
        <v>2047</v>
      </c>
      <c r="BC137" s="1">
        <v>2048</v>
      </c>
      <c r="BD137" s="1">
        <v>2049</v>
      </c>
      <c r="BE137" s="1">
        <v>2050</v>
      </c>
    </row>
    <row r="138" spans="1:57">
      <c r="A138" s="1" t="str">
        <f>'Population Definitions'!$A$2</f>
        <v>PWID_males</v>
      </c>
      <c r="C138" t="s">
        <v>34</v>
      </c>
      <c r="D138" s="3"/>
      <c r="E138" s="3"/>
      <c r="F138" s="4" t="s">
        <v>39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Definitions'!$A$3</f>
        <v>PWID_females</v>
      </c>
      <c r="C139" t="s">
        <v>34</v>
      </c>
      <c r="D139" s="3"/>
      <c r="E139" s="3"/>
      <c r="F139" s="4" t="s">
        <v>39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Definitions'!$A$4</f>
        <v>0-9_males</v>
      </c>
      <c r="C140" t="s">
        <v>34</v>
      </c>
      <c r="D140" s="3"/>
      <c r="E140" s="3"/>
      <c r="F140" s="4" t="s">
        <v>39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Definitions'!$A$5</f>
        <v>0-9_females</v>
      </c>
      <c r="C141" t="s">
        <v>34</v>
      </c>
      <c r="D141" s="3"/>
      <c r="E141" s="3"/>
      <c r="F141" s="4" t="s">
        <v>39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Definitions'!$A$6</f>
        <v>10-17_males</v>
      </c>
      <c r="C142" t="s">
        <v>34</v>
      </c>
      <c r="D142" s="3"/>
      <c r="E142" s="3"/>
      <c r="F142" s="4" t="s">
        <v>39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Definitions'!$A$7</f>
        <v>10-17_females</v>
      </c>
      <c r="C143" t="s">
        <v>34</v>
      </c>
      <c r="D143" s="3"/>
      <c r="E143" s="3"/>
      <c r="F143" s="4" t="s">
        <v>39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4" spans="1:57">
      <c r="A144" s="1" t="str">
        <f>'Population Definitions'!$A$8</f>
        <v>18-64_males</v>
      </c>
      <c r="C144" t="s">
        <v>34</v>
      </c>
      <c r="D144" s="3"/>
      <c r="E144" s="3"/>
      <c r="F144" s="4" t="s">
        <v>39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</row>
    <row r="145" spans="1:57">
      <c r="A145" s="1" t="str">
        <f>'Population Definitions'!$A$9</f>
        <v>18-64_females</v>
      </c>
      <c r="C145" t="s">
        <v>34</v>
      </c>
      <c r="D145" s="3"/>
      <c r="E145" s="3"/>
      <c r="F145" s="4" t="s">
        <v>39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</row>
    <row r="146" spans="1:57">
      <c r="A146" s="1" t="str">
        <f>'Population Definitions'!$A$10</f>
        <v>65+_males</v>
      </c>
      <c r="C146" t="s">
        <v>34</v>
      </c>
      <c r="D146" s="3"/>
      <c r="E146" s="3"/>
      <c r="F146" s="4" t="s">
        <v>39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Definitions'!$A$11</f>
        <v>65+_females</v>
      </c>
      <c r="C147" t="s">
        <v>34</v>
      </c>
      <c r="D147" s="3"/>
      <c r="E147" s="3"/>
      <c r="F147" s="4" t="s">
        <v>39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Definitions'!$A$12</f>
        <v>Prisoners_males</v>
      </c>
      <c r="C148" t="s">
        <v>34</v>
      </c>
      <c r="D148" s="3"/>
      <c r="E148" s="3"/>
      <c r="F148" s="4" t="s">
        <v>39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Definitions'!$A$13</f>
        <v>Prisoners_females</v>
      </c>
      <c r="C149" t="s">
        <v>34</v>
      </c>
      <c r="D149" s="3"/>
      <c r="E149" s="3"/>
      <c r="F149" s="4" t="s">
        <v>39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Definitions'!$A$14</f>
        <v>Prisoners_PWID_males</v>
      </c>
      <c r="C150" t="s">
        <v>34</v>
      </c>
      <c r="D150" s="3"/>
      <c r="E150" s="3"/>
      <c r="F150" s="4" t="s">
        <v>39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Definitions'!$A$15</f>
        <v>Prisoners_PWID_females</v>
      </c>
      <c r="C151" t="s">
        <v>34</v>
      </c>
      <c r="D151" s="3"/>
      <c r="E151" s="3"/>
      <c r="F151" s="4" t="s">
        <v>39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">
        <v>110</v>
      </c>
      <c r="C152" t="s">
        <v>34</v>
      </c>
      <c r="D152" s="3"/>
      <c r="E152" s="3"/>
      <c r="F152" s="4" t="s">
        <v>39</v>
      </c>
      <c r="G152" s="3">
        <v>210.5555555555555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>
        <v>339</v>
      </c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4" spans="1:57">
      <c r="A154" s="1" t="s">
        <v>119</v>
      </c>
      <c r="B154" s="1" t="s">
        <v>31</v>
      </c>
      <c r="C154" s="1" t="s">
        <v>32</v>
      </c>
      <c r="D154" s="1" t="s">
        <v>33</v>
      </c>
      <c r="E154" s="1" t="s">
        <v>38</v>
      </c>
      <c r="F154" s="1"/>
      <c r="G154" s="1">
        <v>2000</v>
      </c>
      <c r="H154" s="1">
        <v>2001</v>
      </c>
      <c r="I154" s="1">
        <v>2002</v>
      </c>
      <c r="J154" s="1">
        <v>2003</v>
      </c>
      <c r="K154" s="1">
        <v>2004</v>
      </c>
      <c r="L154" s="1">
        <v>2005</v>
      </c>
      <c r="M154" s="1">
        <v>2006</v>
      </c>
      <c r="N154" s="1">
        <v>2007</v>
      </c>
      <c r="O154" s="1">
        <v>2008</v>
      </c>
      <c r="P154" s="1">
        <v>2009</v>
      </c>
      <c r="Q154" s="1">
        <v>2010</v>
      </c>
      <c r="R154" s="1">
        <v>2011</v>
      </c>
      <c r="S154" s="1">
        <v>2012</v>
      </c>
      <c r="T154" s="1">
        <v>2013</v>
      </c>
      <c r="U154" s="1">
        <v>2014</v>
      </c>
      <c r="V154" s="1">
        <v>2015</v>
      </c>
      <c r="W154" s="1">
        <v>2016</v>
      </c>
      <c r="X154" s="1">
        <v>2017</v>
      </c>
      <c r="Y154" s="1">
        <v>2018</v>
      </c>
      <c r="Z154" s="1">
        <v>2019</v>
      </c>
      <c r="AA154" s="1">
        <v>2020</v>
      </c>
      <c r="AB154" s="1">
        <v>2021</v>
      </c>
      <c r="AC154" s="1">
        <v>2022</v>
      </c>
      <c r="AD154" s="1">
        <v>2023</v>
      </c>
      <c r="AE154" s="1">
        <v>2024</v>
      </c>
      <c r="AF154" s="1">
        <v>2025</v>
      </c>
      <c r="AG154" s="1">
        <v>2026</v>
      </c>
      <c r="AH154" s="1">
        <v>2027</v>
      </c>
      <c r="AI154" s="1">
        <v>2028</v>
      </c>
      <c r="AJ154" s="1">
        <v>2029</v>
      </c>
      <c r="AK154" s="1">
        <v>2030</v>
      </c>
      <c r="AL154" s="1">
        <v>2031</v>
      </c>
      <c r="AM154" s="1">
        <v>2032</v>
      </c>
      <c r="AN154" s="1">
        <v>2033</v>
      </c>
      <c r="AO154" s="1">
        <v>2034</v>
      </c>
      <c r="AP154" s="1">
        <v>2035</v>
      </c>
      <c r="AQ154" s="1">
        <v>2036</v>
      </c>
      <c r="AR154" s="1">
        <v>2037</v>
      </c>
      <c r="AS154" s="1">
        <v>2038</v>
      </c>
      <c r="AT154" s="1">
        <v>2039</v>
      </c>
      <c r="AU154" s="1">
        <v>2040</v>
      </c>
      <c r="AV154" s="1">
        <v>2041</v>
      </c>
      <c r="AW154" s="1">
        <v>2042</v>
      </c>
      <c r="AX154" s="1">
        <v>2043</v>
      </c>
      <c r="AY154" s="1">
        <v>2044</v>
      </c>
      <c r="AZ154" s="1">
        <v>2045</v>
      </c>
      <c r="BA154" s="1">
        <v>2046</v>
      </c>
      <c r="BB154" s="1">
        <v>2047</v>
      </c>
      <c r="BC154" s="1">
        <v>2048</v>
      </c>
      <c r="BD154" s="1">
        <v>2049</v>
      </c>
      <c r="BE154" s="1">
        <v>2050</v>
      </c>
    </row>
    <row r="155" spans="1:57">
      <c r="A155" s="1" t="str">
        <f>'Population Definitions'!$A$2</f>
        <v>PWID_males</v>
      </c>
      <c r="C155" t="s">
        <v>34</v>
      </c>
      <c r="D155" s="3"/>
      <c r="E155" s="3"/>
      <c r="F155" s="4" t="s">
        <v>39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Definitions'!$A$3</f>
        <v>PWID_females</v>
      </c>
      <c r="C156" t="s">
        <v>34</v>
      </c>
      <c r="D156" s="3"/>
      <c r="E156" s="3"/>
      <c r="F156" s="4" t="s">
        <v>39</v>
      </c>
      <c r="G156" s="3">
        <v>0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Definitions'!$A$4</f>
        <v>0-9_males</v>
      </c>
      <c r="C157" t="s">
        <v>34</v>
      </c>
      <c r="D157" s="3"/>
      <c r="E157" s="3"/>
      <c r="F157" s="4" t="s">
        <v>39</v>
      </c>
      <c r="G157" s="3">
        <v>0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Definitions'!$A$5</f>
        <v>0-9_females</v>
      </c>
      <c r="C158" t="s">
        <v>34</v>
      </c>
      <c r="D158" s="3"/>
      <c r="E158" s="3"/>
      <c r="F158" s="4" t="s">
        <v>39</v>
      </c>
      <c r="G158" s="3">
        <v>0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Definitions'!$A$6</f>
        <v>10-17_males</v>
      </c>
      <c r="C159" t="s">
        <v>34</v>
      </c>
      <c r="D159" s="3"/>
      <c r="E159" s="3"/>
      <c r="F159" s="4" t="s">
        <v>39</v>
      </c>
      <c r="G159" s="3">
        <v>0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0" spans="1:57">
      <c r="A160" s="1" t="str">
        <f>'Population Definitions'!$A$7</f>
        <v>10-17_females</v>
      </c>
      <c r="C160" t="s">
        <v>34</v>
      </c>
      <c r="D160" s="3"/>
      <c r="E160" s="3"/>
      <c r="F160" s="4" t="s">
        <v>39</v>
      </c>
      <c r="G160" s="3">
        <v>0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</row>
    <row r="161" spans="1:57">
      <c r="A161" s="1" t="str">
        <f>'Population Definitions'!$A$8</f>
        <v>18-64_males</v>
      </c>
      <c r="C161" t="s">
        <v>34</v>
      </c>
      <c r="D161" s="3"/>
      <c r="E161" s="3"/>
      <c r="F161" s="4" t="s">
        <v>39</v>
      </c>
      <c r="G161" s="3">
        <v>0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</row>
    <row r="162" spans="1:57">
      <c r="A162" s="1" t="str">
        <f>'Population Definitions'!$A$9</f>
        <v>18-64_females</v>
      </c>
      <c r="C162" t="s">
        <v>34</v>
      </c>
      <c r="D162" s="3"/>
      <c r="E162" s="3"/>
      <c r="F162" s="4" t="s">
        <v>39</v>
      </c>
      <c r="G162" s="3">
        <v>0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Definitions'!$A$10</f>
        <v>65+_males</v>
      </c>
      <c r="C163" t="s">
        <v>34</v>
      </c>
      <c r="D163" s="3"/>
      <c r="E163" s="3"/>
      <c r="F163" s="4" t="s">
        <v>39</v>
      </c>
      <c r="G163" s="3">
        <v>0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Definitions'!$A$11</f>
        <v>65+_females</v>
      </c>
      <c r="C164" t="s">
        <v>34</v>
      </c>
      <c r="D164" s="3"/>
      <c r="E164" s="3"/>
      <c r="F164" s="4" t="s">
        <v>39</v>
      </c>
      <c r="G164" s="3">
        <v>0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Definitions'!$A$12</f>
        <v>Prisoners_males</v>
      </c>
      <c r="C165" t="s">
        <v>34</v>
      </c>
      <c r="D165" s="3"/>
      <c r="E165" s="3"/>
      <c r="F165" s="4" t="s">
        <v>39</v>
      </c>
      <c r="G165" s="3">
        <v>0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Definitions'!$A$13</f>
        <v>Prisoners_females</v>
      </c>
      <c r="C166" t="s">
        <v>34</v>
      </c>
      <c r="D166" s="3"/>
      <c r="E166" s="3"/>
      <c r="F166" s="4" t="s">
        <v>39</v>
      </c>
      <c r="G166" s="3">
        <v>0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Definitions'!$A$14</f>
        <v>Prisoners_PWID_males</v>
      </c>
      <c r="C167" t="s">
        <v>34</v>
      </c>
      <c r="D167" s="3"/>
      <c r="E167" s="3"/>
      <c r="F167" s="4" t="s">
        <v>39</v>
      </c>
      <c r="G167" s="3">
        <v>0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Definitions'!$A$15</f>
        <v>Prisoners_PWID_females</v>
      </c>
      <c r="C168" t="s">
        <v>34</v>
      </c>
      <c r="D168" s="3"/>
      <c r="E168" s="3"/>
      <c r="F168" s="4" t="s">
        <v>39</v>
      </c>
      <c r="G168" s="3">
        <v>0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">
        <v>110</v>
      </c>
      <c r="C169" t="s">
        <v>34</v>
      </c>
      <c r="D169" s="3"/>
      <c r="E169" s="3"/>
      <c r="F169" s="4" t="s">
        <v>39</v>
      </c>
      <c r="G169" s="3">
        <v>36.03703703703704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>
        <v>65</v>
      </c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1" spans="1:57">
      <c r="A171" s="1" t="s">
        <v>120</v>
      </c>
      <c r="B171" s="1" t="s">
        <v>31</v>
      </c>
      <c r="C171" s="1" t="s">
        <v>32</v>
      </c>
      <c r="D171" s="1" t="s">
        <v>33</v>
      </c>
      <c r="E171" s="1" t="s">
        <v>38</v>
      </c>
      <c r="F171" s="1"/>
      <c r="G171" s="1">
        <v>2000</v>
      </c>
      <c r="H171" s="1">
        <v>2001</v>
      </c>
      <c r="I171" s="1">
        <v>2002</v>
      </c>
      <c r="J171" s="1">
        <v>2003</v>
      </c>
      <c r="K171" s="1">
        <v>2004</v>
      </c>
      <c r="L171" s="1">
        <v>2005</v>
      </c>
      <c r="M171" s="1">
        <v>2006</v>
      </c>
      <c r="N171" s="1">
        <v>2007</v>
      </c>
      <c r="O171" s="1">
        <v>2008</v>
      </c>
      <c r="P171" s="1">
        <v>2009</v>
      </c>
      <c r="Q171" s="1">
        <v>2010</v>
      </c>
      <c r="R171" s="1">
        <v>2011</v>
      </c>
      <c r="S171" s="1">
        <v>2012</v>
      </c>
      <c r="T171" s="1">
        <v>2013</v>
      </c>
      <c r="U171" s="1">
        <v>2014</v>
      </c>
      <c r="V171" s="1">
        <v>2015</v>
      </c>
      <c r="W171" s="1">
        <v>2016</v>
      </c>
      <c r="X171" s="1">
        <v>2017</v>
      </c>
      <c r="Y171" s="1">
        <v>2018</v>
      </c>
      <c r="Z171" s="1">
        <v>2019</v>
      </c>
      <c r="AA171" s="1">
        <v>2020</v>
      </c>
      <c r="AB171" s="1">
        <v>2021</v>
      </c>
      <c r="AC171" s="1">
        <v>2022</v>
      </c>
      <c r="AD171" s="1">
        <v>2023</v>
      </c>
      <c r="AE171" s="1">
        <v>2024</v>
      </c>
      <c r="AF171" s="1">
        <v>2025</v>
      </c>
      <c r="AG171" s="1">
        <v>2026</v>
      </c>
      <c r="AH171" s="1">
        <v>2027</v>
      </c>
      <c r="AI171" s="1">
        <v>2028</v>
      </c>
      <c r="AJ171" s="1">
        <v>2029</v>
      </c>
      <c r="AK171" s="1">
        <v>2030</v>
      </c>
      <c r="AL171" s="1">
        <v>2031</v>
      </c>
      <c r="AM171" s="1">
        <v>2032</v>
      </c>
      <c r="AN171" s="1">
        <v>2033</v>
      </c>
      <c r="AO171" s="1">
        <v>2034</v>
      </c>
      <c r="AP171" s="1">
        <v>2035</v>
      </c>
      <c r="AQ171" s="1">
        <v>2036</v>
      </c>
      <c r="AR171" s="1">
        <v>2037</v>
      </c>
      <c r="AS171" s="1">
        <v>2038</v>
      </c>
      <c r="AT171" s="1">
        <v>2039</v>
      </c>
      <c r="AU171" s="1">
        <v>2040</v>
      </c>
      <c r="AV171" s="1">
        <v>2041</v>
      </c>
      <c r="AW171" s="1">
        <v>2042</v>
      </c>
      <c r="AX171" s="1">
        <v>2043</v>
      </c>
      <c r="AY171" s="1">
        <v>2044</v>
      </c>
      <c r="AZ171" s="1">
        <v>2045</v>
      </c>
      <c r="BA171" s="1">
        <v>2046</v>
      </c>
      <c r="BB171" s="1">
        <v>2047</v>
      </c>
      <c r="BC171" s="1">
        <v>2048</v>
      </c>
      <c r="BD171" s="1">
        <v>2049</v>
      </c>
      <c r="BE171" s="1">
        <v>2050</v>
      </c>
    </row>
    <row r="172" spans="1:57">
      <c r="A172" s="1" t="str">
        <f>'Population Definitions'!$A$2</f>
        <v>PWID_males</v>
      </c>
      <c r="C172" t="s">
        <v>34</v>
      </c>
      <c r="D172" s="3"/>
      <c r="E172" s="3"/>
      <c r="F172" s="4" t="s">
        <v>39</v>
      </c>
      <c r="G172" s="3">
        <v>0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Definitions'!$A$3</f>
        <v>PWID_females</v>
      </c>
      <c r="C173" t="s">
        <v>34</v>
      </c>
      <c r="D173" s="3"/>
      <c r="E173" s="3"/>
      <c r="F173" s="4" t="s">
        <v>39</v>
      </c>
      <c r="G173" s="3">
        <v>0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Definitions'!$A$4</f>
        <v>0-9_males</v>
      </c>
      <c r="C174" t="s">
        <v>34</v>
      </c>
      <c r="D174" s="3"/>
      <c r="E174" s="3"/>
      <c r="F174" s="4" t="s">
        <v>39</v>
      </c>
      <c r="G174" s="3">
        <v>0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Definitions'!$A$5</f>
        <v>0-9_females</v>
      </c>
      <c r="C175" t="s">
        <v>34</v>
      </c>
      <c r="D175" s="3"/>
      <c r="E175" s="3"/>
      <c r="F175" s="4" t="s">
        <v>39</v>
      </c>
      <c r="G175" s="3">
        <v>0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6" spans="1:57">
      <c r="A176" s="1" t="str">
        <f>'Population Definitions'!$A$6</f>
        <v>10-17_males</v>
      </c>
      <c r="C176" t="s">
        <v>34</v>
      </c>
      <c r="D176" s="3"/>
      <c r="E176" s="3"/>
      <c r="F176" s="4" t="s">
        <v>39</v>
      </c>
      <c r="G176" s="3">
        <v>0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</row>
    <row r="177" spans="1:57">
      <c r="A177" s="1" t="str">
        <f>'Population Definitions'!$A$7</f>
        <v>10-17_females</v>
      </c>
      <c r="C177" t="s">
        <v>34</v>
      </c>
      <c r="D177" s="3"/>
      <c r="E177" s="3"/>
      <c r="F177" s="4" t="s">
        <v>39</v>
      </c>
      <c r="G177" s="3">
        <v>0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</row>
    <row r="178" spans="1:57">
      <c r="A178" s="1" t="str">
        <f>'Population Definitions'!$A$8</f>
        <v>18-64_males</v>
      </c>
      <c r="C178" t="s">
        <v>34</v>
      </c>
      <c r="D178" s="3"/>
      <c r="E178" s="3"/>
      <c r="F178" s="4" t="s">
        <v>39</v>
      </c>
      <c r="G178" s="3">
        <v>0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Definitions'!$A$9</f>
        <v>18-64_females</v>
      </c>
      <c r="C179" t="s">
        <v>34</v>
      </c>
      <c r="D179" s="3"/>
      <c r="E179" s="3"/>
      <c r="F179" s="4" t="s">
        <v>39</v>
      </c>
      <c r="G179" s="3">
        <v>0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Definitions'!$A$10</f>
        <v>65+_males</v>
      </c>
      <c r="C180" t="s">
        <v>34</v>
      </c>
      <c r="D180" s="3"/>
      <c r="E180" s="3"/>
      <c r="F180" s="4" t="s">
        <v>39</v>
      </c>
      <c r="G180" s="3">
        <v>0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Definitions'!$A$11</f>
        <v>65+_females</v>
      </c>
      <c r="C181" t="s">
        <v>34</v>
      </c>
      <c r="D181" s="3"/>
      <c r="E181" s="3"/>
      <c r="F181" s="4" t="s">
        <v>39</v>
      </c>
      <c r="G181" s="3">
        <v>0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Definitions'!$A$12</f>
        <v>Prisoners_males</v>
      </c>
      <c r="C182" t="s">
        <v>34</v>
      </c>
      <c r="D182" s="3"/>
      <c r="E182" s="3"/>
      <c r="F182" s="4" t="s">
        <v>39</v>
      </c>
      <c r="G182" s="3">
        <v>0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Definitions'!$A$13</f>
        <v>Prisoners_females</v>
      </c>
      <c r="C183" t="s">
        <v>34</v>
      </c>
      <c r="D183" s="3"/>
      <c r="E183" s="3"/>
      <c r="F183" s="4" t="s">
        <v>39</v>
      </c>
      <c r="G183" s="3">
        <v>0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Definitions'!$A$14</f>
        <v>Prisoners_PWID_males</v>
      </c>
      <c r="C184" t="s">
        <v>34</v>
      </c>
      <c r="D184" s="3"/>
      <c r="E184" s="3"/>
      <c r="F184" s="4" t="s">
        <v>39</v>
      </c>
      <c r="G184" s="3">
        <v>0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Definitions'!$A$15</f>
        <v>Prisoners_PWID_females</v>
      </c>
      <c r="C185" t="s">
        <v>34</v>
      </c>
      <c r="D185" s="3"/>
      <c r="E185" s="3"/>
      <c r="F185" s="4" t="s">
        <v>39</v>
      </c>
      <c r="G185" s="3">
        <v>0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">
        <v>110</v>
      </c>
      <c r="C186" t="s">
        <v>34</v>
      </c>
      <c r="D186" s="3"/>
      <c r="E186" s="3"/>
      <c r="F186" s="4" t="s">
        <v>39</v>
      </c>
      <c r="G186" s="3">
        <v>0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8" spans="1:57">
      <c r="A188" s="1" t="s">
        <v>121</v>
      </c>
      <c r="B188" s="1" t="s">
        <v>31</v>
      </c>
      <c r="C188" s="1" t="s">
        <v>32</v>
      </c>
      <c r="D188" s="1" t="s">
        <v>33</v>
      </c>
      <c r="E188" s="1" t="s">
        <v>38</v>
      </c>
      <c r="F188" s="1"/>
      <c r="G188" s="1">
        <v>2000</v>
      </c>
      <c r="H188" s="1">
        <v>2001</v>
      </c>
      <c r="I188" s="1">
        <v>2002</v>
      </c>
      <c r="J188" s="1">
        <v>2003</v>
      </c>
      <c r="K188" s="1">
        <v>2004</v>
      </c>
      <c r="L188" s="1">
        <v>2005</v>
      </c>
      <c r="M188" s="1">
        <v>2006</v>
      </c>
      <c r="N188" s="1">
        <v>2007</v>
      </c>
      <c r="O188" s="1">
        <v>2008</v>
      </c>
      <c r="P188" s="1">
        <v>2009</v>
      </c>
      <c r="Q188" s="1">
        <v>2010</v>
      </c>
      <c r="R188" s="1">
        <v>2011</v>
      </c>
      <c r="S188" s="1">
        <v>2012</v>
      </c>
      <c r="T188" s="1">
        <v>2013</v>
      </c>
      <c r="U188" s="1">
        <v>2014</v>
      </c>
      <c r="V188" s="1">
        <v>2015</v>
      </c>
      <c r="W188" s="1">
        <v>2016</v>
      </c>
      <c r="X188" s="1">
        <v>2017</v>
      </c>
      <c r="Y188" s="1">
        <v>2018</v>
      </c>
      <c r="Z188" s="1">
        <v>2019</v>
      </c>
      <c r="AA188" s="1">
        <v>2020</v>
      </c>
      <c r="AB188" s="1">
        <v>2021</v>
      </c>
      <c r="AC188" s="1">
        <v>2022</v>
      </c>
      <c r="AD188" s="1">
        <v>2023</v>
      </c>
      <c r="AE188" s="1">
        <v>2024</v>
      </c>
      <c r="AF188" s="1">
        <v>2025</v>
      </c>
      <c r="AG188" s="1">
        <v>2026</v>
      </c>
      <c r="AH188" s="1">
        <v>2027</v>
      </c>
      <c r="AI188" s="1">
        <v>2028</v>
      </c>
      <c r="AJ188" s="1">
        <v>2029</v>
      </c>
      <c r="AK188" s="1">
        <v>2030</v>
      </c>
      <c r="AL188" s="1">
        <v>2031</v>
      </c>
      <c r="AM188" s="1">
        <v>2032</v>
      </c>
      <c r="AN188" s="1">
        <v>2033</v>
      </c>
      <c r="AO188" s="1">
        <v>2034</v>
      </c>
      <c r="AP188" s="1">
        <v>2035</v>
      </c>
      <c r="AQ188" s="1">
        <v>2036</v>
      </c>
      <c r="AR188" s="1">
        <v>2037</v>
      </c>
      <c r="AS188" s="1">
        <v>2038</v>
      </c>
      <c r="AT188" s="1">
        <v>2039</v>
      </c>
      <c r="AU188" s="1">
        <v>2040</v>
      </c>
      <c r="AV188" s="1">
        <v>2041</v>
      </c>
      <c r="AW188" s="1">
        <v>2042</v>
      </c>
      <c r="AX188" s="1">
        <v>2043</v>
      </c>
      <c r="AY188" s="1">
        <v>2044</v>
      </c>
      <c r="AZ188" s="1">
        <v>2045</v>
      </c>
      <c r="BA188" s="1">
        <v>2046</v>
      </c>
      <c r="BB188" s="1">
        <v>2047</v>
      </c>
      <c r="BC188" s="1">
        <v>2048</v>
      </c>
      <c r="BD188" s="1">
        <v>2049</v>
      </c>
      <c r="BE188" s="1">
        <v>2050</v>
      </c>
    </row>
    <row r="189" spans="1:57">
      <c r="A189" s="1" t="str">
        <f>'Population Definitions'!$A$2</f>
        <v>PWID_males</v>
      </c>
      <c r="C189" t="s">
        <v>34</v>
      </c>
      <c r="D189" s="3"/>
      <c r="E189" s="3"/>
      <c r="F189" s="4" t="s">
        <v>39</v>
      </c>
      <c r="G189" s="3">
        <v>0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Definitions'!$A$3</f>
        <v>PWID_females</v>
      </c>
      <c r="C190" t="s">
        <v>34</v>
      </c>
      <c r="D190" s="3"/>
      <c r="E190" s="3"/>
      <c r="F190" s="4" t="s">
        <v>39</v>
      </c>
      <c r="G190" s="3">
        <v>0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Definitions'!$A$4</f>
        <v>0-9_males</v>
      </c>
      <c r="C191" t="s">
        <v>34</v>
      </c>
      <c r="D191" s="3"/>
      <c r="E191" s="3"/>
      <c r="F191" s="4" t="s">
        <v>39</v>
      </c>
      <c r="G191" s="3">
        <v>0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2" spans="1:57">
      <c r="A192" s="1" t="str">
        <f>'Population Definitions'!$A$5</f>
        <v>0-9_females</v>
      </c>
      <c r="C192" t="s">
        <v>34</v>
      </c>
      <c r="D192" s="3"/>
      <c r="E192" s="3"/>
      <c r="F192" s="4" t="s">
        <v>39</v>
      </c>
      <c r="G192" s="3">
        <v>0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</row>
    <row r="193" spans="1:57">
      <c r="A193" s="1" t="str">
        <f>'Population Definitions'!$A$6</f>
        <v>10-17_males</v>
      </c>
      <c r="C193" t="s">
        <v>34</v>
      </c>
      <c r="D193" s="3"/>
      <c r="E193" s="3"/>
      <c r="F193" s="4" t="s">
        <v>39</v>
      </c>
      <c r="G193" s="3">
        <v>0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</row>
    <row r="194" spans="1:57">
      <c r="A194" s="1" t="str">
        <f>'Population Definitions'!$A$7</f>
        <v>10-17_females</v>
      </c>
      <c r="C194" t="s">
        <v>34</v>
      </c>
      <c r="D194" s="3"/>
      <c r="E194" s="3"/>
      <c r="F194" s="4" t="s">
        <v>39</v>
      </c>
      <c r="G194" s="3">
        <v>0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Definitions'!$A$8</f>
        <v>18-64_males</v>
      </c>
      <c r="C195" t="s">
        <v>34</v>
      </c>
      <c r="D195" s="3"/>
      <c r="E195" s="3"/>
      <c r="F195" s="4" t="s">
        <v>39</v>
      </c>
      <c r="G195" s="3">
        <v>0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Definitions'!$A$9</f>
        <v>18-64_females</v>
      </c>
      <c r="C196" t="s">
        <v>34</v>
      </c>
      <c r="D196" s="3"/>
      <c r="E196" s="3"/>
      <c r="F196" s="4" t="s">
        <v>39</v>
      </c>
      <c r="G196" s="3">
        <v>0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Definitions'!$A$10</f>
        <v>65+_males</v>
      </c>
      <c r="C197" t="s">
        <v>34</v>
      </c>
      <c r="D197" s="3"/>
      <c r="E197" s="3"/>
      <c r="F197" s="4" t="s">
        <v>39</v>
      </c>
      <c r="G197" s="3">
        <v>0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Definitions'!$A$11</f>
        <v>65+_females</v>
      </c>
      <c r="C198" t="s">
        <v>34</v>
      </c>
      <c r="D198" s="3"/>
      <c r="E198" s="3"/>
      <c r="F198" s="4" t="s">
        <v>39</v>
      </c>
      <c r="G198" s="3">
        <v>0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Definitions'!$A$12</f>
        <v>Prisoners_males</v>
      </c>
      <c r="C199" t="s">
        <v>34</v>
      </c>
      <c r="D199" s="3"/>
      <c r="E199" s="3"/>
      <c r="F199" s="4" t="s">
        <v>39</v>
      </c>
      <c r="G199" s="3">
        <v>0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Definitions'!$A$13</f>
        <v>Prisoners_females</v>
      </c>
      <c r="C200" t="s">
        <v>34</v>
      </c>
      <c r="D200" s="3"/>
      <c r="E200" s="3"/>
      <c r="F200" s="4" t="s">
        <v>39</v>
      </c>
      <c r="G200" s="3">
        <v>0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Definitions'!$A$14</f>
        <v>Prisoners_PWID_males</v>
      </c>
      <c r="C201" t="s">
        <v>34</v>
      </c>
      <c r="D201" s="3"/>
      <c r="E201" s="3"/>
      <c r="F201" s="4" t="s">
        <v>39</v>
      </c>
      <c r="G201" s="3">
        <v>0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Definitions'!$A$15</f>
        <v>Prisoners_PWID_females</v>
      </c>
      <c r="C202" t="s">
        <v>34</v>
      </c>
      <c r="D202" s="3"/>
      <c r="E202" s="3"/>
      <c r="F202" s="4" t="s">
        <v>39</v>
      </c>
      <c r="G202" s="3">
        <v>0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">
        <v>110</v>
      </c>
      <c r="C203" t="s">
        <v>34</v>
      </c>
      <c r="D203" s="3"/>
      <c r="E203" s="3"/>
      <c r="F203" s="4" t="s">
        <v>39</v>
      </c>
      <c r="G203" s="3">
        <v>0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5" spans="1:57">
      <c r="A205" s="1" t="s">
        <v>122</v>
      </c>
      <c r="B205" s="1" t="s">
        <v>31</v>
      </c>
      <c r="C205" s="1" t="s">
        <v>32</v>
      </c>
      <c r="D205" s="1" t="s">
        <v>33</v>
      </c>
      <c r="E205" s="1" t="s">
        <v>38</v>
      </c>
      <c r="F205" s="1"/>
      <c r="G205" s="1">
        <v>2000</v>
      </c>
      <c r="H205" s="1">
        <v>2001</v>
      </c>
      <c r="I205" s="1">
        <v>2002</v>
      </c>
      <c r="J205" s="1">
        <v>2003</v>
      </c>
      <c r="K205" s="1">
        <v>2004</v>
      </c>
      <c r="L205" s="1">
        <v>2005</v>
      </c>
      <c r="M205" s="1">
        <v>2006</v>
      </c>
      <c r="N205" s="1">
        <v>2007</v>
      </c>
      <c r="O205" s="1">
        <v>2008</v>
      </c>
      <c r="P205" s="1">
        <v>2009</v>
      </c>
      <c r="Q205" s="1">
        <v>2010</v>
      </c>
      <c r="R205" s="1">
        <v>2011</v>
      </c>
      <c r="S205" s="1">
        <v>2012</v>
      </c>
      <c r="T205" s="1">
        <v>2013</v>
      </c>
      <c r="U205" s="1">
        <v>2014</v>
      </c>
      <c r="V205" s="1">
        <v>2015</v>
      </c>
      <c r="W205" s="1">
        <v>2016</v>
      </c>
      <c r="X205" s="1">
        <v>2017</v>
      </c>
      <c r="Y205" s="1">
        <v>2018</v>
      </c>
      <c r="Z205" s="1">
        <v>2019</v>
      </c>
      <c r="AA205" s="1">
        <v>2020</v>
      </c>
      <c r="AB205" s="1">
        <v>2021</v>
      </c>
      <c r="AC205" s="1">
        <v>2022</v>
      </c>
      <c r="AD205" s="1">
        <v>2023</v>
      </c>
      <c r="AE205" s="1">
        <v>2024</v>
      </c>
      <c r="AF205" s="1">
        <v>2025</v>
      </c>
      <c r="AG205" s="1">
        <v>2026</v>
      </c>
      <c r="AH205" s="1">
        <v>2027</v>
      </c>
      <c r="AI205" s="1">
        <v>2028</v>
      </c>
      <c r="AJ205" s="1">
        <v>2029</v>
      </c>
      <c r="AK205" s="1">
        <v>2030</v>
      </c>
      <c r="AL205" s="1">
        <v>2031</v>
      </c>
      <c r="AM205" s="1">
        <v>2032</v>
      </c>
      <c r="AN205" s="1">
        <v>2033</v>
      </c>
      <c r="AO205" s="1">
        <v>2034</v>
      </c>
      <c r="AP205" s="1">
        <v>2035</v>
      </c>
      <c r="AQ205" s="1">
        <v>2036</v>
      </c>
      <c r="AR205" s="1">
        <v>2037</v>
      </c>
      <c r="AS205" s="1">
        <v>2038</v>
      </c>
      <c r="AT205" s="1">
        <v>2039</v>
      </c>
      <c r="AU205" s="1">
        <v>2040</v>
      </c>
      <c r="AV205" s="1">
        <v>2041</v>
      </c>
      <c r="AW205" s="1">
        <v>2042</v>
      </c>
      <c r="AX205" s="1">
        <v>2043</v>
      </c>
      <c r="AY205" s="1">
        <v>2044</v>
      </c>
      <c r="AZ205" s="1">
        <v>2045</v>
      </c>
      <c r="BA205" s="1">
        <v>2046</v>
      </c>
      <c r="BB205" s="1">
        <v>2047</v>
      </c>
      <c r="BC205" s="1">
        <v>2048</v>
      </c>
      <c r="BD205" s="1">
        <v>2049</v>
      </c>
      <c r="BE205" s="1">
        <v>2050</v>
      </c>
    </row>
    <row r="206" spans="1:57">
      <c r="A206" s="1" t="str">
        <f>'Population Definitions'!$A$2</f>
        <v>PWID_males</v>
      </c>
      <c r="C206" t="s">
        <v>34</v>
      </c>
      <c r="D206" s="3"/>
      <c r="E206" s="3"/>
      <c r="F206" s="4" t="s">
        <v>39</v>
      </c>
      <c r="G206" s="3">
        <v>0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Definitions'!$A$3</f>
        <v>PWID_females</v>
      </c>
      <c r="C207" t="s">
        <v>34</v>
      </c>
      <c r="D207" s="3"/>
      <c r="E207" s="3"/>
      <c r="F207" s="4" t="s">
        <v>39</v>
      </c>
      <c r="G207" s="3">
        <v>0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8" spans="1:57">
      <c r="A208" s="1" t="str">
        <f>'Population Definitions'!$A$4</f>
        <v>0-9_males</v>
      </c>
      <c r="C208" t="s">
        <v>34</v>
      </c>
      <c r="D208" s="3"/>
      <c r="E208" s="3"/>
      <c r="F208" s="4" t="s">
        <v>39</v>
      </c>
      <c r="G208" s="3">
        <v>0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</row>
    <row r="209" spans="1:57">
      <c r="A209" s="1" t="str">
        <f>'Population Definitions'!$A$5</f>
        <v>0-9_females</v>
      </c>
      <c r="C209" t="s">
        <v>34</v>
      </c>
      <c r="D209" s="3"/>
      <c r="E209" s="3"/>
      <c r="F209" s="4" t="s">
        <v>39</v>
      </c>
      <c r="G209" s="3">
        <v>0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</row>
    <row r="210" spans="1:57">
      <c r="A210" s="1" t="str">
        <f>'Population Definitions'!$A$6</f>
        <v>10-17_males</v>
      </c>
      <c r="C210" t="s">
        <v>34</v>
      </c>
      <c r="D210" s="3"/>
      <c r="E210" s="3"/>
      <c r="F210" s="4" t="s">
        <v>39</v>
      </c>
      <c r="G210" s="3">
        <v>0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Definitions'!$A$7</f>
        <v>10-17_females</v>
      </c>
      <c r="C211" t="s">
        <v>34</v>
      </c>
      <c r="D211" s="3"/>
      <c r="E211" s="3"/>
      <c r="F211" s="4" t="s">
        <v>39</v>
      </c>
      <c r="G211" s="3">
        <v>0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Definitions'!$A$8</f>
        <v>18-64_males</v>
      </c>
      <c r="C212" t="s">
        <v>34</v>
      </c>
      <c r="D212" s="3"/>
      <c r="E212" s="3"/>
      <c r="F212" s="4" t="s">
        <v>39</v>
      </c>
      <c r="G212" s="3">
        <v>0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Definitions'!$A$9</f>
        <v>18-64_females</v>
      </c>
      <c r="C213" t="s">
        <v>34</v>
      </c>
      <c r="D213" s="3"/>
      <c r="E213" s="3"/>
      <c r="F213" s="4" t="s">
        <v>39</v>
      </c>
      <c r="G213" s="3">
        <v>0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Definitions'!$A$10</f>
        <v>65+_males</v>
      </c>
      <c r="C214" t="s">
        <v>34</v>
      </c>
      <c r="D214" s="3"/>
      <c r="E214" s="3"/>
      <c r="F214" s="4" t="s">
        <v>39</v>
      </c>
      <c r="G214" s="3">
        <v>0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Definitions'!$A$11</f>
        <v>65+_females</v>
      </c>
      <c r="C215" t="s">
        <v>34</v>
      </c>
      <c r="D215" s="3"/>
      <c r="E215" s="3"/>
      <c r="F215" s="4" t="s">
        <v>39</v>
      </c>
      <c r="G215" s="3">
        <v>0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Definitions'!$A$12</f>
        <v>Prisoners_males</v>
      </c>
      <c r="C216" t="s">
        <v>34</v>
      </c>
      <c r="D216" s="3"/>
      <c r="E216" s="3"/>
      <c r="F216" s="4" t="s">
        <v>39</v>
      </c>
      <c r="G216" s="3">
        <v>0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Definitions'!$A$13</f>
        <v>Prisoners_females</v>
      </c>
      <c r="C217" t="s">
        <v>34</v>
      </c>
      <c r="D217" s="3"/>
      <c r="E217" s="3"/>
      <c r="F217" s="4" t="s">
        <v>39</v>
      </c>
      <c r="G217" s="3">
        <v>0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Definitions'!$A$14</f>
        <v>Prisoners_PWID_males</v>
      </c>
      <c r="C218" t="s">
        <v>34</v>
      </c>
      <c r="D218" s="3"/>
      <c r="E218" s="3"/>
      <c r="F218" s="4" t="s">
        <v>39</v>
      </c>
      <c r="G218" s="3">
        <v>0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Definitions'!$A$15</f>
        <v>Prisoners_PWID_females</v>
      </c>
      <c r="C219" t="s">
        <v>34</v>
      </c>
      <c r="D219" s="3"/>
      <c r="E219" s="3"/>
      <c r="F219" s="4" t="s">
        <v>39</v>
      </c>
      <c r="G219" s="3">
        <v>0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">
        <v>110</v>
      </c>
      <c r="C220" t="s">
        <v>34</v>
      </c>
      <c r="D220" s="3"/>
      <c r="E220" s="3"/>
      <c r="F220" s="4" t="s">
        <v>39</v>
      </c>
      <c r="G220" s="3">
        <v>0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2" spans="1:57">
      <c r="A222" s="1" t="s">
        <v>123</v>
      </c>
      <c r="B222" s="1" t="s">
        <v>31</v>
      </c>
      <c r="C222" s="1" t="s">
        <v>32</v>
      </c>
      <c r="D222" s="1" t="s">
        <v>33</v>
      </c>
      <c r="E222" s="1" t="s">
        <v>38</v>
      </c>
      <c r="F222" s="1"/>
      <c r="G222" s="1">
        <v>2000</v>
      </c>
      <c r="H222" s="1">
        <v>2001</v>
      </c>
      <c r="I222" s="1">
        <v>2002</v>
      </c>
      <c r="J222" s="1">
        <v>2003</v>
      </c>
      <c r="K222" s="1">
        <v>2004</v>
      </c>
      <c r="L222" s="1">
        <v>2005</v>
      </c>
      <c r="M222" s="1">
        <v>2006</v>
      </c>
      <c r="N222" s="1">
        <v>2007</v>
      </c>
      <c r="O222" s="1">
        <v>2008</v>
      </c>
      <c r="P222" s="1">
        <v>2009</v>
      </c>
      <c r="Q222" s="1">
        <v>2010</v>
      </c>
      <c r="R222" s="1">
        <v>2011</v>
      </c>
      <c r="S222" s="1">
        <v>2012</v>
      </c>
      <c r="T222" s="1">
        <v>2013</v>
      </c>
      <c r="U222" s="1">
        <v>2014</v>
      </c>
      <c r="V222" s="1">
        <v>2015</v>
      </c>
      <c r="W222" s="1">
        <v>2016</v>
      </c>
      <c r="X222" s="1">
        <v>2017</v>
      </c>
      <c r="Y222" s="1">
        <v>2018</v>
      </c>
      <c r="Z222" s="1">
        <v>2019</v>
      </c>
      <c r="AA222" s="1">
        <v>2020</v>
      </c>
      <c r="AB222" s="1">
        <v>2021</v>
      </c>
      <c r="AC222" s="1">
        <v>2022</v>
      </c>
      <c r="AD222" s="1">
        <v>2023</v>
      </c>
      <c r="AE222" s="1">
        <v>2024</v>
      </c>
      <c r="AF222" s="1">
        <v>2025</v>
      </c>
      <c r="AG222" s="1">
        <v>2026</v>
      </c>
      <c r="AH222" s="1">
        <v>2027</v>
      </c>
      <c r="AI222" s="1">
        <v>2028</v>
      </c>
      <c r="AJ222" s="1">
        <v>2029</v>
      </c>
      <c r="AK222" s="1">
        <v>2030</v>
      </c>
      <c r="AL222" s="1">
        <v>2031</v>
      </c>
      <c r="AM222" s="1">
        <v>2032</v>
      </c>
      <c r="AN222" s="1">
        <v>2033</v>
      </c>
      <c r="AO222" s="1">
        <v>2034</v>
      </c>
      <c r="AP222" s="1">
        <v>2035</v>
      </c>
      <c r="AQ222" s="1">
        <v>2036</v>
      </c>
      <c r="AR222" s="1">
        <v>2037</v>
      </c>
      <c r="AS222" s="1">
        <v>2038</v>
      </c>
      <c r="AT222" s="1">
        <v>2039</v>
      </c>
      <c r="AU222" s="1">
        <v>2040</v>
      </c>
      <c r="AV222" s="1">
        <v>2041</v>
      </c>
      <c r="AW222" s="1">
        <v>2042</v>
      </c>
      <c r="AX222" s="1">
        <v>2043</v>
      </c>
      <c r="AY222" s="1">
        <v>2044</v>
      </c>
      <c r="AZ222" s="1">
        <v>2045</v>
      </c>
      <c r="BA222" s="1">
        <v>2046</v>
      </c>
      <c r="BB222" s="1">
        <v>2047</v>
      </c>
      <c r="BC222" s="1">
        <v>2048</v>
      </c>
      <c r="BD222" s="1">
        <v>2049</v>
      </c>
      <c r="BE222" s="1">
        <v>2050</v>
      </c>
    </row>
    <row r="223" spans="1:57">
      <c r="A223" s="1" t="str">
        <f>'Population Definitions'!$A$2</f>
        <v>PWID_males</v>
      </c>
      <c r="C223" t="s">
        <v>34</v>
      </c>
      <c r="D223" s="3"/>
      <c r="E223" s="3"/>
      <c r="F223" s="4" t="s">
        <v>39</v>
      </c>
      <c r="G223" s="3">
        <v>0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4" spans="1:57">
      <c r="A224" s="1" t="str">
        <f>'Population Definitions'!$A$3</f>
        <v>PWID_females</v>
      </c>
      <c r="C224" t="s">
        <v>34</v>
      </c>
      <c r="D224" s="3"/>
      <c r="E224" s="3"/>
      <c r="F224" s="4" t="s">
        <v>39</v>
      </c>
      <c r="G224" s="3">
        <v>0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</row>
    <row r="225" spans="1:57">
      <c r="A225" s="1" t="str">
        <f>'Population Definitions'!$A$4</f>
        <v>0-9_males</v>
      </c>
      <c r="C225" t="s">
        <v>34</v>
      </c>
      <c r="D225" s="3"/>
      <c r="E225" s="3"/>
      <c r="F225" s="4" t="s">
        <v>39</v>
      </c>
      <c r="G225" s="3">
        <v>0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</row>
    <row r="226" spans="1:57">
      <c r="A226" s="1" t="str">
        <f>'Population Definitions'!$A$5</f>
        <v>0-9_females</v>
      </c>
      <c r="C226" t="s">
        <v>34</v>
      </c>
      <c r="D226" s="3"/>
      <c r="E226" s="3"/>
      <c r="F226" s="4" t="s">
        <v>39</v>
      </c>
      <c r="G226" s="3">
        <v>0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Definitions'!$A$6</f>
        <v>10-17_males</v>
      </c>
      <c r="C227" t="s">
        <v>34</v>
      </c>
      <c r="D227" s="3"/>
      <c r="E227" s="3"/>
      <c r="F227" s="4" t="s">
        <v>39</v>
      </c>
      <c r="G227" s="3">
        <v>0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Definitions'!$A$7</f>
        <v>10-17_females</v>
      </c>
      <c r="C228" t="s">
        <v>34</v>
      </c>
      <c r="D228" s="3"/>
      <c r="E228" s="3"/>
      <c r="F228" s="4" t="s">
        <v>39</v>
      </c>
      <c r="G228" s="3">
        <v>0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Definitions'!$A$8</f>
        <v>18-64_males</v>
      </c>
      <c r="C229" t="s">
        <v>34</v>
      </c>
      <c r="D229" s="3"/>
      <c r="E229" s="3"/>
      <c r="F229" s="4" t="s">
        <v>39</v>
      </c>
      <c r="G229" s="3">
        <v>0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Definitions'!$A$9</f>
        <v>18-64_females</v>
      </c>
      <c r="C230" t="s">
        <v>34</v>
      </c>
      <c r="D230" s="3"/>
      <c r="E230" s="3"/>
      <c r="F230" s="4" t="s">
        <v>39</v>
      </c>
      <c r="G230" s="3">
        <v>0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Definitions'!$A$10</f>
        <v>65+_males</v>
      </c>
      <c r="C231" t="s">
        <v>34</v>
      </c>
      <c r="D231" s="3"/>
      <c r="E231" s="3"/>
      <c r="F231" s="4" t="s">
        <v>39</v>
      </c>
      <c r="G231" s="3">
        <v>0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Definitions'!$A$11</f>
        <v>65+_females</v>
      </c>
      <c r="C232" t="s">
        <v>34</v>
      </c>
      <c r="D232" s="3"/>
      <c r="E232" s="3"/>
      <c r="F232" s="4" t="s">
        <v>39</v>
      </c>
      <c r="G232" s="3">
        <v>0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Definitions'!$A$12</f>
        <v>Prisoners_males</v>
      </c>
      <c r="C233" t="s">
        <v>34</v>
      </c>
      <c r="D233" s="3"/>
      <c r="E233" s="3"/>
      <c r="F233" s="4" t="s">
        <v>39</v>
      </c>
      <c r="G233" s="3">
        <v>0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Definitions'!$A$13</f>
        <v>Prisoners_females</v>
      </c>
      <c r="C234" t="s">
        <v>34</v>
      </c>
      <c r="D234" s="3"/>
      <c r="E234" s="3"/>
      <c r="F234" s="4" t="s">
        <v>39</v>
      </c>
      <c r="G234" s="3">
        <v>0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Definitions'!$A$14</f>
        <v>Prisoners_PWID_males</v>
      </c>
      <c r="C235" t="s">
        <v>34</v>
      </c>
      <c r="D235" s="3"/>
      <c r="E235" s="3"/>
      <c r="F235" s="4" t="s">
        <v>39</v>
      </c>
      <c r="G235" s="3">
        <v>0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Definitions'!$A$15</f>
        <v>Prisoners_PWID_females</v>
      </c>
      <c r="C236" t="s">
        <v>34</v>
      </c>
      <c r="D236" s="3"/>
      <c r="E236" s="3"/>
      <c r="F236" s="4" t="s">
        <v>39</v>
      </c>
      <c r="G236" s="3">
        <v>0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">
        <v>110</v>
      </c>
      <c r="C237" t="s">
        <v>34</v>
      </c>
      <c r="D237" s="3"/>
      <c r="E237" s="3"/>
      <c r="F237" s="4" t="s">
        <v>39</v>
      </c>
      <c r="G237" s="3">
        <v>0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9" spans="1:57">
      <c r="A239" s="1" t="s">
        <v>124</v>
      </c>
      <c r="B239" s="1" t="s">
        <v>31</v>
      </c>
      <c r="C239" s="1" t="s">
        <v>32</v>
      </c>
      <c r="D239" s="1" t="s">
        <v>33</v>
      </c>
      <c r="E239" s="1" t="s">
        <v>38</v>
      </c>
      <c r="F239" s="1"/>
      <c r="G239" s="1">
        <v>2000</v>
      </c>
      <c r="H239" s="1">
        <v>2001</v>
      </c>
      <c r="I239" s="1">
        <v>2002</v>
      </c>
      <c r="J239" s="1">
        <v>2003</v>
      </c>
      <c r="K239" s="1">
        <v>2004</v>
      </c>
      <c r="L239" s="1">
        <v>2005</v>
      </c>
      <c r="M239" s="1">
        <v>2006</v>
      </c>
      <c r="N239" s="1">
        <v>2007</v>
      </c>
      <c r="O239" s="1">
        <v>2008</v>
      </c>
      <c r="P239" s="1">
        <v>2009</v>
      </c>
      <c r="Q239" s="1">
        <v>2010</v>
      </c>
      <c r="R239" s="1">
        <v>2011</v>
      </c>
      <c r="S239" s="1">
        <v>2012</v>
      </c>
      <c r="T239" s="1">
        <v>2013</v>
      </c>
      <c r="U239" s="1">
        <v>2014</v>
      </c>
      <c r="V239" s="1">
        <v>2015</v>
      </c>
      <c r="W239" s="1">
        <v>2016</v>
      </c>
      <c r="X239" s="1">
        <v>2017</v>
      </c>
      <c r="Y239" s="1">
        <v>2018</v>
      </c>
      <c r="Z239" s="1">
        <v>2019</v>
      </c>
      <c r="AA239" s="1">
        <v>2020</v>
      </c>
      <c r="AB239" s="1">
        <v>2021</v>
      </c>
      <c r="AC239" s="1">
        <v>2022</v>
      </c>
      <c r="AD239" s="1">
        <v>2023</v>
      </c>
      <c r="AE239" s="1">
        <v>2024</v>
      </c>
      <c r="AF239" s="1">
        <v>2025</v>
      </c>
      <c r="AG239" s="1">
        <v>2026</v>
      </c>
      <c r="AH239" s="1">
        <v>2027</v>
      </c>
      <c r="AI239" s="1">
        <v>2028</v>
      </c>
      <c r="AJ239" s="1">
        <v>2029</v>
      </c>
      <c r="AK239" s="1">
        <v>2030</v>
      </c>
      <c r="AL239" s="1">
        <v>2031</v>
      </c>
      <c r="AM239" s="1">
        <v>2032</v>
      </c>
      <c r="AN239" s="1">
        <v>2033</v>
      </c>
      <c r="AO239" s="1">
        <v>2034</v>
      </c>
      <c r="AP239" s="1">
        <v>2035</v>
      </c>
      <c r="AQ239" s="1">
        <v>2036</v>
      </c>
      <c r="AR239" s="1">
        <v>2037</v>
      </c>
      <c r="AS239" s="1">
        <v>2038</v>
      </c>
      <c r="AT239" s="1">
        <v>2039</v>
      </c>
      <c r="AU239" s="1">
        <v>2040</v>
      </c>
      <c r="AV239" s="1">
        <v>2041</v>
      </c>
      <c r="AW239" s="1">
        <v>2042</v>
      </c>
      <c r="AX239" s="1">
        <v>2043</v>
      </c>
      <c r="AY239" s="1">
        <v>2044</v>
      </c>
      <c r="AZ239" s="1">
        <v>2045</v>
      </c>
      <c r="BA239" s="1">
        <v>2046</v>
      </c>
      <c r="BB239" s="1">
        <v>2047</v>
      </c>
      <c r="BC239" s="1">
        <v>2048</v>
      </c>
      <c r="BD239" s="1">
        <v>2049</v>
      </c>
      <c r="BE239" s="1">
        <v>2050</v>
      </c>
    </row>
    <row r="240" spans="1:57">
      <c r="A240" s="1" t="str">
        <f>'Population Definitions'!$A$2</f>
        <v>PWID_males</v>
      </c>
      <c r="C240" t="s">
        <v>34</v>
      </c>
      <c r="D240" s="3"/>
      <c r="E240" s="3"/>
      <c r="F240" s="4" t="s">
        <v>39</v>
      </c>
      <c r="G240" s="3">
        <v>0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</row>
    <row r="241" spans="1:57">
      <c r="A241" s="1" t="str">
        <f>'Population Definitions'!$A$3</f>
        <v>PWID_females</v>
      </c>
      <c r="C241" t="s">
        <v>34</v>
      </c>
      <c r="D241" s="3"/>
      <c r="E241" s="3"/>
      <c r="F241" s="4" t="s">
        <v>39</v>
      </c>
      <c r="G241" s="3">
        <v>0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</row>
    <row r="242" spans="1:57">
      <c r="A242" s="1" t="str">
        <f>'Population Definitions'!$A$4</f>
        <v>0-9_males</v>
      </c>
      <c r="C242" t="s">
        <v>34</v>
      </c>
      <c r="D242" s="3"/>
      <c r="E242" s="3"/>
      <c r="F242" s="4" t="s">
        <v>39</v>
      </c>
      <c r="G242" s="3">
        <v>0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Definitions'!$A$5</f>
        <v>0-9_females</v>
      </c>
      <c r="C243" t="s">
        <v>34</v>
      </c>
      <c r="D243" s="3"/>
      <c r="E243" s="3"/>
      <c r="F243" s="4" t="s">
        <v>39</v>
      </c>
      <c r="G243" s="3">
        <v>0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Definitions'!$A$6</f>
        <v>10-17_males</v>
      </c>
      <c r="C244" t="s">
        <v>34</v>
      </c>
      <c r="D244" s="3"/>
      <c r="E244" s="3"/>
      <c r="F244" s="4" t="s">
        <v>39</v>
      </c>
      <c r="G244" s="3">
        <v>0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Definitions'!$A$7</f>
        <v>10-17_females</v>
      </c>
      <c r="C245" t="s">
        <v>34</v>
      </c>
      <c r="D245" s="3"/>
      <c r="E245" s="3"/>
      <c r="F245" s="4" t="s">
        <v>39</v>
      </c>
      <c r="G245" s="3">
        <v>0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Definitions'!$A$8</f>
        <v>18-64_males</v>
      </c>
      <c r="C246" t="s">
        <v>34</v>
      </c>
      <c r="D246" s="3"/>
      <c r="E246" s="3"/>
      <c r="F246" s="4" t="s">
        <v>39</v>
      </c>
      <c r="G246" s="3">
        <v>0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Definitions'!$A$9</f>
        <v>18-64_females</v>
      </c>
      <c r="C247" t="s">
        <v>34</v>
      </c>
      <c r="D247" s="3"/>
      <c r="E247" s="3"/>
      <c r="F247" s="4" t="s">
        <v>39</v>
      </c>
      <c r="G247" s="3">
        <v>0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Definitions'!$A$10</f>
        <v>65+_males</v>
      </c>
      <c r="C248" t="s">
        <v>34</v>
      </c>
      <c r="D248" s="3"/>
      <c r="E248" s="3"/>
      <c r="F248" s="4" t="s">
        <v>39</v>
      </c>
      <c r="G248" s="3">
        <v>0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Definitions'!$A$11</f>
        <v>65+_females</v>
      </c>
      <c r="C249" t="s">
        <v>34</v>
      </c>
      <c r="D249" s="3"/>
      <c r="E249" s="3"/>
      <c r="F249" s="4" t="s">
        <v>39</v>
      </c>
      <c r="G249" s="3">
        <v>0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Definitions'!$A$12</f>
        <v>Prisoners_males</v>
      </c>
      <c r="C250" t="s">
        <v>34</v>
      </c>
      <c r="D250" s="3"/>
      <c r="E250" s="3"/>
      <c r="F250" s="4" t="s">
        <v>39</v>
      </c>
      <c r="G250" s="3">
        <v>0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Definitions'!$A$13</f>
        <v>Prisoners_females</v>
      </c>
      <c r="C251" t="s">
        <v>34</v>
      </c>
      <c r="D251" s="3"/>
      <c r="E251" s="3"/>
      <c r="F251" s="4" t="s">
        <v>39</v>
      </c>
      <c r="G251" s="3">
        <v>0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Definitions'!$A$14</f>
        <v>Prisoners_PWID_males</v>
      </c>
      <c r="C252" t="s">
        <v>34</v>
      </c>
      <c r="D252" s="3"/>
      <c r="E252" s="3"/>
      <c r="F252" s="4" t="s">
        <v>39</v>
      </c>
      <c r="G252" s="3">
        <v>0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Definitions'!$A$15</f>
        <v>Prisoners_PWID_females</v>
      </c>
      <c r="C253" t="s">
        <v>34</v>
      </c>
      <c r="D253" s="3"/>
      <c r="E253" s="3"/>
      <c r="F253" s="4" t="s">
        <v>39</v>
      </c>
      <c r="G253" s="3">
        <v>0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">
        <v>110</v>
      </c>
      <c r="C254" t="s">
        <v>34</v>
      </c>
      <c r="D254" s="3"/>
      <c r="E254" s="3"/>
      <c r="F254" s="4" t="s">
        <v>39</v>
      </c>
      <c r="G254" s="3">
        <v>0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6" spans="1:57">
      <c r="A256" s="1" t="s">
        <v>125</v>
      </c>
      <c r="B256" s="1" t="s">
        <v>31</v>
      </c>
      <c r="C256" s="1" t="s">
        <v>32</v>
      </c>
      <c r="D256" s="1" t="s">
        <v>33</v>
      </c>
      <c r="E256" s="1" t="s">
        <v>38</v>
      </c>
      <c r="F256" s="1"/>
      <c r="G256" s="1">
        <v>2000</v>
      </c>
      <c r="H256" s="1">
        <v>2001</v>
      </c>
      <c r="I256" s="1">
        <v>2002</v>
      </c>
      <c r="J256" s="1">
        <v>2003</v>
      </c>
      <c r="K256" s="1">
        <v>2004</v>
      </c>
      <c r="L256" s="1">
        <v>2005</v>
      </c>
      <c r="M256" s="1">
        <v>2006</v>
      </c>
      <c r="N256" s="1">
        <v>2007</v>
      </c>
      <c r="O256" s="1">
        <v>2008</v>
      </c>
      <c r="P256" s="1">
        <v>2009</v>
      </c>
      <c r="Q256" s="1">
        <v>2010</v>
      </c>
      <c r="R256" s="1">
        <v>2011</v>
      </c>
      <c r="S256" s="1">
        <v>2012</v>
      </c>
      <c r="T256" s="1">
        <v>2013</v>
      </c>
      <c r="U256" s="1">
        <v>2014</v>
      </c>
      <c r="V256" s="1">
        <v>2015</v>
      </c>
      <c r="W256" s="1">
        <v>2016</v>
      </c>
      <c r="X256" s="1">
        <v>2017</v>
      </c>
      <c r="Y256" s="1">
        <v>2018</v>
      </c>
      <c r="Z256" s="1">
        <v>2019</v>
      </c>
      <c r="AA256" s="1">
        <v>2020</v>
      </c>
      <c r="AB256" s="1">
        <v>2021</v>
      </c>
      <c r="AC256" s="1">
        <v>2022</v>
      </c>
      <c r="AD256" s="1">
        <v>2023</v>
      </c>
      <c r="AE256" s="1">
        <v>2024</v>
      </c>
      <c r="AF256" s="1">
        <v>2025</v>
      </c>
      <c r="AG256" s="1">
        <v>2026</v>
      </c>
      <c r="AH256" s="1">
        <v>2027</v>
      </c>
      <c r="AI256" s="1">
        <v>2028</v>
      </c>
      <c r="AJ256" s="1">
        <v>2029</v>
      </c>
      <c r="AK256" s="1">
        <v>2030</v>
      </c>
      <c r="AL256" s="1">
        <v>2031</v>
      </c>
      <c r="AM256" s="1">
        <v>2032</v>
      </c>
      <c r="AN256" s="1">
        <v>2033</v>
      </c>
      <c r="AO256" s="1">
        <v>2034</v>
      </c>
      <c r="AP256" s="1">
        <v>2035</v>
      </c>
      <c r="AQ256" s="1">
        <v>2036</v>
      </c>
      <c r="AR256" s="1">
        <v>2037</v>
      </c>
      <c r="AS256" s="1">
        <v>2038</v>
      </c>
      <c r="AT256" s="1">
        <v>2039</v>
      </c>
      <c r="AU256" s="1">
        <v>2040</v>
      </c>
      <c r="AV256" s="1">
        <v>2041</v>
      </c>
      <c r="AW256" s="1">
        <v>2042</v>
      </c>
      <c r="AX256" s="1">
        <v>2043</v>
      </c>
      <c r="AY256" s="1">
        <v>2044</v>
      </c>
      <c r="AZ256" s="1">
        <v>2045</v>
      </c>
      <c r="BA256" s="1">
        <v>2046</v>
      </c>
      <c r="BB256" s="1">
        <v>2047</v>
      </c>
      <c r="BC256" s="1">
        <v>2048</v>
      </c>
      <c r="BD256" s="1">
        <v>2049</v>
      </c>
      <c r="BE256" s="1">
        <v>2050</v>
      </c>
    </row>
    <row r="257" spans="1:57">
      <c r="A257" s="1" t="str">
        <f>'Population Definitions'!$A$2</f>
        <v>PWID_males</v>
      </c>
      <c r="C257" t="s">
        <v>34</v>
      </c>
      <c r="D257" s="3"/>
      <c r="E257" s="3"/>
      <c r="F257" s="4" t="s">
        <v>39</v>
      </c>
      <c r="G257" s="3">
        <v>0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</row>
    <row r="258" spans="1:57">
      <c r="A258" s="1" t="str">
        <f>'Population Definitions'!$A$3</f>
        <v>PWID_females</v>
      </c>
      <c r="C258" t="s">
        <v>34</v>
      </c>
      <c r="D258" s="3"/>
      <c r="E258" s="3"/>
      <c r="F258" s="4" t="s">
        <v>39</v>
      </c>
      <c r="G258" s="3">
        <v>0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Definitions'!$A$4</f>
        <v>0-9_males</v>
      </c>
      <c r="C259" t="s">
        <v>34</v>
      </c>
      <c r="D259" s="3"/>
      <c r="E259" s="3"/>
      <c r="F259" s="4" t="s">
        <v>39</v>
      </c>
      <c r="G259" s="3">
        <v>0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Definitions'!$A$5</f>
        <v>0-9_females</v>
      </c>
      <c r="C260" t="s">
        <v>34</v>
      </c>
      <c r="D260" s="3"/>
      <c r="E260" s="3"/>
      <c r="F260" s="4" t="s">
        <v>39</v>
      </c>
      <c r="G260" s="3">
        <v>0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Definitions'!$A$6</f>
        <v>10-17_males</v>
      </c>
      <c r="C261" t="s">
        <v>34</v>
      </c>
      <c r="D261" s="3"/>
      <c r="E261" s="3"/>
      <c r="F261" s="4" t="s">
        <v>39</v>
      </c>
      <c r="G261" s="3">
        <v>0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Definitions'!$A$7</f>
        <v>10-17_females</v>
      </c>
      <c r="C262" t="s">
        <v>34</v>
      </c>
      <c r="D262" s="3"/>
      <c r="E262" s="3"/>
      <c r="F262" s="4" t="s">
        <v>39</v>
      </c>
      <c r="G262" s="3">
        <v>0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Definitions'!$A$8</f>
        <v>18-64_males</v>
      </c>
      <c r="C263" t="s">
        <v>34</v>
      </c>
      <c r="D263" s="3"/>
      <c r="E263" s="3"/>
      <c r="F263" s="4" t="s">
        <v>39</v>
      </c>
      <c r="G263" s="3">
        <v>0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Definitions'!$A$9</f>
        <v>18-64_females</v>
      </c>
      <c r="C264" t="s">
        <v>34</v>
      </c>
      <c r="D264" s="3"/>
      <c r="E264" s="3"/>
      <c r="F264" s="4" t="s">
        <v>39</v>
      </c>
      <c r="G264" s="3">
        <v>0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Definitions'!$A$10</f>
        <v>65+_males</v>
      </c>
      <c r="C265" t="s">
        <v>34</v>
      </c>
      <c r="D265" s="3"/>
      <c r="E265" s="3"/>
      <c r="F265" s="4" t="s">
        <v>39</v>
      </c>
      <c r="G265" s="3">
        <v>0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Definitions'!$A$11</f>
        <v>65+_females</v>
      </c>
      <c r="C266" t="s">
        <v>34</v>
      </c>
      <c r="D266" s="3"/>
      <c r="E266" s="3"/>
      <c r="F266" s="4" t="s">
        <v>39</v>
      </c>
      <c r="G266" s="3">
        <v>0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Definitions'!$A$12</f>
        <v>Prisoners_males</v>
      </c>
      <c r="C267" t="s">
        <v>34</v>
      </c>
      <c r="D267" s="3"/>
      <c r="E267" s="3"/>
      <c r="F267" s="4" t="s">
        <v>39</v>
      </c>
      <c r="G267" s="3">
        <v>0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Definitions'!$A$13</f>
        <v>Prisoners_females</v>
      </c>
      <c r="C268" t="s">
        <v>34</v>
      </c>
      <c r="D268" s="3"/>
      <c r="E268" s="3"/>
      <c r="F268" s="4" t="s">
        <v>39</v>
      </c>
      <c r="G268" s="3">
        <v>0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Definitions'!$A$14</f>
        <v>Prisoners_PWID_males</v>
      </c>
      <c r="C269" t="s">
        <v>34</v>
      </c>
      <c r="D269" s="3"/>
      <c r="E269" s="3"/>
      <c r="F269" s="4" t="s">
        <v>39</v>
      </c>
      <c r="G269" s="3">
        <v>0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Definitions'!$A$15</f>
        <v>Prisoners_PWID_females</v>
      </c>
      <c r="C270" t="s">
        <v>34</v>
      </c>
      <c r="D270" s="3"/>
      <c r="E270" s="3"/>
      <c r="F270" s="4" t="s">
        <v>39</v>
      </c>
      <c r="G270" s="3">
        <v>0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">
        <v>110</v>
      </c>
      <c r="C271" t="s">
        <v>34</v>
      </c>
      <c r="D271" s="3"/>
      <c r="E271" s="3"/>
      <c r="F271" s="4" t="s">
        <v>39</v>
      </c>
      <c r="G271" s="3">
        <v>2.1</v>
      </c>
      <c r="H271" s="3"/>
      <c r="I271" s="3"/>
      <c r="J271" s="3"/>
      <c r="K271" s="3"/>
      <c r="L271" s="3"/>
      <c r="M271" s="3"/>
      <c r="N271" s="3"/>
      <c r="O271" s="3"/>
      <c r="P271" s="3"/>
      <c r="Q271" s="3">
        <v>2.1</v>
      </c>
      <c r="R271" s="3"/>
      <c r="S271" s="3"/>
      <c r="T271" s="3"/>
      <c r="U271" s="3"/>
      <c r="V271" s="3"/>
      <c r="W271" s="3"/>
      <c r="X271" s="3"/>
      <c r="Y271" s="3"/>
      <c r="Z271" s="3">
        <v>2.4</v>
      </c>
      <c r="AA271" s="3">
        <v>2.5</v>
      </c>
      <c r="AB271" s="3">
        <v>2.4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126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34</v>
      </c>
      <c r="D274" s="3"/>
      <c r="E274" s="3"/>
      <c r="F274" s="4" t="s">
        <v>39</v>
      </c>
      <c r="G274" s="3">
        <v>0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34</v>
      </c>
      <c r="D275" s="3"/>
      <c r="E275" s="3"/>
      <c r="F275" s="4" t="s">
        <v>39</v>
      </c>
      <c r="G275" s="3">
        <v>0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34</v>
      </c>
      <c r="D276" s="3"/>
      <c r="E276" s="3"/>
      <c r="F276" s="4" t="s">
        <v>39</v>
      </c>
      <c r="G276" s="3">
        <v>0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34</v>
      </c>
      <c r="D277" s="3"/>
      <c r="E277" s="3"/>
      <c r="F277" s="4" t="s">
        <v>39</v>
      </c>
      <c r="G277" s="3">
        <v>0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34</v>
      </c>
      <c r="D278" s="3"/>
      <c r="E278" s="3"/>
      <c r="F278" s="4" t="s">
        <v>39</v>
      </c>
      <c r="G278" s="3">
        <v>0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34</v>
      </c>
      <c r="D279" s="3"/>
      <c r="E279" s="3"/>
      <c r="F279" s="4" t="s">
        <v>39</v>
      </c>
      <c r="G279" s="3">
        <v>0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34</v>
      </c>
      <c r="D280" s="3"/>
      <c r="E280" s="3"/>
      <c r="F280" s="4" t="s">
        <v>39</v>
      </c>
      <c r="G280" s="3">
        <v>0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34</v>
      </c>
      <c r="D281" s="3"/>
      <c r="E281" s="3"/>
      <c r="F281" s="4" t="s">
        <v>39</v>
      </c>
      <c r="G281" s="3">
        <v>0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34</v>
      </c>
      <c r="D282" s="3"/>
      <c r="E282" s="3"/>
      <c r="F282" s="4" t="s">
        <v>39</v>
      </c>
      <c r="G282" s="3">
        <v>0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34</v>
      </c>
      <c r="D283" s="3"/>
      <c r="E283" s="3"/>
      <c r="F283" s="4" t="s">
        <v>39</v>
      </c>
      <c r="G283" s="3">
        <v>0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34</v>
      </c>
      <c r="D284" s="3"/>
      <c r="E284" s="3"/>
      <c r="F284" s="4" t="s">
        <v>39</v>
      </c>
      <c r="G284" s="3">
        <v>0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34</v>
      </c>
      <c r="D285" s="3"/>
      <c r="E285" s="3"/>
      <c r="F285" s="4" t="s">
        <v>39</v>
      </c>
      <c r="G285" s="3">
        <v>0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34</v>
      </c>
      <c r="D286" s="3"/>
      <c r="E286" s="3"/>
      <c r="F286" s="4" t="s">
        <v>39</v>
      </c>
      <c r="G286" s="3">
        <v>0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34</v>
      </c>
      <c r="D287" s="3"/>
      <c r="E287" s="3"/>
      <c r="F287" s="4" t="s">
        <v>39</v>
      </c>
      <c r="G287" s="3">
        <v>0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8" spans="1:57">
      <c r="A288" s="1" t="s">
        <v>110</v>
      </c>
      <c r="C288" t="s">
        <v>34</v>
      </c>
      <c r="D288" s="3"/>
      <c r="E288" s="3"/>
      <c r="F288" s="4" t="s">
        <v>39</v>
      </c>
      <c r="G288" s="3">
        <v>0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</row>
  </sheetData>
  <conditionalFormatting sqref="E100">
    <cfRule type="expression" dxfId="0" priority="147">
      <formula>COUNTIF(G100:BE100,"&lt;&gt;" &amp; "")&gt;0</formula>
    </cfRule>
    <cfRule type="expression" dxfId="1" priority="148">
      <formula>AND(COUNTIF(G100:BE100,"&lt;&gt;" &amp; "")&gt;0,NOT(ISBLANK(E100)))</formula>
    </cfRule>
  </conditionalFormatting>
  <conditionalFormatting sqref="E101">
    <cfRule type="expression" dxfId="0" priority="149">
      <formula>COUNTIF(G101:BE101,"&lt;&gt;" &amp; "")&gt;0</formula>
    </cfRule>
    <cfRule type="expression" dxfId="1" priority="150">
      <formula>AND(COUNTIF(G101:BE101,"&lt;&gt;" &amp; "")&gt;0,NOT(ISBLANK(E101)))</formula>
    </cfRule>
  </conditionalFormatting>
  <conditionalFormatting sqref="E104">
    <cfRule type="expression" dxfId="0" priority="151">
      <formula>COUNTIF(G104:BE104,"&lt;&gt;" &amp; "")&gt;0</formula>
    </cfRule>
    <cfRule type="expression" dxfId="1" priority="152">
      <formula>AND(COUNTIF(G104:BE104,"&lt;&gt;" &amp; "")&gt;0,NOT(ISBLANK(E104)))</formula>
    </cfRule>
  </conditionalFormatting>
  <conditionalFormatting sqref="E105">
    <cfRule type="expression" dxfId="0" priority="153">
      <formula>COUNTIF(G105:BE105,"&lt;&gt;" &amp; "")&gt;0</formula>
    </cfRule>
    <cfRule type="expression" dxfId="1" priority="154">
      <formula>AND(COUNTIF(G105:BE105,"&lt;&gt;" &amp; "")&gt;0,NOT(ISBLANK(E105)))</formula>
    </cfRule>
  </conditionalFormatting>
  <conditionalFormatting sqref="E106">
    <cfRule type="expression" dxfId="0" priority="155">
      <formula>COUNTIF(G106:BE106,"&lt;&gt;" &amp; "")&gt;0</formula>
    </cfRule>
    <cfRule type="expression" dxfId="1" priority="156">
      <formula>AND(COUNTIF(G106:BE106,"&lt;&gt;" &amp; "")&gt;0,NOT(ISBLANK(E106)))</formula>
    </cfRule>
  </conditionalFormatting>
  <conditionalFormatting sqref="E107">
    <cfRule type="expression" dxfId="0" priority="157">
      <formula>COUNTIF(G107:BE107,"&lt;&gt;" &amp; "")&gt;0</formula>
    </cfRule>
    <cfRule type="expression" dxfId="1" priority="158">
      <formula>AND(COUNTIF(G107:BE107,"&lt;&gt;" &amp; "")&gt;0,NOT(ISBLANK(E107)))</formula>
    </cfRule>
  </conditionalFormatting>
  <conditionalFormatting sqref="E108">
    <cfRule type="expression" dxfId="0" priority="159">
      <formula>COUNTIF(G108:BE108,"&lt;&gt;" &amp; "")&gt;0</formula>
    </cfRule>
    <cfRule type="expression" dxfId="1" priority="160">
      <formula>AND(COUNTIF(G108:BE108,"&lt;&gt;" &amp; "")&gt;0,NOT(ISBLANK(E108)))</formula>
    </cfRule>
  </conditionalFormatting>
  <conditionalFormatting sqref="E109">
    <cfRule type="expression" dxfId="0" priority="161">
      <formula>COUNTIF(G109:BE109,"&lt;&gt;" &amp; "")&gt;0</formula>
    </cfRule>
    <cfRule type="expression" dxfId="1" priority="162">
      <formula>AND(COUNTIF(G109:BE109,"&lt;&gt;" &amp; "")&gt;0,NOT(ISBLANK(E109)))</formula>
    </cfRule>
  </conditionalFormatting>
  <conditionalFormatting sqref="E110">
    <cfRule type="expression" dxfId="0" priority="163">
      <formula>COUNTIF(G110:BE110,"&lt;&gt;" &amp; "")&gt;0</formula>
    </cfRule>
    <cfRule type="expression" dxfId="1" priority="164">
      <formula>AND(COUNTIF(G110:BE110,"&lt;&gt;" &amp; "")&gt;0,NOT(ISBLANK(E110)))</formula>
    </cfRule>
  </conditionalFormatting>
  <conditionalFormatting sqref="E111">
    <cfRule type="expression" dxfId="0" priority="165">
      <formula>COUNTIF(G111:BE111,"&lt;&gt;" &amp; "")&gt;0</formula>
    </cfRule>
    <cfRule type="expression" dxfId="1" priority="166">
      <formula>AND(COUNTIF(G111:BE111,"&lt;&gt;" &amp; "")&gt;0,NOT(ISBLANK(E111)))</formula>
    </cfRule>
  </conditionalFormatting>
  <conditionalFormatting sqref="E112">
    <cfRule type="expression" dxfId="0" priority="167">
      <formula>COUNTIF(G112:BE112,"&lt;&gt;" &amp; "")&gt;0</formula>
    </cfRule>
    <cfRule type="expression" dxfId="1" priority="168">
      <formula>AND(COUNTIF(G112:BE112,"&lt;&gt;" &amp; "")&gt;0,NOT(ISBLANK(E112)))</formula>
    </cfRule>
  </conditionalFormatting>
  <conditionalFormatting sqref="E113">
    <cfRule type="expression" dxfId="0" priority="169">
      <formula>COUNTIF(G113:BE113,"&lt;&gt;" &amp; "")&gt;0</formula>
    </cfRule>
    <cfRule type="expression" dxfId="1" priority="170">
      <formula>AND(COUNTIF(G113:BE113,"&lt;&gt;" &amp; "")&gt;0,NOT(ISBLANK(E113)))</formula>
    </cfRule>
  </conditionalFormatting>
  <conditionalFormatting sqref="E114">
    <cfRule type="expression" dxfId="0" priority="171">
      <formula>COUNTIF(G114:BE114,"&lt;&gt;" &amp; "")&gt;0</formula>
    </cfRule>
    <cfRule type="expression" dxfId="1" priority="172">
      <formula>AND(COUNTIF(G114:BE114,"&lt;&gt;" &amp; "")&gt;0,NOT(ISBLANK(E114)))</formula>
    </cfRule>
  </conditionalFormatting>
  <conditionalFormatting sqref="E115">
    <cfRule type="expression" dxfId="0" priority="173">
      <formula>COUNTIF(G115:BE115,"&lt;&gt;" &amp; "")&gt;0</formula>
    </cfRule>
    <cfRule type="expression" dxfId="1" priority="174">
      <formula>AND(COUNTIF(G115:BE115,"&lt;&gt;" &amp; "")&gt;0,NOT(ISBLANK(E115)))</formula>
    </cfRule>
  </conditionalFormatting>
  <conditionalFormatting sqref="E116">
    <cfRule type="expression" dxfId="0" priority="175">
      <formula>COUNTIF(G116:BE116,"&lt;&gt;" &amp; "")&gt;0</formula>
    </cfRule>
    <cfRule type="expression" dxfId="1" priority="176">
      <formula>AND(COUNTIF(G116:BE116,"&lt;&gt;" &amp; "")&gt;0,NOT(ISBLANK(E116)))</formula>
    </cfRule>
  </conditionalFormatting>
  <conditionalFormatting sqref="E117">
    <cfRule type="expression" dxfId="0" priority="177">
      <formula>COUNTIF(G117:BE117,"&lt;&gt;" &amp; "")&gt;0</formula>
    </cfRule>
    <cfRule type="expression" dxfId="1" priority="178">
      <formula>AND(COUNTIF(G117:BE117,"&lt;&gt;" &amp; "")&gt;0,NOT(ISBLANK(E117)))</formula>
    </cfRule>
  </conditionalFormatting>
  <conditionalFormatting sqref="E118">
    <cfRule type="expression" dxfId="0" priority="179">
      <formula>COUNTIF(G118:BE118,"&lt;&gt;" &amp; "")&gt;0</formula>
    </cfRule>
    <cfRule type="expression" dxfId="1" priority="180">
      <formula>AND(COUNTIF(G118:BE118,"&lt;&gt;" &amp; "")&gt;0,NOT(ISBLANK(E118)))</formula>
    </cfRule>
  </conditionalFormatting>
  <conditionalFormatting sqref="E121">
    <cfRule type="expression" dxfId="0" priority="181">
      <formula>COUNTIF(G121:BE121,"&lt;&gt;" &amp; "")&gt;0</formula>
    </cfRule>
    <cfRule type="expression" dxfId="1" priority="182">
      <formula>AND(COUNTIF(G121:BE121,"&lt;&gt;" &amp; "")&gt;0,NOT(ISBLANK(E121)))</formula>
    </cfRule>
  </conditionalFormatting>
  <conditionalFormatting sqref="E122">
    <cfRule type="expression" dxfId="0" priority="183">
      <formula>COUNTIF(G122:BE122,"&lt;&gt;" &amp; "")&gt;0</formula>
    </cfRule>
    <cfRule type="expression" dxfId="1" priority="184">
      <formula>AND(COUNTIF(G122:BE122,"&lt;&gt;" &amp; "")&gt;0,NOT(ISBLANK(E122)))</formula>
    </cfRule>
  </conditionalFormatting>
  <conditionalFormatting sqref="E123">
    <cfRule type="expression" dxfId="0" priority="185">
      <formula>COUNTIF(G123:BE123,"&lt;&gt;" &amp; "")&gt;0</formula>
    </cfRule>
    <cfRule type="expression" dxfId="1" priority="186">
      <formula>AND(COUNTIF(G123:BE123,"&lt;&gt;" &amp; "")&gt;0,NOT(ISBLANK(E123)))</formula>
    </cfRule>
  </conditionalFormatting>
  <conditionalFormatting sqref="E124">
    <cfRule type="expression" dxfId="0" priority="187">
      <formula>COUNTIF(G124:BE124,"&lt;&gt;" &amp; "")&gt;0</formula>
    </cfRule>
    <cfRule type="expression" dxfId="1" priority="188">
      <formula>AND(COUNTIF(G124:BE124,"&lt;&gt;" &amp; "")&gt;0,NOT(ISBLANK(E124)))</formula>
    </cfRule>
  </conditionalFormatting>
  <conditionalFormatting sqref="E125">
    <cfRule type="expression" dxfId="0" priority="189">
      <formula>COUNTIF(G125:BE125,"&lt;&gt;" &amp; "")&gt;0</formula>
    </cfRule>
    <cfRule type="expression" dxfId="1" priority="190">
      <formula>AND(COUNTIF(G125:BE125,"&lt;&gt;" &amp; "")&gt;0,NOT(ISBLANK(E125)))</formula>
    </cfRule>
  </conditionalFormatting>
  <conditionalFormatting sqref="E126">
    <cfRule type="expression" dxfId="0" priority="191">
      <formula>COUNTIF(G126:BE126,"&lt;&gt;" &amp; "")&gt;0</formula>
    </cfRule>
    <cfRule type="expression" dxfId="1" priority="192">
      <formula>AND(COUNTIF(G126:BE126,"&lt;&gt;" &amp; "")&gt;0,NOT(ISBLANK(E126)))</formula>
    </cfRule>
  </conditionalFormatting>
  <conditionalFormatting sqref="E127">
    <cfRule type="expression" dxfId="0" priority="193">
      <formula>COUNTIF(G127:BE127,"&lt;&gt;" &amp; "")&gt;0</formula>
    </cfRule>
    <cfRule type="expression" dxfId="1" priority="194">
      <formula>AND(COUNTIF(G127:BE127,"&lt;&gt;" &amp; "")&gt;0,NOT(ISBLANK(E127)))</formula>
    </cfRule>
  </conditionalFormatting>
  <conditionalFormatting sqref="E128">
    <cfRule type="expression" dxfId="0" priority="195">
      <formula>COUNTIF(G128:BE128,"&lt;&gt;" &amp; "")&gt;0</formula>
    </cfRule>
    <cfRule type="expression" dxfId="1" priority="196">
      <formula>AND(COUNTIF(G128:BE128,"&lt;&gt;" &amp; "")&gt;0,NOT(ISBLANK(E128)))</formula>
    </cfRule>
  </conditionalFormatting>
  <conditionalFormatting sqref="E129">
    <cfRule type="expression" dxfId="0" priority="197">
      <formula>COUNTIF(G129:BE129,"&lt;&gt;" &amp; "")&gt;0</formula>
    </cfRule>
    <cfRule type="expression" dxfId="1" priority="198">
      <formula>AND(COUNTIF(G129:BE129,"&lt;&gt;" &amp; "")&gt;0,NOT(ISBLANK(E129)))</formula>
    </cfRule>
  </conditionalFormatting>
  <conditionalFormatting sqref="E130">
    <cfRule type="expression" dxfId="0" priority="199">
      <formula>COUNTIF(G130:BE130,"&lt;&gt;" &amp; "")&gt;0</formula>
    </cfRule>
    <cfRule type="expression" dxfId="1" priority="200">
      <formula>AND(COUNTIF(G130:BE130,"&lt;&gt;" &amp; "")&gt;0,NOT(ISBLANK(E130)))</formula>
    </cfRule>
  </conditionalFormatting>
  <conditionalFormatting sqref="E131">
    <cfRule type="expression" dxfId="0" priority="201">
      <formula>COUNTIF(G131:BE131,"&lt;&gt;" &amp; "")&gt;0</formula>
    </cfRule>
    <cfRule type="expression" dxfId="1" priority="202">
      <formula>AND(COUNTIF(G131:BE131,"&lt;&gt;" &amp; "")&gt;0,NOT(ISBLANK(E131)))</formula>
    </cfRule>
  </conditionalFormatting>
  <conditionalFormatting sqref="E132">
    <cfRule type="expression" dxfId="0" priority="203">
      <formula>COUNTIF(G132:BE132,"&lt;&gt;" &amp; "")&gt;0</formula>
    </cfRule>
    <cfRule type="expression" dxfId="1" priority="204">
      <formula>AND(COUNTIF(G132:BE132,"&lt;&gt;" &amp; "")&gt;0,NOT(ISBLANK(E132)))</formula>
    </cfRule>
  </conditionalFormatting>
  <conditionalFormatting sqref="E133">
    <cfRule type="expression" dxfId="0" priority="205">
      <formula>COUNTIF(G133:BE133,"&lt;&gt;" &amp; "")&gt;0</formula>
    </cfRule>
    <cfRule type="expression" dxfId="1" priority="206">
      <formula>AND(COUNTIF(G133:BE133,"&lt;&gt;" &amp; "")&gt;0,NOT(ISBLANK(E133)))</formula>
    </cfRule>
  </conditionalFormatting>
  <conditionalFormatting sqref="E134">
    <cfRule type="expression" dxfId="0" priority="207">
      <formula>COUNTIF(G134:BE134,"&lt;&gt;" &amp; "")&gt;0</formula>
    </cfRule>
    <cfRule type="expression" dxfId="1" priority="208">
      <formula>AND(COUNTIF(G134:BE134,"&lt;&gt;" &amp; "")&gt;0,NOT(ISBLANK(E134)))</formula>
    </cfRule>
  </conditionalFormatting>
  <conditionalFormatting sqref="E135">
    <cfRule type="expression" dxfId="0" priority="209">
      <formula>COUNTIF(G135:BE135,"&lt;&gt;" &amp; "")&gt;0</formula>
    </cfRule>
    <cfRule type="expression" dxfId="1" priority="210">
      <formula>AND(COUNTIF(G135:BE135,"&lt;&gt;" &amp; "")&gt;0,NOT(ISBLANK(E135)))</formula>
    </cfRule>
  </conditionalFormatting>
  <conditionalFormatting sqref="E138">
    <cfRule type="expression" dxfId="0" priority="211">
      <formula>COUNTIF(G138:BE138,"&lt;&gt;" &amp; "")&gt;0</formula>
    </cfRule>
    <cfRule type="expression" dxfId="1" priority="212">
      <formula>AND(COUNTIF(G138:BE138,"&lt;&gt;" &amp; "")&gt;0,NOT(ISBLANK(E138)))</formula>
    </cfRule>
  </conditionalFormatting>
  <conditionalFormatting sqref="E139">
    <cfRule type="expression" dxfId="0" priority="213">
      <formula>COUNTIF(G139:BE139,"&lt;&gt;" &amp; "")&gt;0</formula>
    </cfRule>
    <cfRule type="expression" dxfId="1" priority="214">
      <formula>AND(COUNTIF(G139:BE139,"&lt;&gt;" &amp; "")&gt;0,NOT(ISBLANK(E139)))</formula>
    </cfRule>
  </conditionalFormatting>
  <conditionalFormatting sqref="E140">
    <cfRule type="expression" dxfId="0" priority="215">
      <formula>COUNTIF(G140:BE140,"&lt;&gt;" &amp; "")&gt;0</formula>
    </cfRule>
    <cfRule type="expression" dxfId="1" priority="216">
      <formula>AND(COUNTIF(G140:BE140,"&lt;&gt;" &amp; "")&gt;0,NOT(ISBLANK(E140)))</formula>
    </cfRule>
  </conditionalFormatting>
  <conditionalFormatting sqref="E141">
    <cfRule type="expression" dxfId="0" priority="217">
      <formula>COUNTIF(G141:BE141,"&lt;&gt;" &amp; "")&gt;0</formula>
    </cfRule>
    <cfRule type="expression" dxfId="1" priority="218">
      <formula>AND(COUNTIF(G141:BE141,"&lt;&gt;" &amp; "")&gt;0,NOT(ISBLANK(E141)))</formula>
    </cfRule>
  </conditionalFormatting>
  <conditionalFormatting sqref="E142">
    <cfRule type="expression" dxfId="0" priority="219">
      <formula>COUNTIF(G142:BE142,"&lt;&gt;" &amp; "")&gt;0</formula>
    </cfRule>
    <cfRule type="expression" dxfId="1" priority="220">
      <formula>AND(COUNTIF(G142:BE142,"&lt;&gt;" &amp; "")&gt;0,NOT(ISBLANK(E142)))</formula>
    </cfRule>
  </conditionalFormatting>
  <conditionalFormatting sqref="E143">
    <cfRule type="expression" dxfId="0" priority="221">
      <formula>COUNTIF(G143:BE143,"&lt;&gt;" &amp; "")&gt;0</formula>
    </cfRule>
    <cfRule type="expression" dxfId="1" priority="222">
      <formula>AND(COUNTIF(G143:BE143,"&lt;&gt;" &amp; "")&gt;0,NOT(ISBLANK(E143)))</formula>
    </cfRule>
  </conditionalFormatting>
  <conditionalFormatting sqref="E144">
    <cfRule type="expression" dxfId="0" priority="223">
      <formula>COUNTIF(G144:BE144,"&lt;&gt;" &amp; "")&gt;0</formula>
    </cfRule>
    <cfRule type="expression" dxfId="1" priority="224">
      <formula>AND(COUNTIF(G144:BE144,"&lt;&gt;" &amp; "")&gt;0,NOT(ISBLANK(E144)))</formula>
    </cfRule>
  </conditionalFormatting>
  <conditionalFormatting sqref="E145">
    <cfRule type="expression" dxfId="0" priority="225">
      <formula>COUNTIF(G145:BE145,"&lt;&gt;" &amp; "")&gt;0</formula>
    </cfRule>
    <cfRule type="expression" dxfId="1" priority="226">
      <formula>AND(COUNTIF(G145:BE145,"&lt;&gt;" &amp; "")&gt;0,NOT(ISBLANK(E145)))</formula>
    </cfRule>
  </conditionalFormatting>
  <conditionalFormatting sqref="E146">
    <cfRule type="expression" dxfId="0" priority="227">
      <formula>COUNTIF(G146:BE146,"&lt;&gt;" &amp; "")&gt;0</formula>
    </cfRule>
    <cfRule type="expression" dxfId="1" priority="228">
      <formula>AND(COUNTIF(G146:BE146,"&lt;&gt;" &amp; "")&gt;0,NOT(ISBLANK(E146)))</formula>
    </cfRule>
  </conditionalFormatting>
  <conditionalFormatting sqref="E147">
    <cfRule type="expression" dxfId="0" priority="229">
      <formula>COUNTIF(G147:BE147,"&lt;&gt;" &amp; "")&gt;0</formula>
    </cfRule>
    <cfRule type="expression" dxfId="1" priority="230">
      <formula>AND(COUNTIF(G147:BE147,"&lt;&gt;" &amp; "")&gt;0,NOT(ISBLANK(E147)))</formula>
    </cfRule>
  </conditionalFormatting>
  <conditionalFormatting sqref="E148">
    <cfRule type="expression" dxfId="0" priority="231">
      <formula>COUNTIF(G148:BE148,"&lt;&gt;" &amp; "")&gt;0</formula>
    </cfRule>
    <cfRule type="expression" dxfId="1" priority="232">
      <formula>AND(COUNTIF(G148:BE148,"&lt;&gt;" &amp; "")&gt;0,NOT(ISBLANK(E148)))</formula>
    </cfRule>
  </conditionalFormatting>
  <conditionalFormatting sqref="E149">
    <cfRule type="expression" dxfId="0" priority="233">
      <formula>COUNTIF(G149:BE149,"&lt;&gt;" &amp; "")&gt;0</formula>
    </cfRule>
    <cfRule type="expression" dxfId="1" priority="234">
      <formula>AND(COUNTIF(G149:BE149,"&lt;&gt;" &amp; "")&gt;0,NOT(ISBLANK(E149)))</formula>
    </cfRule>
  </conditionalFormatting>
  <conditionalFormatting sqref="E150">
    <cfRule type="expression" dxfId="0" priority="235">
      <formula>COUNTIF(G150:BE150,"&lt;&gt;" &amp; "")&gt;0</formula>
    </cfRule>
    <cfRule type="expression" dxfId="1" priority="236">
      <formula>AND(COUNTIF(G150:BE150,"&lt;&gt;" &amp; "")&gt;0,NOT(ISBLANK(E150)))</formula>
    </cfRule>
  </conditionalFormatting>
  <conditionalFormatting sqref="E151">
    <cfRule type="expression" dxfId="0" priority="237">
      <formula>COUNTIF(G151:BE151,"&lt;&gt;" &amp; "")&gt;0</formula>
    </cfRule>
    <cfRule type="expression" dxfId="1" priority="238">
      <formula>AND(COUNTIF(G151:BE151,"&lt;&gt;" &amp; "")&gt;0,NOT(ISBLANK(E151)))</formula>
    </cfRule>
  </conditionalFormatting>
  <conditionalFormatting sqref="E152">
    <cfRule type="expression" dxfId="0" priority="239">
      <formula>COUNTIF(G152:BE152,"&lt;&gt;" &amp; "")&gt;0</formula>
    </cfRule>
    <cfRule type="expression" dxfId="1" priority="240">
      <formula>AND(COUNTIF(G152:BE152,"&lt;&gt;" &amp; "")&gt;0,NOT(ISBLANK(E152)))</formula>
    </cfRule>
  </conditionalFormatting>
  <conditionalFormatting sqref="E155">
    <cfRule type="expression" dxfId="0" priority="241">
      <formula>COUNTIF(G155:BE155,"&lt;&gt;" &amp; "")&gt;0</formula>
    </cfRule>
    <cfRule type="expression" dxfId="1" priority="242">
      <formula>AND(COUNTIF(G155:BE155,"&lt;&gt;" &amp; "")&gt;0,NOT(ISBLANK(E155)))</formula>
    </cfRule>
  </conditionalFormatting>
  <conditionalFormatting sqref="E156">
    <cfRule type="expression" dxfId="0" priority="243">
      <formula>COUNTIF(G156:BE156,"&lt;&gt;" &amp; "")&gt;0</formula>
    </cfRule>
    <cfRule type="expression" dxfId="1" priority="244">
      <formula>AND(COUNTIF(G156:BE156,"&lt;&gt;" &amp; "")&gt;0,NOT(ISBLANK(E156)))</formula>
    </cfRule>
  </conditionalFormatting>
  <conditionalFormatting sqref="E157">
    <cfRule type="expression" dxfId="0" priority="245">
      <formula>COUNTIF(G157:BE157,"&lt;&gt;" &amp; "")&gt;0</formula>
    </cfRule>
    <cfRule type="expression" dxfId="1" priority="246">
      <formula>AND(COUNTIF(G157:BE157,"&lt;&gt;" &amp; "")&gt;0,NOT(ISBLANK(E157)))</formula>
    </cfRule>
  </conditionalFormatting>
  <conditionalFormatting sqref="E158">
    <cfRule type="expression" dxfId="0" priority="247">
      <formula>COUNTIF(G158:BE158,"&lt;&gt;" &amp; "")&gt;0</formula>
    </cfRule>
    <cfRule type="expression" dxfId="1" priority="248">
      <formula>AND(COUNTIF(G158:BE158,"&lt;&gt;" &amp; "")&gt;0,NOT(ISBLANK(E158)))</formula>
    </cfRule>
  </conditionalFormatting>
  <conditionalFormatting sqref="E159">
    <cfRule type="expression" dxfId="0" priority="249">
      <formula>COUNTIF(G159:BE159,"&lt;&gt;" &amp; "")&gt;0</formula>
    </cfRule>
    <cfRule type="expression" dxfId="1" priority="250">
      <formula>AND(COUNTIF(G159:BE159,"&lt;&gt;" &amp; "")&gt;0,NOT(ISBLANK(E159)))</formula>
    </cfRule>
  </conditionalFormatting>
  <conditionalFormatting sqref="E160">
    <cfRule type="expression" dxfId="0" priority="251">
      <formula>COUNTIF(G160:BE160,"&lt;&gt;" &amp; "")&gt;0</formula>
    </cfRule>
    <cfRule type="expression" dxfId="1" priority="252">
      <formula>AND(COUNTIF(G160:BE160,"&lt;&gt;" &amp; "")&gt;0,NOT(ISBLANK(E160)))</formula>
    </cfRule>
  </conditionalFormatting>
  <conditionalFormatting sqref="E161">
    <cfRule type="expression" dxfId="0" priority="253">
      <formula>COUNTIF(G161:BE161,"&lt;&gt;" &amp; "")&gt;0</formula>
    </cfRule>
    <cfRule type="expression" dxfId="1" priority="254">
      <formula>AND(COUNTIF(G161:BE161,"&lt;&gt;" &amp; "")&gt;0,NOT(ISBLANK(E161)))</formula>
    </cfRule>
  </conditionalFormatting>
  <conditionalFormatting sqref="E162">
    <cfRule type="expression" dxfId="0" priority="255">
      <formula>COUNTIF(G162:BE162,"&lt;&gt;" &amp; "")&gt;0</formula>
    </cfRule>
    <cfRule type="expression" dxfId="1" priority="256">
      <formula>AND(COUNTIF(G162:BE162,"&lt;&gt;" &amp; "")&gt;0,NOT(ISBLANK(E162)))</formula>
    </cfRule>
  </conditionalFormatting>
  <conditionalFormatting sqref="E163">
    <cfRule type="expression" dxfId="0" priority="257">
      <formula>COUNTIF(G163:BE163,"&lt;&gt;" &amp; "")&gt;0</formula>
    </cfRule>
    <cfRule type="expression" dxfId="1" priority="258">
      <formula>AND(COUNTIF(G163:BE163,"&lt;&gt;" &amp; "")&gt;0,NOT(ISBLANK(E163)))</formula>
    </cfRule>
  </conditionalFormatting>
  <conditionalFormatting sqref="E164">
    <cfRule type="expression" dxfId="0" priority="259">
      <formula>COUNTIF(G164:BE164,"&lt;&gt;" &amp; "")&gt;0</formula>
    </cfRule>
    <cfRule type="expression" dxfId="1" priority="260">
      <formula>AND(COUNTIF(G164:BE164,"&lt;&gt;" &amp; "")&gt;0,NOT(ISBLANK(E164)))</formula>
    </cfRule>
  </conditionalFormatting>
  <conditionalFormatting sqref="E165">
    <cfRule type="expression" dxfId="0" priority="261">
      <formula>COUNTIF(G165:BE165,"&lt;&gt;" &amp; "")&gt;0</formula>
    </cfRule>
    <cfRule type="expression" dxfId="1" priority="262">
      <formula>AND(COUNTIF(G165:BE165,"&lt;&gt;" &amp; "")&gt;0,NOT(ISBLANK(E165)))</formula>
    </cfRule>
  </conditionalFormatting>
  <conditionalFormatting sqref="E166">
    <cfRule type="expression" dxfId="0" priority="263">
      <formula>COUNTIF(G166:BE166,"&lt;&gt;" &amp; "")&gt;0</formula>
    </cfRule>
    <cfRule type="expression" dxfId="1" priority="264">
      <formula>AND(COUNTIF(G166:BE166,"&lt;&gt;" &amp; "")&gt;0,NOT(ISBLANK(E166)))</formula>
    </cfRule>
  </conditionalFormatting>
  <conditionalFormatting sqref="E167">
    <cfRule type="expression" dxfId="0" priority="265">
      <formula>COUNTIF(G167:BE167,"&lt;&gt;" &amp; "")&gt;0</formula>
    </cfRule>
    <cfRule type="expression" dxfId="1" priority="266">
      <formula>AND(COUNTIF(G167:BE167,"&lt;&gt;" &amp; "")&gt;0,NOT(ISBLANK(E167)))</formula>
    </cfRule>
  </conditionalFormatting>
  <conditionalFormatting sqref="E168">
    <cfRule type="expression" dxfId="0" priority="267">
      <formula>COUNTIF(G168:BE168,"&lt;&gt;" &amp; "")&gt;0</formula>
    </cfRule>
    <cfRule type="expression" dxfId="1" priority="268">
      <formula>AND(COUNTIF(G168:BE168,"&lt;&gt;" &amp; "")&gt;0,NOT(ISBLANK(E168)))</formula>
    </cfRule>
  </conditionalFormatting>
  <conditionalFormatting sqref="E169">
    <cfRule type="expression" dxfId="0" priority="269">
      <formula>COUNTIF(G169:BE169,"&lt;&gt;" &amp; "")&gt;0</formula>
    </cfRule>
    <cfRule type="expression" dxfId="1" priority="270">
      <formula>AND(COUNTIF(G169:BE169,"&lt;&gt;" &amp; "")&gt;0,NOT(ISBLANK(E169)))</formula>
    </cfRule>
  </conditionalFormatting>
  <conditionalFormatting sqref="E172">
    <cfRule type="expression" dxfId="0" priority="271">
      <formula>COUNTIF(G172:BE172,"&lt;&gt;" &amp; "")&gt;0</formula>
    </cfRule>
    <cfRule type="expression" dxfId="1" priority="272">
      <formula>AND(COUNTIF(G172:BE172,"&lt;&gt;" &amp; "")&gt;0,NOT(ISBLANK(E172)))</formula>
    </cfRule>
  </conditionalFormatting>
  <conditionalFormatting sqref="E173">
    <cfRule type="expression" dxfId="0" priority="273">
      <formula>COUNTIF(G173:BE173,"&lt;&gt;" &amp; "")&gt;0</formula>
    </cfRule>
    <cfRule type="expression" dxfId="1" priority="274">
      <formula>AND(COUNTIF(G173:BE173,"&lt;&gt;" &amp; "")&gt;0,NOT(ISBLANK(E173)))</formula>
    </cfRule>
  </conditionalFormatting>
  <conditionalFormatting sqref="E174">
    <cfRule type="expression" dxfId="0" priority="275">
      <formula>COUNTIF(G174:BE174,"&lt;&gt;" &amp; "")&gt;0</formula>
    </cfRule>
    <cfRule type="expression" dxfId="1" priority="276">
      <formula>AND(COUNTIF(G174:BE174,"&lt;&gt;" &amp; "")&gt;0,NOT(ISBLANK(E174)))</formula>
    </cfRule>
  </conditionalFormatting>
  <conditionalFormatting sqref="E175">
    <cfRule type="expression" dxfId="0" priority="277">
      <formula>COUNTIF(G175:BE175,"&lt;&gt;" &amp; "")&gt;0</formula>
    </cfRule>
    <cfRule type="expression" dxfId="1" priority="278">
      <formula>AND(COUNTIF(G175:BE175,"&lt;&gt;" &amp; "")&gt;0,NOT(ISBLANK(E175)))</formula>
    </cfRule>
  </conditionalFormatting>
  <conditionalFormatting sqref="E176">
    <cfRule type="expression" dxfId="0" priority="279">
      <formula>COUNTIF(G176:BE176,"&lt;&gt;" &amp; "")&gt;0</formula>
    </cfRule>
    <cfRule type="expression" dxfId="1" priority="280">
      <formula>AND(COUNTIF(G176:BE176,"&lt;&gt;" &amp; "")&gt;0,NOT(ISBLANK(E176)))</formula>
    </cfRule>
  </conditionalFormatting>
  <conditionalFormatting sqref="E177">
    <cfRule type="expression" dxfId="0" priority="281">
      <formula>COUNTIF(G177:BE177,"&lt;&gt;" &amp; "")&gt;0</formula>
    </cfRule>
    <cfRule type="expression" dxfId="1" priority="282">
      <formula>AND(COUNTIF(G177:BE177,"&lt;&gt;" &amp; "")&gt;0,NOT(ISBLANK(E177)))</formula>
    </cfRule>
  </conditionalFormatting>
  <conditionalFormatting sqref="E178">
    <cfRule type="expression" dxfId="0" priority="283">
      <formula>COUNTIF(G178:BE178,"&lt;&gt;" &amp; "")&gt;0</formula>
    </cfRule>
    <cfRule type="expression" dxfId="1" priority="284">
      <formula>AND(COUNTIF(G178:BE178,"&lt;&gt;" &amp; "")&gt;0,NOT(ISBLANK(E178)))</formula>
    </cfRule>
  </conditionalFormatting>
  <conditionalFormatting sqref="E179">
    <cfRule type="expression" dxfId="0" priority="285">
      <formula>COUNTIF(G179:BE179,"&lt;&gt;" &amp; "")&gt;0</formula>
    </cfRule>
    <cfRule type="expression" dxfId="1" priority="286">
      <formula>AND(COUNTIF(G179:BE179,"&lt;&gt;" &amp; "")&gt;0,NOT(ISBLANK(E179)))</formula>
    </cfRule>
  </conditionalFormatting>
  <conditionalFormatting sqref="E180">
    <cfRule type="expression" dxfId="0" priority="287">
      <formula>COUNTIF(G180:BE180,"&lt;&gt;" &amp; "")&gt;0</formula>
    </cfRule>
    <cfRule type="expression" dxfId="1" priority="288">
      <formula>AND(COUNTIF(G180:BE180,"&lt;&gt;" &amp; "")&gt;0,NOT(ISBLANK(E180)))</formula>
    </cfRule>
  </conditionalFormatting>
  <conditionalFormatting sqref="E181">
    <cfRule type="expression" dxfId="0" priority="289">
      <formula>COUNTIF(G181:BE181,"&lt;&gt;" &amp; "")&gt;0</formula>
    </cfRule>
    <cfRule type="expression" dxfId="1" priority="290">
      <formula>AND(COUNTIF(G181:BE181,"&lt;&gt;" &amp; "")&gt;0,NOT(ISBLANK(E181)))</formula>
    </cfRule>
  </conditionalFormatting>
  <conditionalFormatting sqref="E182">
    <cfRule type="expression" dxfId="0" priority="291">
      <formula>COUNTIF(G182:BE182,"&lt;&gt;" &amp; "")&gt;0</formula>
    </cfRule>
    <cfRule type="expression" dxfId="1" priority="292">
      <formula>AND(COUNTIF(G182:BE182,"&lt;&gt;" &amp; "")&gt;0,NOT(ISBLANK(E182)))</formula>
    </cfRule>
  </conditionalFormatting>
  <conditionalFormatting sqref="E183">
    <cfRule type="expression" dxfId="0" priority="293">
      <formula>COUNTIF(G183:BE183,"&lt;&gt;" &amp; "")&gt;0</formula>
    </cfRule>
    <cfRule type="expression" dxfId="1" priority="294">
      <formula>AND(COUNTIF(G183:BE183,"&lt;&gt;" &amp; "")&gt;0,NOT(ISBLANK(E183)))</formula>
    </cfRule>
  </conditionalFormatting>
  <conditionalFormatting sqref="E184">
    <cfRule type="expression" dxfId="0" priority="295">
      <formula>COUNTIF(G184:BE184,"&lt;&gt;" &amp; "")&gt;0</formula>
    </cfRule>
    <cfRule type="expression" dxfId="1" priority="296">
      <formula>AND(COUNTIF(G184:BE184,"&lt;&gt;" &amp; "")&gt;0,NOT(ISBLANK(E184)))</formula>
    </cfRule>
  </conditionalFormatting>
  <conditionalFormatting sqref="E185">
    <cfRule type="expression" dxfId="0" priority="297">
      <formula>COUNTIF(G185:BE185,"&lt;&gt;" &amp; "")&gt;0</formula>
    </cfRule>
    <cfRule type="expression" dxfId="1" priority="298">
      <formula>AND(COUNTIF(G185:BE185,"&lt;&gt;" &amp; "")&gt;0,NOT(ISBLANK(E185)))</formula>
    </cfRule>
  </conditionalFormatting>
  <conditionalFormatting sqref="E186">
    <cfRule type="expression" dxfId="0" priority="299">
      <formula>COUNTIF(G186:BE186,"&lt;&gt;" &amp; "")&gt;0</formula>
    </cfRule>
    <cfRule type="expression" dxfId="1" priority="300">
      <formula>AND(COUNTIF(G186:BE186,"&lt;&gt;" &amp; "")&gt;0,NOT(ISBLANK(E186)))</formula>
    </cfRule>
  </conditionalFormatting>
  <conditionalFormatting sqref="E189">
    <cfRule type="expression" dxfId="0" priority="301">
      <formula>COUNTIF(G189:BE189,"&lt;&gt;" &amp; "")&gt;0</formula>
    </cfRule>
    <cfRule type="expression" dxfId="1" priority="302">
      <formula>AND(COUNTIF(G189:BE189,"&lt;&gt;" &amp; "")&gt;0,NOT(ISBLANK(E189)))</formula>
    </cfRule>
  </conditionalFormatting>
  <conditionalFormatting sqref="E19">
    <cfRule type="expression" dxfId="0" priority="1">
      <formula>COUNTIF(G19:BE19,"&lt;&gt;" &amp; "")&gt;0</formula>
    </cfRule>
    <cfRule type="expression" dxfId="1" priority="2">
      <formula>AND(COUNTIF(G19:BE19,"&lt;&gt;" &amp; "")&gt;0,NOT(ISBLANK(E19)))</formula>
    </cfRule>
  </conditionalFormatting>
  <conditionalFormatting sqref="E190">
    <cfRule type="expression" dxfId="0" priority="303">
      <formula>COUNTIF(G190:BE190,"&lt;&gt;" &amp; "")&gt;0</formula>
    </cfRule>
    <cfRule type="expression" dxfId="1" priority="304">
      <formula>AND(COUNTIF(G190:BE190,"&lt;&gt;" &amp; "")&gt;0,NOT(ISBLANK(E190)))</formula>
    </cfRule>
  </conditionalFormatting>
  <conditionalFormatting sqref="E191">
    <cfRule type="expression" dxfId="0" priority="305">
      <formula>COUNTIF(G191:BE191,"&lt;&gt;" &amp; "")&gt;0</formula>
    </cfRule>
    <cfRule type="expression" dxfId="1" priority="306">
      <formula>AND(COUNTIF(G191:BE191,"&lt;&gt;" &amp; "")&gt;0,NOT(ISBLANK(E191)))</formula>
    </cfRule>
  </conditionalFormatting>
  <conditionalFormatting sqref="E192">
    <cfRule type="expression" dxfId="0" priority="307">
      <formula>COUNTIF(G192:BE192,"&lt;&gt;" &amp; "")&gt;0</formula>
    </cfRule>
    <cfRule type="expression" dxfId="1" priority="308">
      <formula>AND(COUNTIF(G192:BE192,"&lt;&gt;" &amp; "")&gt;0,NOT(ISBLANK(E192)))</formula>
    </cfRule>
  </conditionalFormatting>
  <conditionalFormatting sqref="E193">
    <cfRule type="expression" dxfId="0" priority="309">
      <formula>COUNTIF(G193:BE193,"&lt;&gt;" &amp; "")&gt;0</formula>
    </cfRule>
    <cfRule type="expression" dxfId="1" priority="310">
      <formula>AND(COUNTIF(G193:BE193,"&lt;&gt;" &amp; "")&gt;0,NOT(ISBLANK(E193)))</formula>
    </cfRule>
  </conditionalFormatting>
  <conditionalFormatting sqref="E194">
    <cfRule type="expression" dxfId="0" priority="311">
      <formula>COUNTIF(G194:BE194,"&lt;&gt;" &amp; "")&gt;0</formula>
    </cfRule>
    <cfRule type="expression" dxfId="1" priority="312">
      <formula>AND(COUNTIF(G194:BE194,"&lt;&gt;" &amp; "")&gt;0,NOT(ISBLANK(E194)))</formula>
    </cfRule>
  </conditionalFormatting>
  <conditionalFormatting sqref="E195">
    <cfRule type="expression" dxfId="0" priority="313">
      <formula>COUNTIF(G195:BE195,"&lt;&gt;" &amp; "")&gt;0</formula>
    </cfRule>
    <cfRule type="expression" dxfId="1" priority="314">
      <formula>AND(COUNTIF(G195:BE195,"&lt;&gt;" &amp; "")&gt;0,NOT(ISBLANK(E195)))</formula>
    </cfRule>
  </conditionalFormatting>
  <conditionalFormatting sqref="E196">
    <cfRule type="expression" dxfId="0" priority="315">
      <formula>COUNTIF(G196:BE196,"&lt;&gt;" &amp; "")&gt;0</formula>
    </cfRule>
    <cfRule type="expression" dxfId="1" priority="316">
      <formula>AND(COUNTIF(G196:BE196,"&lt;&gt;" &amp; "")&gt;0,NOT(ISBLANK(E196)))</formula>
    </cfRule>
  </conditionalFormatting>
  <conditionalFormatting sqref="E197">
    <cfRule type="expression" dxfId="0" priority="317">
      <formula>COUNTIF(G197:BE197,"&lt;&gt;" &amp; "")&gt;0</formula>
    </cfRule>
    <cfRule type="expression" dxfId="1" priority="318">
      <formula>AND(COUNTIF(G197:BE197,"&lt;&gt;" &amp; "")&gt;0,NOT(ISBLANK(E197)))</formula>
    </cfRule>
  </conditionalFormatting>
  <conditionalFormatting sqref="E198">
    <cfRule type="expression" dxfId="0" priority="319">
      <formula>COUNTIF(G198:BE198,"&lt;&gt;" &amp; "")&gt;0</formula>
    </cfRule>
    <cfRule type="expression" dxfId="1" priority="320">
      <formula>AND(COUNTIF(G198:BE198,"&lt;&gt;" &amp; "")&gt;0,NOT(ISBLANK(E198)))</formula>
    </cfRule>
  </conditionalFormatting>
  <conditionalFormatting sqref="E199">
    <cfRule type="expression" dxfId="0" priority="321">
      <formula>COUNTIF(G199:BE199,"&lt;&gt;" &amp; "")&gt;0</formula>
    </cfRule>
    <cfRule type="expression" dxfId="1" priority="322">
      <formula>AND(COUNTIF(G199:BE199,"&lt;&gt;" &amp; "")&gt;0,NOT(ISBLANK(E199)))</formula>
    </cfRule>
  </conditionalFormatting>
  <conditionalFormatting sqref="E20">
    <cfRule type="expression" dxfId="0" priority="3">
      <formula>COUNTIF(G20:BE20,"&lt;&gt;" &amp; "")&gt;0</formula>
    </cfRule>
    <cfRule type="expression" dxfId="1" priority="4">
      <formula>AND(COUNTIF(G20:BE20,"&lt;&gt;" &amp; "")&gt;0,NOT(ISBLANK(E20)))</formula>
    </cfRule>
  </conditionalFormatting>
  <conditionalFormatting sqref="E200">
    <cfRule type="expression" dxfId="0" priority="323">
      <formula>COUNTIF(G200:BE200,"&lt;&gt;" &amp; "")&gt;0</formula>
    </cfRule>
    <cfRule type="expression" dxfId="1" priority="324">
      <formula>AND(COUNTIF(G200:BE200,"&lt;&gt;" &amp; "")&gt;0,NOT(ISBLANK(E200)))</formula>
    </cfRule>
  </conditionalFormatting>
  <conditionalFormatting sqref="E201">
    <cfRule type="expression" dxfId="0" priority="325">
      <formula>COUNTIF(G201:BE201,"&lt;&gt;" &amp; "")&gt;0</formula>
    </cfRule>
    <cfRule type="expression" dxfId="1" priority="326">
      <formula>AND(COUNTIF(G201:BE201,"&lt;&gt;" &amp; "")&gt;0,NOT(ISBLANK(E201)))</formula>
    </cfRule>
  </conditionalFormatting>
  <conditionalFormatting sqref="E202">
    <cfRule type="expression" dxfId="0" priority="327">
      <formula>COUNTIF(G202:BE202,"&lt;&gt;" &amp; "")&gt;0</formula>
    </cfRule>
    <cfRule type="expression" dxfId="1" priority="328">
      <formula>AND(COUNTIF(G202:BE202,"&lt;&gt;" &amp; "")&gt;0,NOT(ISBLANK(E202)))</formula>
    </cfRule>
  </conditionalFormatting>
  <conditionalFormatting sqref="E203">
    <cfRule type="expression" dxfId="0" priority="329">
      <formula>COUNTIF(G203:BE203,"&lt;&gt;" &amp; "")&gt;0</formula>
    </cfRule>
    <cfRule type="expression" dxfId="1" priority="330">
      <formula>AND(COUNTIF(G203:BE203,"&lt;&gt;" &amp; "")&gt;0,NOT(ISBLANK(E203)))</formula>
    </cfRule>
  </conditionalFormatting>
  <conditionalFormatting sqref="E206">
    <cfRule type="expression" dxfId="0" priority="331">
      <formula>COUNTIF(G206:BE206,"&lt;&gt;" &amp; "")&gt;0</formula>
    </cfRule>
    <cfRule type="expression" dxfId="1" priority="332">
      <formula>AND(COUNTIF(G206:BE206,"&lt;&gt;" &amp; "")&gt;0,NOT(ISBLANK(E206)))</formula>
    </cfRule>
  </conditionalFormatting>
  <conditionalFormatting sqref="E207">
    <cfRule type="expression" dxfId="0" priority="333">
      <formula>COUNTIF(G207:BE207,"&lt;&gt;" &amp; "")&gt;0</formula>
    </cfRule>
    <cfRule type="expression" dxfId="1" priority="334">
      <formula>AND(COUNTIF(G207:BE207,"&lt;&gt;" &amp; "")&gt;0,NOT(ISBLANK(E207)))</formula>
    </cfRule>
  </conditionalFormatting>
  <conditionalFormatting sqref="E208">
    <cfRule type="expression" dxfId="0" priority="335">
      <formula>COUNTIF(G208:BE208,"&lt;&gt;" &amp; "")&gt;0</formula>
    </cfRule>
    <cfRule type="expression" dxfId="1" priority="336">
      <formula>AND(COUNTIF(G208:BE208,"&lt;&gt;" &amp; "")&gt;0,NOT(ISBLANK(E208)))</formula>
    </cfRule>
  </conditionalFormatting>
  <conditionalFormatting sqref="E209">
    <cfRule type="expression" dxfId="0" priority="337">
      <formula>COUNTIF(G209:BE209,"&lt;&gt;" &amp; "")&gt;0</formula>
    </cfRule>
    <cfRule type="expression" dxfId="1" priority="338">
      <formula>AND(COUNTIF(G209:BE209,"&lt;&gt;" &amp; "")&gt;0,NOT(ISBLANK(E209)))</formula>
    </cfRule>
  </conditionalFormatting>
  <conditionalFormatting sqref="E21">
    <cfRule type="expression" dxfId="0" priority="5">
      <formula>COUNTIF(G21:BE21,"&lt;&gt;" &amp; "")&gt;0</formula>
    </cfRule>
    <cfRule type="expression" dxfId="1" priority="6">
      <formula>AND(COUNTIF(G21:BE21,"&lt;&gt;" &amp; "")&gt;0,NOT(ISBLANK(E21)))</formula>
    </cfRule>
  </conditionalFormatting>
  <conditionalFormatting sqref="E210">
    <cfRule type="expression" dxfId="0" priority="339">
      <formula>COUNTIF(G210:BE210,"&lt;&gt;" &amp; "")&gt;0</formula>
    </cfRule>
    <cfRule type="expression" dxfId="1" priority="340">
      <formula>AND(COUNTIF(G210:BE210,"&lt;&gt;" &amp; "")&gt;0,NOT(ISBLANK(E210)))</formula>
    </cfRule>
  </conditionalFormatting>
  <conditionalFormatting sqref="E211">
    <cfRule type="expression" dxfId="0" priority="341">
      <formula>COUNTIF(G211:BE211,"&lt;&gt;" &amp; "")&gt;0</formula>
    </cfRule>
    <cfRule type="expression" dxfId="1" priority="342">
      <formula>AND(COUNTIF(G211:BE211,"&lt;&gt;" &amp; "")&gt;0,NOT(ISBLANK(E211)))</formula>
    </cfRule>
  </conditionalFormatting>
  <conditionalFormatting sqref="E212">
    <cfRule type="expression" dxfId="0" priority="343">
      <formula>COUNTIF(G212:BE212,"&lt;&gt;" &amp; "")&gt;0</formula>
    </cfRule>
    <cfRule type="expression" dxfId="1" priority="344">
      <formula>AND(COUNTIF(G212:BE212,"&lt;&gt;" &amp; "")&gt;0,NOT(ISBLANK(E212)))</formula>
    </cfRule>
  </conditionalFormatting>
  <conditionalFormatting sqref="E213">
    <cfRule type="expression" dxfId="0" priority="345">
      <formula>COUNTIF(G213:BE213,"&lt;&gt;" &amp; "")&gt;0</formula>
    </cfRule>
    <cfRule type="expression" dxfId="1" priority="346">
      <formula>AND(COUNTIF(G213:BE213,"&lt;&gt;" &amp; "")&gt;0,NOT(ISBLANK(E213)))</formula>
    </cfRule>
  </conditionalFormatting>
  <conditionalFormatting sqref="E214">
    <cfRule type="expression" dxfId="0" priority="347">
      <formula>COUNTIF(G214:BE214,"&lt;&gt;" &amp; "")&gt;0</formula>
    </cfRule>
    <cfRule type="expression" dxfId="1" priority="348">
      <formula>AND(COUNTIF(G214:BE214,"&lt;&gt;" &amp; "")&gt;0,NOT(ISBLANK(E214)))</formula>
    </cfRule>
  </conditionalFormatting>
  <conditionalFormatting sqref="E215">
    <cfRule type="expression" dxfId="0" priority="349">
      <formula>COUNTIF(G215:BE215,"&lt;&gt;" &amp; "")&gt;0</formula>
    </cfRule>
    <cfRule type="expression" dxfId="1" priority="350">
      <formula>AND(COUNTIF(G215:BE215,"&lt;&gt;" &amp; "")&gt;0,NOT(ISBLANK(E215)))</formula>
    </cfRule>
  </conditionalFormatting>
  <conditionalFormatting sqref="E216">
    <cfRule type="expression" dxfId="0" priority="351">
      <formula>COUNTIF(G216:BE216,"&lt;&gt;" &amp; "")&gt;0</formula>
    </cfRule>
    <cfRule type="expression" dxfId="1" priority="352">
      <formula>AND(COUNTIF(G216:BE216,"&lt;&gt;" &amp; "")&gt;0,NOT(ISBLANK(E216)))</formula>
    </cfRule>
  </conditionalFormatting>
  <conditionalFormatting sqref="E217">
    <cfRule type="expression" dxfId="0" priority="353">
      <formula>COUNTIF(G217:BE217,"&lt;&gt;" &amp; "")&gt;0</formula>
    </cfRule>
    <cfRule type="expression" dxfId="1" priority="354">
      <formula>AND(COUNTIF(G217:BE217,"&lt;&gt;" &amp; "")&gt;0,NOT(ISBLANK(E217)))</formula>
    </cfRule>
  </conditionalFormatting>
  <conditionalFormatting sqref="E218">
    <cfRule type="expression" dxfId="0" priority="355">
      <formula>COUNTIF(G218:BE218,"&lt;&gt;" &amp; "")&gt;0</formula>
    </cfRule>
    <cfRule type="expression" dxfId="1" priority="356">
      <formula>AND(COUNTIF(G218:BE218,"&lt;&gt;" &amp; "")&gt;0,NOT(ISBLANK(E218)))</formula>
    </cfRule>
  </conditionalFormatting>
  <conditionalFormatting sqref="E219">
    <cfRule type="expression" dxfId="0" priority="357">
      <formula>COUNTIF(G219:BE219,"&lt;&gt;" &amp; "")&gt;0</formula>
    </cfRule>
    <cfRule type="expression" dxfId="1" priority="358">
      <formula>AND(COUNTIF(G219:BE219,"&lt;&gt;" &amp; "")&gt;0,NOT(ISBLANK(E219)))</formula>
    </cfRule>
  </conditionalFormatting>
  <conditionalFormatting sqref="E22">
    <cfRule type="expression" dxfId="0" priority="7">
      <formula>COUNTIF(G22:BE22,"&lt;&gt;" &amp; "")&gt;0</formula>
    </cfRule>
    <cfRule type="expression" dxfId="1" priority="8">
      <formula>AND(COUNTIF(G22:BE22,"&lt;&gt;" &amp; "")&gt;0,NOT(ISBLANK(E22)))</formula>
    </cfRule>
  </conditionalFormatting>
  <conditionalFormatting sqref="E220">
    <cfRule type="expression" dxfId="0" priority="359">
      <formula>COUNTIF(G220:BE220,"&lt;&gt;" &amp; "")&gt;0</formula>
    </cfRule>
    <cfRule type="expression" dxfId="1" priority="360">
      <formula>AND(COUNTIF(G220:BE220,"&lt;&gt;" &amp; "")&gt;0,NOT(ISBLANK(E220)))</formula>
    </cfRule>
  </conditionalFormatting>
  <conditionalFormatting sqref="E223">
    <cfRule type="expression" dxfId="0" priority="361">
      <formula>COUNTIF(G223:BE223,"&lt;&gt;" &amp; "")&gt;0</formula>
    </cfRule>
    <cfRule type="expression" dxfId="1" priority="362">
      <formula>AND(COUNTIF(G223:BE223,"&lt;&gt;" &amp; "")&gt;0,NOT(ISBLANK(E223)))</formula>
    </cfRule>
  </conditionalFormatting>
  <conditionalFormatting sqref="E224">
    <cfRule type="expression" dxfId="0" priority="363">
      <formula>COUNTIF(G224:BE224,"&lt;&gt;" &amp; "")&gt;0</formula>
    </cfRule>
    <cfRule type="expression" dxfId="1" priority="364">
      <formula>AND(COUNTIF(G224:BE224,"&lt;&gt;" &amp; "")&gt;0,NOT(ISBLANK(E224)))</formula>
    </cfRule>
  </conditionalFormatting>
  <conditionalFormatting sqref="E225">
    <cfRule type="expression" dxfId="0" priority="365">
      <formula>COUNTIF(G225:BE225,"&lt;&gt;" &amp; "")&gt;0</formula>
    </cfRule>
    <cfRule type="expression" dxfId="1" priority="366">
      <formula>AND(COUNTIF(G225:BE225,"&lt;&gt;" &amp; "")&gt;0,NOT(ISBLANK(E225)))</formula>
    </cfRule>
  </conditionalFormatting>
  <conditionalFormatting sqref="E226">
    <cfRule type="expression" dxfId="0" priority="367">
      <formula>COUNTIF(G226:BE226,"&lt;&gt;" &amp; "")&gt;0</formula>
    </cfRule>
    <cfRule type="expression" dxfId="1" priority="368">
      <formula>AND(COUNTIF(G226:BE226,"&lt;&gt;" &amp; "")&gt;0,NOT(ISBLANK(E226)))</formula>
    </cfRule>
  </conditionalFormatting>
  <conditionalFormatting sqref="E227">
    <cfRule type="expression" dxfId="0" priority="369">
      <formula>COUNTIF(G227:BE227,"&lt;&gt;" &amp; "")&gt;0</formula>
    </cfRule>
    <cfRule type="expression" dxfId="1" priority="370">
      <formula>AND(COUNTIF(G227:BE227,"&lt;&gt;" &amp; "")&gt;0,NOT(ISBLANK(E227)))</formula>
    </cfRule>
  </conditionalFormatting>
  <conditionalFormatting sqref="E228">
    <cfRule type="expression" dxfId="0" priority="371">
      <formula>COUNTIF(G228:BE228,"&lt;&gt;" &amp; "")&gt;0</formula>
    </cfRule>
    <cfRule type="expression" dxfId="1" priority="372">
      <formula>AND(COUNTIF(G228:BE228,"&lt;&gt;" &amp; "")&gt;0,NOT(ISBLANK(E228)))</formula>
    </cfRule>
  </conditionalFormatting>
  <conditionalFormatting sqref="E229">
    <cfRule type="expression" dxfId="0" priority="373">
      <formula>COUNTIF(G229:BE229,"&lt;&gt;" &amp; "")&gt;0</formula>
    </cfRule>
    <cfRule type="expression" dxfId="1" priority="374">
      <formula>AND(COUNTIF(G229:BE229,"&lt;&gt;" &amp; "")&gt;0,NOT(ISBLANK(E229)))</formula>
    </cfRule>
  </conditionalFormatting>
  <conditionalFormatting sqref="E23">
    <cfRule type="expression" dxfId="0" priority="9">
      <formula>COUNTIF(G23:BE23,"&lt;&gt;" &amp; "")&gt;0</formula>
    </cfRule>
    <cfRule type="expression" dxfId="1" priority="10">
      <formula>AND(COUNTIF(G23:BE23,"&lt;&gt;" &amp; "")&gt;0,NOT(ISBLANK(E23)))</formula>
    </cfRule>
  </conditionalFormatting>
  <conditionalFormatting sqref="E230">
    <cfRule type="expression" dxfId="0" priority="375">
      <formula>COUNTIF(G230:BE230,"&lt;&gt;" &amp; "")&gt;0</formula>
    </cfRule>
    <cfRule type="expression" dxfId="1" priority="376">
      <formula>AND(COUNTIF(G230:BE230,"&lt;&gt;" &amp; "")&gt;0,NOT(ISBLANK(E230)))</formula>
    </cfRule>
  </conditionalFormatting>
  <conditionalFormatting sqref="E231">
    <cfRule type="expression" dxfId="0" priority="377">
      <formula>COUNTIF(G231:BE231,"&lt;&gt;" &amp; "")&gt;0</formula>
    </cfRule>
    <cfRule type="expression" dxfId="1" priority="378">
      <formula>AND(COUNTIF(G231:BE231,"&lt;&gt;" &amp; "")&gt;0,NOT(ISBLANK(E231)))</formula>
    </cfRule>
  </conditionalFormatting>
  <conditionalFormatting sqref="E232">
    <cfRule type="expression" dxfId="0" priority="379">
      <formula>COUNTIF(G232:BE232,"&lt;&gt;" &amp; "")&gt;0</formula>
    </cfRule>
    <cfRule type="expression" dxfId="1" priority="380">
      <formula>AND(COUNTIF(G232:BE232,"&lt;&gt;" &amp; "")&gt;0,NOT(ISBLANK(E232)))</formula>
    </cfRule>
  </conditionalFormatting>
  <conditionalFormatting sqref="E233">
    <cfRule type="expression" dxfId="0" priority="381">
      <formula>COUNTIF(G233:BE233,"&lt;&gt;" &amp; "")&gt;0</formula>
    </cfRule>
    <cfRule type="expression" dxfId="1" priority="382">
      <formula>AND(COUNTIF(G233:BE233,"&lt;&gt;" &amp; "")&gt;0,NOT(ISBLANK(E233)))</formula>
    </cfRule>
  </conditionalFormatting>
  <conditionalFormatting sqref="E234">
    <cfRule type="expression" dxfId="0" priority="383">
      <formula>COUNTIF(G234:BE234,"&lt;&gt;" &amp; "")&gt;0</formula>
    </cfRule>
    <cfRule type="expression" dxfId="1" priority="384">
      <formula>AND(COUNTIF(G234:BE234,"&lt;&gt;" &amp; "")&gt;0,NOT(ISBLANK(E234)))</formula>
    </cfRule>
  </conditionalFormatting>
  <conditionalFormatting sqref="E235">
    <cfRule type="expression" dxfId="0" priority="385">
      <formula>COUNTIF(G235:BE235,"&lt;&gt;" &amp; "")&gt;0</formula>
    </cfRule>
    <cfRule type="expression" dxfId="1" priority="386">
      <formula>AND(COUNTIF(G235:BE235,"&lt;&gt;" &amp; "")&gt;0,NOT(ISBLANK(E235)))</formula>
    </cfRule>
  </conditionalFormatting>
  <conditionalFormatting sqref="E236">
    <cfRule type="expression" dxfId="0" priority="387">
      <formula>COUNTIF(G236:BE236,"&lt;&gt;" &amp; "")&gt;0</formula>
    </cfRule>
    <cfRule type="expression" dxfId="1" priority="388">
      <formula>AND(COUNTIF(G236:BE236,"&lt;&gt;" &amp; "")&gt;0,NOT(ISBLANK(E236)))</formula>
    </cfRule>
  </conditionalFormatting>
  <conditionalFormatting sqref="E237">
    <cfRule type="expression" dxfId="0" priority="389">
      <formula>COUNTIF(G237:BE237,"&lt;&gt;" &amp; "")&gt;0</formula>
    </cfRule>
    <cfRule type="expression" dxfId="1" priority="390">
      <formula>AND(COUNTIF(G237:BE237,"&lt;&gt;" &amp; "")&gt;0,NOT(ISBLANK(E237)))</formula>
    </cfRule>
  </conditionalFormatting>
  <conditionalFormatting sqref="E24">
    <cfRule type="expression" dxfId="0" priority="11">
      <formula>COUNTIF(G24:BE24,"&lt;&gt;" &amp; "")&gt;0</formula>
    </cfRule>
    <cfRule type="expression" dxfId="1" priority="12">
      <formula>AND(COUNTIF(G24:BE24,"&lt;&gt;" &amp; "")&gt;0,NOT(ISBLANK(E24)))</formula>
    </cfRule>
  </conditionalFormatting>
  <conditionalFormatting sqref="E240">
    <cfRule type="expression" dxfId="0" priority="391">
      <formula>COUNTIF(G240:BE240,"&lt;&gt;" &amp; "")&gt;0</formula>
    </cfRule>
    <cfRule type="expression" dxfId="1" priority="392">
      <formula>AND(COUNTIF(G240:BE240,"&lt;&gt;" &amp; "")&gt;0,NOT(ISBLANK(E240)))</formula>
    </cfRule>
  </conditionalFormatting>
  <conditionalFormatting sqref="E241">
    <cfRule type="expression" dxfId="0" priority="393">
      <formula>COUNTIF(G241:BE241,"&lt;&gt;" &amp; "")&gt;0</formula>
    </cfRule>
    <cfRule type="expression" dxfId="1" priority="394">
      <formula>AND(COUNTIF(G241:BE241,"&lt;&gt;" &amp; "")&gt;0,NOT(ISBLANK(E241)))</formula>
    </cfRule>
  </conditionalFormatting>
  <conditionalFormatting sqref="E242">
    <cfRule type="expression" dxfId="0" priority="395">
      <formula>COUNTIF(G242:BE242,"&lt;&gt;" &amp; "")&gt;0</formula>
    </cfRule>
    <cfRule type="expression" dxfId="1" priority="396">
      <formula>AND(COUNTIF(G242:BE242,"&lt;&gt;" &amp; "")&gt;0,NOT(ISBLANK(E242)))</formula>
    </cfRule>
  </conditionalFormatting>
  <conditionalFormatting sqref="E243">
    <cfRule type="expression" dxfId="0" priority="397">
      <formula>COUNTIF(G243:BE243,"&lt;&gt;" &amp; "")&gt;0</formula>
    </cfRule>
    <cfRule type="expression" dxfId="1" priority="398">
      <formula>AND(COUNTIF(G243:BE243,"&lt;&gt;" &amp; "")&gt;0,NOT(ISBLANK(E243)))</formula>
    </cfRule>
  </conditionalFormatting>
  <conditionalFormatting sqref="E244">
    <cfRule type="expression" dxfId="0" priority="399">
      <formula>COUNTIF(G244:BE244,"&lt;&gt;" &amp; "")&gt;0</formula>
    </cfRule>
    <cfRule type="expression" dxfId="1" priority="400">
      <formula>AND(COUNTIF(G244:BE244,"&lt;&gt;" &amp; "")&gt;0,NOT(ISBLANK(E244)))</formula>
    </cfRule>
  </conditionalFormatting>
  <conditionalFormatting sqref="E245">
    <cfRule type="expression" dxfId="0" priority="401">
      <formula>COUNTIF(G245:BE245,"&lt;&gt;" &amp; "")&gt;0</formula>
    </cfRule>
    <cfRule type="expression" dxfId="1" priority="402">
      <formula>AND(COUNTIF(G245:BE245,"&lt;&gt;" &amp; "")&gt;0,NOT(ISBLANK(E245)))</formula>
    </cfRule>
  </conditionalFormatting>
  <conditionalFormatting sqref="E246">
    <cfRule type="expression" dxfId="0" priority="403">
      <formula>COUNTIF(G246:BE246,"&lt;&gt;" &amp; "")&gt;0</formula>
    </cfRule>
    <cfRule type="expression" dxfId="1" priority="404">
      <formula>AND(COUNTIF(G246:BE246,"&lt;&gt;" &amp; "")&gt;0,NOT(ISBLANK(E246)))</formula>
    </cfRule>
  </conditionalFormatting>
  <conditionalFormatting sqref="E247">
    <cfRule type="expression" dxfId="0" priority="405">
      <formula>COUNTIF(G247:BE247,"&lt;&gt;" &amp; "")&gt;0</formula>
    </cfRule>
    <cfRule type="expression" dxfId="1" priority="406">
      <formula>AND(COUNTIF(G247:BE247,"&lt;&gt;" &amp; "")&gt;0,NOT(ISBLANK(E247)))</formula>
    </cfRule>
  </conditionalFormatting>
  <conditionalFormatting sqref="E248">
    <cfRule type="expression" dxfId="0" priority="407">
      <formula>COUNTIF(G248:BE248,"&lt;&gt;" &amp; "")&gt;0</formula>
    </cfRule>
    <cfRule type="expression" dxfId="1" priority="408">
      <formula>AND(COUNTIF(G248:BE248,"&lt;&gt;" &amp; "")&gt;0,NOT(ISBLANK(E248)))</formula>
    </cfRule>
  </conditionalFormatting>
  <conditionalFormatting sqref="E249">
    <cfRule type="expression" dxfId="0" priority="409">
      <formula>COUNTIF(G249:BE249,"&lt;&gt;" &amp; "")&gt;0</formula>
    </cfRule>
    <cfRule type="expression" dxfId="1" priority="410">
      <formula>AND(COUNTIF(G249:BE249,"&lt;&gt;" &amp; "")&gt;0,NOT(ISBLANK(E249)))</formula>
    </cfRule>
  </conditionalFormatting>
  <conditionalFormatting sqref="E25">
    <cfRule type="expression" dxfId="0" priority="13">
      <formula>COUNTIF(G25:BE25,"&lt;&gt;" &amp; "")&gt;0</formula>
    </cfRule>
    <cfRule type="expression" dxfId="1" priority="14">
      <formula>AND(COUNTIF(G25:BE25,"&lt;&gt;" &amp; "")&gt;0,NOT(ISBLANK(E25)))</formula>
    </cfRule>
  </conditionalFormatting>
  <conditionalFormatting sqref="E250">
    <cfRule type="expression" dxfId="0" priority="411">
      <formula>COUNTIF(G250:BE250,"&lt;&gt;" &amp; "")&gt;0</formula>
    </cfRule>
    <cfRule type="expression" dxfId="1" priority="412">
      <formula>AND(COUNTIF(G250:BE250,"&lt;&gt;" &amp; "")&gt;0,NOT(ISBLANK(E250)))</formula>
    </cfRule>
  </conditionalFormatting>
  <conditionalFormatting sqref="E251">
    <cfRule type="expression" dxfId="0" priority="413">
      <formula>COUNTIF(G251:BE251,"&lt;&gt;" &amp; "")&gt;0</formula>
    </cfRule>
    <cfRule type="expression" dxfId="1" priority="414">
      <formula>AND(COUNTIF(G251:BE251,"&lt;&gt;" &amp; "")&gt;0,NOT(ISBLANK(E251)))</formula>
    </cfRule>
  </conditionalFormatting>
  <conditionalFormatting sqref="E252">
    <cfRule type="expression" dxfId="0" priority="415">
      <formula>COUNTIF(G252:BE252,"&lt;&gt;" &amp; "")&gt;0</formula>
    </cfRule>
    <cfRule type="expression" dxfId="1" priority="416">
      <formula>AND(COUNTIF(G252:BE252,"&lt;&gt;" &amp; "")&gt;0,NOT(ISBLANK(E252)))</formula>
    </cfRule>
  </conditionalFormatting>
  <conditionalFormatting sqref="E253">
    <cfRule type="expression" dxfId="0" priority="417">
      <formula>COUNTIF(G253:BE253,"&lt;&gt;" &amp; "")&gt;0</formula>
    </cfRule>
    <cfRule type="expression" dxfId="1" priority="418">
      <formula>AND(COUNTIF(G253:BE253,"&lt;&gt;" &amp; "")&gt;0,NOT(ISBLANK(E253)))</formula>
    </cfRule>
  </conditionalFormatting>
  <conditionalFormatting sqref="E254">
    <cfRule type="expression" dxfId="0" priority="419">
      <formula>COUNTIF(G254:BE254,"&lt;&gt;" &amp; "")&gt;0</formula>
    </cfRule>
    <cfRule type="expression" dxfId="1" priority="420">
      <formula>AND(COUNTIF(G254:BE254,"&lt;&gt;" &amp; "")&gt;0,NOT(ISBLANK(E254)))</formula>
    </cfRule>
  </conditionalFormatting>
  <conditionalFormatting sqref="E257">
    <cfRule type="expression" dxfId="0" priority="421">
      <formula>COUNTIF(G257:BE257,"&lt;&gt;" &amp; "")&gt;0</formula>
    </cfRule>
    <cfRule type="expression" dxfId="1" priority="422">
      <formula>AND(COUNTIF(G257:BE257,"&lt;&gt;" &amp; "")&gt;0,NOT(ISBLANK(E257)))</formula>
    </cfRule>
  </conditionalFormatting>
  <conditionalFormatting sqref="E258">
    <cfRule type="expression" dxfId="0" priority="423">
      <formula>COUNTIF(G258:BE258,"&lt;&gt;" &amp; "")&gt;0</formula>
    </cfRule>
    <cfRule type="expression" dxfId="1" priority="424">
      <formula>AND(COUNTIF(G258:BE258,"&lt;&gt;" &amp; "")&gt;0,NOT(ISBLANK(E258)))</formula>
    </cfRule>
  </conditionalFormatting>
  <conditionalFormatting sqref="E259">
    <cfRule type="expression" dxfId="0" priority="425">
      <formula>COUNTIF(G259:BE259,"&lt;&gt;" &amp; "")&gt;0</formula>
    </cfRule>
    <cfRule type="expression" dxfId="1" priority="426">
      <formula>AND(COUNTIF(G259:BE259,"&lt;&gt;" &amp; "")&gt;0,NOT(ISBLANK(E259)))</formula>
    </cfRule>
  </conditionalFormatting>
  <conditionalFormatting sqref="E26">
    <cfRule type="expression" dxfId="0" priority="15">
      <formula>COUNTIF(G26:BE26,"&lt;&gt;" &amp; "")&gt;0</formula>
    </cfRule>
    <cfRule type="expression" dxfId="1" priority="16">
      <formula>AND(COUNTIF(G26:BE26,"&lt;&gt;" &amp; "")&gt;0,NOT(ISBLANK(E26)))</formula>
    </cfRule>
  </conditionalFormatting>
  <conditionalFormatting sqref="E260">
    <cfRule type="expression" dxfId="0" priority="427">
      <formula>COUNTIF(G260:BE260,"&lt;&gt;" &amp; "")&gt;0</formula>
    </cfRule>
    <cfRule type="expression" dxfId="1" priority="428">
      <formula>AND(COUNTIF(G260:BE260,"&lt;&gt;" &amp; "")&gt;0,NOT(ISBLANK(E260)))</formula>
    </cfRule>
  </conditionalFormatting>
  <conditionalFormatting sqref="E261">
    <cfRule type="expression" dxfId="0" priority="429">
      <formula>COUNTIF(G261:BE261,"&lt;&gt;" &amp; "")&gt;0</formula>
    </cfRule>
    <cfRule type="expression" dxfId="1" priority="430">
      <formula>AND(COUNTIF(G261:BE261,"&lt;&gt;" &amp; "")&gt;0,NOT(ISBLANK(E261)))</formula>
    </cfRule>
  </conditionalFormatting>
  <conditionalFormatting sqref="E262">
    <cfRule type="expression" dxfId="0" priority="431">
      <formula>COUNTIF(G262:BE262,"&lt;&gt;" &amp; "")&gt;0</formula>
    </cfRule>
    <cfRule type="expression" dxfId="1" priority="432">
      <formula>AND(COUNTIF(G262:BE262,"&lt;&gt;" &amp; "")&gt;0,NOT(ISBLANK(E262)))</formula>
    </cfRule>
  </conditionalFormatting>
  <conditionalFormatting sqref="E263">
    <cfRule type="expression" dxfId="0" priority="433">
      <formula>COUNTIF(G263:BE263,"&lt;&gt;" &amp; "")&gt;0</formula>
    </cfRule>
    <cfRule type="expression" dxfId="1" priority="434">
      <formula>AND(COUNTIF(G263:BE263,"&lt;&gt;" &amp; "")&gt;0,NOT(ISBLANK(E263)))</formula>
    </cfRule>
  </conditionalFormatting>
  <conditionalFormatting sqref="E264">
    <cfRule type="expression" dxfId="0" priority="435">
      <formula>COUNTIF(G264:BE264,"&lt;&gt;" &amp; "")&gt;0</formula>
    </cfRule>
    <cfRule type="expression" dxfId="1" priority="436">
      <formula>AND(COUNTIF(G264:BE264,"&lt;&gt;" &amp; "")&gt;0,NOT(ISBLANK(E264)))</formula>
    </cfRule>
  </conditionalFormatting>
  <conditionalFormatting sqref="E265">
    <cfRule type="expression" dxfId="0" priority="437">
      <formula>COUNTIF(G265:BE265,"&lt;&gt;" &amp; "")&gt;0</formula>
    </cfRule>
    <cfRule type="expression" dxfId="1" priority="438">
      <formula>AND(COUNTIF(G265:BE265,"&lt;&gt;" &amp; "")&gt;0,NOT(ISBLANK(E265)))</formula>
    </cfRule>
  </conditionalFormatting>
  <conditionalFormatting sqref="E266">
    <cfRule type="expression" dxfId="0" priority="439">
      <formula>COUNTIF(G266:BE266,"&lt;&gt;" &amp; "")&gt;0</formula>
    </cfRule>
    <cfRule type="expression" dxfId="1" priority="440">
      <formula>AND(COUNTIF(G266:BE266,"&lt;&gt;" &amp; "")&gt;0,NOT(ISBLANK(E266)))</formula>
    </cfRule>
  </conditionalFormatting>
  <conditionalFormatting sqref="E267">
    <cfRule type="expression" dxfId="0" priority="441">
      <formula>COUNTIF(G267:BE267,"&lt;&gt;" &amp; "")&gt;0</formula>
    </cfRule>
    <cfRule type="expression" dxfId="1" priority="442">
      <formula>AND(COUNTIF(G267:BE267,"&lt;&gt;" &amp; "")&gt;0,NOT(ISBLANK(E267)))</formula>
    </cfRule>
  </conditionalFormatting>
  <conditionalFormatting sqref="E268">
    <cfRule type="expression" dxfId="0" priority="443">
      <formula>COUNTIF(G268:BE268,"&lt;&gt;" &amp; "")&gt;0</formula>
    </cfRule>
    <cfRule type="expression" dxfId="1" priority="444">
      <formula>AND(COUNTIF(G268:BE268,"&lt;&gt;" &amp; "")&gt;0,NOT(ISBLANK(E268)))</formula>
    </cfRule>
  </conditionalFormatting>
  <conditionalFormatting sqref="E269">
    <cfRule type="expression" dxfId="0" priority="445">
      <formula>COUNTIF(G269:BE269,"&lt;&gt;" &amp; "")&gt;0</formula>
    </cfRule>
    <cfRule type="expression" dxfId="1" priority="446">
      <formula>AND(COUNTIF(G269:BE269,"&lt;&gt;" &amp; "")&gt;0,NOT(ISBLANK(E269)))</formula>
    </cfRule>
  </conditionalFormatting>
  <conditionalFormatting sqref="E27">
    <cfRule type="expression" dxfId="0" priority="17">
      <formula>COUNTIF(G27:BE27,"&lt;&gt;" &amp; "")&gt;0</formula>
    </cfRule>
    <cfRule type="expression" dxfId="1" priority="18">
      <formula>AND(COUNTIF(G27:BE27,"&lt;&gt;" &amp; "")&gt;0,NOT(ISBLANK(E27)))</formula>
    </cfRule>
  </conditionalFormatting>
  <conditionalFormatting sqref="E270">
    <cfRule type="expression" dxfId="0" priority="447">
      <formula>COUNTIF(G270:BE270,"&lt;&gt;" &amp; "")&gt;0</formula>
    </cfRule>
    <cfRule type="expression" dxfId="1" priority="448">
      <formula>AND(COUNTIF(G270:BE270,"&lt;&gt;" &amp; "")&gt;0,NOT(ISBLANK(E270)))</formula>
    </cfRule>
  </conditionalFormatting>
  <conditionalFormatting sqref="E271">
    <cfRule type="expression" dxfId="0" priority="449">
      <formula>COUNTIF(G271:BE271,"&lt;&gt;" &amp; "")&gt;0</formula>
    </cfRule>
    <cfRule type="expression" dxfId="1" priority="450">
      <formula>AND(COUNTIF(G271:BE271,"&lt;&gt;" &amp; "")&gt;0,NOT(ISBLANK(E271)))</formula>
    </cfRule>
  </conditionalFormatting>
  <conditionalFormatting sqref="E274">
    <cfRule type="expression" dxfId="0" priority="451">
      <formula>COUNTIF(G274:BE274,"&lt;&gt;" &amp; "")&gt;0</formula>
    </cfRule>
    <cfRule type="expression" dxfId="1" priority="452">
      <formula>AND(COUNTIF(G274:BE274,"&lt;&gt;" &amp; "")&gt;0,NOT(ISBLANK(E274)))</formula>
    </cfRule>
  </conditionalFormatting>
  <conditionalFormatting sqref="E275">
    <cfRule type="expression" dxfId="0" priority="453">
      <formula>COUNTIF(G275:BE275,"&lt;&gt;" &amp; "")&gt;0</formula>
    </cfRule>
    <cfRule type="expression" dxfId="1" priority="454">
      <formula>AND(COUNTIF(G275:BE275,"&lt;&gt;" &amp; "")&gt;0,NOT(ISBLANK(E275)))</formula>
    </cfRule>
  </conditionalFormatting>
  <conditionalFormatting sqref="E276">
    <cfRule type="expression" dxfId="0" priority="455">
      <formula>COUNTIF(G276:BE276,"&lt;&gt;" &amp; "")&gt;0</formula>
    </cfRule>
    <cfRule type="expression" dxfId="1" priority="456">
      <formula>AND(COUNTIF(G276:BE276,"&lt;&gt;" &amp; "")&gt;0,NOT(ISBLANK(E276)))</formula>
    </cfRule>
  </conditionalFormatting>
  <conditionalFormatting sqref="E277">
    <cfRule type="expression" dxfId="0" priority="457">
      <formula>COUNTIF(G277:BE277,"&lt;&gt;" &amp; "")&gt;0</formula>
    </cfRule>
    <cfRule type="expression" dxfId="1" priority="458">
      <formula>AND(COUNTIF(G277:BE277,"&lt;&gt;" &amp; "")&gt;0,NOT(ISBLANK(E277)))</formula>
    </cfRule>
  </conditionalFormatting>
  <conditionalFormatting sqref="E278">
    <cfRule type="expression" dxfId="0" priority="459">
      <formula>COUNTIF(G278:BE278,"&lt;&gt;" &amp; "")&gt;0</formula>
    </cfRule>
    <cfRule type="expression" dxfId="1" priority="460">
      <formula>AND(COUNTIF(G278:BE278,"&lt;&gt;" &amp; "")&gt;0,NOT(ISBLANK(E278)))</formula>
    </cfRule>
  </conditionalFormatting>
  <conditionalFormatting sqref="E279">
    <cfRule type="expression" dxfId="0" priority="461">
      <formula>COUNTIF(G279:BE279,"&lt;&gt;" &amp; "")&gt;0</formula>
    </cfRule>
    <cfRule type="expression" dxfId="1" priority="462">
      <formula>AND(COUNTIF(G279:BE279,"&lt;&gt;" &amp; "")&gt;0,NOT(ISBLANK(E279)))</formula>
    </cfRule>
  </conditionalFormatting>
  <conditionalFormatting sqref="E28">
    <cfRule type="expression" dxfId="0" priority="19">
      <formula>COUNTIF(G28:BE28,"&lt;&gt;" &amp; "")&gt;0</formula>
    </cfRule>
    <cfRule type="expression" dxfId="1" priority="20">
      <formula>AND(COUNTIF(G28:BE28,"&lt;&gt;" &amp; "")&gt;0,NOT(ISBLANK(E28)))</formula>
    </cfRule>
  </conditionalFormatting>
  <conditionalFormatting sqref="E280">
    <cfRule type="expression" dxfId="0" priority="463">
      <formula>COUNTIF(G280:BE280,"&lt;&gt;" &amp; "")&gt;0</formula>
    </cfRule>
    <cfRule type="expression" dxfId="1" priority="464">
      <formula>AND(COUNTIF(G280:BE280,"&lt;&gt;" &amp; "")&gt;0,NOT(ISBLANK(E280)))</formula>
    </cfRule>
  </conditionalFormatting>
  <conditionalFormatting sqref="E281">
    <cfRule type="expression" dxfId="0" priority="465">
      <formula>COUNTIF(G281:BE281,"&lt;&gt;" &amp; "")&gt;0</formula>
    </cfRule>
    <cfRule type="expression" dxfId="1" priority="466">
      <formula>AND(COUNTIF(G281:BE281,"&lt;&gt;" &amp; "")&gt;0,NOT(ISBLANK(E281)))</formula>
    </cfRule>
  </conditionalFormatting>
  <conditionalFormatting sqref="E282">
    <cfRule type="expression" dxfId="0" priority="467">
      <formula>COUNTIF(G282:BE282,"&lt;&gt;" &amp; "")&gt;0</formula>
    </cfRule>
    <cfRule type="expression" dxfId="1" priority="468">
      <formula>AND(COUNTIF(G282:BE282,"&lt;&gt;" &amp; "")&gt;0,NOT(ISBLANK(E282)))</formula>
    </cfRule>
  </conditionalFormatting>
  <conditionalFormatting sqref="E283">
    <cfRule type="expression" dxfId="0" priority="469">
      <formula>COUNTIF(G283:BE283,"&lt;&gt;" &amp; "")&gt;0</formula>
    </cfRule>
    <cfRule type="expression" dxfId="1" priority="470">
      <formula>AND(COUNTIF(G283:BE283,"&lt;&gt;" &amp; "")&gt;0,NOT(ISBLANK(E283)))</formula>
    </cfRule>
  </conditionalFormatting>
  <conditionalFormatting sqref="E284">
    <cfRule type="expression" dxfId="0" priority="471">
      <formula>COUNTIF(G284:BE284,"&lt;&gt;" &amp; "")&gt;0</formula>
    </cfRule>
    <cfRule type="expression" dxfId="1" priority="472">
      <formula>AND(COUNTIF(G284:BE284,"&lt;&gt;" &amp; "")&gt;0,NOT(ISBLANK(E284)))</formula>
    </cfRule>
  </conditionalFormatting>
  <conditionalFormatting sqref="E285">
    <cfRule type="expression" dxfId="0" priority="473">
      <formula>COUNTIF(G285:BE285,"&lt;&gt;" &amp; "")&gt;0</formula>
    </cfRule>
    <cfRule type="expression" dxfId="1" priority="474">
      <formula>AND(COUNTIF(G285:BE285,"&lt;&gt;" &amp; "")&gt;0,NOT(ISBLANK(E285)))</formula>
    </cfRule>
  </conditionalFormatting>
  <conditionalFormatting sqref="E286">
    <cfRule type="expression" dxfId="0" priority="475">
      <formula>COUNTIF(G286:BE286,"&lt;&gt;" &amp; "")&gt;0</formula>
    </cfRule>
    <cfRule type="expression" dxfId="1" priority="476">
      <formula>AND(COUNTIF(G286:BE286,"&lt;&gt;" &amp; "")&gt;0,NOT(ISBLANK(E286)))</formula>
    </cfRule>
  </conditionalFormatting>
  <conditionalFormatting sqref="E287">
    <cfRule type="expression" dxfId="0" priority="477">
      <formula>COUNTIF(G287:BE287,"&lt;&gt;" &amp; "")&gt;0</formula>
    </cfRule>
    <cfRule type="expression" dxfId="1" priority="478">
      <formula>AND(COUNTIF(G287:BE287,"&lt;&gt;" &amp; "")&gt;0,NOT(ISBLANK(E287)))</formula>
    </cfRule>
  </conditionalFormatting>
  <conditionalFormatting sqref="E288">
    <cfRule type="expression" dxfId="0" priority="479">
      <formula>COUNTIF(G288:BE288,"&lt;&gt;" &amp; "")&gt;0</formula>
    </cfRule>
    <cfRule type="expression" dxfId="1" priority="480">
      <formula>AND(COUNTIF(G288:BE288,"&lt;&gt;" &amp; "")&gt;0,NOT(ISBLANK(E288)))</formula>
    </cfRule>
  </conditionalFormatting>
  <conditionalFormatting sqref="E29">
    <cfRule type="expression" dxfId="0" priority="21">
      <formula>COUNTIF(G29:BE29,"&lt;&gt;" &amp; "")&gt;0</formula>
    </cfRule>
    <cfRule type="expression" dxfId="1" priority="22">
      <formula>AND(COUNTIF(G29:BE29,"&lt;&gt;" &amp; "")&gt;0,NOT(ISBLANK(E29)))</formula>
    </cfRule>
  </conditionalFormatting>
  <conditionalFormatting sqref="E30">
    <cfRule type="expression" dxfId="0" priority="23">
      <formula>COUNTIF(G30:BE30,"&lt;&gt;" &amp; "")&gt;0</formula>
    </cfRule>
    <cfRule type="expression" dxfId="1" priority="24">
      <formula>AND(COUNTIF(G30:BE30,"&lt;&gt;" &amp; "")&gt;0,NOT(ISBLANK(E30)))</formula>
    </cfRule>
  </conditionalFormatting>
  <conditionalFormatting sqref="E31">
    <cfRule type="expression" dxfId="0" priority="25">
      <formula>COUNTIF(G31:BE31,"&lt;&gt;" &amp; "")&gt;0</formula>
    </cfRule>
    <cfRule type="expression" dxfId="1" priority="26">
      <formula>AND(COUNTIF(G31:BE31,"&lt;&gt;" &amp; "")&gt;0,NOT(ISBLANK(E31)))</formula>
    </cfRule>
  </conditionalFormatting>
  <conditionalFormatting sqref="E32">
    <cfRule type="expression" dxfId="0" priority="27">
      <formula>COUNTIF(G32:BE32,"&lt;&gt;" &amp; "")&gt;0</formula>
    </cfRule>
    <cfRule type="expression" dxfId="1" priority="28">
      <formula>AND(COUNTIF(G32:BE32,"&lt;&gt;" &amp; "")&gt;0,NOT(ISBLANK(E32)))</formula>
    </cfRule>
  </conditionalFormatting>
  <conditionalFormatting sqref="E33">
    <cfRule type="expression" dxfId="0" priority="29">
      <formula>COUNTIF(G33:BE33,"&lt;&gt;" &amp; "")&gt;0</formula>
    </cfRule>
    <cfRule type="expression" dxfId="1" priority="30">
      <formula>AND(COUNTIF(G33:BE33,"&lt;&gt;" &amp; "")&gt;0,NOT(ISBLANK(E33)))</formula>
    </cfRule>
  </conditionalFormatting>
  <conditionalFormatting sqref="E36">
    <cfRule type="expression" dxfId="0" priority="31">
      <formula>COUNTIF(G36:BE36,"&lt;&gt;" &amp; "")&gt;0</formula>
    </cfRule>
    <cfRule type="expression" dxfId="1" priority="32">
      <formula>AND(COUNTIF(G36:BE36,"&lt;&gt;" &amp; "")&gt;0,NOT(ISBLANK(E36)))</formula>
    </cfRule>
  </conditionalFormatting>
  <conditionalFormatting sqref="E37">
    <cfRule type="expression" dxfId="0" priority="33">
      <formula>COUNTIF(G37:BE37,"&lt;&gt;" &amp; "")&gt;0</formula>
    </cfRule>
    <cfRule type="expression" dxfId="1" priority="34">
      <formula>AND(COUNTIF(G37:BE37,"&lt;&gt;" &amp; "")&gt;0,NOT(ISBLANK(E37)))</formula>
    </cfRule>
  </conditionalFormatting>
  <conditionalFormatting sqref="E38">
    <cfRule type="expression" dxfId="0" priority="35">
      <formula>COUNTIF(G38:BE38,"&lt;&gt;" &amp; "")&gt;0</formula>
    </cfRule>
    <cfRule type="expression" dxfId="1" priority="36">
      <formula>AND(COUNTIF(G38:BE38,"&lt;&gt;" &amp; "")&gt;0,NOT(ISBLANK(E38)))</formula>
    </cfRule>
  </conditionalFormatting>
  <conditionalFormatting sqref="E39">
    <cfRule type="expression" dxfId="0" priority="37">
      <formula>COUNTIF(G39:BE39,"&lt;&gt;" &amp; "")&gt;0</formula>
    </cfRule>
    <cfRule type="expression" dxfId="1" priority="38">
      <formula>AND(COUNTIF(G39:BE39,"&lt;&gt;" &amp; "")&gt;0,NOT(ISBLANK(E39)))</formula>
    </cfRule>
  </conditionalFormatting>
  <conditionalFormatting sqref="E40">
    <cfRule type="expression" dxfId="0" priority="39">
      <formula>COUNTIF(G40:BE40,"&lt;&gt;" &amp; "")&gt;0</formula>
    </cfRule>
    <cfRule type="expression" dxfId="1" priority="40">
      <formula>AND(COUNTIF(G40:BE40,"&lt;&gt;" &amp; "")&gt;0,NOT(ISBLANK(E40)))</formula>
    </cfRule>
  </conditionalFormatting>
  <conditionalFormatting sqref="E41">
    <cfRule type="expression" dxfId="0" priority="41">
      <formula>COUNTIF(G41:BE41,"&lt;&gt;" &amp; "")&gt;0</formula>
    </cfRule>
    <cfRule type="expression" dxfId="1" priority="42">
      <formula>AND(COUNTIF(G41:BE41,"&lt;&gt;" &amp; "")&gt;0,NOT(ISBLANK(E41)))</formula>
    </cfRule>
  </conditionalFormatting>
  <conditionalFormatting sqref="E42">
    <cfRule type="expression" dxfId="0" priority="43">
      <formula>COUNTIF(G42:BE42,"&lt;&gt;" &amp; "")&gt;0</formula>
    </cfRule>
    <cfRule type="expression" dxfId="1" priority="44">
      <formula>AND(COUNTIF(G42:BE42,"&lt;&gt;" &amp; "")&gt;0,NOT(ISBLANK(E42)))</formula>
    </cfRule>
  </conditionalFormatting>
  <conditionalFormatting sqref="E43">
    <cfRule type="expression" dxfId="0" priority="45">
      <formula>COUNTIF(G43:BE43,"&lt;&gt;" &amp; "")&gt;0</formula>
    </cfRule>
    <cfRule type="expression" dxfId="1" priority="46">
      <formula>AND(COUNTIF(G43:BE43,"&lt;&gt;" &amp; "")&gt;0,NOT(ISBLANK(E43)))</formula>
    </cfRule>
  </conditionalFormatting>
  <conditionalFormatting sqref="E44">
    <cfRule type="expression" dxfId="0" priority="47">
      <formula>COUNTIF(G44:BE44,"&lt;&gt;" &amp; "")&gt;0</formula>
    </cfRule>
    <cfRule type="expression" dxfId="1" priority="48">
      <formula>AND(COUNTIF(G44:BE44,"&lt;&gt;" &amp; "")&gt;0,NOT(ISBLANK(E44)))</formula>
    </cfRule>
  </conditionalFormatting>
  <conditionalFormatting sqref="E45">
    <cfRule type="expression" dxfId="0" priority="49">
      <formula>COUNTIF(G45:BE45,"&lt;&gt;" &amp; "")&gt;0</formula>
    </cfRule>
    <cfRule type="expression" dxfId="1" priority="50">
      <formula>AND(COUNTIF(G45:BE45,"&lt;&gt;" &amp; "")&gt;0,NOT(ISBLANK(E45)))</formula>
    </cfRule>
  </conditionalFormatting>
  <conditionalFormatting sqref="E46">
    <cfRule type="expression" dxfId="0" priority="51">
      <formula>COUNTIF(G46:BE46,"&lt;&gt;" &amp; "")&gt;0</formula>
    </cfRule>
    <cfRule type="expression" dxfId="1" priority="52">
      <formula>AND(COUNTIF(G46:BE46,"&lt;&gt;" &amp; "")&gt;0,NOT(ISBLANK(E46)))</formula>
    </cfRule>
  </conditionalFormatting>
  <conditionalFormatting sqref="E47">
    <cfRule type="expression" dxfId="0" priority="53">
      <formula>COUNTIF(G47:BE47,"&lt;&gt;" &amp; "")&gt;0</formula>
    </cfRule>
    <cfRule type="expression" dxfId="1" priority="54">
      <formula>AND(COUNTIF(G47:BE47,"&lt;&gt;" &amp; "")&gt;0,NOT(ISBLANK(E47)))</formula>
    </cfRule>
  </conditionalFormatting>
  <conditionalFormatting sqref="E48">
    <cfRule type="expression" dxfId="0" priority="55">
      <formula>COUNTIF(G48:BE48,"&lt;&gt;" &amp; "")&gt;0</formula>
    </cfRule>
    <cfRule type="expression" dxfId="1" priority="56">
      <formula>AND(COUNTIF(G48:BE48,"&lt;&gt;" &amp; "")&gt;0,NOT(ISBLANK(E48)))</formula>
    </cfRule>
  </conditionalFormatting>
  <conditionalFormatting sqref="E49">
    <cfRule type="expression" dxfId="0" priority="57">
      <formula>COUNTIF(G49:BE49,"&lt;&gt;" &amp; "")&gt;0</formula>
    </cfRule>
    <cfRule type="expression" dxfId="1" priority="58">
      <formula>AND(COUNTIF(G49:BE49,"&lt;&gt;" &amp; "")&gt;0,NOT(ISBLANK(E49)))</formula>
    </cfRule>
  </conditionalFormatting>
  <conditionalFormatting sqref="E50">
    <cfRule type="expression" dxfId="0" priority="59">
      <formula>COUNTIF(G50:BE50,"&lt;&gt;" &amp; "")&gt;0</formula>
    </cfRule>
    <cfRule type="expression" dxfId="1" priority="60">
      <formula>AND(COUNTIF(G50:BE50,"&lt;&gt;" &amp; "")&gt;0,NOT(ISBLANK(E50)))</formula>
    </cfRule>
  </conditionalFormatting>
  <conditionalFormatting sqref="E53">
    <cfRule type="expression" dxfId="0" priority="61">
      <formula>COUNTIF(G53:BE53,"&lt;&gt;" &amp; "")&gt;0</formula>
    </cfRule>
    <cfRule type="expression" dxfId="1" priority="62">
      <formula>AND(COUNTIF(G53:BE53,"&lt;&gt;" &amp; "")&gt;0,NOT(ISBLANK(E53)))</formula>
    </cfRule>
  </conditionalFormatting>
  <conditionalFormatting sqref="E54">
    <cfRule type="expression" dxfId="0" priority="63">
      <formula>COUNTIF(G54:BE54,"&lt;&gt;" &amp; "")&gt;0</formula>
    </cfRule>
    <cfRule type="expression" dxfId="1" priority="64">
      <formula>AND(COUNTIF(G54:BE54,"&lt;&gt;" &amp; "")&gt;0,NOT(ISBLANK(E54)))</formula>
    </cfRule>
  </conditionalFormatting>
  <conditionalFormatting sqref="E55">
    <cfRule type="expression" dxfId="0" priority="65">
      <formula>COUNTIF(G55:BE55,"&lt;&gt;" &amp; "")&gt;0</formula>
    </cfRule>
    <cfRule type="expression" dxfId="1" priority="66">
      <formula>AND(COUNTIF(G55:BE55,"&lt;&gt;" &amp; "")&gt;0,NOT(ISBLANK(E55)))</formula>
    </cfRule>
  </conditionalFormatting>
  <conditionalFormatting sqref="E56">
    <cfRule type="expression" dxfId="0" priority="67">
      <formula>COUNTIF(G56:BE56,"&lt;&gt;" &amp; "")&gt;0</formula>
    </cfRule>
    <cfRule type="expression" dxfId="1" priority="68">
      <formula>AND(COUNTIF(G56:BE56,"&lt;&gt;" &amp; "")&gt;0,NOT(ISBLANK(E56)))</formula>
    </cfRule>
  </conditionalFormatting>
  <conditionalFormatting sqref="E57">
    <cfRule type="expression" dxfId="0" priority="69">
      <formula>COUNTIF(G57:BE57,"&lt;&gt;" &amp; "")&gt;0</formula>
    </cfRule>
    <cfRule type="expression" dxfId="1" priority="70">
      <formula>AND(COUNTIF(G57:BE57,"&lt;&gt;" &amp; "")&gt;0,NOT(ISBLANK(E57)))</formula>
    </cfRule>
  </conditionalFormatting>
  <conditionalFormatting sqref="E58">
    <cfRule type="expression" dxfId="0" priority="71">
      <formula>COUNTIF(G58:BE58,"&lt;&gt;" &amp; "")&gt;0</formula>
    </cfRule>
    <cfRule type="expression" dxfId="1" priority="72">
      <formula>AND(COUNTIF(G58:BE58,"&lt;&gt;" &amp; "")&gt;0,NOT(ISBLANK(E58)))</formula>
    </cfRule>
  </conditionalFormatting>
  <conditionalFormatting sqref="E59">
    <cfRule type="expression" dxfId="0" priority="73">
      <formula>COUNTIF(G59:BE59,"&lt;&gt;" &amp; "")&gt;0</formula>
    </cfRule>
    <cfRule type="expression" dxfId="1" priority="74">
      <formula>AND(COUNTIF(G59:BE59,"&lt;&gt;" &amp; "")&gt;0,NOT(ISBLANK(E59)))</formula>
    </cfRule>
  </conditionalFormatting>
  <conditionalFormatting sqref="E60">
    <cfRule type="expression" dxfId="0" priority="75">
      <formula>COUNTIF(G60:BE60,"&lt;&gt;" &amp; "")&gt;0</formula>
    </cfRule>
    <cfRule type="expression" dxfId="1" priority="76">
      <formula>AND(COUNTIF(G60:BE60,"&lt;&gt;" &amp; "")&gt;0,NOT(ISBLANK(E60)))</formula>
    </cfRule>
  </conditionalFormatting>
  <conditionalFormatting sqref="E61">
    <cfRule type="expression" dxfId="0" priority="77">
      <formula>COUNTIF(G61:BE61,"&lt;&gt;" &amp; "")&gt;0</formula>
    </cfRule>
    <cfRule type="expression" dxfId="1" priority="78">
      <formula>AND(COUNTIF(G61:BE61,"&lt;&gt;" &amp; "")&gt;0,NOT(ISBLANK(E61)))</formula>
    </cfRule>
  </conditionalFormatting>
  <conditionalFormatting sqref="E62">
    <cfRule type="expression" dxfId="0" priority="79">
      <formula>COUNTIF(G62:BE62,"&lt;&gt;" &amp; "")&gt;0</formula>
    </cfRule>
    <cfRule type="expression" dxfId="1" priority="80">
      <formula>AND(COUNTIF(G62:BE62,"&lt;&gt;" &amp; "")&gt;0,NOT(ISBLANK(E62)))</formula>
    </cfRule>
  </conditionalFormatting>
  <conditionalFormatting sqref="E63">
    <cfRule type="expression" dxfId="0" priority="81">
      <formula>COUNTIF(G63:BE63,"&lt;&gt;" &amp; "")&gt;0</formula>
    </cfRule>
    <cfRule type="expression" dxfId="1" priority="82">
      <formula>AND(COUNTIF(G63:BE63,"&lt;&gt;" &amp; "")&gt;0,NOT(ISBLANK(E63)))</formula>
    </cfRule>
  </conditionalFormatting>
  <conditionalFormatting sqref="E64">
    <cfRule type="expression" dxfId="0" priority="83">
      <formula>COUNTIF(G64:BE64,"&lt;&gt;" &amp; "")&gt;0</formula>
    </cfRule>
    <cfRule type="expression" dxfId="1" priority="84">
      <formula>AND(COUNTIF(G64:BE64,"&lt;&gt;" &amp; "")&gt;0,NOT(ISBLANK(E64)))</formula>
    </cfRule>
  </conditionalFormatting>
  <conditionalFormatting sqref="E65">
    <cfRule type="expression" dxfId="0" priority="85">
      <formula>COUNTIF(G65:BE65,"&lt;&gt;" &amp; "")&gt;0</formula>
    </cfRule>
    <cfRule type="expression" dxfId="1" priority="86">
      <formula>AND(COUNTIF(G65:BE65,"&lt;&gt;" &amp; "")&gt;0,NOT(ISBLANK(E65)))</formula>
    </cfRule>
  </conditionalFormatting>
  <conditionalFormatting sqref="E66">
    <cfRule type="expression" dxfId="0" priority="87">
      <formula>COUNTIF(G66:BE66,"&lt;&gt;" &amp; "")&gt;0</formula>
    </cfRule>
    <cfRule type="expression" dxfId="1" priority="88">
      <formula>AND(COUNTIF(G66:BE66,"&lt;&gt;" &amp; "")&gt;0,NOT(ISBLANK(E66)))</formula>
    </cfRule>
  </conditionalFormatting>
  <conditionalFormatting sqref="E67">
    <cfRule type="expression" dxfId="0" priority="89">
      <formula>COUNTIF(G67:BE67,"&lt;&gt;" &amp; "")&gt;0</formula>
    </cfRule>
    <cfRule type="expression" dxfId="1" priority="90">
      <formula>AND(COUNTIF(G67:BE67,"&lt;&gt;" &amp; "")&gt;0,NOT(ISBLANK(E67)))</formula>
    </cfRule>
  </conditionalFormatting>
  <conditionalFormatting sqref="E70">
    <cfRule type="expression" dxfId="0" priority="91">
      <formula>COUNTIF(G70:BE70,"&lt;&gt;" &amp; "")&gt;0</formula>
    </cfRule>
    <cfRule type="expression" dxfId="1" priority="92">
      <formula>AND(COUNTIF(G70:BE70,"&lt;&gt;" &amp; "")&gt;0,NOT(ISBLANK(E70)))</formula>
    </cfRule>
  </conditionalFormatting>
  <conditionalFormatting sqref="E71">
    <cfRule type="expression" dxfId="0" priority="93">
      <formula>COUNTIF(G71:BE71,"&lt;&gt;" &amp; "")&gt;0</formula>
    </cfRule>
    <cfRule type="expression" dxfId="1" priority="94">
      <formula>AND(COUNTIF(G71:BE71,"&lt;&gt;" &amp; "")&gt;0,NOT(ISBLANK(E71)))</formula>
    </cfRule>
  </conditionalFormatting>
  <conditionalFormatting sqref="E72">
    <cfRule type="expression" dxfId="0" priority="95">
      <formula>COUNTIF(G72:BE72,"&lt;&gt;" &amp; "")&gt;0</formula>
    </cfRule>
    <cfRule type="expression" dxfId="1" priority="96">
      <formula>AND(COUNTIF(G72:BE72,"&lt;&gt;" &amp; "")&gt;0,NOT(ISBLANK(E72)))</formula>
    </cfRule>
  </conditionalFormatting>
  <conditionalFormatting sqref="E73">
    <cfRule type="expression" dxfId="0" priority="97">
      <formula>COUNTIF(G73:BE73,"&lt;&gt;" &amp; "")&gt;0</formula>
    </cfRule>
    <cfRule type="expression" dxfId="1" priority="98">
      <formula>AND(COUNTIF(G73:BE73,"&lt;&gt;" &amp; "")&gt;0,NOT(ISBLANK(E73)))</formula>
    </cfRule>
  </conditionalFormatting>
  <conditionalFormatting sqref="E74">
    <cfRule type="expression" dxfId="0" priority="99">
      <formula>COUNTIF(G74:BE74,"&lt;&gt;" &amp; "")&gt;0</formula>
    </cfRule>
    <cfRule type="expression" dxfId="1" priority="100">
      <formula>AND(COUNTIF(G74:BE74,"&lt;&gt;" &amp; "")&gt;0,NOT(ISBLANK(E74)))</formula>
    </cfRule>
  </conditionalFormatting>
  <conditionalFormatting sqref="E75">
    <cfRule type="expression" dxfId="0" priority="101">
      <formula>COUNTIF(G75:BE75,"&lt;&gt;" &amp; "")&gt;0</formula>
    </cfRule>
    <cfRule type="expression" dxfId="1" priority="102">
      <formula>AND(COUNTIF(G75:BE75,"&lt;&gt;" &amp; "")&gt;0,NOT(ISBLANK(E75)))</formula>
    </cfRule>
  </conditionalFormatting>
  <conditionalFormatting sqref="E76">
    <cfRule type="expression" dxfId="0" priority="103">
      <formula>COUNTIF(G76:BE76,"&lt;&gt;" &amp; "")&gt;0</formula>
    </cfRule>
    <cfRule type="expression" dxfId="1" priority="104">
      <formula>AND(COUNTIF(G76:BE76,"&lt;&gt;" &amp; "")&gt;0,NOT(ISBLANK(E76)))</formula>
    </cfRule>
  </conditionalFormatting>
  <conditionalFormatting sqref="E77">
    <cfRule type="expression" dxfId="0" priority="105">
      <formula>COUNTIF(G77:BE77,"&lt;&gt;" &amp; "")&gt;0</formula>
    </cfRule>
    <cfRule type="expression" dxfId="1" priority="106">
      <formula>AND(COUNTIF(G77:BE77,"&lt;&gt;" &amp; "")&gt;0,NOT(ISBLANK(E77)))</formula>
    </cfRule>
  </conditionalFormatting>
  <conditionalFormatting sqref="E78">
    <cfRule type="expression" dxfId="0" priority="107">
      <formula>COUNTIF(G78:BE78,"&lt;&gt;" &amp; "")&gt;0</formula>
    </cfRule>
    <cfRule type="expression" dxfId="1" priority="108">
      <formula>AND(COUNTIF(G78:BE78,"&lt;&gt;" &amp; "")&gt;0,NOT(ISBLANK(E78)))</formula>
    </cfRule>
  </conditionalFormatting>
  <conditionalFormatting sqref="E79">
    <cfRule type="expression" dxfId="0" priority="109">
      <formula>COUNTIF(G79:BE79,"&lt;&gt;" &amp; "")&gt;0</formula>
    </cfRule>
    <cfRule type="expression" dxfId="1" priority="110">
      <formula>AND(COUNTIF(G79:BE79,"&lt;&gt;" &amp; "")&gt;0,NOT(ISBLANK(E79)))</formula>
    </cfRule>
  </conditionalFormatting>
  <conditionalFormatting sqref="E80">
    <cfRule type="expression" dxfId="0" priority="111">
      <formula>COUNTIF(G80:BE80,"&lt;&gt;" &amp; "")&gt;0</formula>
    </cfRule>
    <cfRule type="expression" dxfId="1" priority="112">
      <formula>AND(COUNTIF(G80:BE80,"&lt;&gt;" &amp; "")&gt;0,NOT(ISBLANK(E80)))</formula>
    </cfRule>
  </conditionalFormatting>
  <conditionalFormatting sqref="E81">
    <cfRule type="expression" dxfId="0" priority="113">
      <formula>COUNTIF(G81:BE81,"&lt;&gt;" &amp; "")&gt;0</formula>
    </cfRule>
    <cfRule type="expression" dxfId="1" priority="114">
      <formula>AND(COUNTIF(G81:BE81,"&lt;&gt;" &amp; "")&gt;0,NOT(ISBLANK(E81)))</formula>
    </cfRule>
  </conditionalFormatting>
  <conditionalFormatting sqref="E82">
    <cfRule type="expression" dxfId="0" priority="115">
      <formula>COUNTIF(G82:BE82,"&lt;&gt;" &amp; "")&gt;0</formula>
    </cfRule>
    <cfRule type="expression" dxfId="1" priority="116">
      <formula>AND(COUNTIF(G82:BE82,"&lt;&gt;" &amp; "")&gt;0,NOT(ISBLANK(E82)))</formula>
    </cfRule>
  </conditionalFormatting>
  <conditionalFormatting sqref="E83">
    <cfRule type="expression" dxfId="0" priority="117">
      <formula>COUNTIF(G83:BE83,"&lt;&gt;" &amp; "")&gt;0</formula>
    </cfRule>
    <cfRule type="expression" dxfId="1" priority="118">
      <formula>AND(COUNTIF(G83:BE83,"&lt;&gt;" &amp; "")&gt;0,NOT(ISBLANK(E83)))</formula>
    </cfRule>
  </conditionalFormatting>
  <conditionalFormatting sqref="E84">
    <cfRule type="expression" dxfId="0" priority="119">
      <formula>COUNTIF(G84:BE84,"&lt;&gt;" &amp; "")&gt;0</formula>
    </cfRule>
    <cfRule type="expression" dxfId="1" priority="120">
      <formula>AND(COUNTIF(G84:BE84,"&lt;&gt;" &amp; "")&gt;0,NOT(ISBLANK(E84)))</formula>
    </cfRule>
  </conditionalFormatting>
  <conditionalFormatting sqref="E87">
    <cfRule type="expression" dxfId="0" priority="121">
      <formula>COUNTIF(G87:BE87,"&lt;&gt;" &amp; "")&gt;0</formula>
    </cfRule>
    <cfRule type="expression" dxfId="1" priority="122">
      <formula>AND(COUNTIF(G87:BE87,"&lt;&gt;" &amp; "")&gt;0,NOT(ISBLANK(E87)))</formula>
    </cfRule>
  </conditionalFormatting>
  <conditionalFormatting sqref="E88">
    <cfRule type="expression" dxfId="0" priority="123">
      <formula>COUNTIF(G88:BE88,"&lt;&gt;" &amp; "")&gt;0</formula>
    </cfRule>
    <cfRule type="expression" dxfId="1" priority="124">
      <formula>AND(COUNTIF(G88:BE88,"&lt;&gt;" &amp; "")&gt;0,NOT(ISBLANK(E88)))</formula>
    </cfRule>
  </conditionalFormatting>
  <conditionalFormatting sqref="E89">
    <cfRule type="expression" dxfId="0" priority="125">
      <formula>COUNTIF(G89:BE89,"&lt;&gt;" &amp; "")&gt;0</formula>
    </cfRule>
    <cfRule type="expression" dxfId="1" priority="126">
      <formula>AND(COUNTIF(G89:BE89,"&lt;&gt;" &amp; "")&gt;0,NOT(ISBLANK(E89)))</formula>
    </cfRule>
  </conditionalFormatting>
  <conditionalFormatting sqref="E90">
    <cfRule type="expression" dxfId="0" priority="127">
      <formula>COUNTIF(G90:BE90,"&lt;&gt;" &amp; "")&gt;0</formula>
    </cfRule>
    <cfRule type="expression" dxfId="1" priority="128">
      <formula>AND(COUNTIF(G90:BE90,"&lt;&gt;" &amp; "")&gt;0,NOT(ISBLANK(E90)))</formula>
    </cfRule>
  </conditionalFormatting>
  <conditionalFormatting sqref="E91">
    <cfRule type="expression" dxfId="0" priority="129">
      <formula>COUNTIF(G91:BE91,"&lt;&gt;" &amp; "")&gt;0</formula>
    </cfRule>
    <cfRule type="expression" dxfId="1" priority="130">
      <formula>AND(COUNTIF(G91:BE91,"&lt;&gt;" &amp; "")&gt;0,NOT(ISBLANK(E91)))</formula>
    </cfRule>
  </conditionalFormatting>
  <conditionalFormatting sqref="E92">
    <cfRule type="expression" dxfId="0" priority="131">
      <formula>COUNTIF(G92:BE92,"&lt;&gt;" &amp; "")&gt;0</formula>
    </cfRule>
    <cfRule type="expression" dxfId="1" priority="132">
      <formula>AND(COUNTIF(G92:BE92,"&lt;&gt;" &amp; "")&gt;0,NOT(ISBLANK(E92)))</formula>
    </cfRule>
  </conditionalFormatting>
  <conditionalFormatting sqref="E93">
    <cfRule type="expression" dxfId="0" priority="133">
      <formula>COUNTIF(G93:BE93,"&lt;&gt;" &amp; "")&gt;0</formula>
    </cfRule>
    <cfRule type="expression" dxfId="1" priority="134">
      <formula>AND(COUNTIF(G93:BE93,"&lt;&gt;" &amp; "")&gt;0,NOT(ISBLANK(E93)))</formula>
    </cfRule>
  </conditionalFormatting>
  <conditionalFormatting sqref="E94">
    <cfRule type="expression" dxfId="0" priority="135">
      <formula>COUNTIF(G94:BE94,"&lt;&gt;" &amp; "")&gt;0</formula>
    </cfRule>
    <cfRule type="expression" dxfId="1" priority="136">
      <formula>AND(COUNTIF(G94:BE94,"&lt;&gt;" &amp; "")&gt;0,NOT(ISBLANK(E94)))</formula>
    </cfRule>
  </conditionalFormatting>
  <conditionalFormatting sqref="E95">
    <cfRule type="expression" dxfId="0" priority="137">
      <formula>COUNTIF(G95:BE95,"&lt;&gt;" &amp; "")&gt;0</formula>
    </cfRule>
    <cfRule type="expression" dxfId="1" priority="138">
      <formula>AND(COUNTIF(G95:BE95,"&lt;&gt;" &amp; "")&gt;0,NOT(ISBLANK(E95)))</formula>
    </cfRule>
  </conditionalFormatting>
  <conditionalFormatting sqref="E96">
    <cfRule type="expression" dxfId="0" priority="139">
      <formula>COUNTIF(G96:BE96,"&lt;&gt;" &amp; "")&gt;0</formula>
    </cfRule>
    <cfRule type="expression" dxfId="1" priority="140">
      <formula>AND(COUNTIF(G96:BE96,"&lt;&gt;" &amp; "")&gt;0,NOT(ISBLANK(E96)))</formula>
    </cfRule>
  </conditionalFormatting>
  <conditionalFormatting sqref="E97">
    <cfRule type="expression" dxfId="0" priority="141">
      <formula>COUNTIF(G97:BE97,"&lt;&gt;" &amp; "")&gt;0</formula>
    </cfRule>
    <cfRule type="expression" dxfId="1" priority="142">
      <formula>AND(COUNTIF(G97:BE97,"&lt;&gt;" &amp; "")&gt;0,NOT(ISBLANK(E97)))</formula>
    </cfRule>
  </conditionalFormatting>
  <conditionalFormatting sqref="E98">
    <cfRule type="expression" dxfId="0" priority="143">
      <formula>COUNTIF(G98:BE98,"&lt;&gt;" &amp; "")&gt;0</formula>
    </cfRule>
    <cfRule type="expression" dxfId="1" priority="144">
      <formula>AND(COUNTIF(G98:BE98,"&lt;&gt;" &amp; "")&gt;0,NOT(ISBLANK(E98)))</formula>
    </cfRule>
  </conditionalFormatting>
  <conditionalFormatting sqref="E99">
    <cfRule type="expression" dxfId="0" priority="145">
      <formula>COUNTIF(G99:BE99,"&lt;&gt;" &amp; "")&gt;0</formula>
    </cfRule>
    <cfRule type="expression" dxfId="1" priority="146">
      <formula>AND(COUNTIF(G99:BE99,"&lt;&gt;" &amp; "")&gt;0,NOT(ISBLANK(E99)))</formula>
    </cfRule>
  </conditionalFormatting>
  <dataValidations count="255">
    <dataValidation type="list" allowBlank="1" showInputMessage="1" showErrorMessage="1" sqref="C2">
      <formula1>"Fraction"</formula1>
    </dataValidation>
    <dataValidation type="list" allowBlank="1" showInputMessage="1" showErrorMessage="1" sqref="C3">
      <formula1>"Fraction"</formula1>
    </dataValidation>
    <dataValidation type="list" allowBlank="1" showInputMessage="1" showErrorMessage="1" sqref="C4">
      <formula1>"Fraction"</formula1>
    </dataValidation>
    <dataValidation type="list" allowBlank="1" showInputMessage="1" showErrorMessage="1" sqref="C5">
      <formula1>"Fraction"</formula1>
    </dataValidation>
    <dataValidation type="list" allowBlank="1" showInputMessage="1" showErrorMessage="1" sqref="C6">
      <formula1>"Fraction"</formula1>
    </dataValidation>
    <dataValidation type="list" allowBlank="1" showInputMessage="1" showErrorMessage="1" sqref="C7">
      <formula1>"Fraction"</formula1>
    </dataValidation>
    <dataValidation type="list" allowBlank="1" showInputMessage="1" showErrorMessage="1" sqref="C8">
      <formula1>"Fraction"</formula1>
    </dataValidation>
    <dataValidation type="list" allowBlank="1" showInputMessage="1" showErrorMessage="1" sqref="C9">
      <formula1>"Fraction"</formula1>
    </dataValidation>
    <dataValidation type="list" allowBlank="1" showInputMessage="1" showErrorMessage="1" sqref="C10">
      <formula1>"Fraction"</formula1>
    </dataValidation>
    <dataValidation type="list" allowBlank="1" showInputMessage="1" showErrorMessage="1" sqref="C11">
      <formula1>"Fraction"</formula1>
    </dataValidation>
    <dataValidation type="list" allowBlank="1" showInputMessage="1" showErrorMessage="1" sqref="C12">
      <formula1>"Fraction"</formula1>
    </dataValidation>
    <dataValidation type="list" allowBlank="1" showInputMessage="1" showErrorMessage="1" sqref="C13">
      <formula1>"Fraction"</formula1>
    </dataValidation>
    <dataValidation type="list" allowBlank="1" showInputMessage="1" showErrorMessage="1" sqref="C14">
      <formula1>"Fraction"</formula1>
    </dataValidation>
    <dataValidation type="list" allowBlank="1" showInputMessage="1" showErrorMessage="1" sqref="C15">
      <formula1>"Fraction"</formula1>
    </dataValidation>
    <dataValidation type="list" allowBlank="1" showInputMessage="1" showErrorMessage="1" sqref="C16">
      <formula1>"Fraction"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2">
      <formula1>"Number (per year)"</formula1>
    </dataValidation>
    <dataValidation type="list" allowBlank="1" showInputMessage="1" showErrorMessage="1" sqref="C33">
      <formula1>"Number (per year)"</formula1>
    </dataValidation>
    <dataValidation type="list" allowBlank="1" showInputMessage="1" showErrorMessage="1" sqref="C36">
      <formula1>"Number (per year)"</formula1>
    </dataValidation>
    <dataValidation type="list" allowBlank="1" showInputMessage="1" showErrorMessage="1" sqref="C37">
      <formula1>"Number (per year)"</formula1>
    </dataValidation>
    <dataValidation type="list" allowBlank="1" showInputMessage="1" showErrorMessage="1" sqref="C38">
      <formula1>"Number (per year)"</formula1>
    </dataValidation>
    <dataValidation type="list" allowBlank="1" showInputMessage="1" showErrorMessage="1" sqref="C39">
      <formula1>"Number (per year)"</formula1>
    </dataValidation>
    <dataValidation type="list" allowBlank="1" showInputMessage="1" showErrorMessage="1" sqref="C40">
      <formula1>"Number (per year)"</formula1>
    </dataValidation>
    <dataValidation type="list" allowBlank="1" showInputMessage="1" showErrorMessage="1" sqref="C41">
      <formula1>"Number (per year)"</formula1>
    </dataValidation>
    <dataValidation type="list" allowBlank="1" showInputMessage="1" showErrorMessage="1" sqref="C42">
      <formula1>"Number (per year)"</formula1>
    </dataValidation>
    <dataValidation type="list" allowBlank="1" showInputMessage="1" showErrorMessage="1" sqref="C43">
      <formula1>"Number (per year)"</formula1>
    </dataValidation>
    <dataValidation type="list" allowBlank="1" showInputMessage="1" showErrorMessage="1" sqref="C44">
      <formula1>"Number (per year)"</formula1>
    </dataValidation>
    <dataValidation type="list" allowBlank="1" showInputMessage="1" showErrorMessage="1" sqref="C45">
      <formula1>"Number (per year)"</formula1>
    </dataValidation>
    <dataValidation type="list" allowBlank="1" showInputMessage="1" showErrorMessage="1" sqref="C46">
      <formula1>"Number (per year)"</formula1>
    </dataValidation>
    <dataValidation type="list" allowBlank="1" showInputMessage="1" showErrorMessage="1" sqref="C47">
      <formula1>"Number (per year)"</formula1>
    </dataValidation>
    <dataValidation type="list" allowBlank="1" showInputMessage="1" showErrorMessage="1" sqref="C48">
      <formula1>"Number (per year)"</formula1>
    </dataValidation>
    <dataValidation type="list" allowBlank="1" showInputMessage="1" showErrorMessage="1" sqref="C49">
      <formula1>"Number (per year)"</formula1>
    </dataValidation>
    <dataValidation type="list" allowBlank="1" showInputMessage="1" showErrorMessage="1" sqref="C50">
      <formula1>"Number (per year)"</formula1>
    </dataValidation>
    <dataValidation type="list" allowBlank="1" showInputMessage="1" showErrorMessage="1" sqref="C53">
      <formula1>"Number (per year)"</formula1>
    </dataValidation>
    <dataValidation type="list" allowBlank="1" showInputMessage="1" showErrorMessage="1" sqref="C54">
      <formula1>"Number (per year)"</formula1>
    </dataValidation>
    <dataValidation type="list" allowBlank="1" showInputMessage="1" showErrorMessage="1" sqref="C55">
      <formula1>"Number (per year)"</formula1>
    </dataValidation>
    <dataValidation type="list" allowBlank="1" showInputMessage="1" showErrorMessage="1" sqref="C56">
      <formula1>"Number (per year)"</formula1>
    </dataValidation>
    <dataValidation type="list" allowBlank="1" showInputMessage="1" showErrorMessage="1" sqref="C57">
      <formula1>"Number (per year)"</formula1>
    </dataValidation>
    <dataValidation type="list" allowBlank="1" showInputMessage="1" showErrorMessage="1" sqref="C58">
      <formula1>"Number (per year)"</formula1>
    </dataValidation>
    <dataValidation type="list" allowBlank="1" showInputMessage="1" showErrorMessage="1" sqref="C59">
      <formula1>"Number (per year)"</formula1>
    </dataValidation>
    <dataValidation type="list" allowBlank="1" showInputMessage="1" showErrorMessage="1" sqref="C60">
      <formula1>"Number (per year)"</formula1>
    </dataValidation>
    <dataValidation type="list" allowBlank="1" showInputMessage="1" showErrorMessage="1" sqref="C61">
      <formula1>"Number (per year)"</formula1>
    </dataValidation>
    <dataValidation type="list" allowBlank="1" showInputMessage="1" showErrorMessage="1" sqref="C62">
      <formula1>"Number (per year)"</formula1>
    </dataValidation>
    <dataValidation type="list" allowBlank="1" showInputMessage="1" showErrorMessage="1" sqref="C63">
      <formula1>"Number (per year)"</formula1>
    </dataValidation>
    <dataValidation type="list" allowBlank="1" showInputMessage="1" showErrorMessage="1" sqref="C64">
      <formula1>"Number (per year)"</formula1>
    </dataValidation>
    <dataValidation type="list" allowBlank="1" showInputMessage="1" showErrorMessage="1" sqref="C65">
      <formula1>"Number (per year)"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0">
      <formula1>"Number (per year)"</formula1>
    </dataValidation>
    <dataValidation type="list" allowBlank="1" showInputMessage="1" showErrorMessage="1" sqref="C81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  <dataValidation type="list" allowBlank="1" showInputMessage="1" showErrorMessage="1" sqref="C96">
      <formula1>"Number (per year)"</formula1>
    </dataValidation>
    <dataValidation type="list" allowBlank="1" showInputMessage="1" showErrorMessage="1" sqref="C97">
      <formula1>"Number (per year)"</formula1>
    </dataValidation>
    <dataValidation type="list" allowBlank="1" showInputMessage="1" showErrorMessage="1" sqref="C98">
      <formula1>"Number (per year)"</formula1>
    </dataValidation>
    <dataValidation type="list" allowBlank="1" showInputMessage="1" showErrorMessage="1" sqref="C99">
      <formula1>"Number (per year)"</formula1>
    </dataValidation>
    <dataValidation type="list" allowBlank="1" showInputMessage="1" showErrorMessage="1" sqref="C100">
      <formula1>"Number (per year)"</formula1>
    </dataValidation>
    <dataValidation type="list" allowBlank="1" showInputMessage="1" showErrorMessage="1" sqref="C101">
      <formula1>"Number (per year)"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9">
      <formula1>"Number (per year)"</formula1>
    </dataValidation>
    <dataValidation type="list" allowBlank="1" showInputMessage="1" showErrorMessage="1" sqref="C190">
      <formula1>"Number (per year)"</formula1>
    </dataValidation>
    <dataValidation type="list" allowBlank="1" showInputMessage="1" showErrorMessage="1" sqref="C191">
      <formula1>"Number (per year)"</formula1>
    </dataValidation>
    <dataValidation type="list" allowBlank="1" showInputMessage="1" showErrorMessage="1" sqref="C192">
      <formula1>"Number (per year)"</formula1>
    </dataValidation>
    <dataValidation type="list" allowBlank="1" showInputMessage="1" showErrorMessage="1" sqref="C193">
      <formula1>"Number (per year)"</formula1>
    </dataValidation>
    <dataValidation type="list" allowBlank="1" showInputMessage="1" showErrorMessage="1" sqref="C194">
      <formula1>"Number (per year)"</formula1>
    </dataValidation>
    <dataValidation type="list" allowBlank="1" showInputMessage="1" showErrorMessage="1" sqref="C195">
      <formula1>"Number (per year)"</formula1>
    </dataValidation>
    <dataValidation type="list" allowBlank="1" showInputMessage="1" showErrorMessage="1" sqref="C196">
      <formula1>"Number (per year)"</formula1>
    </dataValidation>
    <dataValidation type="list" allowBlank="1" showInputMessage="1" showErrorMessage="1" sqref="C197">
      <formula1>"Number (per year)"</formula1>
    </dataValidation>
    <dataValidation type="list" allowBlank="1" showInputMessage="1" showErrorMessage="1" sqref="C198">
      <formula1>"Number (per year)"</formula1>
    </dataValidation>
    <dataValidation type="list" allowBlank="1" showInputMessage="1" showErrorMessage="1" sqref="C199">
      <formula1>"Number (per year)"</formula1>
    </dataValidation>
    <dataValidation type="list" allowBlank="1" showInputMessage="1" showErrorMessage="1" sqref="C200">
      <formula1>"Number (per year)"</formula1>
    </dataValidation>
    <dataValidation type="list" allowBlank="1" showInputMessage="1" showErrorMessage="1" sqref="C201">
      <formula1>"Number (per year)"</formula1>
    </dataValidation>
    <dataValidation type="list" allowBlank="1" showInputMessage="1" showErrorMessage="1" sqref="C202">
      <formula1>"Number (per year)"</formula1>
    </dataValidation>
    <dataValidation type="list" allowBlank="1" showInputMessage="1" showErrorMessage="1" sqref="C203">
      <formula1>"Number (per year)"</formula1>
    </dataValidation>
    <dataValidation type="list" allowBlank="1" showInputMessage="1" showErrorMessage="1" sqref="C206">
      <formula1>"Number (per year)"</formula1>
    </dataValidation>
    <dataValidation type="list" allowBlank="1" showInputMessage="1" showErrorMessage="1" sqref="C207">
      <formula1>"Number (per year)"</formula1>
    </dataValidation>
    <dataValidation type="list" allowBlank="1" showInputMessage="1" showErrorMessage="1" sqref="C208">
      <formula1>"Number (per year)"</formula1>
    </dataValidation>
    <dataValidation type="list" allowBlank="1" showInputMessage="1" showErrorMessage="1" sqref="C209">
      <formula1>"Number (per year)"</formula1>
    </dataValidation>
    <dataValidation type="list" allowBlank="1" showInputMessage="1" showErrorMessage="1" sqref="C210">
      <formula1>"Number (per year)"</formula1>
    </dataValidation>
    <dataValidation type="list" allowBlank="1" showInputMessage="1" showErrorMessage="1" sqref="C211">
      <formula1>"Number (per year)"</formula1>
    </dataValidation>
    <dataValidation type="list" allowBlank="1" showInputMessage="1" showErrorMessage="1" sqref="C212">
      <formula1>"Number (per year)"</formula1>
    </dataValidation>
    <dataValidation type="list" allowBlank="1" showInputMessage="1" showErrorMessage="1" sqref="C213">
      <formula1>"Number (per year)"</formula1>
    </dataValidation>
    <dataValidation type="list" allowBlank="1" showInputMessage="1" showErrorMessage="1" sqref="C214">
      <formula1>"Number (per year)"</formula1>
    </dataValidation>
    <dataValidation type="list" allowBlank="1" showInputMessage="1" showErrorMessage="1" sqref="C215">
      <formula1>"Number (per year)"</formula1>
    </dataValidation>
    <dataValidation type="list" allowBlank="1" showInputMessage="1" showErrorMessage="1" sqref="C216">
      <formula1>"Number (per year)"</formula1>
    </dataValidation>
    <dataValidation type="list" allowBlank="1" showInputMessage="1" showErrorMessage="1" sqref="C217">
      <formula1>"Number (per year)"</formula1>
    </dataValidation>
    <dataValidation type="list" allowBlank="1" showInputMessage="1" showErrorMessage="1" sqref="C218">
      <formula1>"Number (per year)"</formula1>
    </dataValidation>
    <dataValidation type="list" allowBlank="1" showInputMessage="1" showErrorMessage="1" sqref="C219">
      <formula1>"Number (per year)"</formula1>
    </dataValidation>
    <dataValidation type="list" allowBlank="1" showInputMessage="1" showErrorMessage="1" sqref="C220">
      <formula1>"Number (per year)"</formula1>
    </dataValidation>
    <dataValidation type="list" allowBlank="1" showInputMessage="1" showErrorMessage="1" sqref="C223">
      <formula1>"Number (per year)"</formula1>
    </dataValidation>
    <dataValidation type="list" allowBlank="1" showInputMessage="1" showErrorMessage="1" sqref="C224">
      <formula1>"Number (per year)"</formula1>
    </dataValidation>
    <dataValidation type="list" allowBlank="1" showInputMessage="1" showErrorMessage="1" sqref="C225">
      <formula1>"Number (per year)"</formula1>
    </dataValidation>
    <dataValidation type="list" allowBlank="1" showInputMessage="1" showErrorMessage="1" sqref="C226">
      <formula1>"Number (per year)"</formula1>
    </dataValidation>
    <dataValidation type="list" allowBlank="1" showInputMessage="1" showErrorMessage="1" sqref="C227">
      <formula1>"Number (per year)"</formula1>
    </dataValidation>
    <dataValidation type="list" allowBlank="1" showInputMessage="1" showErrorMessage="1" sqref="C228">
      <formula1>"Number (per year)"</formula1>
    </dataValidation>
    <dataValidation type="list" allowBlank="1" showInputMessage="1" showErrorMessage="1" sqref="C229">
      <formula1>"Number (per year)"</formula1>
    </dataValidation>
    <dataValidation type="list" allowBlank="1" showInputMessage="1" showErrorMessage="1" sqref="C230">
      <formula1>"Number (per year)"</formula1>
    </dataValidation>
    <dataValidation type="list" allowBlank="1" showInputMessage="1" showErrorMessage="1" sqref="C231">
      <formula1>"Number (per year)"</formula1>
    </dataValidation>
    <dataValidation type="list" allowBlank="1" showInputMessage="1" showErrorMessage="1" sqref="C232">
      <formula1>"Number (per year)"</formula1>
    </dataValidation>
    <dataValidation type="list" allowBlank="1" showInputMessage="1" showErrorMessage="1" sqref="C233">
      <formula1>"Number (per year)"</formula1>
    </dataValidation>
    <dataValidation type="list" allowBlank="1" showInputMessage="1" showErrorMessage="1" sqref="C234">
      <formula1>"Number (per year)"</formula1>
    </dataValidation>
    <dataValidation type="list" allowBlank="1" showInputMessage="1" showErrorMessage="1" sqref="C235">
      <formula1>"Number (per year)"</formula1>
    </dataValidation>
    <dataValidation type="list" allowBlank="1" showInputMessage="1" showErrorMessage="1" sqref="C236">
      <formula1>"Number (per year)"</formula1>
    </dataValidation>
    <dataValidation type="list" allowBlank="1" showInputMessage="1" showErrorMessage="1" sqref="C237">
      <formula1>"Number (per year)"</formula1>
    </dataValidation>
    <dataValidation type="list" allowBlank="1" showInputMessage="1" showErrorMessage="1" sqref="C240">
      <formula1>"Number (per year)"</formula1>
    </dataValidation>
    <dataValidation type="list" allowBlank="1" showInputMessage="1" showErrorMessage="1" sqref="C241">
      <formula1>"Number (per year)"</formula1>
    </dataValidation>
    <dataValidation type="list" allowBlank="1" showInputMessage="1" showErrorMessage="1" sqref="C242">
      <formula1>"Number (per year)"</formula1>
    </dataValidation>
    <dataValidation type="list" allowBlank="1" showInputMessage="1" showErrorMessage="1" sqref="C243">
      <formula1>"Number (per year)"</formula1>
    </dataValidation>
    <dataValidation type="list" allowBlank="1" showInputMessage="1" showErrorMessage="1" sqref="C244">
      <formula1>"Number (per year)"</formula1>
    </dataValidation>
    <dataValidation type="list" allowBlank="1" showInputMessage="1" showErrorMessage="1" sqref="C245">
      <formula1>"Number (per year)"</formula1>
    </dataValidation>
    <dataValidation type="list" allowBlank="1" showInputMessage="1" showErrorMessage="1" sqref="C246">
      <formula1>"Number (per year)"</formula1>
    </dataValidation>
    <dataValidation type="list" allowBlank="1" showInputMessage="1" showErrorMessage="1" sqref="C247">
      <formula1>"Number (per year)"</formula1>
    </dataValidation>
    <dataValidation type="list" allowBlank="1" showInputMessage="1" showErrorMessage="1" sqref="C248">
      <formula1>"Number (per year)"</formula1>
    </dataValidation>
    <dataValidation type="list" allowBlank="1" showInputMessage="1" showErrorMessage="1" sqref="C249">
      <formula1>"Number (per year)"</formula1>
    </dataValidation>
    <dataValidation type="list" allowBlank="1" showInputMessage="1" showErrorMessage="1" sqref="C250">
      <formula1>"Number (per year)"</formula1>
    </dataValidation>
    <dataValidation type="list" allowBlank="1" showInputMessage="1" showErrorMessage="1" sqref="C251">
      <formula1>"Number (per year)"</formula1>
    </dataValidation>
    <dataValidation type="list" allowBlank="1" showInputMessage="1" showErrorMessage="1" sqref="C252">
      <formula1>"Number (per year)"</formula1>
    </dataValidation>
    <dataValidation type="list" allowBlank="1" showInputMessage="1" showErrorMessage="1" sqref="C253">
      <formula1>"Number (per year)"</formula1>
    </dataValidation>
    <dataValidation type="list" allowBlank="1" showInputMessage="1" showErrorMessage="1" sqref="C254">
      <formula1>"Number (per year)"</formula1>
    </dataValidation>
    <dataValidation type="list" allowBlank="1" showInputMessage="1" showErrorMessage="1" sqref="C257">
      <formula1>"Number (per year)"</formula1>
    </dataValidation>
    <dataValidation type="list" allowBlank="1" showInputMessage="1" showErrorMessage="1" sqref="C258">
      <formula1>"Number (per year)"</formula1>
    </dataValidation>
    <dataValidation type="list" allowBlank="1" showInputMessage="1" showErrorMessage="1" sqref="C259">
      <formula1>"Number (per year)"</formula1>
    </dataValidation>
    <dataValidation type="list" allowBlank="1" showInputMessage="1" showErrorMessage="1" sqref="C260">
      <formula1>"Number (per year)"</formula1>
    </dataValidation>
    <dataValidation type="list" allowBlank="1" showInputMessage="1" showErrorMessage="1" sqref="C261">
      <formula1>"Number (per year)"</formula1>
    </dataValidation>
    <dataValidation type="list" allowBlank="1" showInputMessage="1" showErrorMessage="1" sqref="C262">
      <formula1>"Number (per year)"</formula1>
    </dataValidation>
    <dataValidation type="list" allowBlank="1" showInputMessage="1" showErrorMessage="1" sqref="C263">
      <formula1>"Number (per year)"</formula1>
    </dataValidation>
    <dataValidation type="list" allowBlank="1" showInputMessage="1" showErrorMessage="1" sqref="C264">
      <formula1>"Number (per year)"</formula1>
    </dataValidation>
    <dataValidation type="list" allowBlank="1" showInputMessage="1" showErrorMessage="1" sqref="C265">
      <formula1>"Number (per year)"</formula1>
    </dataValidation>
    <dataValidation type="list" allowBlank="1" showInputMessage="1" showErrorMessage="1" sqref="C266">
      <formula1>"Number (per year)"</formula1>
    </dataValidation>
    <dataValidation type="list" allowBlank="1" showInputMessage="1" showErrorMessage="1" sqref="C267">
      <formula1>"Number (per year)"</formula1>
    </dataValidation>
    <dataValidation type="list" allowBlank="1" showInputMessage="1" showErrorMessage="1" sqref="C268">
      <formula1>"Number (per year)"</formula1>
    </dataValidation>
    <dataValidation type="list" allowBlank="1" showInputMessage="1" showErrorMessage="1" sqref="C269">
      <formula1>"Number (per year)"</formula1>
    </dataValidation>
    <dataValidation type="list" allowBlank="1" showInputMessage="1" showErrorMessage="1" sqref="C270">
      <formula1>"Number (per year)"</formula1>
    </dataValidation>
    <dataValidation type="list" allowBlank="1" showInputMessage="1" showErrorMessage="1" sqref="C271">
      <formula1>"Number (per year)"</formula1>
    </dataValidation>
    <dataValidation type="list" allowBlank="1" showInputMessage="1" showErrorMessage="1" sqref="C274">
      <formula1>"Number (per year)"</formula1>
    </dataValidation>
    <dataValidation type="list" allowBlank="1" showInputMessage="1" showErrorMessage="1" sqref="C275">
      <formula1>"Number (per year)"</formula1>
    </dataValidation>
    <dataValidation type="list" allowBlank="1" showInputMessage="1" showErrorMessage="1" sqref="C276">
      <formula1>"Number (per year)"</formula1>
    </dataValidation>
    <dataValidation type="list" allowBlank="1" showInputMessage="1" showErrorMessage="1" sqref="C277">
      <formula1>"Number (per year)"</formula1>
    </dataValidation>
    <dataValidation type="list" allowBlank="1" showInputMessage="1" showErrorMessage="1" sqref="C278">
      <formula1>"Number (per year)"</formula1>
    </dataValidation>
    <dataValidation type="list" allowBlank="1" showInputMessage="1" showErrorMessage="1" sqref="C279">
      <formula1>"Number (per year)"</formula1>
    </dataValidation>
    <dataValidation type="list" allowBlank="1" showInputMessage="1" showErrorMessage="1" sqref="C280">
      <formula1>"Number (per year)"</formula1>
    </dataValidation>
    <dataValidation type="list" allowBlank="1" showInputMessage="1" showErrorMessage="1" sqref="C281">
      <formula1>"Number (per year)"</formula1>
    </dataValidation>
    <dataValidation type="list" allowBlank="1" showInputMessage="1" showErrorMessage="1" sqref="C282">
      <formula1>"Number (per year)"</formula1>
    </dataValidation>
    <dataValidation type="list" allowBlank="1" showInputMessage="1" showErrorMessage="1" sqref="C283">
      <formula1>"Number (per year)"</formula1>
    </dataValidation>
    <dataValidation type="list" allowBlank="1" showInputMessage="1" showErrorMessage="1" sqref="C284">
      <formula1>"Number (per year)"</formula1>
    </dataValidation>
    <dataValidation type="list" allowBlank="1" showInputMessage="1" showErrorMessage="1" sqref="C285">
      <formula1>"Number (per year)"</formula1>
    </dataValidation>
    <dataValidation type="list" allowBlank="1" showInputMessage="1" showErrorMessage="1" sqref="C286">
      <formula1>"Number (per year)"</formula1>
    </dataValidation>
    <dataValidation type="list" allowBlank="1" showInputMessage="1" showErrorMessage="1" sqref="C287">
      <formula1>"Number (per year)"</formula1>
    </dataValidation>
    <dataValidation type="list" allowBlank="1" showInputMessage="1" showErrorMessage="1" sqref="C288">
      <formula1>"Number (per year)"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327"/>
  <sheetViews>
    <sheetView workbookViewId="0"/>
  </sheetViews>
  <sheetFormatPr defaultRowHeight="15"/>
  <cols>
    <col min="1" max="1" width="84.28515625" customWidth="1"/>
    <col min="2" max="2" width="30.28515625" customWidth="1"/>
    <col min="3" max="3" width="8.285156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127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128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34</v>
      </c>
      <c r="D18" s="3"/>
      <c r="E18" s="3">
        <v>0.3317520009375001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34</v>
      </c>
      <c r="D19" s="3"/>
      <c r="E19" s="3">
        <v>0.25183757196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34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34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34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34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34</v>
      </c>
      <c r="D24" s="3"/>
      <c r="E24" s="3">
        <v>428.1812961459839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34</v>
      </c>
      <c r="D25" s="3"/>
      <c r="E25" s="3">
        <v>420.0207541364078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34</v>
      </c>
      <c r="D26" s="3"/>
      <c r="E26" s="3">
        <v>73.10851185632544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34</v>
      </c>
      <c r="D27" s="3"/>
      <c r="E27" s="3">
        <v>89.12475092987086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34</v>
      </c>
      <c r="D28" s="3"/>
      <c r="E28" s="3">
        <v>0.08178036750000001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34</v>
      </c>
      <c r="D29" s="3"/>
      <c r="E29" s="3">
        <v>0.009052817518092534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34</v>
      </c>
      <c r="D30" s="3"/>
      <c r="E30" s="3">
        <v>0.2453411025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34</v>
      </c>
      <c r="D31" s="3"/>
      <c r="E31" s="3">
        <v>0.003515712481907479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129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34</v>
      </c>
      <c r="D34" s="3"/>
      <c r="E34" s="3">
        <v>66.35040018750001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34</v>
      </c>
      <c r="D35" s="3"/>
      <c r="E35" s="3">
        <v>50.367514392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34</v>
      </c>
      <c r="D36" s="3"/>
      <c r="E36" s="3">
        <v>22490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34</v>
      </c>
      <c r="D37" s="3"/>
      <c r="E37" s="3">
        <v>21604.5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34</v>
      </c>
      <c r="D38" s="3"/>
      <c r="E38" s="3">
        <v>17312.5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34</v>
      </c>
      <c r="D39" s="3"/>
      <c r="E39" s="3">
        <v>16633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34</v>
      </c>
      <c r="D40" s="3"/>
      <c r="E40" s="3">
        <v>85636.25922919679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34</v>
      </c>
      <c r="D41" s="3"/>
      <c r="E41" s="3">
        <v>84004.15082728156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34</v>
      </c>
      <c r="D42" s="3"/>
      <c r="E42" s="3">
        <v>14621.70237126509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34</v>
      </c>
      <c r="D43" s="3"/>
      <c r="E43" s="3">
        <v>17824.95018597417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34</v>
      </c>
      <c r="D44" s="3"/>
      <c r="E44" s="3">
        <v>16.3560735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34</v>
      </c>
      <c r="D45" s="3"/>
      <c r="E45" s="3">
        <v>1.810563503618507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34</v>
      </c>
      <c r="D46" s="3"/>
      <c r="E46" s="3">
        <v>49.0682205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34</v>
      </c>
      <c r="D47" s="3"/>
      <c r="E47" s="3">
        <v>0.7031424963814958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130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34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34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34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34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34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34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34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34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34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34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34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34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34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34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131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34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34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34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34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34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34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34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34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34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34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34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34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34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34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132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34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34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34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34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34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34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34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34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34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34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34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34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34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34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133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34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34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34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34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34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34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34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34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34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34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34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34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34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34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134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34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34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34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34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34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34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34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34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34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34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34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34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34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34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135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B130" t="s">
        <v>62</v>
      </c>
      <c r="C130" t="s">
        <v>34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B131" t="s">
        <v>62</v>
      </c>
      <c r="C131" t="s">
        <v>34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B132" t="s">
        <v>62</v>
      </c>
      <c r="C132" t="s">
        <v>34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B133" t="s">
        <v>62</v>
      </c>
      <c r="C133" t="s">
        <v>34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B134" t="s">
        <v>62</v>
      </c>
      <c r="C134" t="s">
        <v>34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B135" t="s">
        <v>62</v>
      </c>
      <c r="C135" t="s">
        <v>34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B136" t="s">
        <v>62</v>
      </c>
      <c r="C136" t="s">
        <v>34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B137" t="s">
        <v>62</v>
      </c>
      <c r="C137" t="s">
        <v>34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B138" t="s">
        <v>62</v>
      </c>
      <c r="C138" t="s">
        <v>34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B139" t="s">
        <v>62</v>
      </c>
      <c r="C139" t="s">
        <v>34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B140" t="s">
        <v>62</v>
      </c>
      <c r="C140" t="s">
        <v>34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B141" t="s">
        <v>62</v>
      </c>
      <c r="C141" t="s">
        <v>34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B142" t="s">
        <v>62</v>
      </c>
      <c r="C142" t="s">
        <v>34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B143" t="s">
        <v>62</v>
      </c>
      <c r="C143" t="s">
        <v>34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136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B146" t="s">
        <v>62</v>
      </c>
      <c r="C146" t="s">
        <v>34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B147" t="s">
        <v>62</v>
      </c>
      <c r="C147" t="s">
        <v>34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B148" t="s">
        <v>62</v>
      </c>
      <c r="C148" t="s">
        <v>34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B149" t="s">
        <v>62</v>
      </c>
      <c r="C149" t="s">
        <v>34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B150" t="s">
        <v>62</v>
      </c>
      <c r="C150" t="s">
        <v>34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B151" t="s">
        <v>62</v>
      </c>
      <c r="C151" t="s">
        <v>34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B152" t="s">
        <v>62</v>
      </c>
      <c r="C152" t="s">
        <v>34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B153" t="s">
        <v>62</v>
      </c>
      <c r="C153" t="s">
        <v>34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B154" t="s">
        <v>62</v>
      </c>
      <c r="C154" t="s">
        <v>34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B155" t="s">
        <v>62</v>
      </c>
      <c r="C155" t="s">
        <v>34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B156" t="s">
        <v>62</v>
      </c>
      <c r="C156" t="s">
        <v>34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B157" t="s">
        <v>62</v>
      </c>
      <c r="C157" t="s">
        <v>34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B158" t="s">
        <v>62</v>
      </c>
      <c r="C158" t="s">
        <v>34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B159" t="s">
        <v>62</v>
      </c>
      <c r="C159" t="s">
        <v>34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137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B162" t="s">
        <v>62</v>
      </c>
      <c r="C162" t="s">
        <v>34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B163" t="s">
        <v>62</v>
      </c>
      <c r="C163" t="s">
        <v>34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B164" t="s">
        <v>62</v>
      </c>
      <c r="C164" t="s">
        <v>34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B165" t="s">
        <v>62</v>
      </c>
      <c r="C165" t="s">
        <v>34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B166" t="s">
        <v>62</v>
      </c>
      <c r="C166" t="s">
        <v>34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B167" t="s">
        <v>62</v>
      </c>
      <c r="C167" t="s">
        <v>34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B168" t="s">
        <v>62</v>
      </c>
      <c r="C168" t="s">
        <v>34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B169" t="s">
        <v>62</v>
      </c>
      <c r="C169" t="s">
        <v>34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B170" t="s">
        <v>62</v>
      </c>
      <c r="C170" t="s">
        <v>34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B171" t="s">
        <v>62</v>
      </c>
      <c r="C171" t="s">
        <v>34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B172" t="s">
        <v>62</v>
      </c>
      <c r="C172" t="s">
        <v>34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B173" t="s">
        <v>62</v>
      </c>
      <c r="C173" t="s">
        <v>34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B174" t="s">
        <v>62</v>
      </c>
      <c r="C174" t="s">
        <v>34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B175" t="s">
        <v>62</v>
      </c>
      <c r="C175" t="s">
        <v>34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138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B178" t="s">
        <v>62</v>
      </c>
      <c r="C178" t="s">
        <v>34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B179" t="s">
        <v>62</v>
      </c>
      <c r="C179" t="s">
        <v>34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B180" t="s">
        <v>62</v>
      </c>
      <c r="C180" t="s">
        <v>34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B181" t="s">
        <v>62</v>
      </c>
      <c r="C181" t="s">
        <v>34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B182" t="s">
        <v>62</v>
      </c>
      <c r="C182" t="s">
        <v>34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B183" t="s">
        <v>62</v>
      </c>
      <c r="C183" t="s">
        <v>34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B184" t="s">
        <v>62</v>
      </c>
      <c r="C184" t="s">
        <v>34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B185" t="s">
        <v>62</v>
      </c>
      <c r="C185" t="s">
        <v>34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B186" t="s">
        <v>62</v>
      </c>
      <c r="C186" t="s">
        <v>34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B187" t="s">
        <v>62</v>
      </c>
      <c r="C187" t="s">
        <v>34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B188" t="s">
        <v>62</v>
      </c>
      <c r="C188" t="s">
        <v>34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B189" t="s">
        <v>62</v>
      </c>
      <c r="C189" t="s">
        <v>34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B190" t="s">
        <v>62</v>
      </c>
      <c r="C190" t="s">
        <v>34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B191" t="s">
        <v>62</v>
      </c>
      <c r="C191" t="s">
        <v>34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139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B194" t="s">
        <v>62</v>
      </c>
      <c r="C194" t="s">
        <v>34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B195" t="s">
        <v>62</v>
      </c>
      <c r="C195" t="s">
        <v>34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B196" t="s">
        <v>62</v>
      </c>
      <c r="C196" t="s">
        <v>34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B197" t="s">
        <v>62</v>
      </c>
      <c r="C197" t="s">
        <v>34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B198" t="s">
        <v>62</v>
      </c>
      <c r="C198" t="s">
        <v>34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B199" t="s">
        <v>62</v>
      </c>
      <c r="C199" t="s">
        <v>34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B200" t="s">
        <v>62</v>
      </c>
      <c r="C200" t="s">
        <v>34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B201" t="s">
        <v>62</v>
      </c>
      <c r="C201" t="s">
        <v>34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B202" t="s">
        <v>62</v>
      </c>
      <c r="C202" t="s">
        <v>34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B203" t="s">
        <v>62</v>
      </c>
      <c r="C203" t="s">
        <v>34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B204" t="s">
        <v>62</v>
      </c>
      <c r="C204" t="s">
        <v>34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B205" t="s">
        <v>62</v>
      </c>
      <c r="C205" t="s">
        <v>34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B206" t="s">
        <v>62</v>
      </c>
      <c r="C206" t="s">
        <v>34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B207" t="s">
        <v>62</v>
      </c>
      <c r="C207" t="s">
        <v>34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140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B210" t="s">
        <v>62</v>
      </c>
      <c r="C210" t="s">
        <v>34</v>
      </c>
      <c r="D210" s="3"/>
      <c r="E210" s="3">
        <v>0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B211" t="s">
        <v>62</v>
      </c>
      <c r="C211" t="s">
        <v>34</v>
      </c>
      <c r="D211" s="3"/>
      <c r="E211" s="3">
        <v>0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B212" t="s">
        <v>62</v>
      </c>
      <c r="C212" t="s">
        <v>34</v>
      </c>
      <c r="D212" s="3"/>
      <c r="E212" s="3">
        <v>0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B213" t="s">
        <v>62</v>
      </c>
      <c r="C213" t="s">
        <v>34</v>
      </c>
      <c r="D213" s="3"/>
      <c r="E213" s="3">
        <v>0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B214" t="s">
        <v>62</v>
      </c>
      <c r="C214" t="s">
        <v>34</v>
      </c>
      <c r="D214" s="3"/>
      <c r="E214" s="3">
        <v>0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B215" t="s">
        <v>62</v>
      </c>
      <c r="C215" t="s">
        <v>34</v>
      </c>
      <c r="D215" s="3"/>
      <c r="E215" s="3">
        <v>0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B216" t="s">
        <v>62</v>
      </c>
      <c r="C216" t="s">
        <v>34</v>
      </c>
      <c r="D216" s="3"/>
      <c r="E216" s="3">
        <v>0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B217" t="s">
        <v>62</v>
      </c>
      <c r="C217" t="s">
        <v>34</v>
      </c>
      <c r="D217" s="3"/>
      <c r="E217" s="3">
        <v>0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B218" t="s">
        <v>62</v>
      </c>
      <c r="C218" t="s">
        <v>34</v>
      </c>
      <c r="D218" s="3"/>
      <c r="E218" s="3">
        <v>0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B219" t="s">
        <v>62</v>
      </c>
      <c r="C219" t="s">
        <v>34</v>
      </c>
      <c r="D219" s="3"/>
      <c r="E219" s="3">
        <v>0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B220" t="s">
        <v>62</v>
      </c>
      <c r="C220" t="s">
        <v>34</v>
      </c>
      <c r="D220" s="3"/>
      <c r="E220" s="3">
        <v>0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B221" t="s">
        <v>62</v>
      </c>
      <c r="C221" t="s">
        <v>34</v>
      </c>
      <c r="D221" s="3"/>
      <c r="E221" s="3">
        <v>0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B222" t="s">
        <v>62</v>
      </c>
      <c r="C222" t="s">
        <v>34</v>
      </c>
      <c r="D222" s="3"/>
      <c r="E222" s="3">
        <v>0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B223" t="s">
        <v>62</v>
      </c>
      <c r="C223" t="s">
        <v>34</v>
      </c>
      <c r="D223" s="3"/>
      <c r="E223" s="3">
        <v>0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141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B226" t="s">
        <v>62</v>
      </c>
      <c r="C226" t="s">
        <v>34</v>
      </c>
      <c r="D226" s="3"/>
      <c r="E226" s="3">
        <v>0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B227" t="s">
        <v>62</v>
      </c>
      <c r="C227" t="s">
        <v>34</v>
      </c>
      <c r="D227" s="3"/>
      <c r="E227" s="3">
        <v>0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B228" t="s">
        <v>62</v>
      </c>
      <c r="C228" t="s">
        <v>34</v>
      </c>
      <c r="D228" s="3"/>
      <c r="E228" s="3">
        <v>0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B229" t="s">
        <v>62</v>
      </c>
      <c r="C229" t="s">
        <v>34</v>
      </c>
      <c r="D229" s="3"/>
      <c r="E229" s="3">
        <v>0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B230" t="s">
        <v>62</v>
      </c>
      <c r="C230" t="s">
        <v>34</v>
      </c>
      <c r="D230" s="3"/>
      <c r="E230" s="3">
        <v>0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B231" t="s">
        <v>62</v>
      </c>
      <c r="C231" t="s">
        <v>34</v>
      </c>
      <c r="D231" s="3"/>
      <c r="E231" s="3">
        <v>0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B232" t="s">
        <v>62</v>
      </c>
      <c r="C232" t="s">
        <v>34</v>
      </c>
      <c r="D232" s="3"/>
      <c r="E232" s="3">
        <v>0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B233" t="s">
        <v>62</v>
      </c>
      <c r="C233" t="s">
        <v>34</v>
      </c>
      <c r="D233" s="3"/>
      <c r="E233" s="3">
        <v>0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B234" t="s">
        <v>62</v>
      </c>
      <c r="C234" t="s">
        <v>34</v>
      </c>
      <c r="D234" s="3"/>
      <c r="E234" s="3">
        <v>0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B235" t="s">
        <v>62</v>
      </c>
      <c r="C235" t="s">
        <v>34</v>
      </c>
      <c r="D235" s="3"/>
      <c r="E235" s="3">
        <v>0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B236" t="s">
        <v>62</v>
      </c>
      <c r="C236" t="s">
        <v>34</v>
      </c>
      <c r="D236" s="3"/>
      <c r="E236" s="3">
        <v>0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B237" t="s">
        <v>62</v>
      </c>
      <c r="C237" t="s">
        <v>34</v>
      </c>
      <c r="D237" s="3"/>
      <c r="E237" s="3">
        <v>0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B238" t="s">
        <v>62</v>
      </c>
      <c r="C238" t="s">
        <v>34</v>
      </c>
      <c r="D238" s="3"/>
      <c r="E238" s="3">
        <v>0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B239" t="s">
        <v>62</v>
      </c>
      <c r="C239" t="s">
        <v>34</v>
      </c>
      <c r="D239" s="3"/>
      <c r="E239" s="3">
        <v>0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142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B242" t="s">
        <v>62</v>
      </c>
      <c r="C242" t="s">
        <v>34</v>
      </c>
      <c r="D242" s="3"/>
      <c r="E242" s="3">
        <v>0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B243" t="s">
        <v>62</v>
      </c>
      <c r="C243" t="s">
        <v>34</v>
      </c>
      <c r="D243" s="3"/>
      <c r="E243" s="3">
        <v>0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B244" t="s">
        <v>62</v>
      </c>
      <c r="C244" t="s">
        <v>34</v>
      </c>
      <c r="D244" s="3"/>
      <c r="E244" s="3">
        <v>0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B245" t="s">
        <v>62</v>
      </c>
      <c r="C245" t="s">
        <v>34</v>
      </c>
      <c r="D245" s="3"/>
      <c r="E245" s="3">
        <v>0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B246" t="s">
        <v>62</v>
      </c>
      <c r="C246" t="s">
        <v>34</v>
      </c>
      <c r="D246" s="3"/>
      <c r="E246" s="3">
        <v>0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B247" t="s">
        <v>62</v>
      </c>
      <c r="C247" t="s">
        <v>34</v>
      </c>
      <c r="D247" s="3"/>
      <c r="E247" s="3">
        <v>0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B248" t="s">
        <v>62</v>
      </c>
      <c r="C248" t="s">
        <v>34</v>
      </c>
      <c r="D248" s="3"/>
      <c r="E248" s="3">
        <v>0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B249" t="s">
        <v>62</v>
      </c>
      <c r="C249" t="s">
        <v>34</v>
      </c>
      <c r="D249" s="3"/>
      <c r="E249" s="3">
        <v>0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B250" t="s">
        <v>62</v>
      </c>
      <c r="C250" t="s">
        <v>34</v>
      </c>
      <c r="D250" s="3"/>
      <c r="E250" s="3">
        <v>0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B251" t="s">
        <v>62</v>
      </c>
      <c r="C251" t="s">
        <v>34</v>
      </c>
      <c r="D251" s="3"/>
      <c r="E251" s="3">
        <v>0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B252" t="s">
        <v>62</v>
      </c>
      <c r="C252" t="s">
        <v>34</v>
      </c>
      <c r="D252" s="3"/>
      <c r="E252" s="3">
        <v>0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B253" t="s">
        <v>62</v>
      </c>
      <c r="C253" t="s">
        <v>34</v>
      </c>
      <c r="D253" s="3"/>
      <c r="E253" s="3">
        <v>0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B254" t="s">
        <v>62</v>
      </c>
      <c r="C254" t="s">
        <v>34</v>
      </c>
      <c r="D254" s="3"/>
      <c r="E254" s="3">
        <v>0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B255" t="s">
        <v>62</v>
      </c>
      <c r="C255" t="s">
        <v>34</v>
      </c>
      <c r="D255" s="3"/>
      <c r="E255" s="3">
        <v>0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143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B258" t="s">
        <v>62</v>
      </c>
      <c r="C258" t="s">
        <v>34</v>
      </c>
      <c r="D258" s="3"/>
      <c r="E258" s="3">
        <v>0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B259" t="s">
        <v>62</v>
      </c>
      <c r="C259" t="s">
        <v>34</v>
      </c>
      <c r="D259" s="3"/>
      <c r="E259" s="3">
        <v>0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B260" t="s">
        <v>62</v>
      </c>
      <c r="C260" t="s">
        <v>34</v>
      </c>
      <c r="D260" s="3"/>
      <c r="E260" s="3">
        <v>0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B261" t="s">
        <v>62</v>
      </c>
      <c r="C261" t="s">
        <v>34</v>
      </c>
      <c r="D261" s="3"/>
      <c r="E261" s="3">
        <v>0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B262" t="s">
        <v>62</v>
      </c>
      <c r="C262" t="s">
        <v>34</v>
      </c>
      <c r="D262" s="3"/>
      <c r="E262" s="3">
        <v>0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B263" t="s">
        <v>62</v>
      </c>
      <c r="C263" t="s">
        <v>34</v>
      </c>
      <c r="D263" s="3"/>
      <c r="E263" s="3">
        <v>0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B264" t="s">
        <v>62</v>
      </c>
      <c r="C264" t="s">
        <v>34</v>
      </c>
      <c r="D264" s="3"/>
      <c r="E264" s="3">
        <v>0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B265" t="s">
        <v>62</v>
      </c>
      <c r="C265" t="s">
        <v>34</v>
      </c>
      <c r="D265" s="3"/>
      <c r="E265" s="3">
        <v>0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B266" t="s">
        <v>62</v>
      </c>
      <c r="C266" t="s">
        <v>34</v>
      </c>
      <c r="D266" s="3"/>
      <c r="E266" s="3">
        <v>0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B267" t="s">
        <v>62</v>
      </c>
      <c r="C267" t="s">
        <v>34</v>
      </c>
      <c r="D267" s="3"/>
      <c r="E267" s="3">
        <v>0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B268" t="s">
        <v>62</v>
      </c>
      <c r="C268" t="s">
        <v>34</v>
      </c>
      <c r="D268" s="3"/>
      <c r="E268" s="3">
        <v>0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B269" t="s">
        <v>62</v>
      </c>
      <c r="C269" t="s">
        <v>34</v>
      </c>
      <c r="D269" s="3"/>
      <c r="E269" s="3">
        <v>0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B270" t="s">
        <v>62</v>
      </c>
      <c r="C270" t="s">
        <v>34</v>
      </c>
      <c r="D270" s="3"/>
      <c r="E270" s="3">
        <v>0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B271" t="s">
        <v>62</v>
      </c>
      <c r="C271" t="s">
        <v>34</v>
      </c>
      <c r="D271" s="3"/>
      <c r="E271" s="3">
        <v>0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144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B274" t="s">
        <v>62</v>
      </c>
      <c r="C274" t="s">
        <v>34</v>
      </c>
      <c r="D274" s="3"/>
      <c r="E274" s="3">
        <v>0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B275" t="s">
        <v>62</v>
      </c>
      <c r="C275" t="s">
        <v>34</v>
      </c>
      <c r="D275" s="3"/>
      <c r="E275" s="3">
        <v>0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B276" t="s">
        <v>62</v>
      </c>
      <c r="C276" t="s">
        <v>34</v>
      </c>
      <c r="D276" s="3"/>
      <c r="E276" s="3">
        <v>0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B277" t="s">
        <v>62</v>
      </c>
      <c r="C277" t="s">
        <v>34</v>
      </c>
      <c r="D277" s="3"/>
      <c r="E277" s="3">
        <v>0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B278" t="s">
        <v>62</v>
      </c>
      <c r="C278" t="s">
        <v>34</v>
      </c>
      <c r="D278" s="3"/>
      <c r="E278" s="3">
        <v>0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B279" t="s">
        <v>62</v>
      </c>
      <c r="C279" t="s">
        <v>34</v>
      </c>
      <c r="D279" s="3"/>
      <c r="E279" s="3">
        <v>0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B280" t="s">
        <v>62</v>
      </c>
      <c r="C280" t="s">
        <v>34</v>
      </c>
      <c r="D280" s="3"/>
      <c r="E280" s="3">
        <v>0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B281" t="s">
        <v>62</v>
      </c>
      <c r="C281" t="s">
        <v>34</v>
      </c>
      <c r="D281" s="3"/>
      <c r="E281" s="3">
        <v>0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B282" t="s">
        <v>62</v>
      </c>
      <c r="C282" t="s">
        <v>34</v>
      </c>
      <c r="D282" s="3"/>
      <c r="E282" s="3">
        <v>0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B283" t="s">
        <v>62</v>
      </c>
      <c r="C283" t="s">
        <v>34</v>
      </c>
      <c r="D283" s="3"/>
      <c r="E283" s="3">
        <v>0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B284" t="s">
        <v>62</v>
      </c>
      <c r="C284" t="s">
        <v>34</v>
      </c>
      <c r="D284" s="3"/>
      <c r="E284" s="3">
        <v>0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B285" t="s">
        <v>62</v>
      </c>
      <c r="C285" t="s">
        <v>34</v>
      </c>
      <c r="D285" s="3"/>
      <c r="E285" s="3">
        <v>0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B286" t="s">
        <v>62</v>
      </c>
      <c r="C286" t="s">
        <v>34</v>
      </c>
      <c r="D286" s="3"/>
      <c r="E286" s="3">
        <v>0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B287" t="s">
        <v>62</v>
      </c>
      <c r="C287" t="s">
        <v>34</v>
      </c>
      <c r="D287" s="3"/>
      <c r="E287" s="3">
        <v>0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9" spans="1:55">
      <c r="A289" s="1" t="s">
        <v>145</v>
      </c>
      <c r="B289" s="1" t="s">
        <v>31</v>
      </c>
      <c r="C289" s="1" t="s">
        <v>32</v>
      </c>
      <c r="D289" s="1" t="s">
        <v>33</v>
      </c>
      <c r="E289" s="1">
        <v>2000</v>
      </c>
      <c r="F289" s="1">
        <v>2001</v>
      </c>
      <c r="G289" s="1">
        <v>2002</v>
      </c>
      <c r="H289" s="1">
        <v>2003</v>
      </c>
      <c r="I289" s="1">
        <v>2004</v>
      </c>
      <c r="J289" s="1">
        <v>2005</v>
      </c>
      <c r="K289" s="1">
        <v>2006</v>
      </c>
      <c r="L289" s="1">
        <v>2007</v>
      </c>
      <c r="M289" s="1">
        <v>2008</v>
      </c>
      <c r="N289" s="1">
        <v>2009</v>
      </c>
      <c r="O289" s="1">
        <v>2010</v>
      </c>
      <c r="P289" s="1">
        <v>2011</v>
      </c>
      <c r="Q289" s="1">
        <v>2012</v>
      </c>
      <c r="R289" s="1">
        <v>2013</v>
      </c>
      <c r="S289" s="1">
        <v>2014</v>
      </c>
      <c r="T289" s="1">
        <v>2015</v>
      </c>
      <c r="U289" s="1">
        <v>2016</v>
      </c>
      <c r="V289" s="1">
        <v>2017</v>
      </c>
      <c r="W289" s="1">
        <v>2018</v>
      </c>
      <c r="X289" s="1">
        <v>2019</v>
      </c>
      <c r="Y289" s="1">
        <v>2020</v>
      </c>
      <c r="Z289" s="1">
        <v>2021</v>
      </c>
      <c r="AA289" s="1">
        <v>2022</v>
      </c>
      <c r="AB289" s="1">
        <v>2023</v>
      </c>
      <c r="AC289" s="1">
        <v>2024</v>
      </c>
      <c r="AD289" s="1">
        <v>2025</v>
      </c>
      <c r="AE289" s="1">
        <v>2026</v>
      </c>
      <c r="AF289" s="1">
        <v>2027</v>
      </c>
      <c r="AG289" s="1">
        <v>2028</v>
      </c>
      <c r="AH289" s="1">
        <v>2029</v>
      </c>
      <c r="AI289" s="1">
        <v>2030</v>
      </c>
      <c r="AJ289" s="1">
        <v>2031</v>
      </c>
      <c r="AK289" s="1">
        <v>2032</v>
      </c>
      <c r="AL289" s="1">
        <v>2033</v>
      </c>
      <c r="AM289" s="1">
        <v>2034</v>
      </c>
      <c r="AN289" s="1">
        <v>2035</v>
      </c>
      <c r="AO289" s="1">
        <v>2036</v>
      </c>
      <c r="AP289" s="1">
        <v>2037</v>
      </c>
      <c r="AQ289" s="1">
        <v>2038</v>
      </c>
      <c r="AR289" s="1">
        <v>2039</v>
      </c>
      <c r="AS289" s="1">
        <v>2040</v>
      </c>
      <c r="AT289" s="1">
        <v>2041</v>
      </c>
      <c r="AU289" s="1">
        <v>2042</v>
      </c>
      <c r="AV289" s="1">
        <v>2043</v>
      </c>
      <c r="AW289" s="1">
        <v>2044</v>
      </c>
      <c r="AX289" s="1">
        <v>2045</v>
      </c>
      <c r="AY289" s="1">
        <v>2046</v>
      </c>
      <c r="AZ289" s="1">
        <v>2047</v>
      </c>
      <c r="BA289" s="1">
        <v>2048</v>
      </c>
      <c r="BB289" s="1">
        <v>2049</v>
      </c>
      <c r="BC289" s="1">
        <v>2050</v>
      </c>
    </row>
    <row r="290" spans="1:55">
      <c r="A290" s="1" t="str">
        <f>'Population Definitions'!$A$2</f>
        <v>PWID_males</v>
      </c>
      <c r="C290" t="s">
        <v>34</v>
      </c>
      <c r="D290" s="3"/>
      <c r="E290" s="3">
        <v>52.34441231249999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</row>
    <row r="291" spans="1:55">
      <c r="A291" s="1" t="str">
        <f>'Population Definitions'!$A$3</f>
        <v>PWID_females</v>
      </c>
      <c r="C291" t="s">
        <v>34</v>
      </c>
      <c r="D291" s="3"/>
      <c r="E291" s="3">
        <v>39.73537360799998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</row>
    <row r="292" spans="1:55">
      <c r="A292" s="1" t="str">
        <f>'Population Definitions'!$A$4</f>
        <v>0-9_males</v>
      </c>
      <c r="C292" t="s">
        <v>34</v>
      </c>
      <c r="D292" s="3"/>
      <c r="E292" s="3">
        <v>0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</row>
    <row r="293" spans="1:55">
      <c r="A293" s="1" t="str">
        <f>'Population Definitions'!$A$5</f>
        <v>0-9_females</v>
      </c>
      <c r="C293" t="s">
        <v>34</v>
      </c>
      <c r="D293" s="3"/>
      <c r="E293" s="3">
        <v>0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</row>
    <row r="294" spans="1:55">
      <c r="A294" s="1" t="str">
        <f>'Population Definitions'!$A$6</f>
        <v>10-17_males</v>
      </c>
      <c r="C294" t="s">
        <v>34</v>
      </c>
      <c r="D294" s="3"/>
      <c r="E294" s="3">
        <v>0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</row>
    <row r="295" spans="1:55">
      <c r="A295" s="1" t="str">
        <f>'Population Definitions'!$A$7</f>
        <v>10-17_females</v>
      </c>
      <c r="C295" t="s">
        <v>34</v>
      </c>
      <c r="D295" s="3"/>
      <c r="E295" s="3">
        <v>0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</row>
    <row r="296" spans="1:55">
      <c r="A296" s="1" t="str">
        <f>'Population Definitions'!$A$8</f>
        <v>18-64_males</v>
      </c>
      <c r="C296" t="s">
        <v>34</v>
      </c>
      <c r="D296" s="3"/>
      <c r="E296" s="3">
        <v>274.0839448032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</row>
    <row r="297" spans="1:55">
      <c r="A297" s="1" t="str">
        <f>'Population Definitions'!$A$9</f>
        <v>18-64_females</v>
      </c>
      <c r="C297" t="s">
        <v>34</v>
      </c>
      <c r="D297" s="3"/>
      <c r="E297" s="3">
        <v>268.860284718444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</row>
    <row r="298" spans="1:55">
      <c r="A298" s="1" t="str">
        <f>'Population Definitions'!$A$10</f>
        <v>65+_males</v>
      </c>
      <c r="C298" t="s">
        <v>34</v>
      </c>
      <c r="D298" s="3"/>
      <c r="E298" s="3">
        <v>46.79762873491208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</row>
    <row r="299" spans="1:55">
      <c r="A299" s="1" t="str">
        <f>'Population Definitions'!$A$11</f>
        <v>65+_females</v>
      </c>
      <c r="C299" t="s">
        <v>34</v>
      </c>
      <c r="D299" s="3"/>
      <c r="E299" s="3">
        <v>57.04981402581704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</row>
    <row r="300" spans="1:55">
      <c r="A300" s="1" t="str">
        <f>'Population Definitions'!$A$12</f>
        <v>Prisoners_males</v>
      </c>
      <c r="C300" t="s">
        <v>34</v>
      </c>
      <c r="D300" s="3"/>
      <c r="E300" s="3">
        <v>2.4224265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</row>
    <row r="301" spans="1:55">
      <c r="A301" s="1" t="str">
        <f>'Population Definitions'!$A$13</f>
        <v>Prisoners_females</v>
      </c>
      <c r="C301" t="s">
        <v>34</v>
      </c>
      <c r="D301" s="3"/>
      <c r="E301" s="3">
        <v>0.2681546406048075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</row>
    <row r="302" spans="1:55">
      <c r="A302" s="1" t="str">
        <f>'Population Definitions'!$A$14</f>
        <v>Prisoners_PWID_males</v>
      </c>
      <c r="C302" t="s">
        <v>34</v>
      </c>
      <c r="D302" s="3"/>
      <c r="E302" s="3">
        <v>7.267279500000001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</row>
    <row r="303" spans="1:55">
      <c r="A303" s="1" t="str">
        <f>'Population Definitions'!$A$15</f>
        <v>Prisoners_PWID_females</v>
      </c>
      <c r="C303" t="s">
        <v>34</v>
      </c>
      <c r="D303" s="3"/>
      <c r="E303" s="3">
        <v>0.1041393593951928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</row>
    <row r="305" spans="1:55">
      <c r="A305" s="1" t="s">
        <v>146</v>
      </c>
      <c r="B305" s="1" t="s">
        <v>31</v>
      </c>
      <c r="C305" s="1" t="s">
        <v>32</v>
      </c>
      <c r="D305" s="1" t="s">
        <v>33</v>
      </c>
      <c r="E305" s="1">
        <v>2000</v>
      </c>
      <c r="F305" s="1">
        <v>2001</v>
      </c>
      <c r="G305" s="1">
        <v>2002</v>
      </c>
      <c r="H305" s="1">
        <v>2003</v>
      </c>
      <c r="I305" s="1">
        <v>2004</v>
      </c>
      <c r="J305" s="1">
        <v>2005</v>
      </c>
      <c r="K305" s="1">
        <v>2006</v>
      </c>
      <c r="L305" s="1">
        <v>2007</v>
      </c>
      <c r="M305" s="1">
        <v>2008</v>
      </c>
      <c r="N305" s="1">
        <v>2009</v>
      </c>
      <c r="O305" s="1">
        <v>2010</v>
      </c>
      <c r="P305" s="1">
        <v>2011</v>
      </c>
      <c r="Q305" s="1">
        <v>2012</v>
      </c>
      <c r="R305" s="1">
        <v>2013</v>
      </c>
      <c r="S305" s="1">
        <v>2014</v>
      </c>
      <c r="T305" s="1">
        <v>2015</v>
      </c>
      <c r="U305" s="1">
        <v>2016</v>
      </c>
      <c r="V305" s="1">
        <v>2017</v>
      </c>
      <c r="W305" s="1">
        <v>2018</v>
      </c>
      <c r="X305" s="1">
        <v>2019</v>
      </c>
      <c r="Y305" s="1">
        <v>2020</v>
      </c>
      <c r="Z305" s="1">
        <v>2021</v>
      </c>
      <c r="AA305" s="1">
        <v>2022</v>
      </c>
      <c r="AB305" s="1">
        <v>2023</v>
      </c>
      <c r="AC305" s="1">
        <v>2024</v>
      </c>
      <c r="AD305" s="1">
        <v>2025</v>
      </c>
      <c r="AE305" s="1">
        <v>2026</v>
      </c>
      <c r="AF305" s="1">
        <v>2027</v>
      </c>
      <c r="AG305" s="1">
        <v>2028</v>
      </c>
      <c r="AH305" s="1">
        <v>2029</v>
      </c>
      <c r="AI305" s="1">
        <v>2030</v>
      </c>
      <c r="AJ305" s="1">
        <v>2031</v>
      </c>
      <c r="AK305" s="1">
        <v>2032</v>
      </c>
      <c r="AL305" s="1">
        <v>2033</v>
      </c>
      <c r="AM305" s="1">
        <v>2034</v>
      </c>
      <c r="AN305" s="1">
        <v>2035</v>
      </c>
      <c r="AO305" s="1">
        <v>2036</v>
      </c>
      <c r="AP305" s="1">
        <v>2037</v>
      </c>
      <c r="AQ305" s="1">
        <v>2038</v>
      </c>
      <c r="AR305" s="1">
        <v>2039</v>
      </c>
      <c r="AS305" s="1">
        <v>2040</v>
      </c>
      <c r="AT305" s="1">
        <v>2041</v>
      </c>
      <c r="AU305" s="1">
        <v>2042</v>
      </c>
      <c r="AV305" s="1">
        <v>2043</v>
      </c>
      <c r="AW305" s="1">
        <v>2044</v>
      </c>
      <c r="AX305" s="1">
        <v>2045</v>
      </c>
      <c r="AY305" s="1">
        <v>2046</v>
      </c>
      <c r="AZ305" s="1">
        <v>2047</v>
      </c>
      <c r="BA305" s="1">
        <v>2048</v>
      </c>
      <c r="BB305" s="1">
        <v>2049</v>
      </c>
      <c r="BC305" s="1">
        <v>2050</v>
      </c>
    </row>
    <row r="306" spans="1:55">
      <c r="A306" s="1" t="str">
        <f>'Population Definitions'!$A$2</f>
        <v>PWID_males</v>
      </c>
      <c r="C306" t="s">
        <v>34</v>
      </c>
      <c r="D306" s="3"/>
      <c r="E306" s="3">
        <v>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</row>
    <row r="307" spans="1:55">
      <c r="A307" s="1" t="str">
        <f>'Population Definitions'!$A$3</f>
        <v>PWID_females</v>
      </c>
      <c r="C307" t="s">
        <v>34</v>
      </c>
      <c r="D307" s="3"/>
      <c r="E307" s="3">
        <v>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</row>
    <row r="308" spans="1:55">
      <c r="A308" s="1" t="str">
        <f>'Population Definitions'!$A$4</f>
        <v>0-9_males</v>
      </c>
      <c r="C308" t="s">
        <v>34</v>
      </c>
      <c r="D308" s="3"/>
      <c r="E308" s="3">
        <v>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</row>
    <row r="309" spans="1:55">
      <c r="A309" s="1" t="str">
        <f>'Population Definitions'!$A$5</f>
        <v>0-9_females</v>
      </c>
      <c r="C309" t="s">
        <v>34</v>
      </c>
      <c r="D309" s="3"/>
      <c r="E309" s="3">
        <v>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</row>
    <row r="310" spans="1:55">
      <c r="A310" s="1" t="str">
        <f>'Population Definitions'!$A$6</f>
        <v>10-17_males</v>
      </c>
      <c r="C310" t="s">
        <v>34</v>
      </c>
      <c r="D310" s="3"/>
      <c r="E310" s="3"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</row>
    <row r="311" spans="1:55">
      <c r="A311" s="1" t="str">
        <f>'Population Definitions'!$A$7</f>
        <v>10-17_females</v>
      </c>
      <c r="C311" t="s">
        <v>34</v>
      </c>
      <c r="D311" s="3"/>
      <c r="E311" s="3">
        <v>0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</row>
    <row r="312" spans="1:55">
      <c r="A312" s="1" t="str">
        <f>'Population Definitions'!$A$8</f>
        <v>18-64_males</v>
      </c>
      <c r="C312" t="s">
        <v>34</v>
      </c>
      <c r="D312" s="3"/>
      <c r="E312" s="3">
        <v>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</row>
    <row r="313" spans="1:55">
      <c r="A313" s="1" t="str">
        <f>'Population Definitions'!$A$9</f>
        <v>18-64_females</v>
      </c>
      <c r="C313" t="s">
        <v>34</v>
      </c>
      <c r="D313" s="3"/>
      <c r="E313" s="3">
        <v>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</row>
    <row r="314" spans="1:55">
      <c r="A314" s="1" t="str">
        <f>'Population Definitions'!$A$10</f>
        <v>65+_males</v>
      </c>
      <c r="C314" t="s">
        <v>34</v>
      </c>
      <c r="D314" s="3"/>
      <c r="E314" s="3">
        <v>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</row>
    <row r="315" spans="1:55">
      <c r="A315" s="1" t="str">
        <f>'Population Definitions'!$A$11</f>
        <v>65+_females</v>
      </c>
      <c r="C315" t="s">
        <v>34</v>
      </c>
      <c r="D315" s="3"/>
      <c r="E315" s="3">
        <v>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</row>
    <row r="316" spans="1:55">
      <c r="A316" s="1" t="str">
        <f>'Population Definitions'!$A$12</f>
        <v>Prisoners_males</v>
      </c>
      <c r="C316" t="s">
        <v>34</v>
      </c>
      <c r="D316" s="3"/>
      <c r="E316" s="3">
        <v>0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</row>
    <row r="317" spans="1:55">
      <c r="A317" s="1" t="str">
        <f>'Population Definitions'!$A$13</f>
        <v>Prisoners_females</v>
      </c>
      <c r="C317" t="s">
        <v>34</v>
      </c>
      <c r="D317" s="3"/>
      <c r="E317" s="3">
        <v>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</row>
    <row r="318" spans="1:55">
      <c r="A318" s="1" t="str">
        <f>'Population Definitions'!$A$14</f>
        <v>Prisoners_PWID_males</v>
      </c>
      <c r="C318" t="s">
        <v>34</v>
      </c>
      <c r="D318" s="3"/>
      <c r="E318" s="3">
        <v>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</row>
    <row r="319" spans="1:55">
      <c r="A319" s="1" t="str">
        <f>'Population Definitions'!$A$15</f>
        <v>Prisoners_PWID_females</v>
      </c>
      <c r="C319" t="s">
        <v>34</v>
      </c>
      <c r="D319" s="3"/>
      <c r="E319" s="3">
        <v>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</row>
    <row r="321" spans="1:55">
      <c r="A321" s="1" t="s">
        <v>147</v>
      </c>
      <c r="B321" s="1" t="s">
        <v>31</v>
      </c>
      <c r="C321" s="1" t="s">
        <v>32</v>
      </c>
      <c r="D321" s="1" t="s">
        <v>33</v>
      </c>
      <c r="E321" s="1">
        <v>2000</v>
      </c>
      <c r="F321" s="1">
        <v>2001</v>
      </c>
      <c r="G321" s="1">
        <v>2002</v>
      </c>
      <c r="H321" s="1">
        <v>2003</v>
      </c>
      <c r="I321" s="1">
        <v>2004</v>
      </c>
      <c r="J321" s="1">
        <v>2005</v>
      </c>
      <c r="K321" s="1">
        <v>2006</v>
      </c>
      <c r="L321" s="1">
        <v>2007</v>
      </c>
      <c r="M321" s="1">
        <v>2008</v>
      </c>
      <c r="N321" s="1">
        <v>2009</v>
      </c>
      <c r="O321" s="1">
        <v>2010</v>
      </c>
      <c r="P321" s="1">
        <v>2011</v>
      </c>
      <c r="Q321" s="1">
        <v>2012</v>
      </c>
      <c r="R321" s="1">
        <v>2013</v>
      </c>
      <c r="S321" s="1">
        <v>2014</v>
      </c>
      <c r="T321" s="1">
        <v>2015</v>
      </c>
      <c r="U321" s="1">
        <v>2016</v>
      </c>
      <c r="V321" s="1">
        <v>2017</v>
      </c>
      <c r="W321" s="1">
        <v>2018</v>
      </c>
      <c r="X321" s="1">
        <v>2019</v>
      </c>
      <c r="Y321" s="1">
        <v>2020</v>
      </c>
      <c r="Z321" s="1">
        <v>2021</v>
      </c>
      <c r="AA321" s="1">
        <v>2022</v>
      </c>
      <c r="AB321" s="1">
        <v>2023</v>
      </c>
      <c r="AC321" s="1">
        <v>2024</v>
      </c>
      <c r="AD321" s="1">
        <v>2025</v>
      </c>
      <c r="AE321" s="1">
        <v>2026</v>
      </c>
      <c r="AF321" s="1">
        <v>2027</v>
      </c>
      <c r="AG321" s="1">
        <v>2028</v>
      </c>
      <c r="AH321" s="1">
        <v>2029</v>
      </c>
      <c r="AI321" s="1">
        <v>2030</v>
      </c>
      <c r="AJ321" s="1">
        <v>2031</v>
      </c>
      <c r="AK321" s="1">
        <v>2032</v>
      </c>
      <c r="AL321" s="1">
        <v>2033</v>
      </c>
      <c r="AM321" s="1">
        <v>2034</v>
      </c>
      <c r="AN321" s="1">
        <v>2035</v>
      </c>
      <c r="AO321" s="1">
        <v>2036</v>
      </c>
      <c r="AP321" s="1">
        <v>2037</v>
      </c>
      <c r="AQ321" s="1">
        <v>2038</v>
      </c>
      <c r="AR321" s="1">
        <v>2039</v>
      </c>
      <c r="AS321" s="1">
        <v>2040</v>
      </c>
      <c r="AT321" s="1">
        <v>2041</v>
      </c>
      <c r="AU321" s="1">
        <v>2042</v>
      </c>
      <c r="AV321" s="1">
        <v>2043</v>
      </c>
      <c r="AW321" s="1">
        <v>2044</v>
      </c>
      <c r="AX321" s="1">
        <v>2045</v>
      </c>
      <c r="AY321" s="1">
        <v>2046</v>
      </c>
      <c r="AZ321" s="1">
        <v>2047</v>
      </c>
      <c r="BA321" s="1">
        <v>2048</v>
      </c>
      <c r="BB321" s="1">
        <v>2049</v>
      </c>
      <c r="BC321" s="1">
        <v>2050</v>
      </c>
    </row>
    <row r="322" spans="1:55">
      <c r="A322" s="1" t="str">
        <f>'Population Definitions'!$A$2</f>
        <v>PWID_males</v>
      </c>
      <c r="C322" t="s">
        <v>34</v>
      </c>
      <c r="D322" s="3"/>
      <c r="E322" s="3">
        <v>0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</row>
    <row r="323" spans="1:55">
      <c r="A323" s="1" t="str">
        <f>'Population Definitions'!$A$3</f>
        <v>PWID_females</v>
      </c>
      <c r="C323" t="s">
        <v>34</v>
      </c>
      <c r="D323" s="3"/>
      <c r="E323" s="3">
        <v>0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</row>
    <row r="324" spans="1:55">
      <c r="A324" s="1" t="str">
        <f>'Population Definitions'!$A$4</f>
        <v>0-9_males</v>
      </c>
      <c r="C324" t="s">
        <v>34</v>
      </c>
      <c r="D324" s="3"/>
      <c r="E324" s="3">
        <v>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</row>
    <row r="325" spans="1:55">
      <c r="A325" s="1" t="str">
        <f>'Population Definitions'!$A$5</f>
        <v>0-9_females</v>
      </c>
      <c r="C325" t="s">
        <v>34</v>
      </c>
      <c r="D325" s="3"/>
      <c r="E325" s="3">
        <v>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</row>
    <row r="326" spans="1:55">
      <c r="A326" s="1" t="str">
        <f>'Population Definitions'!$A$6</f>
        <v>10-17_males</v>
      </c>
      <c r="C326" t="s">
        <v>34</v>
      </c>
      <c r="D326" s="3"/>
      <c r="E326" s="3">
        <v>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</row>
    <row r="327" spans="1:55">
      <c r="A327" s="1" t="str">
        <f>'Population Definitions'!$A$7</f>
        <v>10-17_females</v>
      </c>
      <c r="C327" t="s">
        <v>34</v>
      </c>
      <c r="D327" s="3"/>
      <c r="E327" s="3">
        <v>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</row>
    <row r="328" spans="1:55">
      <c r="A328" s="1" t="str">
        <f>'Population Definitions'!$A$8</f>
        <v>18-64_males</v>
      </c>
      <c r="C328" t="s">
        <v>34</v>
      </c>
      <c r="D328" s="3"/>
      <c r="E328" s="3">
        <v>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</row>
    <row r="329" spans="1:55">
      <c r="A329" s="1" t="str">
        <f>'Population Definitions'!$A$9</f>
        <v>18-64_females</v>
      </c>
      <c r="C329" t="s">
        <v>34</v>
      </c>
      <c r="D329" s="3"/>
      <c r="E329" s="3">
        <v>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</row>
    <row r="330" spans="1:55">
      <c r="A330" s="1" t="str">
        <f>'Population Definitions'!$A$10</f>
        <v>65+_males</v>
      </c>
      <c r="C330" t="s">
        <v>34</v>
      </c>
      <c r="D330" s="3"/>
      <c r="E330" s="3">
        <v>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</row>
    <row r="331" spans="1:55">
      <c r="A331" s="1" t="str">
        <f>'Population Definitions'!$A$11</f>
        <v>65+_females</v>
      </c>
      <c r="C331" t="s">
        <v>34</v>
      </c>
      <c r="D331" s="3"/>
      <c r="E331" s="3">
        <v>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</row>
    <row r="332" spans="1:55">
      <c r="A332" s="1" t="str">
        <f>'Population Definitions'!$A$12</f>
        <v>Prisoners_males</v>
      </c>
      <c r="C332" t="s">
        <v>34</v>
      </c>
      <c r="D332" s="3"/>
      <c r="E332" s="3">
        <v>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</row>
    <row r="333" spans="1:55">
      <c r="A333" s="1" t="str">
        <f>'Population Definitions'!$A$13</f>
        <v>Prisoners_females</v>
      </c>
      <c r="C333" t="s">
        <v>34</v>
      </c>
      <c r="D333" s="3"/>
      <c r="E333" s="3">
        <v>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</row>
    <row r="334" spans="1:55">
      <c r="A334" s="1" t="str">
        <f>'Population Definitions'!$A$14</f>
        <v>Prisoners_PWID_males</v>
      </c>
      <c r="C334" t="s">
        <v>34</v>
      </c>
      <c r="D334" s="3"/>
      <c r="E334" s="3">
        <v>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</row>
    <row r="335" spans="1:55">
      <c r="A335" s="1" t="str">
        <f>'Population Definitions'!$A$15</f>
        <v>Prisoners_PWID_females</v>
      </c>
      <c r="C335" t="s">
        <v>34</v>
      </c>
      <c r="D335" s="3"/>
      <c r="E335" s="3">
        <v>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</row>
    <row r="337" spans="1:55">
      <c r="A337" s="1" t="s">
        <v>148</v>
      </c>
      <c r="B337" s="1" t="s">
        <v>31</v>
      </c>
      <c r="C337" s="1" t="s">
        <v>32</v>
      </c>
      <c r="D337" s="1" t="s">
        <v>33</v>
      </c>
      <c r="E337" s="1">
        <v>2000</v>
      </c>
      <c r="F337" s="1">
        <v>2001</v>
      </c>
      <c r="G337" s="1">
        <v>2002</v>
      </c>
      <c r="H337" s="1">
        <v>2003</v>
      </c>
      <c r="I337" s="1">
        <v>2004</v>
      </c>
      <c r="J337" s="1">
        <v>2005</v>
      </c>
      <c r="K337" s="1">
        <v>2006</v>
      </c>
      <c r="L337" s="1">
        <v>2007</v>
      </c>
      <c r="M337" s="1">
        <v>2008</v>
      </c>
      <c r="N337" s="1">
        <v>2009</v>
      </c>
      <c r="O337" s="1">
        <v>2010</v>
      </c>
      <c r="P337" s="1">
        <v>2011</v>
      </c>
      <c r="Q337" s="1">
        <v>2012</v>
      </c>
      <c r="R337" s="1">
        <v>2013</v>
      </c>
      <c r="S337" s="1">
        <v>2014</v>
      </c>
      <c r="T337" s="1">
        <v>2015</v>
      </c>
      <c r="U337" s="1">
        <v>2016</v>
      </c>
      <c r="V337" s="1">
        <v>2017</v>
      </c>
      <c r="W337" s="1">
        <v>2018</v>
      </c>
      <c r="X337" s="1">
        <v>2019</v>
      </c>
      <c r="Y337" s="1">
        <v>2020</v>
      </c>
      <c r="Z337" s="1">
        <v>2021</v>
      </c>
      <c r="AA337" s="1">
        <v>2022</v>
      </c>
      <c r="AB337" s="1">
        <v>2023</v>
      </c>
      <c r="AC337" s="1">
        <v>2024</v>
      </c>
      <c r="AD337" s="1">
        <v>2025</v>
      </c>
      <c r="AE337" s="1">
        <v>2026</v>
      </c>
      <c r="AF337" s="1">
        <v>2027</v>
      </c>
      <c r="AG337" s="1">
        <v>2028</v>
      </c>
      <c r="AH337" s="1">
        <v>2029</v>
      </c>
      <c r="AI337" s="1">
        <v>2030</v>
      </c>
      <c r="AJ337" s="1">
        <v>2031</v>
      </c>
      <c r="AK337" s="1">
        <v>2032</v>
      </c>
      <c r="AL337" s="1">
        <v>2033</v>
      </c>
      <c r="AM337" s="1">
        <v>2034</v>
      </c>
      <c r="AN337" s="1">
        <v>2035</v>
      </c>
      <c r="AO337" s="1">
        <v>2036</v>
      </c>
      <c r="AP337" s="1">
        <v>2037</v>
      </c>
      <c r="AQ337" s="1">
        <v>2038</v>
      </c>
      <c r="AR337" s="1">
        <v>2039</v>
      </c>
      <c r="AS337" s="1">
        <v>2040</v>
      </c>
      <c r="AT337" s="1">
        <v>2041</v>
      </c>
      <c r="AU337" s="1">
        <v>2042</v>
      </c>
      <c r="AV337" s="1">
        <v>2043</v>
      </c>
      <c r="AW337" s="1">
        <v>2044</v>
      </c>
      <c r="AX337" s="1">
        <v>2045</v>
      </c>
      <c r="AY337" s="1">
        <v>2046</v>
      </c>
      <c r="AZ337" s="1">
        <v>2047</v>
      </c>
      <c r="BA337" s="1">
        <v>2048</v>
      </c>
      <c r="BB337" s="1">
        <v>2049</v>
      </c>
      <c r="BC337" s="1">
        <v>2050</v>
      </c>
    </row>
    <row r="338" spans="1:55">
      <c r="A338" s="1" t="str">
        <f>'Population Definitions'!$A$2</f>
        <v>PWID_males</v>
      </c>
      <c r="C338" t="s">
        <v>34</v>
      </c>
      <c r="D338" s="3"/>
      <c r="E338" s="3"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</row>
    <row r="339" spans="1:55">
      <c r="A339" s="1" t="str">
        <f>'Population Definitions'!$A$3</f>
        <v>PWID_females</v>
      </c>
      <c r="C339" t="s">
        <v>34</v>
      </c>
      <c r="D339" s="3"/>
      <c r="E339" s="3">
        <v>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</row>
    <row r="340" spans="1:55">
      <c r="A340" s="1" t="str">
        <f>'Population Definitions'!$A$4</f>
        <v>0-9_males</v>
      </c>
      <c r="C340" t="s">
        <v>34</v>
      </c>
      <c r="D340" s="3"/>
      <c r="E340" s="3">
        <v>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</row>
    <row r="341" spans="1:55">
      <c r="A341" s="1" t="str">
        <f>'Population Definitions'!$A$5</f>
        <v>0-9_females</v>
      </c>
      <c r="C341" t="s">
        <v>34</v>
      </c>
      <c r="D341" s="3"/>
      <c r="E341" s="3">
        <v>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</row>
    <row r="342" spans="1:55">
      <c r="A342" s="1" t="str">
        <f>'Population Definitions'!$A$6</f>
        <v>10-17_males</v>
      </c>
      <c r="C342" t="s">
        <v>34</v>
      </c>
      <c r="D342" s="3"/>
      <c r="E342" s="3">
        <v>0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</row>
    <row r="343" spans="1:55">
      <c r="A343" s="1" t="str">
        <f>'Population Definitions'!$A$7</f>
        <v>10-17_females</v>
      </c>
      <c r="C343" t="s">
        <v>34</v>
      </c>
      <c r="D343" s="3"/>
      <c r="E343" s="3">
        <v>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</row>
    <row r="344" spans="1:55">
      <c r="A344" s="1" t="str">
        <f>'Population Definitions'!$A$8</f>
        <v>18-64_males</v>
      </c>
      <c r="C344" t="s">
        <v>34</v>
      </c>
      <c r="D344" s="3"/>
      <c r="E344" s="3">
        <v>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</row>
    <row r="345" spans="1:55">
      <c r="A345" s="1" t="str">
        <f>'Population Definitions'!$A$9</f>
        <v>18-64_females</v>
      </c>
      <c r="C345" t="s">
        <v>34</v>
      </c>
      <c r="D345" s="3"/>
      <c r="E345" s="3">
        <v>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</row>
    <row r="346" spans="1:55">
      <c r="A346" s="1" t="str">
        <f>'Population Definitions'!$A$10</f>
        <v>65+_males</v>
      </c>
      <c r="C346" t="s">
        <v>34</v>
      </c>
      <c r="D346" s="3"/>
      <c r="E346" s="3">
        <v>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</row>
    <row r="347" spans="1:55">
      <c r="A347" s="1" t="str">
        <f>'Population Definitions'!$A$11</f>
        <v>65+_females</v>
      </c>
      <c r="C347" t="s">
        <v>34</v>
      </c>
      <c r="D347" s="3"/>
      <c r="E347" s="3">
        <v>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</row>
    <row r="348" spans="1:55">
      <c r="A348" s="1" t="str">
        <f>'Population Definitions'!$A$12</f>
        <v>Prisoners_males</v>
      </c>
      <c r="C348" t="s">
        <v>34</v>
      </c>
      <c r="D348" s="3"/>
      <c r="E348" s="3">
        <v>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</row>
    <row r="349" spans="1:55">
      <c r="A349" s="1" t="str">
        <f>'Population Definitions'!$A$13</f>
        <v>Prisoners_females</v>
      </c>
      <c r="C349" t="s">
        <v>34</v>
      </c>
      <c r="D349" s="3"/>
      <c r="E349" s="3">
        <v>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</row>
    <row r="350" spans="1:55">
      <c r="A350" s="1" t="str">
        <f>'Population Definitions'!$A$14</f>
        <v>Prisoners_PWID_males</v>
      </c>
      <c r="C350" t="s">
        <v>34</v>
      </c>
      <c r="D350" s="3"/>
      <c r="E350" s="3">
        <v>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</row>
    <row r="351" spans="1:55">
      <c r="A351" s="1" t="str">
        <f>'Population Definitions'!$A$15</f>
        <v>Prisoners_PWID_females</v>
      </c>
      <c r="C351" t="s">
        <v>34</v>
      </c>
      <c r="D351" s="3"/>
      <c r="E351" s="3">
        <v>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</row>
    <row r="353" spans="1:55">
      <c r="A353" s="1" t="s">
        <v>149</v>
      </c>
      <c r="B353" s="1" t="s">
        <v>31</v>
      </c>
      <c r="C353" s="1" t="s">
        <v>32</v>
      </c>
      <c r="D353" s="1" t="s">
        <v>33</v>
      </c>
      <c r="E353" s="1">
        <v>2000</v>
      </c>
      <c r="F353" s="1">
        <v>2001</v>
      </c>
      <c r="G353" s="1">
        <v>2002</v>
      </c>
      <c r="H353" s="1">
        <v>2003</v>
      </c>
      <c r="I353" s="1">
        <v>2004</v>
      </c>
      <c r="J353" s="1">
        <v>2005</v>
      </c>
      <c r="K353" s="1">
        <v>2006</v>
      </c>
      <c r="L353" s="1">
        <v>2007</v>
      </c>
      <c r="M353" s="1">
        <v>2008</v>
      </c>
      <c r="N353" s="1">
        <v>2009</v>
      </c>
      <c r="O353" s="1">
        <v>2010</v>
      </c>
      <c r="P353" s="1">
        <v>2011</v>
      </c>
      <c r="Q353" s="1">
        <v>2012</v>
      </c>
      <c r="R353" s="1">
        <v>2013</v>
      </c>
      <c r="S353" s="1">
        <v>2014</v>
      </c>
      <c r="T353" s="1">
        <v>2015</v>
      </c>
      <c r="U353" s="1">
        <v>2016</v>
      </c>
      <c r="V353" s="1">
        <v>2017</v>
      </c>
      <c r="W353" s="1">
        <v>2018</v>
      </c>
      <c r="X353" s="1">
        <v>2019</v>
      </c>
      <c r="Y353" s="1">
        <v>2020</v>
      </c>
      <c r="Z353" s="1">
        <v>2021</v>
      </c>
      <c r="AA353" s="1">
        <v>2022</v>
      </c>
      <c r="AB353" s="1">
        <v>2023</v>
      </c>
      <c r="AC353" s="1">
        <v>2024</v>
      </c>
      <c r="AD353" s="1">
        <v>2025</v>
      </c>
      <c r="AE353" s="1">
        <v>2026</v>
      </c>
      <c r="AF353" s="1">
        <v>2027</v>
      </c>
      <c r="AG353" s="1">
        <v>2028</v>
      </c>
      <c r="AH353" s="1">
        <v>2029</v>
      </c>
      <c r="AI353" s="1">
        <v>2030</v>
      </c>
      <c r="AJ353" s="1">
        <v>2031</v>
      </c>
      <c r="AK353" s="1">
        <v>2032</v>
      </c>
      <c r="AL353" s="1">
        <v>2033</v>
      </c>
      <c r="AM353" s="1">
        <v>2034</v>
      </c>
      <c r="AN353" s="1">
        <v>2035</v>
      </c>
      <c r="AO353" s="1">
        <v>2036</v>
      </c>
      <c r="AP353" s="1">
        <v>2037</v>
      </c>
      <c r="AQ353" s="1">
        <v>2038</v>
      </c>
      <c r="AR353" s="1">
        <v>2039</v>
      </c>
      <c r="AS353" s="1">
        <v>2040</v>
      </c>
      <c r="AT353" s="1">
        <v>2041</v>
      </c>
      <c r="AU353" s="1">
        <v>2042</v>
      </c>
      <c r="AV353" s="1">
        <v>2043</v>
      </c>
      <c r="AW353" s="1">
        <v>2044</v>
      </c>
      <c r="AX353" s="1">
        <v>2045</v>
      </c>
      <c r="AY353" s="1">
        <v>2046</v>
      </c>
      <c r="AZ353" s="1">
        <v>2047</v>
      </c>
      <c r="BA353" s="1">
        <v>2048</v>
      </c>
      <c r="BB353" s="1">
        <v>2049</v>
      </c>
      <c r="BC353" s="1">
        <v>2050</v>
      </c>
    </row>
    <row r="354" spans="1:55">
      <c r="A354" s="1" t="str">
        <f>'Population Definitions'!$A$2</f>
        <v>PWID_males</v>
      </c>
      <c r="C354" t="s">
        <v>34</v>
      </c>
      <c r="D354" s="3"/>
      <c r="E354" s="3">
        <v>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</row>
    <row r="355" spans="1:55">
      <c r="A355" s="1" t="str">
        <f>'Population Definitions'!$A$3</f>
        <v>PWID_females</v>
      </c>
      <c r="C355" t="s">
        <v>34</v>
      </c>
      <c r="D355" s="3"/>
      <c r="E355" s="3">
        <v>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</row>
    <row r="356" spans="1:55">
      <c r="A356" s="1" t="str">
        <f>'Population Definitions'!$A$4</f>
        <v>0-9_males</v>
      </c>
      <c r="C356" t="s">
        <v>34</v>
      </c>
      <c r="D356" s="3"/>
      <c r="E356" s="3">
        <v>0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</row>
    <row r="357" spans="1:55">
      <c r="A357" s="1" t="str">
        <f>'Population Definitions'!$A$5</f>
        <v>0-9_females</v>
      </c>
      <c r="C357" t="s">
        <v>34</v>
      </c>
      <c r="D357" s="3"/>
      <c r="E357" s="3">
        <v>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</row>
    <row r="358" spans="1:55">
      <c r="A358" s="1" t="str">
        <f>'Population Definitions'!$A$6</f>
        <v>10-17_males</v>
      </c>
      <c r="C358" t="s">
        <v>34</v>
      </c>
      <c r="D358" s="3"/>
      <c r="E358" s="3">
        <v>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</row>
    <row r="359" spans="1:55">
      <c r="A359" s="1" t="str">
        <f>'Population Definitions'!$A$7</f>
        <v>10-17_females</v>
      </c>
      <c r="C359" t="s">
        <v>34</v>
      </c>
      <c r="D359" s="3"/>
      <c r="E359" s="3">
        <v>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</row>
    <row r="360" spans="1:55">
      <c r="A360" s="1" t="str">
        <f>'Population Definitions'!$A$8</f>
        <v>18-64_males</v>
      </c>
      <c r="C360" t="s">
        <v>34</v>
      </c>
      <c r="D360" s="3"/>
      <c r="E360" s="3">
        <v>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</row>
    <row r="361" spans="1:55">
      <c r="A361" s="1" t="str">
        <f>'Population Definitions'!$A$9</f>
        <v>18-64_females</v>
      </c>
      <c r="C361" t="s">
        <v>34</v>
      </c>
      <c r="D361" s="3"/>
      <c r="E361" s="3">
        <v>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</row>
    <row r="362" spans="1:55">
      <c r="A362" s="1" t="str">
        <f>'Population Definitions'!$A$10</f>
        <v>65+_males</v>
      </c>
      <c r="C362" t="s">
        <v>34</v>
      </c>
      <c r="D362" s="3"/>
      <c r="E362" s="3"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</row>
    <row r="363" spans="1:55">
      <c r="A363" s="1" t="str">
        <f>'Population Definitions'!$A$11</f>
        <v>65+_females</v>
      </c>
      <c r="C363" t="s">
        <v>34</v>
      </c>
      <c r="D363" s="3"/>
      <c r="E363" s="3">
        <v>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</row>
    <row r="364" spans="1:55">
      <c r="A364" s="1" t="str">
        <f>'Population Definitions'!$A$12</f>
        <v>Prisoners_males</v>
      </c>
      <c r="C364" t="s">
        <v>34</v>
      </c>
      <c r="D364" s="3"/>
      <c r="E364" s="3">
        <v>0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</row>
    <row r="365" spans="1:55">
      <c r="A365" s="1" t="str">
        <f>'Population Definitions'!$A$13</f>
        <v>Prisoners_females</v>
      </c>
      <c r="C365" t="s">
        <v>34</v>
      </c>
      <c r="D365" s="3"/>
      <c r="E365" s="3">
        <v>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</row>
    <row r="366" spans="1:55">
      <c r="A366" s="1" t="str">
        <f>'Population Definitions'!$A$14</f>
        <v>Prisoners_PWID_males</v>
      </c>
      <c r="C366" t="s">
        <v>34</v>
      </c>
      <c r="D366" s="3"/>
      <c r="E366" s="3">
        <v>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</row>
    <row r="367" spans="1:55">
      <c r="A367" s="1" t="str">
        <f>'Population Definitions'!$A$15</f>
        <v>Prisoners_PWID_females</v>
      </c>
      <c r="C367" t="s">
        <v>34</v>
      </c>
      <c r="D367" s="3"/>
      <c r="E367" s="3">
        <v>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</row>
    <row r="369" spans="1:55">
      <c r="A369" s="1" t="s">
        <v>150</v>
      </c>
      <c r="B369" s="1" t="s">
        <v>31</v>
      </c>
      <c r="C369" s="1" t="s">
        <v>32</v>
      </c>
      <c r="D369" s="1" t="s">
        <v>33</v>
      </c>
      <c r="E369" s="1">
        <v>2000</v>
      </c>
      <c r="F369" s="1">
        <v>2001</v>
      </c>
      <c r="G369" s="1">
        <v>2002</v>
      </c>
      <c r="H369" s="1">
        <v>2003</v>
      </c>
      <c r="I369" s="1">
        <v>2004</v>
      </c>
      <c r="J369" s="1">
        <v>2005</v>
      </c>
      <c r="K369" s="1">
        <v>2006</v>
      </c>
      <c r="L369" s="1">
        <v>2007</v>
      </c>
      <c r="M369" s="1">
        <v>2008</v>
      </c>
      <c r="N369" s="1">
        <v>2009</v>
      </c>
      <c r="O369" s="1">
        <v>2010</v>
      </c>
      <c r="P369" s="1">
        <v>2011</v>
      </c>
      <c r="Q369" s="1">
        <v>2012</v>
      </c>
      <c r="R369" s="1">
        <v>2013</v>
      </c>
      <c r="S369" s="1">
        <v>2014</v>
      </c>
      <c r="T369" s="1">
        <v>2015</v>
      </c>
      <c r="U369" s="1">
        <v>2016</v>
      </c>
      <c r="V369" s="1">
        <v>2017</v>
      </c>
      <c r="W369" s="1">
        <v>2018</v>
      </c>
      <c r="X369" s="1">
        <v>2019</v>
      </c>
      <c r="Y369" s="1">
        <v>2020</v>
      </c>
      <c r="Z369" s="1">
        <v>2021</v>
      </c>
      <c r="AA369" s="1">
        <v>2022</v>
      </c>
      <c r="AB369" s="1">
        <v>2023</v>
      </c>
      <c r="AC369" s="1">
        <v>2024</v>
      </c>
      <c r="AD369" s="1">
        <v>2025</v>
      </c>
      <c r="AE369" s="1">
        <v>2026</v>
      </c>
      <c r="AF369" s="1">
        <v>2027</v>
      </c>
      <c r="AG369" s="1">
        <v>2028</v>
      </c>
      <c r="AH369" s="1">
        <v>2029</v>
      </c>
      <c r="AI369" s="1">
        <v>2030</v>
      </c>
      <c r="AJ369" s="1">
        <v>2031</v>
      </c>
      <c r="AK369" s="1">
        <v>2032</v>
      </c>
      <c r="AL369" s="1">
        <v>2033</v>
      </c>
      <c r="AM369" s="1">
        <v>2034</v>
      </c>
      <c r="AN369" s="1">
        <v>2035</v>
      </c>
      <c r="AO369" s="1">
        <v>2036</v>
      </c>
      <c r="AP369" s="1">
        <v>2037</v>
      </c>
      <c r="AQ369" s="1">
        <v>2038</v>
      </c>
      <c r="AR369" s="1">
        <v>2039</v>
      </c>
      <c r="AS369" s="1">
        <v>2040</v>
      </c>
      <c r="AT369" s="1">
        <v>2041</v>
      </c>
      <c r="AU369" s="1">
        <v>2042</v>
      </c>
      <c r="AV369" s="1">
        <v>2043</v>
      </c>
      <c r="AW369" s="1">
        <v>2044</v>
      </c>
      <c r="AX369" s="1">
        <v>2045</v>
      </c>
      <c r="AY369" s="1">
        <v>2046</v>
      </c>
      <c r="AZ369" s="1">
        <v>2047</v>
      </c>
      <c r="BA369" s="1">
        <v>2048</v>
      </c>
      <c r="BB369" s="1">
        <v>2049</v>
      </c>
      <c r="BC369" s="1">
        <v>2050</v>
      </c>
    </row>
    <row r="370" spans="1:55">
      <c r="A370" s="1" t="str">
        <f>'Population Definitions'!$A$2</f>
        <v>PWID_males</v>
      </c>
      <c r="C370" t="s">
        <v>34</v>
      </c>
      <c r="D370" s="3"/>
      <c r="E370" s="3">
        <v>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</row>
    <row r="371" spans="1:55">
      <c r="A371" s="1" t="str">
        <f>'Population Definitions'!$A$3</f>
        <v>PWID_females</v>
      </c>
      <c r="C371" t="s">
        <v>34</v>
      </c>
      <c r="D371" s="3"/>
      <c r="E371" s="3">
        <v>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</row>
    <row r="372" spans="1:55">
      <c r="A372" s="1" t="str">
        <f>'Population Definitions'!$A$4</f>
        <v>0-9_males</v>
      </c>
      <c r="C372" t="s">
        <v>34</v>
      </c>
      <c r="D372" s="3"/>
      <c r="E372" s="3">
        <v>0</v>
      </c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</row>
    <row r="373" spans="1:55">
      <c r="A373" s="1" t="str">
        <f>'Population Definitions'!$A$5</f>
        <v>0-9_females</v>
      </c>
      <c r="C373" t="s">
        <v>34</v>
      </c>
      <c r="D373" s="3"/>
      <c r="E373" s="3">
        <v>0</v>
      </c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</row>
    <row r="374" spans="1:55">
      <c r="A374" s="1" t="str">
        <f>'Population Definitions'!$A$6</f>
        <v>10-17_males</v>
      </c>
      <c r="C374" t="s">
        <v>34</v>
      </c>
      <c r="D374" s="3"/>
      <c r="E374" s="3">
        <v>0</v>
      </c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</row>
    <row r="375" spans="1:55">
      <c r="A375" s="1" t="str">
        <f>'Population Definitions'!$A$7</f>
        <v>10-17_females</v>
      </c>
      <c r="C375" t="s">
        <v>34</v>
      </c>
      <c r="D375" s="3"/>
      <c r="E375" s="3">
        <v>0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</row>
    <row r="376" spans="1:55">
      <c r="A376" s="1" t="str">
        <f>'Population Definitions'!$A$8</f>
        <v>18-64_males</v>
      </c>
      <c r="C376" t="s">
        <v>34</v>
      </c>
      <c r="D376" s="3"/>
      <c r="E376" s="3">
        <v>0</v>
      </c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</row>
    <row r="377" spans="1:55">
      <c r="A377" s="1" t="str">
        <f>'Population Definitions'!$A$9</f>
        <v>18-64_females</v>
      </c>
      <c r="C377" t="s">
        <v>34</v>
      </c>
      <c r="D377" s="3"/>
      <c r="E377" s="3">
        <v>0</v>
      </c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</row>
    <row r="378" spans="1:55">
      <c r="A378" s="1" t="str">
        <f>'Population Definitions'!$A$10</f>
        <v>65+_males</v>
      </c>
      <c r="C378" t="s">
        <v>34</v>
      </c>
      <c r="D378" s="3"/>
      <c r="E378" s="3">
        <v>0</v>
      </c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</row>
    <row r="379" spans="1:55">
      <c r="A379" s="1" t="str">
        <f>'Population Definitions'!$A$11</f>
        <v>65+_females</v>
      </c>
      <c r="C379" t="s">
        <v>34</v>
      </c>
      <c r="D379" s="3"/>
      <c r="E379" s="3">
        <v>0</v>
      </c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</row>
    <row r="380" spans="1:55">
      <c r="A380" s="1" t="str">
        <f>'Population Definitions'!$A$12</f>
        <v>Prisoners_males</v>
      </c>
      <c r="C380" t="s">
        <v>34</v>
      </c>
      <c r="D380" s="3"/>
      <c r="E380" s="3">
        <v>0</v>
      </c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</row>
    <row r="381" spans="1:55">
      <c r="A381" s="1" t="str">
        <f>'Population Definitions'!$A$13</f>
        <v>Prisoners_females</v>
      </c>
      <c r="C381" t="s">
        <v>34</v>
      </c>
      <c r="D381" s="3"/>
      <c r="E381" s="3">
        <v>0</v>
      </c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</row>
    <row r="382" spans="1:55">
      <c r="A382" s="1" t="str">
        <f>'Population Definitions'!$A$14</f>
        <v>Prisoners_PWID_males</v>
      </c>
      <c r="C382" t="s">
        <v>34</v>
      </c>
      <c r="D382" s="3"/>
      <c r="E382" s="3">
        <v>0</v>
      </c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</row>
    <row r="383" spans="1:55">
      <c r="A383" s="1" t="str">
        <f>'Population Definitions'!$A$15</f>
        <v>Prisoners_PWID_females</v>
      </c>
      <c r="C383" t="s">
        <v>34</v>
      </c>
      <c r="D383" s="3"/>
      <c r="E383" s="3">
        <v>0</v>
      </c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</row>
    <row r="385" spans="1:55">
      <c r="A385" s="1" t="s">
        <v>151</v>
      </c>
      <c r="B385" s="1" t="s">
        <v>31</v>
      </c>
      <c r="C385" s="1" t="s">
        <v>32</v>
      </c>
      <c r="D385" s="1" t="s">
        <v>33</v>
      </c>
      <c r="E385" s="1">
        <v>2000</v>
      </c>
      <c r="F385" s="1">
        <v>2001</v>
      </c>
      <c r="G385" s="1">
        <v>2002</v>
      </c>
      <c r="H385" s="1">
        <v>2003</v>
      </c>
      <c r="I385" s="1">
        <v>2004</v>
      </c>
      <c r="J385" s="1">
        <v>2005</v>
      </c>
      <c r="K385" s="1">
        <v>2006</v>
      </c>
      <c r="L385" s="1">
        <v>2007</v>
      </c>
      <c r="M385" s="1">
        <v>2008</v>
      </c>
      <c r="N385" s="1">
        <v>2009</v>
      </c>
      <c r="O385" s="1">
        <v>2010</v>
      </c>
      <c r="P385" s="1">
        <v>2011</v>
      </c>
      <c r="Q385" s="1">
        <v>2012</v>
      </c>
      <c r="R385" s="1">
        <v>2013</v>
      </c>
      <c r="S385" s="1">
        <v>2014</v>
      </c>
      <c r="T385" s="1">
        <v>2015</v>
      </c>
      <c r="U385" s="1">
        <v>2016</v>
      </c>
      <c r="V385" s="1">
        <v>2017</v>
      </c>
      <c r="W385" s="1">
        <v>2018</v>
      </c>
      <c r="X385" s="1">
        <v>2019</v>
      </c>
      <c r="Y385" s="1">
        <v>2020</v>
      </c>
      <c r="Z385" s="1">
        <v>2021</v>
      </c>
      <c r="AA385" s="1">
        <v>2022</v>
      </c>
      <c r="AB385" s="1">
        <v>2023</v>
      </c>
      <c r="AC385" s="1">
        <v>2024</v>
      </c>
      <c r="AD385" s="1">
        <v>2025</v>
      </c>
      <c r="AE385" s="1">
        <v>2026</v>
      </c>
      <c r="AF385" s="1">
        <v>2027</v>
      </c>
      <c r="AG385" s="1">
        <v>2028</v>
      </c>
      <c r="AH385" s="1">
        <v>2029</v>
      </c>
      <c r="AI385" s="1">
        <v>2030</v>
      </c>
      <c r="AJ385" s="1">
        <v>2031</v>
      </c>
      <c r="AK385" s="1">
        <v>2032</v>
      </c>
      <c r="AL385" s="1">
        <v>2033</v>
      </c>
      <c r="AM385" s="1">
        <v>2034</v>
      </c>
      <c r="AN385" s="1">
        <v>2035</v>
      </c>
      <c r="AO385" s="1">
        <v>2036</v>
      </c>
      <c r="AP385" s="1">
        <v>2037</v>
      </c>
      <c r="AQ385" s="1">
        <v>2038</v>
      </c>
      <c r="AR385" s="1">
        <v>2039</v>
      </c>
      <c r="AS385" s="1">
        <v>2040</v>
      </c>
      <c r="AT385" s="1">
        <v>2041</v>
      </c>
      <c r="AU385" s="1">
        <v>2042</v>
      </c>
      <c r="AV385" s="1">
        <v>2043</v>
      </c>
      <c r="AW385" s="1">
        <v>2044</v>
      </c>
      <c r="AX385" s="1">
        <v>2045</v>
      </c>
      <c r="AY385" s="1">
        <v>2046</v>
      </c>
      <c r="AZ385" s="1">
        <v>2047</v>
      </c>
      <c r="BA385" s="1">
        <v>2048</v>
      </c>
      <c r="BB385" s="1">
        <v>2049</v>
      </c>
      <c r="BC385" s="1">
        <v>2050</v>
      </c>
    </row>
    <row r="386" spans="1:55">
      <c r="A386" s="1" t="str">
        <f>'Population Definitions'!$A$2</f>
        <v>PWID_males</v>
      </c>
      <c r="C386" t="s">
        <v>34</v>
      </c>
      <c r="D386" s="3"/>
      <c r="E386" s="3">
        <v>0</v>
      </c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</row>
    <row r="387" spans="1:55">
      <c r="A387" s="1" t="str">
        <f>'Population Definitions'!$A$3</f>
        <v>PWID_females</v>
      </c>
      <c r="C387" t="s">
        <v>34</v>
      </c>
      <c r="D387" s="3"/>
      <c r="E387" s="3">
        <v>0</v>
      </c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</row>
    <row r="388" spans="1:55">
      <c r="A388" s="1" t="str">
        <f>'Population Definitions'!$A$4</f>
        <v>0-9_males</v>
      </c>
      <c r="C388" t="s">
        <v>34</v>
      </c>
      <c r="D388" s="3"/>
      <c r="E388" s="3">
        <v>0</v>
      </c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</row>
    <row r="389" spans="1:55">
      <c r="A389" s="1" t="str">
        <f>'Population Definitions'!$A$5</f>
        <v>0-9_females</v>
      </c>
      <c r="C389" t="s">
        <v>34</v>
      </c>
      <c r="D389" s="3"/>
      <c r="E389" s="3">
        <v>0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</row>
    <row r="390" spans="1:55">
      <c r="A390" s="1" t="str">
        <f>'Population Definitions'!$A$6</f>
        <v>10-17_males</v>
      </c>
      <c r="C390" t="s">
        <v>34</v>
      </c>
      <c r="D390" s="3"/>
      <c r="E390" s="3">
        <v>0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</row>
    <row r="391" spans="1:55">
      <c r="A391" s="1" t="str">
        <f>'Population Definitions'!$A$7</f>
        <v>10-17_females</v>
      </c>
      <c r="C391" t="s">
        <v>34</v>
      </c>
      <c r="D391" s="3"/>
      <c r="E391" s="3">
        <v>0</v>
      </c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</row>
    <row r="392" spans="1:55">
      <c r="A392" s="1" t="str">
        <f>'Population Definitions'!$A$8</f>
        <v>18-64_males</v>
      </c>
      <c r="C392" t="s">
        <v>34</v>
      </c>
      <c r="D392" s="3"/>
      <c r="E392" s="3">
        <v>0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</row>
    <row r="393" spans="1:55">
      <c r="A393" s="1" t="str">
        <f>'Population Definitions'!$A$9</f>
        <v>18-64_females</v>
      </c>
      <c r="C393" t="s">
        <v>34</v>
      </c>
      <c r="D393" s="3"/>
      <c r="E393" s="3">
        <v>0</v>
      </c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</row>
    <row r="394" spans="1:55">
      <c r="A394" s="1" t="str">
        <f>'Population Definitions'!$A$10</f>
        <v>65+_males</v>
      </c>
      <c r="C394" t="s">
        <v>34</v>
      </c>
      <c r="D394" s="3"/>
      <c r="E394" s="3">
        <v>0</v>
      </c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</row>
    <row r="395" spans="1:55">
      <c r="A395" s="1" t="str">
        <f>'Population Definitions'!$A$11</f>
        <v>65+_females</v>
      </c>
      <c r="C395" t="s">
        <v>34</v>
      </c>
      <c r="D395" s="3"/>
      <c r="E395" s="3">
        <v>0</v>
      </c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</row>
    <row r="396" spans="1:55">
      <c r="A396" s="1" t="str">
        <f>'Population Definitions'!$A$12</f>
        <v>Prisoners_males</v>
      </c>
      <c r="C396" t="s">
        <v>34</v>
      </c>
      <c r="D396" s="3"/>
      <c r="E396" s="3">
        <v>0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</row>
    <row r="397" spans="1:55">
      <c r="A397" s="1" t="str">
        <f>'Population Definitions'!$A$13</f>
        <v>Prisoners_females</v>
      </c>
      <c r="C397" t="s">
        <v>34</v>
      </c>
      <c r="D397" s="3"/>
      <c r="E397" s="3">
        <v>0</v>
      </c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</row>
    <row r="398" spans="1:55">
      <c r="A398" s="1" t="str">
        <f>'Population Definitions'!$A$14</f>
        <v>Prisoners_PWID_males</v>
      </c>
      <c r="C398" t="s">
        <v>34</v>
      </c>
      <c r="D398" s="3"/>
      <c r="E398" s="3">
        <v>0</v>
      </c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</row>
    <row r="399" spans="1:55">
      <c r="A399" s="1" t="str">
        <f>'Population Definitions'!$A$15</f>
        <v>Prisoners_PWID_females</v>
      </c>
      <c r="C399" t="s">
        <v>34</v>
      </c>
      <c r="D399" s="3"/>
      <c r="E399" s="3">
        <v>0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</row>
    <row r="401" spans="1:55">
      <c r="A401" s="1" t="s">
        <v>152</v>
      </c>
      <c r="B401" s="1" t="s">
        <v>31</v>
      </c>
      <c r="C401" s="1" t="s">
        <v>32</v>
      </c>
      <c r="D401" s="1" t="s">
        <v>33</v>
      </c>
      <c r="E401" s="1">
        <v>2000</v>
      </c>
      <c r="F401" s="1">
        <v>2001</v>
      </c>
      <c r="G401" s="1">
        <v>2002</v>
      </c>
      <c r="H401" s="1">
        <v>2003</v>
      </c>
      <c r="I401" s="1">
        <v>2004</v>
      </c>
      <c r="J401" s="1">
        <v>2005</v>
      </c>
      <c r="K401" s="1">
        <v>2006</v>
      </c>
      <c r="L401" s="1">
        <v>2007</v>
      </c>
      <c r="M401" s="1">
        <v>2008</v>
      </c>
      <c r="N401" s="1">
        <v>2009</v>
      </c>
      <c r="O401" s="1">
        <v>2010</v>
      </c>
      <c r="P401" s="1">
        <v>2011</v>
      </c>
      <c r="Q401" s="1">
        <v>2012</v>
      </c>
      <c r="R401" s="1">
        <v>2013</v>
      </c>
      <c r="S401" s="1">
        <v>2014</v>
      </c>
      <c r="T401" s="1">
        <v>2015</v>
      </c>
      <c r="U401" s="1">
        <v>2016</v>
      </c>
      <c r="V401" s="1">
        <v>2017</v>
      </c>
      <c r="W401" s="1">
        <v>2018</v>
      </c>
      <c r="X401" s="1">
        <v>2019</v>
      </c>
      <c r="Y401" s="1">
        <v>2020</v>
      </c>
      <c r="Z401" s="1">
        <v>2021</v>
      </c>
      <c r="AA401" s="1">
        <v>2022</v>
      </c>
      <c r="AB401" s="1">
        <v>2023</v>
      </c>
      <c r="AC401" s="1">
        <v>2024</v>
      </c>
      <c r="AD401" s="1">
        <v>2025</v>
      </c>
      <c r="AE401" s="1">
        <v>2026</v>
      </c>
      <c r="AF401" s="1">
        <v>2027</v>
      </c>
      <c r="AG401" s="1">
        <v>2028</v>
      </c>
      <c r="AH401" s="1">
        <v>2029</v>
      </c>
      <c r="AI401" s="1">
        <v>2030</v>
      </c>
      <c r="AJ401" s="1">
        <v>2031</v>
      </c>
      <c r="AK401" s="1">
        <v>2032</v>
      </c>
      <c r="AL401" s="1">
        <v>2033</v>
      </c>
      <c r="AM401" s="1">
        <v>2034</v>
      </c>
      <c r="AN401" s="1">
        <v>2035</v>
      </c>
      <c r="AO401" s="1">
        <v>2036</v>
      </c>
      <c r="AP401" s="1">
        <v>2037</v>
      </c>
      <c r="AQ401" s="1">
        <v>2038</v>
      </c>
      <c r="AR401" s="1">
        <v>2039</v>
      </c>
      <c r="AS401" s="1">
        <v>2040</v>
      </c>
      <c r="AT401" s="1">
        <v>2041</v>
      </c>
      <c r="AU401" s="1">
        <v>2042</v>
      </c>
      <c r="AV401" s="1">
        <v>2043</v>
      </c>
      <c r="AW401" s="1">
        <v>2044</v>
      </c>
      <c r="AX401" s="1">
        <v>2045</v>
      </c>
      <c r="AY401" s="1">
        <v>2046</v>
      </c>
      <c r="AZ401" s="1">
        <v>2047</v>
      </c>
      <c r="BA401" s="1">
        <v>2048</v>
      </c>
      <c r="BB401" s="1">
        <v>2049</v>
      </c>
      <c r="BC401" s="1">
        <v>2050</v>
      </c>
    </row>
    <row r="402" spans="1:55">
      <c r="A402" s="1" t="str">
        <f>'Population Definitions'!$A$2</f>
        <v>PWID_males</v>
      </c>
      <c r="C402" t="s">
        <v>34</v>
      </c>
      <c r="D402" s="3"/>
      <c r="E402" s="3">
        <v>0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</row>
    <row r="403" spans="1:55">
      <c r="A403" s="1" t="str">
        <f>'Population Definitions'!$A$3</f>
        <v>PWID_females</v>
      </c>
      <c r="C403" t="s">
        <v>34</v>
      </c>
      <c r="D403" s="3"/>
      <c r="E403" s="3">
        <v>0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</row>
    <row r="404" spans="1:55">
      <c r="A404" s="1" t="str">
        <f>'Population Definitions'!$A$4</f>
        <v>0-9_males</v>
      </c>
      <c r="C404" t="s">
        <v>34</v>
      </c>
      <c r="D404" s="3"/>
      <c r="E404" s="3">
        <v>0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</row>
    <row r="405" spans="1:55">
      <c r="A405" s="1" t="str">
        <f>'Population Definitions'!$A$5</f>
        <v>0-9_females</v>
      </c>
      <c r="C405" t="s">
        <v>34</v>
      </c>
      <c r="D405" s="3"/>
      <c r="E405" s="3">
        <v>0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</row>
    <row r="406" spans="1:55">
      <c r="A406" s="1" t="str">
        <f>'Population Definitions'!$A$6</f>
        <v>10-17_males</v>
      </c>
      <c r="C406" t="s">
        <v>34</v>
      </c>
      <c r="D406" s="3"/>
      <c r="E406" s="3">
        <v>0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</row>
    <row r="407" spans="1:55">
      <c r="A407" s="1" t="str">
        <f>'Population Definitions'!$A$7</f>
        <v>10-17_females</v>
      </c>
      <c r="C407" t="s">
        <v>34</v>
      </c>
      <c r="D407" s="3"/>
      <c r="E407" s="3">
        <v>0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</row>
    <row r="408" spans="1:55">
      <c r="A408" s="1" t="str">
        <f>'Population Definitions'!$A$8</f>
        <v>18-64_males</v>
      </c>
      <c r="C408" t="s">
        <v>34</v>
      </c>
      <c r="D408" s="3"/>
      <c r="E408" s="3">
        <v>0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</row>
    <row r="409" spans="1:55">
      <c r="A409" s="1" t="str">
        <f>'Population Definitions'!$A$9</f>
        <v>18-64_females</v>
      </c>
      <c r="C409" t="s">
        <v>34</v>
      </c>
      <c r="D409" s="3"/>
      <c r="E409" s="3">
        <v>0</v>
      </c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</row>
    <row r="410" spans="1:55">
      <c r="A410" s="1" t="str">
        <f>'Population Definitions'!$A$10</f>
        <v>65+_males</v>
      </c>
      <c r="C410" t="s">
        <v>34</v>
      </c>
      <c r="D410" s="3"/>
      <c r="E410" s="3">
        <v>0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</row>
    <row r="411" spans="1:55">
      <c r="A411" s="1" t="str">
        <f>'Population Definitions'!$A$11</f>
        <v>65+_females</v>
      </c>
      <c r="C411" t="s">
        <v>34</v>
      </c>
      <c r="D411" s="3"/>
      <c r="E411" s="3">
        <v>0</v>
      </c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</row>
    <row r="412" spans="1:55">
      <c r="A412" s="1" t="str">
        <f>'Population Definitions'!$A$12</f>
        <v>Prisoners_males</v>
      </c>
      <c r="C412" t="s">
        <v>34</v>
      </c>
      <c r="D412" s="3"/>
      <c r="E412" s="3">
        <v>0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</row>
    <row r="413" spans="1:55">
      <c r="A413" s="1" t="str">
        <f>'Population Definitions'!$A$13</f>
        <v>Prisoners_females</v>
      </c>
      <c r="C413" t="s">
        <v>34</v>
      </c>
      <c r="D413" s="3"/>
      <c r="E413" s="3">
        <v>0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</row>
    <row r="414" spans="1:55">
      <c r="A414" s="1" t="str">
        <f>'Population Definitions'!$A$14</f>
        <v>Prisoners_PWID_males</v>
      </c>
      <c r="C414" t="s">
        <v>34</v>
      </c>
      <c r="D414" s="3"/>
      <c r="E414" s="3">
        <v>0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</row>
    <row r="415" spans="1:55">
      <c r="A415" s="1" t="str">
        <f>'Population Definitions'!$A$15</f>
        <v>Prisoners_PWID_females</v>
      </c>
      <c r="C415" t="s">
        <v>34</v>
      </c>
      <c r="D415" s="3"/>
      <c r="E415" s="3">
        <v>0</v>
      </c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</row>
    <row r="417" spans="1:55">
      <c r="A417" s="1" t="s">
        <v>153</v>
      </c>
      <c r="B417" s="1" t="s">
        <v>31</v>
      </c>
      <c r="C417" s="1" t="s">
        <v>32</v>
      </c>
      <c r="D417" s="1" t="s">
        <v>33</v>
      </c>
      <c r="E417" s="1">
        <v>2000</v>
      </c>
      <c r="F417" s="1">
        <v>2001</v>
      </c>
      <c r="G417" s="1">
        <v>2002</v>
      </c>
      <c r="H417" s="1">
        <v>2003</v>
      </c>
      <c r="I417" s="1">
        <v>2004</v>
      </c>
      <c r="J417" s="1">
        <v>2005</v>
      </c>
      <c r="K417" s="1">
        <v>2006</v>
      </c>
      <c r="L417" s="1">
        <v>2007</v>
      </c>
      <c r="M417" s="1">
        <v>2008</v>
      </c>
      <c r="N417" s="1">
        <v>2009</v>
      </c>
      <c r="O417" s="1">
        <v>2010</v>
      </c>
      <c r="P417" s="1">
        <v>2011</v>
      </c>
      <c r="Q417" s="1">
        <v>2012</v>
      </c>
      <c r="R417" s="1">
        <v>2013</v>
      </c>
      <c r="S417" s="1">
        <v>2014</v>
      </c>
      <c r="T417" s="1">
        <v>2015</v>
      </c>
      <c r="U417" s="1">
        <v>2016</v>
      </c>
      <c r="V417" s="1">
        <v>2017</v>
      </c>
      <c r="W417" s="1">
        <v>2018</v>
      </c>
      <c r="X417" s="1">
        <v>2019</v>
      </c>
      <c r="Y417" s="1">
        <v>2020</v>
      </c>
      <c r="Z417" s="1">
        <v>2021</v>
      </c>
      <c r="AA417" s="1">
        <v>2022</v>
      </c>
      <c r="AB417" s="1">
        <v>2023</v>
      </c>
      <c r="AC417" s="1">
        <v>2024</v>
      </c>
      <c r="AD417" s="1">
        <v>2025</v>
      </c>
      <c r="AE417" s="1">
        <v>2026</v>
      </c>
      <c r="AF417" s="1">
        <v>2027</v>
      </c>
      <c r="AG417" s="1">
        <v>2028</v>
      </c>
      <c r="AH417" s="1">
        <v>2029</v>
      </c>
      <c r="AI417" s="1">
        <v>2030</v>
      </c>
      <c r="AJ417" s="1">
        <v>2031</v>
      </c>
      <c r="AK417" s="1">
        <v>2032</v>
      </c>
      <c r="AL417" s="1">
        <v>2033</v>
      </c>
      <c r="AM417" s="1">
        <v>2034</v>
      </c>
      <c r="AN417" s="1">
        <v>2035</v>
      </c>
      <c r="AO417" s="1">
        <v>2036</v>
      </c>
      <c r="AP417" s="1">
        <v>2037</v>
      </c>
      <c r="AQ417" s="1">
        <v>2038</v>
      </c>
      <c r="AR417" s="1">
        <v>2039</v>
      </c>
      <c r="AS417" s="1">
        <v>2040</v>
      </c>
      <c r="AT417" s="1">
        <v>2041</v>
      </c>
      <c r="AU417" s="1">
        <v>2042</v>
      </c>
      <c r="AV417" s="1">
        <v>2043</v>
      </c>
      <c r="AW417" s="1">
        <v>2044</v>
      </c>
      <c r="AX417" s="1">
        <v>2045</v>
      </c>
      <c r="AY417" s="1">
        <v>2046</v>
      </c>
      <c r="AZ417" s="1">
        <v>2047</v>
      </c>
      <c r="BA417" s="1">
        <v>2048</v>
      </c>
      <c r="BB417" s="1">
        <v>2049</v>
      </c>
      <c r="BC417" s="1">
        <v>2050</v>
      </c>
    </row>
    <row r="418" spans="1:55">
      <c r="A418" s="1" t="str">
        <f>'Population Definitions'!$A$2</f>
        <v>PWID_males</v>
      </c>
      <c r="C418" t="s">
        <v>34</v>
      </c>
      <c r="D418" s="3"/>
      <c r="E418" s="3">
        <v>0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</row>
    <row r="419" spans="1:55">
      <c r="A419" s="1" t="str">
        <f>'Population Definitions'!$A$3</f>
        <v>PWID_females</v>
      </c>
      <c r="C419" t="s">
        <v>34</v>
      </c>
      <c r="D419" s="3"/>
      <c r="E419" s="3">
        <v>0</v>
      </c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</row>
    <row r="420" spans="1:55">
      <c r="A420" s="1" t="str">
        <f>'Population Definitions'!$A$4</f>
        <v>0-9_males</v>
      </c>
      <c r="C420" t="s">
        <v>34</v>
      </c>
      <c r="D420" s="3"/>
      <c r="E420" s="3">
        <v>0</v>
      </c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</row>
    <row r="421" spans="1:55">
      <c r="A421" s="1" t="str">
        <f>'Population Definitions'!$A$5</f>
        <v>0-9_females</v>
      </c>
      <c r="C421" t="s">
        <v>34</v>
      </c>
      <c r="D421" s="3"/>
      <c r="E421" s="3">
        <v>0</v>
      </c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</row>
    <row r="422" spans="1:55">
      <c r="A422" s="1" t="str">
        <f>'Population Definitions'!$A$6</f>
        <v>10-17_males</v>
      </c>
      <c r="C422" t="s">
        <v>34</v>
      </c>
      <c r="D422" s="3"/>
      <c r="E422" s="3">
        <v>0</v>
      </c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</row>
    <row r="423" spans="1:55">
      <c r="A423" s="1" t="str">
        <f>'Population Definitions'!$A$7</f>
        <v>10-17_females</v>
      </c>
      <c r="C423" t="s">
        <v>34</v>
      </c>
      <c r="D423" s="3"/>
      <c r="E423" s="3">
        <v>0</v>
      </c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</row>
    <row r="424" spans="1:55">
      <c r="A424" s="1" t="str">
        <f>'Population Definitions'!$A$8</f>
        <v>18-64_males</v>
      </c>
      <c r="C424" t="s">
        <v>34</v>
      </c>
      <c r="D424" s="3"/>
      <c r="E424" s="3">
        <v>0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</row>
    <row r="425" spans="1:55">
      <c r="A425" s="1" t="str">
        <f>'Population Definitions'!$A$9</f>
        <v>18-64_females</v>
      </c>
      <c r="C425" t="s">
        <v>34</v>
      </c>
      <c r="D425" s="3"/>
      <c r="E425" s="3">
        <v>0</v>
      </c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</row>
    <row r="426" spans="1:55">
      <c r="A426" s="1" t="str">
        <f>'Population Definitions'!$A$10</f>
        <v>65+_males</v>
      </c>
      <c r="C426" t="s">
        <v>34</v>
      </c>
      <c r="D426" s="3"/>
      <c r="E426" s="3">
        <v>0</v>
      </c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</row>
    <row r="427" spans="1:55">
      <c r="A427" s="1" t="str">
        <f>'Population Definitions'!$A$11</f>
        <v>65+_females</v>
      </c>
      <c r="C427" t="s">
        <v>34</v>
      </c>
      <c r="D427" s="3"/>
      <c r="E427" s="3">
        <v>0</v>
      </c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</row>
    <row r="428" spans="1:55">
      <c r="A428" s="1" t="str">
        <f>'Population Definitions'!$A$12</f>
        <v>Prisoners_males</v>
      </c>
      <c r="C428" t="s">
        <v>34</v>
      </c>
      <c r="D428" s="3"/>
      <c r="E428" s="3">
        <v>0</v>
      </c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</row>
    <row r="429" spans="1:55">
      <c r="A429" s="1" t="str">
        <f>'Population Definitions'!$A$13</f>
        <v>Prisoners_females</v>
      </c>
      <c r="C429" t="s">
        <v>34</v>
      </c>
      <c r="D429" s="3"/>
      <c r="E429" s="3">
        <v>0</v>
      </c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</row>
    <row r="430" spans="1:55">
      <c r="A430" s="1" t="str">
        <f>'Population Definitions'!$A$14</f>
        <v>Prisoners_PWID_males</v>
      </c>
      <c r="C430" t="s">
        <v>34</v>
      </c>
      <c r="D430" s="3"/>
      <c r="E430" s="3">
        <v>0</v>
      </c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</row>
    <row r="431" spans="1:55">
      <c r="A431" s="1" t="str">
        <f>'Population Definitions'!$A$15</f>
        <v>Prisoners_PWID_females</v>
      </c>
      <c r="C431" t="s">
        <v>34</v>
      </c>
      <c r="D431" s="3"/>
      <c r="E431" s="3">
        <v>0</v>
      </c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</row>
    <row r="433" spans="1:55">
      <c r="A433" s="1" t="s">
        <v>154</v>
      </c>
      <c r="B433" s="1" t="s">
        <v>31</v>
      </c>
      <c r="C433" s="1" t="s">
        <v>32</v>
      </c>
      <c r="D433" s="1" t="s">
        <v>33</v>
      </c>
      <c r="E433" s="1">
        <v>2000</v>
      </c>
      <c r="F433" s="1">
        <v>2001</v>
      </c>
      <c r="G433" s="1">
        <v>2002</v>
      </c>
      <c r="H433" s="1">
        <v>2003</v>
      </c>
      <c r="I433" s="1">
        <v>2004</v>
      </c>
      <c r="J433" s="1">
        <v>2005</v>
      </c>
      <c r="K433" s="1">
        <v>2006</v>
      </c>
      <c r="L433" s="1">
        <v>2007</v>
      </c>
      <c r="M433" s="1">
        <v>2008</v>
      </c>
      <c r="N433" s="1">
        <v>2009</v>
      </c>
      <c r="O433" s="1">
        <v>2010</v>
      </c>
      <c r="P433" s="1">
        <v>2011</v>
      </c>
      <c r="Q433" s="1">
        <v>2012</v>
      </c>
      <c r="R433" s="1">
        <v>2013</v>
      </c>
      <c r="S433" s="1">
        <v>2014</v>
      </c>
      <c r="T433" s="1">
        <v>2015</v>
      </c>
      <c r="U433" s="1">
        <v>2016</v>
      </c>
      <c r="V433" s="1">
        <v>2017</v>
      </c>
      <c r="W433" s="1">
        <v>2018</v>
      </c>
      <c r="X433" s="1">
        <v>2019</v>
      </c>
      <c r="Y433" s="1">
        <v>2020</v>
      </c>
      <c r="Z433" s="1">
        <v>2021</v>
      </c>
      <c r="AA433" s="1">
        <v>2022</v>
      </c>
      <c r="AB433" s="1">
        <v>2023</v>
      </c>
      <c r="AC433" s="1">
        <v>2024</v>
      </c>
      <c r="AD433" s="1">
        <v>2025</v>
      </c>
      <c r="AE433" s="1">
        <v>2026</v>
      </c>
      <c r="AF433" s="1">
        <v>2027</v>
      </c>
      <c r="AG433" s="1">
        <v>2028</v>
      </c>
      <c r="AH433" s="1">
        <v>2029</v>
      </c>
      <c r="AI433" s="1">
        <v>2030</v>
      </c>
      <c r="AJ433" s="1">
        <v>2031</v>
      </c>
      <c r="AK433" s="1">
        <v>2032</v>
      </c>
      <c r="AL433" s="1">
        <v>2033</v>
      </c>
      <c r="AM433" s="1">
        <v>2034</v>
      </c>
      <c r="AN433" s="1">
        <v>2035</v>
      </c>
      <c r="AO433" s="1">
        <v>2036</v>
      </c>
      <c r="AP433" s="1">
        <v>2037</v>
      </c>
      <c r="AQ433" s="1">
        <v>2038</v>
      </c>
      <c r="AR433" s="1">
        <v>2039</v>
      </c>
      <c r="AS433" s="1">
        <v>2040</v>
      </c>
      <c r="AT433" s="1">
        <v>2041</v>
      </c>
      <c r="AU433" s="1">
        <v>2042</v>
      </c>
      <c r="AV433" s="1">
        <v>2043</v>
      </c>
      <c r="AW433" s="1">
        <v>2044</v>
      </c>
      <c r="AX433" s="1">
        <v>2045</v>
      </c>
      <c r="AY433" s="1">
        <v>2046</v>
      </c>
      <c r="AZ433" s="1">
        <v>2047</v>
      </c>
      <c r="BA433" s="1">
        <v>2048</v>
      </c>
      <c r="BB433" s="1">
        <v>2049</v>
      </c>
      <c r="BC433" s="1">
        <v>2050</v>
      </c>
    </row>
    <row r="434" spans="1:55">
      <c r="A434" s="1" t="str">
        <f>'Population Definitions'!$A$2</f>
        <v>PWID_males</v>
      </c>
      <c r="C434" t="s">
        <v>34</v>
      </c>
      <c r="D434" s="3"/>
      <c r="E434" s="3">
        <v>0</v>
      </c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</row>
    <row r="435" spans="1:55">
      <c r="A435" s="1" t="str">
        <f>'Population Definitions'!$A$3</f>
        <v>PWID_females</v>
      </c>
      <c r="C435" t="s">
        <v>34</v>
      </c>
      <c r="D435" s="3"/>
      <c r="E435" s="3">
        <v>0</v>
      </c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</row>
    <row r="436" spans="1:55">
      <c r="A436" s="1" t="str">
        <f>'Population Definitions'!$A$4</f>
        <v>0-9_males</v>
      </c>
      <c r="C436" t="s">
        <v>34</v>
      </c>
      <c r="D436" s="3"/>
      <c r="E436" s="3">
        <v>0</v>
      </c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</row>
    <row r="437" spans="1:55">
      <c r="A437" s="1" t="str">
        <f>'Population Definitions'!$A$5</f>
        <v>0-9_females</v>
      </c>
      <c r="C437" t="s">
        <v>34</v>
      </c>
      <c r="D437" s="3"/>
      <c r="E437" s="3">
        <v>0</v>
      </c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</row>
    <row r="438" spans="1:55">
      <c r="A438" s="1" t="str">
        <f>'Population Definitions'!$A$6</f>
        <v>10-17_males</v>
      </c>
      <c r="C438" t="s">
        <v>34</v>
      </c>
      <c r="D438" s="3"/>
      <c r="E438" s="3">
        <v>0</v>
      </c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</row>
    <row r="439" spans="1:55">
      <c r="A439" s="1" t="str">
        <f>'Population Definitions'!$A$7</f>
        <v>10-17_females</v>
      </c>
      <c r="C439" t="s">
        <v>34</v>
      </c>
      <c r="D439" s="3"/>
      <c r="E439" s="3">
        <v>0</v>
      </c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</row>
    <row r="440" spans="1:55">
      <c r="A440" s="1" t="str">
        <f>'Population Definitions'!$A$8</f>
        <v>18-64_males</v>
      </c>
      <c r="C440" t="s">
        <v>34</v>
      </c>
      <c r="D440" s="3"/>
      <c r="E440" s="3">
        <v>0</v>
      </c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</row>
    <row r="441" spans="1:55">
      <c r="A441" s="1" t="str">
        <f>'Population Definitions'!$A$9</f>
        <v>18-64_females</v>
      </c>
      <c r="C441" t="s">
        <v>34</v>
      </c>
      <c r="D441" s="3"/>
      <c r="E441" s="3">
        <v>0</v>
      </c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</row>
    <row r="442" spans="1:55">
      <c r="A442" s="1" t="str">
        <f>'Population Definitions'!$A$10</f>
        <v>65+_males</v>
      </c>
      <c r="C442" t="s">
        <v>34</v>
      </c>
      <c r="D442" s="3"/>
      <c r="E442" s="3">
        <v>0</v>
      </c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</row>
    <row r="443" spans="1:55">
      <c r="A443" s="1" t="str">
        <f>'Population Definitions'!$A$11</f>
        <v>65+_females</v>
      </c>
      <c r="C443" t="s">
        <v>34</v>
      </c>
      <c r="D443" s="3"/>
      <c r="E443" s="3">
        <v>0</v>
      </c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</row>
    <row r="444" spans="1:55">
      <c r="A444" s="1" t="str">
        <f>'Population Definitions'!$A$12</f>
        <v>Prisoners_males</v>
      </c>
      <c r="C444" t="s">
        <v>34</v>
      </c>
      <c r="D444" s="3"/>
      <c r="E444" s="3">
        <v>0</v>
      </c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</row>
    <row r="445" spans="1:55">
      <c r="A445" s="1" t="str">
        <f>'Population Definitions'!$A$13</f>
        <v>Prisoners_females</v>
      </c>
      <c r="C445" t="s">
        <v>34</v>
      </c>
      <c r="D445" s="3"/>
      <c r="E445" s="3">
        <v>0</v>
      </c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</row>
    <row r="446" spans="1:55">
      <c r="A446" s="1" t="str">
        <f>'Population Definitions'!$A$14</f>
        <v>Prisoners_PWID_males</v>
      </c>
      <c r="C446" t="s">
        <v>34</v>
      </c>
      <c r="D446" s="3"/>
      <c r="E446" s="3">
        <v>0</v>
      </c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</row>
    <row r="447" spans="1:55">
      <c r="A447" s="1" t="str">
        <f>'Population Definitions'!$A$15</f>
        <v>Prisoners_PWID_females</v>
      </c>
      <c r="C447" t="s">
        <v>34</v>
      </c>
      <c r="D447" s="3"/>
      <c r="E447" s="3">
        <v>0</v>
      </c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</row>
    <row r="449" spans="1:55">
      <c r="A449" s="1" t="s">
        <v>155</v>
      </c>
      <c r="B449" s="1" t="s">
        <v>31</v>
      </c>
      <c r="C449" s="1" t="s">
        <v>32</v>
      </c>
      <c r="D449" s="1" t="s">
        <v>33</v>
      </c>
      <c r="E449" s="1">
        <v>2000</v>
      </c>
      <c r="F449" s="1">
        <v>2001</v>
      </c>
      <c r="G449" s="1">
        <v>2002</v>
      </c>
      <c r="H449" s="1">
        <v>2003</v>
      </c>
      <c r="I449" s="1">
        <v>2004</v>
      </c>
      <c r="J449" s="1">
        <v>2005</v>
      </c>
      <c r="K449" s="1">
        <v>2006</v>
      </c>
      <c r="L449" s="1">
        <v>2007</v>
      </c>
      <c r="M449" s="1">
        <v>2008</v>
      </c>
      <c r="N449" s="1">
        <v>2009</v>
      </c>
      <c r="O449" s="1">
        <v>2010</v>
      </c>
      <c r="P449" s="1">
        <v>2011</v>
      </c>
      <c r="Q449" s="1">
        <v>2012</v>
      </c>
      <c r="R449" s="1">
        <v>2013</v>
      </c>
      <c r="S449" s="1">
        <v>2014</v>
      </c>
      <c r="T449" s="1">
        <v>2015</v>
      </c>
      <c r="U449" s="1">
        <v>2016</v>
      </c>
      <c r="V449" s="1">
        <v>2017</v>
      </c>
      <c r="W449" s="1">
        <v>2018</v>
      </c>
      <c r="X449" s="1">
        <v>2019</v>
      </c>
      <c r="Y449" s="1">
        <v>2020</v>
      </c>
      <c r="Z449" s="1">
        <v>2021</v>
      </c>
      <c r="AA449" s="1">
        <v>2022</v>
      </c>
      <c r="AB449" s="1">
        <v>2023</v>
      </c>
      <c r="AC449" s="1">
        <v>2024</v>
      </c>
      <c r="AD449" s="1">
        <v>2025</v>
      </c>
      <c r="AE449" s="1">
        <v>2026</v>
      </c>
      <c r="AF449" s="1">
        <v>2027</v>
      </c>
      <c r="AG449" s="1">
        <v>2028</v>
      </c>
      <c r="AH449" s="1">
        <v>2029</v>
      </c>
      <c r="AI449" s="1">
        <v>2030</v>
      </c>
      <c r="AJ449" s="1">
        <v>2031</v>
      </c>
      <c r="AK449" s="1">
        <v>2032</v>
      </c>
      <c r="AL449" s="1">
        <v>2033</v>
      </c>
      <c r="AM449" s="1">
        <v>2034</v>
      </c>
      <c r="AN449" s="1">
        <v>2035</v>
      </c>
      <c r="AO449" s="1">
        <v>2036</v>
      </c>
      <c r="AP449" s="1">
        <v>2037</v>
      </c>
      <c r="AQ449" s="1">
        <v>2038</v>
      </c>
      <c r="AR449" s="1">
        <v>2039</v>
      </c>
      <c r="AS449" s="1">
        <v>2040</v>
      </c>
      <c r="AT449" s="1">
        <v>2041</v>
      </c>
      <c r="AU449" s="1">
        <v>2042</v>
      </c>
      <c r="AV449" s="1">
        <v>2043</v>
      </c>
      <c r="AW449" s="1">
        <v>2044</v>
      </c>
      <c r="AX449" s="1">
        <v>2045</v>
      </c>
      <c r="AY449" s="1">
        <v>2046</v>
      </c>
      <c r="AZ449" s="1">
        <v>2047</v>
      </c>
      <c r="BA449" s="1">
        <v>2048</v>
      </c>
      <c r="BB449" s="1">
        <v>2049</v>
      </c>
      <c r="BC449" s="1">
        <v>2050</v>
      </c>
    </row>
    <row r="450" spans="1:55">
      <c r="A450" s="1" t="str">
        <f>'Population Definitions'!$A$2</f>
        <v>PWID_males</v>
      </c>
      <c r="C450" t="s">
        <v>34</v>
      </c>
      <c r="D450" s="3"/>
      <c r="E450" s="3">
        <v>0</v>
      </c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</row>
    <row r="451" spans="1:55">
      <c r="A451" s="1" t="str">
        <f>'Population Definitions'!$A$3</f>
        <v>PWID_females</v>
      </c>
      <c r="C451" t="s">
        <v>34</v>
      </c>
      <c r="D451" s="3"/>
      <c r="E451" s="3">
        <v>0</v>
      </c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</row>
    <row r="452" spans="1:55">
      <c r="A452" s="1" t="str">
        <f>'Population Definitions'!$A$4</f>
        <v>0-9_males</v>
      </c>
      <c r="C452" t="s">
        <v>34</v>
      </c>
      <c r="D452" s="3"/>
      <c r="E452" s="3">
        <v>0</v>
      </c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</row>
    <row r="453" spans="1:55">
      <c r="A453" s="1" t="str">
        <f>'Population Definitions'!$A$5</f>
        <v>0-9_females</v>
      </c>
      <c r="C453" t="s">
        <v>34</v>
      </c>
      <c r="D453" s="3"/>
      <c r="E453" s="3">
        <v>0</v>
      </c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</row>
    <row r="454" spans="1:55">
      <c r="A454" s="1" t="str">
        <f>'Population Definitions'!$A$6</f>
        <v>10-17_males</v>
      </c>
      <c r="C454" t="s">
        <v>34</v>
      </c>
      <c r="D454" s="3"/>
      <c r="E454" s="3">
        <v>0</v>
      </c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</row>
    <row r="455" spans="1:55">
      <c r="A455" s="1" t="str">
        <f>'Population Definitions'!$A$7</f>
        <v>10-17_females</v>
      </c>
      <c r="C455" t="s">
        <v>34</v>
      </c>
      <c r="D455" s="3"/>
      <c r="E455" s="3">
        <v>0</v>
      </c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</row>
    <row r="456" spans="1:55">
      <c r="A456" s="1" t="str">
        <f>'Population Definitions'!$A$8</f>
        <v>18-64_males</v>
      </c>
      <c r="C456" t="s">
        <v>34</v>
      </c>
      <c r="D456" s="3"/>
      <c r="E456" s="3">
        <v>0</v>
      </c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</row>
    <row r="457" spans="1:55">
      <c r="A457" s="1" t="str">
        <f>'Population Definitions'!$A$9</f>
        <v>18-64_females</v>
      </c>
      <c r="C457" t="s">
        <v>34</v>
      </c>
      <c r="D457" s="3"/>
      <c r="E457" s="3">
        <v>0</v>
      </c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</row>
    <row r="458" spans="1:55">
      <c r="A458" s="1" t="str">
        <f>'Population Definitions'!$A$10</f>
        <v>65+_males</v>
      </c>
      <c r="C458" t="s">
        <v>34</v>
      </c>
      <c r="D458" s="3"/>
      <c r="E458" s="3">
        <v>0</v>
      </c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</row>
    <row r="459" spans="1:55">
      <c r="A459" s="1" t="str">
        <f>'Population Definitions'!$A$11</f>
        <v>65+_females</v>
      </c>
      <c r="C459" t="s">
        <v>34</v>
      </c>
      <c r="D459" s="3"/>
      <c r="E459" s="3">
        <v>0</v>
      </c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</row>
    <row r="460" spans="1:55">
      <c r="A460" s="1" t="str">
        <f>'Population Definitions'!$A$12</f>
        <v>Prisoners_males</v>
      </c>
      <c r="C460" t="s">
        <v>34</v>
      </c>
      <c r="D460" s="3"/>
      <c r="E460" s="3">
        <v>0</v>
      </c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</row>
    <row r="461" spans="1:55">
      <c r="A461" s="1" t="str">
        <f>'Population Definitions'!$A$13</f>
        <v>Prisoners_females</v>
      </c>
      <c r="C461" t="s">
        <v>34</v>
      </c>
      <c r="D461" s="3"/>
      <c r="E461" s="3">
        <v>0</v>
      </c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</row>
    <row r="462" spans="1:55">
      <c r="A462" s="1" t="str">
        <f>'Population Definitions'!$A$14</f>
        <v>Prisoners_PWID_males</v>
      </c>
      <c r="C462" t="s">
        <v>34</v>
      </c>
      <c r="D462" s="3"/>
      <c r="E462" s="3">
        <v>0</v>
      </c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</row>
    <row r="463" spans="1:55">
      <c r="A463" s="1" t="str">
        <f>'Population Definitions'!$A$15</f>
        <v>Prisoners_PWID_females</v>
      </c>
      <c r="C463" t="s">
        <v>34</v>
      </c>
      <c r="D463" s="3"/>
      <c r="E463" s="3">
        <v>0</v>
      </c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</row>
    <row r="465" spans="1:55">
      <c r="A465" s="1" t="s">
        <v>156</v>
      </c>
      <c r="B465" s="1" t="s">
        <v>31</v>
      </c>
      <c r="C465" s="1" t="s">
        <v>32</v>
      </c>
      <c r="D465" s="1" t="s">
        <v>33</v>
      </c>
      <c r="E465" s="1">
        <v>2000</v>
      </c>
      <c r="F465" s="1">
        <v>2001</v>
      </c>
      <c r="G465" s="1">
        <v>2002</v>
      </c>
      <c r="H465" s="1">
        <v>2003</v>
      </c>
      <c r="I465" s="1">
        <v>2004</v>
      </c>
      <c r="J465" s="1">
        <v>2005</v>
      </c>
      <c r="K465" s="1">
        <v>2006</v>
      </c>
      <c r="L465" s="1">
        <v>2007</v>
      </c>
      <c r="M465" s="1">
        <v>2008</v>
      </c>
      <c r="N465" s="1">
        <v>2009</v>
      </c>
      <c r="O465" s="1">
        <v>2010</v>
      </c>
      <c r="P465" s="1">
        <v>2011</v>
      </c>
      <c r="Q465" s="1">
        <v>2012</v>
      </c>
      <c r="R465" s="1">
        <v>2013</v>
      </c>
      <c r="S465" s="1">
        <v>2014</v>
      </c>
      <c r="T465" s="1">
        <v>2015</v>
      </c>
      <c r="U465" s="1">
        <v>2016</v>
      </c>
      <c r="V465" s="1">
        <v>2017</v>
      </c>
      <c r="W465" s="1">
        <v>2018</v>
      </c>
      <c r="X465" s="1">
        <v>2019</v>
      </c>
      <c r="Y465" s="1">
        <v>2020</v>
      </c>
      <c r="Z465" s="1">
        <v>2021</v>
      </c>
      <c r="AA465" s="1">
        <v>2022</v>
      </c>
      <c r="AB465" s="1">
        <v>2023</v>
      </c>
      <c r="AC465" s="1">
        <v>2024</v>
      </c>
      <c r="AD465" s="1">
        <v>2025</v>
      </c>
      <c r="AE465" s="1">
        <v>2026</v>
      </c>
      <c r="AF465" s="1">
        <v>2027</v>
      </c>
      <c r="AG465" s="1">
        <v>2028</v>
      </c>
      <c r="AH465" s="1">
        <v>2029</v>
      </c>
      <c r="AI465" s="1">
        <v>2030</v>
      </c>
      <c r="AJ465" s="1">
        <v>2031</v>
      </c>
      <c r="AK465" s="1">
        <v>2032</v>
      </c>
      <c r="AL465" s="1">
        <v>2033</v>
      </c>
      <c r="AM465" s="1">
        <v>2034</v>
      </c>
      <c r="AN465" s="1">
        <v>2035</v>
      </c>
      <c r="AO465" s="1">
        <v>2036</v>
      </c>
      <c r="AP465" s="1">
        <v>2037</v>
      </c>
      <c r="AQ465" s="1">
        <v>2038</v>
      </c>
      <c r="AR465" s="1">
        <v>2039</v>
      </c>
      <c r="AS465" s="1">
        <v>2040</v>
      </c>
      <c r="AT465" s="1">
        <v>2041</v>
      </c>
      <c r="AU465" s="1">
        <v>2042</v>
      </c>
      <c r="AV465" s="1">
        <v>2043</v>
      </c>
      <c r="AW465" s="1">
        <v>2044</v>
      </c>
      <c r="AX465" s="1">
        <v>2045</v>
      </c>
      <c r="AY465" s="1">
        <v>2046</v>
      </c>
      <c r="AZ465" s="1">
        <v>2047</v>
      </c>
      <c r="BA465" s="1">
        <v>2048</v>
      </c>
      <c r="BB465" s="1">
        <v>2049</v>
      </c>
      <c r="BC465" s="1">
        <v>2050</v>
      </c>
    </row>
    <row r="466" spans="1:55">
      <c r="A466" s="1" t="str">
        <f>'Population Definitions'!$A$2</f>
        <v>PWID_males</v>
      </c>
      <c r="C466" t="s">
        <v>34</v>
      </c>
      <c r="D466" s="3"/>
      <c r="E466" s="3">
        <v>0</v>
      </c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</row>
    <row r="467" spans="1:55">
      <c r="A467" s="1" t="str">
        <f>'Population Definitions'!$A$3</f>
        <v>PWID_females</v>
      </c>
      <c r="C467" t="s">
        <v>34</v>
      </c>
      <c r="D467" s="3"/>
      <c r="E467" s="3">
        <v>0</v>
      </c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</row>
    <row r="468" spans="1:55">
      <c r="A468" s="1" t="str">
        <f>'Population Definitions'!$A$4</f>
        <v>0-9_males</v>
      </c>
      <c r="C468" t="s">
        <v>34</v>
      </c>
      <c r="D468" s="3"/>
      <c r="E468" s="3">
        <v>0</v>
      </c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</row>
    <row r="469" spans="1:55">
      <c r="A469" s="1" t="str">
        <f>'Population Definitions'!$A$5</f>
        <v>0-9_females</v>
      </c>
      <c r="C469" t="s">
        <v>34</v>
      </c>
      <c r="D469" s="3"/>
      <c r="E469" s="3">
        <v>0</v>
      </c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</row>
    <row r="470" spans="1:55">
      <c r="A470" s="1" t="str">
        <f>'Population Definitions'!$A$6</f>
        <v>10-17_males</v>
      </c>
      <c r="C470" t="s">
        <v>34</v>
      </c>
      <c r="D470" s="3"/>
      <c r="E470" s="3">
        <v>0</v>
      </c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</row>
    <row r="471" spans="1:55">
      <c r="A471" s="1" t="str">
        <f>'Population Definitions'!$A$7</f>
        <v>10-17_females</v>
      </c>
      <c r="C471" t="s">
        <v>34</v>
      </c>
      <c r="D471" s="3"/>
      <c r="E471" s="3">
        <v>0</v>
      </c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</row>
    <row r="472" spans="1:55">
      <c r="A472" s="1" t="str">
        <f>'Population Definitions'!$A$8</f>
        <v>18-64_males</v>
      </c>
      <c r="C472" t="s">
        <v>34</v>
      </c>
      <c r="D472" s="3"/>
      <c r="E472" s="3">
        <v>0</v>
      </c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</row>
    <row r="473" spans="1:55">
      <c r="A473" s="1" t="str">
        <f>'Population Definitions'!$A$9</f>
        <v>18-64_females</v>
      </c>
      <c r="C473" t="s">
        <v>34</v>
      </c>
      <c r="D473" s="3"/>
      <c r="E473" s="3">
        <v>0</v>
      </c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</row>
    <row r="474" spans="1:55">
      <c r="A474" s="1" t="str">
        <f>'Population Definitions'!$A$10</f>
        <v>65+_males</v>
      </c>
      <c r="C474" t="s">
        <v>34</v>
      </c>
      <c r="D474" s="3"/>
      <c r="E474" s="3">
        <v>0</v>
      </c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</row>
    <row r="475" spans="1:55">
      <c r="A475" s="1" t="str">
        <f>'Population Definitions'!$A$11</f>
        <v>65+_females</v>
      </c>
      <c r="C475" t="s">
        <v>34</v>
      </c>
      <c r="D475" s="3"/>
      <c r="E475" s="3">
        <v>0</v>
      </c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</row>
    <row r="476" spans="1:55">
      <c r="A476" s="1" t="str">
        <f>'Population Definitions'!$A$12</f>
        <v>Prisoners_males</v>
      </c>
      <c r="C476" t="s">
        <v>34</v>
      </c>
      <c r="D476" s="3"/>
      <c r="E476" s="3">
        <v>0</v>
      </c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</row>
    <row r="477" spans="1:55">
      <c r="A477" s="1" t="str">
        <f>'Population Definitions'!$A$13</f>
        <v>Prisoners_females</v>
      </c>
      <c r="C477" t="s">
        <v>34</v>
      </c>
      <c r="D477" s="3"/>
      <c r="E477" s="3">
        <v>0</v>
      </c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</row>
    <row r="478" spans="1:55">
      <c r="A478" s="1" t="str">
        <f>'Population Definitions'!$A$14</f>
        <v>Prisoners_PWID_males</v>
      </c>
      <c r="C478" t="s">
        <v>34</v>
      </c>
      <c r="D478" s="3"/>
      <c r="E478" s="3">
        <v>0</v>
      </c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</row>
    <row r="479" spans="1:55">
      <c r="A479" s="1" t="str">
        <f>'Population Definitions'!$A$15</f>
        <v>Prisoners_PWID_females</v>
      </c>
      <c r="C479" t="s">
        <v>34</v>
      </c>
      <c r="D479" s="3"/>
      <c r="E479" s="3">
        <v>0</v>
      </c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</row>
    <row r="481" spans="1:55">
      <c r="A481" s="1" t="s">
        <v>157</v>
      </c>
      <c r="B481" s="1" t="s">
        <v>31</v>
      </c>
      <c r="C481" s="1" t="s">
        <v>32</v>
      </c>
      <c r="D481" s="1" t="s">
        <v>33</v>
      </c>
      <c r="E481" s="1">
        <v>2000</v>
      </c>
      <c r="F481" s="1">
        <v>2001</v>
      </c>
      <c r="G481" s="1">
        <v>2002</v>
      </c>
      <c r="H481" s="1">
        <v>2003</v>
      </c>
      <c r="I481" s="1">
        <v>2004</v>
      </c>
      <c r="J481" s="1">
        <v>2005</v>
      </c>
      <c r="K481" s="1">
        <v>2006</v>
      </c>
      <c r="L481" s="1">
        <v>2007</v>
      </c>
      <c r="M481" s="1">
        <v>2008</v>
      </c>
      <c r="N481" s="1">
        <v>2009</v>
      </c>
      <c r="O481" s="1">
        <v>2010</v>
      </c>
      <c r="P481" s="1">
        <v>2011</v>
      </c>
      <c r="Q481" s="1">
        <v>2012</v>
      </c>
      <c r="R481" s="1">
        <v>2013</v>
      </c>
      <c r="S481" s="1">
        <v>2014</v>
      </c>
      <c r="T481" s="1">
        <v>2015</v>
      </c>
      <c r="U481" s="1">
        <v>2016</v>
      </c>
      <c r="V481" s="1">
        <v>2017</v>
      </c>
      <c r="W481" s="1">
        <v>2018</v>
      </c>
      <c r="X481" s="1">
        <v>2019</v>
      </c>
      <c r="Y481" s="1">
        <v>2020</v>
      </c>
      <c r="Z481" s="1">
        <v>2021</v>
      </c>
      <c r="AA481" s="1">
        <v>2022</v>
      </c>
      <c r="AB481" s="1">
        <v>2023</v>
      </c>
      <c r="AC481" s="1">
        <v>2024</v>
      </c>
      <c r="AD481" s="1">
        <v>2025</v>
      </c>
      <c r="AE481" s="1">
        <v>2026</v>
      </c>
      <c r="AF481" s="1">
        <v>2027</v>
      </c>
      <c r="AG481" s="1">
        <v>2028</v>
      </c>
      <c r="AH481" s="1">
        <v>2029</v>
      </c>
      <c r="AI481" s="1">
        <v>2030</v>
      </c>
      <c r="AJ481" s="1">
        <v>2031</v>
      </c>
      <c r="AK481" s="1">
        <v>2032</v>
      </c>
      <c r="AL481" s="1">
        <v>2033</v>
      </c>
      <c r="AM481" s="1">
        <v>2034</v>
      </c>
      <c r="AN481" s="1">
        <v>2035</v>
      </c>
      <c r="AO481" s="1">
        <v>2036</v>
      </c>
      <c r="AP481" s="1">
        <v>2037</v>
      </c>
      <c r="AQ481" s="1">
        <v>2038</v>
      </c>
      <c r="AR481" s="1">
        <v>2039</v>
      </c>
      <c r="AS481" s="1">
        <v>2040</v>
      </c>
      <c r="AT481" s="1">
        <v>2041</v>
      </c>
      <c r="AU481" s="1">
        <v>2042</v>
      </c>
      <c r="AV481" s="1">
        <v>2043</v>
      </c>
      <c r="AW481" s="1">
        <v>2044</v>
      </c>
      <c r="AX481" s="1">
        <v>2045</v>
      </c>
      <c r="AY481" s="1">
        <v>2046</v>
      </c>
      <c r="AZ481" s="1">
        <v>2047</v>
      </c>
      <c r="BA481" s="1">
        <v>2048</v>
      </c>
      <c r="BB481" s="1">
        <v>2049</v>
      </c>
      <c r="BC481" s="1">
        <v>2050</v>
      </c>
    </row>
    <row r="482" spans="1:55">
      <c r="A482" s="1" t="str">
        <f>'Population Definitions'!$A$2</f>
        <v>PWID_males</v>
      </c>
      <c r="C482" t="s">
        <v>34</v>
      </c>
      <c r="D482" s="3"/>
      <c r="E482" s="3">
        <v>0</v>
      </c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</row>
    <row r="483" spans="1:55">
      <c r="A483" s="1" t="str">
        <f>'Population Definitions'!$A$3</f>
        <v>PWID_females</v>
      </c>
      <c r="C483" t="s">
        <v>34</v>
      </c>
      <c r="D483" s="3"/>
      <c r="E483" s="3">
        <v>0</v>
      </c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</row>
    <row r="484" spans="1:55">
      <c r="A484" s="1" t="str">
        <f>'Population Definitions'!$A$4</f>
        <v>0-9_males</v>
      </c>
      <c r="C484" t="s">
        <v>34</v>
      </c>
      <c r="D484" s="3"/>
      <c r="E484" s="3">
        <v>0</v>
      </c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</row>
    <row r="485" spans="1:55">
      <c r="A485" s="1" t="str">
        <f>'Population Definitions'!$A$5</f>
        <v>0-9_females</v>
      </c>
      <c r="C485" t="s">
        <v>34</v>
      </c>
      <c r="D485" s="3"/>
      <c r="E485" s="3">
        <v>0</v>
      </c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</row>
    <row r="486" spans="1:55">
      <c r="A486" s="1" t="str">
        <f>'Population Definitions'!$A$6</f>
        <v>10-17_males</v>
      </c>
      <c r="C486" t="s">
        <v>34</v>
      </c>
      <c r="D486" s="3"/>
      <c r="E486" s="3">
        <v>0</v>
      </c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</row>
    <row r="487" spans="1:55">
      <c r="A487" s="1" t="str">
        <f>'Population Definitions'!$A$7</f>
        <v>10-17_females</v>
      </c>
      <c r="C487" t="s">
        <v>34</v>
      </c>
      <c r="D487" s="3"/>
      <c r="E487" s="3">
        <v>0</v>
      </c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</row>
    <row r="488" spans="1:55">
      <c r="A488" s="1" t="str">
        <f>'Population Definitions'!$A$8</f>
        <v>18-64_males</v>
      </c>
      <c r="C488" t="s">
        <v>34</v>
      </c>
      <c r="D488" s="3"/>
      <c r="E488" s="3">
        <v>0</v>
      </c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</row>
    <row r="489" spans="1:55">
      <c r="A489" s="1" t="str">
        <f>'Population Definitions'!$A$9</f>
        <v>18-64_females</v>
      </c>
      <c r="C489" t="s">
        <v>34</v>
      </c>
      <c r="D489" s="3"/>
      <c r="E489" s="3">
        <v>0</v>
      </c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</row>
    <row r="490" spans="1:55">
      <c r="A490" s="1" t="str">
        <f>'Population Definitions'!$A$10</f>
        <v>65+_males</v>
      </c>
      <c r="C490" t="s">
        <v>34</v>
      </c>
      <c r="D490" s="3"/>
      <c r="E490" s="3">
        <v>0</v>
      </c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</row>
    <row r="491" spans="1:55">
      <c r="A491" s="1" t="str">
        <f>'Population Definitions'!$A$11</f>
        <v>65+_females</v>
      </c>
      <c r="C491" t="s">
        <v>34</v>
      </c>
      <c r="D491" s="3"/>
      <c r="E491" s="3">
        <v>0</v>
      </c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</row>
    <row r="492" spans="1:55">
      <c r="A492" s="1" t="str">
        <f>'Population Definitions'!$A$12</f>
        <v>Prisoners_males</v>
      </c>
      <c r="C492" t="s">
        <v>34</v>
      </c>
      <c r="D492" s="3"/>
      <c r="E492" s="3">
        <v>0</v>
      </c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</row>
    <row r="493" spans="1:55">
      <c r="A493" s="1" t="str">
        <f>'Population Definitions'!$A$13</f>
        <v>Prisoners_females</v>
      </c>
      <c r="C493" t="s">
        <v>34</v>
      </c>
      <c r="D493" s="3"/>
      <c r="E493" s="3">
        <v>0</v>
      </c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</row>
    <row r="494" spans="1:55">
      <c r="A494" s="1" t="str">
        <f>'Population Definitions'!$A$14</f>
        <v>Prisoners_PWID_males</v>
      </c>
      <c r="C494" t="s">
        <v>34</v>
      </c>
      <c r="D494" s="3"/>
      <c r="E494" s="3">
        <v>0</v>
      </c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</row>
    <row r="495" spans="1:55">
      <c r="A495" s="1" t="str">
        <f>'Population Definitions'!$A$15</f>
        <v>Prisoners_PWID_females</v>
      </c>
      <c r="C495" t="s">
        <v>34</v>
      </c>
      <c r="D495" s="3"/>
      <c r="E495" s="3">
        <v>0</v>
      </c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</row>
    <row r="497" spans="1:55">
      <c r="A497" s="1" t="s">
        <v>158</v>
      </c>
      <c r="B497" s="1" t="s">
        <v>31</v>
      </c>
      <c r="C497" s="1" t="s">
        <v>32</v>
      </c>
      <c r="D497" s="1" t="s">
        <v>33</v>
      </c>
      <c r="E497" s="1">
        <v>2000</v>
      </c>
      <c r="F497" s="1">
        <v>2001</v>
      </c>
      <c r="G497" s="1">
        <v>2002</v>
      </c>
      <c r="H497" s="1">
        <v>2003</v>
      </c>
      <c r="I497" s="1">
        <v>2004</v>
      </c>
      <c r="J497" s="1">
        <v>2005</v>
      </c>
      <c r="K497" s="1">
        <v>2006</v>
      </c>
      <c r="L497" s="1">
        <v>2007</v>
      </c>
      <c r="M497" s="1">
        <v>2008</v>
      </c>
      <c r="N497" s="1">
        <v>2009</v>
      </c>
      <c r="O497" s="1">
        <v>2010</v>
      </c>
      <c r="P497" s="1">
        <v>2011</v>
      </c>
      <c r="Q497" s="1">
        <v>2012</v>
      </c>
      <c r="R497" s="1">
        <v>2013</v>
      </c>
      <c r="S497" s="1">
        <v>2014</v>
      </c>
      <c r="T497" s="1">
        <v>2015</v>
      </c>
      <c r="U497" s="1">
        <v>2016</v>
      </c>
      <c r="V497" s="1">
        <v>2017</v>
      </c>
      <c r="W497" s="1">
        <v>2018</v>
      </c>
      <c r="X497" s="1">
        <v>2019</v>
      </c>
      <c r="Y497" s="1">
        <v>2020</v>
      </c>
      <c r="Z497" s="1">
        <v>2021</v>
      </c>
      <c r="AA497" s="1">
        <v>2022</v>
      </c>
      <c r="AB497" s="1">
        <v>2023</v>
      </c>
      <c r="AC497" s="1">
        <v>2024</v>
      </c>
      <c r="AD497" s="1">
        <v>2025</v>
      </c>
      <c r="AE497" s="1">
        <v>2026</v>
      </c>
      <c r="AF497" s="1">
        <v>2027</v>
      </c>
      <c r="AG497" s="1">
        <v>2028</v>
      </c>
      <c r="AH497" s="1">
        <v>2029</v>
      </c>
      <c r="AI497" s="1">
        <v>2030</v>
      </c>
      <c r="AJ497" s="1">
        <v>2031</v>
      </c>
      <c r="AK497" s="1">
        <v>2032</v>
      </c>
      <c r="AL497" s="1">
        <v>2033</v>
      </c>
      <c r="AM497" s="1">
        <v>2034</v>
      </c>
      <c r="AN497" s="1">
        <v>2035</v>
      </c>
      <c r="AO497" s="1">
        <v>2036</v>
      </c>
      <c r="AP497" s="1">
        <v>2037</v>
      </c>
      <c r="AQ497" s="1">
        <v>2038</v>
      </c>
      <c r="AR497" s="1">
        <v>2039</v>
      </c>
      <c r="AS497" s="1">
        <v>2040</v>
      </c>
      <c r="AT497" s="1">
        <v>2041</v>
      </c>
      <c r="AU497" s="1">
        <v>2042</v>
      </c>
      <c r="AV497" s="1">
        <v>2043</v>
      </c>
      <c r="AW497" s="1">
        <v>2044</v>
      </c>
      <c r="AX497" s="1">
        <v>2045</v>
      </c>
      <c r="AY497" s="1">
        <v>2046</v>
      </c>
      <c r="AZ497" s="1">
        <v>2047</v>
      </c>
      <c r="BA497" s="1">
        <v>2048</v>
      </c>
      <c r="BB497" s="1">
        <v>2049</v>
      </c>
      <c r="BC497" s="1">
        <v>2050</v>
      </c>
    </row>
    <row r="498" spans="1:55">
      <c r="A498" s="1" t="str">
        <f>'Population Definitions'!$A$2</f>
        <v>PWID_males</v>
      </c>
      <c r="C498" t="s">
        <v>34</v>
      </c>
      <c r="D498" s="3"/>
      <c r="E498" s="3">
        <v>0</v>
      </c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</row>
    <row r="499" spans="1:55">
      <c r="A499" s="1" t="str">
        <f>'Population Definitions'!$A$3</f>
        <v>PWID_females</v>
      </c>
      <c r="C499" t="s">
        <v>34</v>
      </c>
      <c r="D499" s="3"/>
      <c r="E499" s="3">
        <v>0</v>
      </c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</row>
    <row r="500" spans="1:55">
      <c r="A500" s="1" t="str">
        <f>'Population Definitions'!$A$4</f>
        <v>0-9_males</v>
      </c>
      <c r="C500" t="s">
        <v>34</v>
      </c>
      <c r="D500" s="3"/>
      <c r="E500" s="3">
        <v>0</v>
      </c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</row>
    <row r="501" spans="1:55">
      <c r="A501" s="1" t="str">
        <f>'Population Definitions'!$A$5</f>
        <v>0-9_females</v>
      </c>
      <c r="C501" t="s">
        <v>34</v>
      </c>
      <c r="D501" s="3"/>
      <c r="E501" s="3">
        <v>0</v>
      </c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</row>
    <row r="502" spans="1:55">
      <c r="A502" s="1" t="str">
        <f>'Population Definitions'!$A$6</f>
        <v>10-17_males</v>
      </c>
      <c r="C502" t="s">
        <v>34</v>
      </c>
      <c r="D502" s="3"/>
      <c r="E502" s="3">
        <v>0</v>
      </c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</row>
    <row r="503" spans="1:55">
      <c r="A503" s="1" t="str">
        <f>'Population Definitions'!$A$7</f>
        <v>10-17_females</v>
      </c>
      <c r="C503" t="s">
        <v>34</v>
      </c>
      <c r="D503" s="3"/>
      <c r="E503" s="3">
        <v>0</v>
      </c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</row>
    <row r="504" spans="1:55">
      <c r="A504" s="1" t="str">
        <f>'Population Definitions'!$A$8</f>
        <v>18-64_males</v>
      </c>
      <c r="C504" t="s">
        <v>34</v>
      </c>
      <c r="D504" s="3"/>
      <c r="E504" s="3">
        <v>0</v>
      </c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</row>
    <row r="505" spans="1:55">
      <c r="A505" s="1" t="str">
        <f>'Population Definitions'!$A$9</f>
        <v>18-64_females</v>
      </c>
      <c r="C505" t="s">
        <v>34</v>
      </c>
      <c r="D505" s="3"/>
      <c r="E505" s="3">
        <v>0</v>
      </c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</row>
    <row r="506" spans="1:55">
      <c r="A506" s="1" t="str">
        <f>'Population Definitions'!$A$10</f>
        <v>65+_males</v>
      </c>
      <c r="C506" t="s">
        <v>34</v>
      </c>
      <c r="D506" s="3"/>
      <c r="E506" s="3">
        <v>0</v>
      </c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</row>
    <row r="507" spans="1:55">
      <c r="A507" s="1" t="str">
        <f>'Population Definitions'!$A$11</f>
        <v>65+_females</v>
      </c>
      <c r="C507" t="s">
        <v>34</v>
      </c>
      <c r="D507" s="3"/>
      <c r="E507" s="3">
        <v>0</v>
      </c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</row>
    <row r="508" spans="1:55">
      <c r="A508" s="1" t="str">
        <f>'Population Definitions'!$A$12</f>
        <v>Prisoners_males</v>
      </c>
      <c r="C508" t="s">
        <v>34</v>
      </c>
      <c r="D508" s="3"/>
      <c r="E508" s="3">
        <v>0</v>
      </c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</row>
    <row r="509" spans="1:55">
      <c r="A509" s="1" t="str">
        <f>'Population Definitions'!$A$13</f>
        <v>Prisoners_females</v>
      </c>
      <c r="C509" t="s">
        <v>34</v>
      </c>
      <c r="D509" s="3"/>
      <c r="E509" s="3">
        <v>0</v>
      </c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</row>
    <row r="510" spans="1:55">
      <c r="A510" s="1" t="str">
        <f>'Population Definitions'!$A$14</f>
        <v>Prisoners_PWID_males</v>
      </c>
      <c r="C510" t="s">
        <v>34</v>
      </c>
      <c r="D510" s="3"/>
      <c r="E510" s="3">
        <v>0</v>
      </c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</row>
    <row r="511" spans="1:55">
      <c r="A511" s="1" t="str">
        <f>'Population Definitions'!$A$15</f>
        <v>Prisoners_PWID_females</v>
      </c>
      <c r="C511" t="s">
        <v>34</v>
      </c>
      <c r="D511" s="3"/>
      <c r="E511" s="3">
        <v>0</v>
      </c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</row>
    <row r="513" spans="1:55">
      <c r="A513" s="1" t="s">
        <v>159</v>
      </c>
      <c r="B513" s="1" t="s">
        <v>31</v>
      </c>
      <c r="C513" s="1" t="s">
        <v>32</v>
      </c>
      <c r="D513" s="1" t="s">
        <v>33</v>
      </c>
      <c r="E513" s="1">
        <v>2000</v>
      </c>
      <c r="F513" s="1">
        <v>2001</v>
      </c>
      <c r="G513" s="1">
        <v>2002</v>
      </c>
      <c r="H513" s="1">
        <v>2003</v>
      </c>
      <c r="I513" s="1">
        <v>2004</v>
      </c>
      <c r="J513" s="1">
        <v>2005</v>
      </c>
      <c r="K513" s="1">
        <v>2006</v>
      </c>
      <c r="L513" s="1">
        <v>2007</v>
      </c>
      <c r="M513" s="1">
        <v>2008</v>
      </c>
      <c r="N513" s="1">
        <v>2009</v>
      </c>
      <c r="O513" s="1">
        <v>2010</v>
      </c>
      <c r="P513" s="1">
        <v>2011</v>
      </c>
      <c r="Q513" s="1">
        <v>2012</v>
      </c>
      <c r="R513" s="1">
        <v>2013</v>
      </c>
      <c r="S513" s="1">
        <v>2014</v>
      </c>
      <c r="T513" s="1">
        <v>2015</v>
      </c>
      <c r="U513" s="1">
        <v>2016</v>
      </c>
      <c r="V513" s="1">
        <v>2017</v>
      </c>
      <c r="W513" s="1">
        <v>2018</v>
      </c>
      <c r="X513" s="1">
        <v>2019</v>
      </c>
      <c r="Y513" s="1">
        <v>2020</v>
      </c>
      <c r="Z513" s="1">
        <v>2021</v>
      </c>
      <c r="AA513" s="1">
        <v>2022</v>
      </c>
      <c r="AB513" s="1">
        <v>2023</v>
      </c>
      <c r="AC513" s="1">
        <v>2024</v>
      </c>
      <c r="AD513" s="1">
        <v>2025</v>
      </c>
      <c r="AE513" s="1">
        <v>2026</v>
      </c>
      <c r="AF513" s="1">
        <v>2027</v>
      </c>
      <c r="AG513" s="1">
        <v>2028</v>
      </c>
      <c r="AH513" s="1">
        <v>2029</v>
      </c>
      <c r="AI513" s="1">
        <v>2030</v>
      </c>
      <c r="AJ513" s="1">
        <v>2031</v>
      </c>
      <c r="AK513" s="1">
        <v>2032</v>
      </c>
      <c r="AL513" s="1">
        <v>2033</v>
      </c>
      <c r="AM513" s="1">
        <v>2034</v>
      </c>
      <c r="AN513" s="1">
        <v>2035</v>
      </c>
      <c r="AO513" s="1">
        <v>2036</v>
      </c>
      <c r="AP513" s="1">
        <v>2037</v>
      </c>
      <c r="AQ513" s="1">
        <v>2038</v>
      </c>
      <c r="AR513" s="1">
        <v>2039</v>
      </c>
      <c r="AS513" s="1">
        <v>2040</v>
      </c>
      <c r="AT513" s="1">
        <v>2041</v>
      </c>
      <c r="AU513" s="1">
        <v>2042</v>
      </c>
      <c r="AV513" s="1">
        <v>2043</v>
      </c>
      <c r="AW513" s="1">
        <v>2044</v>
      </c>
      <c r="AX513" s="1">
        <v>2045</v>
      </c>
      <c r="AY513" s="1">
        <v>2046</v>
      </c>
      <c r="AZ513" s="1">
        <v>2047</v>
      </c>
      <c r="BA513" s="1">
        <v>2048</v>
      </c>
      <c r="BB513" s="1">
        <v>2049</v>
      </c>
      <c r="BC513" s="1">
        <v>2050</v>
      </c>
    </row>
    <row r="514" spans="1:55">
      <c r="A514" s="1" t="str">
        <f>'Population Definitions'!$A$2</f>
        <v>PWID_males</v>
      </c>
      <c r="C514" t="s">
        <v>34</v>
      </c>
      <c r="D514" s="3"/>
      <c r="E514" s="3">
        <v>0</v>
      </c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</row>
    <row r="515" spans="1:55">
      <c r="A515" s="1" t="str">
        <f>'Population Definitions'!$A$3</f>
        <v>PWID_females</v>
      </c>
      <c r="C515" t="s">
        <v>34</v>
      </c>
      <c r="D515" s="3"/>
      <c r="E515" s="3">
        <v>0</v>
      </c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</row>
    <row r="516" spans="1:55">
      <c r="A516" s="1" t="str">
        <f>'Population Definitions'!$A$4</f>
        <v>0-9_males</v>
      </c>
      <c r="C516" t="s">
        <v>34</v>
      </c>
      <c r="D516" s="3"/>
      <c r="E516" s="3">
        <v>0</v>
      </c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</row>
    <row r="517" spans="1:55">
      <c r="A517" s="1" t="str">
        <f>'Population Definitions'!$A$5</f>
        <v>0-9_females</v>
      </c>
      <c r="C517" t="s">
        <v>34</v>
      </c>
      <c r="D517" s="3"/>
      <c r="E517" s="3">
        <v>0</v>
      </c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</row>
    <row r="518" spans="1:55">
      <c r="A518" s="1" t="str">
        <f>'Population Definitions'!$A$6</f>
        <v>10-17_males</v>
      </c>
      <c r="C518" t="s">
        <v>34</v>
      </c>
      <c r="D518" s="3"/>
      <c r="E518" s="3">
        <v>0</v>
      </c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</row>
    <row r="519" spans="1:55">
      <c r="A519" s="1" t="str">
        <f>'Population Definitions'!$A$7</f>
        <v>10-17_females</v>
      </c>
      <c r="C519" t="s">
        <v>34</v>
      </c>
      <c r="D519" s="3"/>
      <c r="E519" s="3">
        <v>0</v>
      </c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</row>
    <row r="520" spans="1:55">
      <c r="A520" s="1" t="str">
        <f>'Population Definitions'!$A$8</f>
        <v>18-64_males</v>
      </c>
      <c r="C520" t="s">
        <v>34</v>
      </c>
      <c r="D520" s="3"/>
      <c r="E520" s="3">
        <v>0</v>
      </c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</row>
    <row r="521" spans="1:55">
      <c r="A521" s="1" t="str">
        <f>'Population Definitions'!$A$9</f>
        <v>18-64_females</v>
      </c>
      <c r="C521" t="s">
        <v>34</v>
      </c>
      <c r="D521" s="3"/>
      <c r="E521" s="3">
        <v>0</v>
      </c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</row>
    <row r="522" spans="1:55">
      <c r="A522" s="1" t="str">
        <f>'Population Definitions'!$A$10</f>
        <v>65+_males</v>
      </c>
      <c r="C522" t="s">
        <v>34</v>
      </c>
      <c r="D522" s="3"/>
      <c r="E522" s="3">
        <v>0</v>
      </c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</row>
    <row r="523" spans="1:55">
      <c r="A523" s="1" t="str">
        <f>'Population Definitions'!$A$11</f>
        <v>65+_females</v>
      </c>
      <c r="C523" t="s">
        <v>34</v>
      </c>
      <c r="D523" s="3"/>
      <c r="E523" s="3">
        <v>0</v>
      </c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</row>
    <row r="524" spans="1:55">
      <c r="A524" s="1" t="str">
        <f>'Population Definitions'!$A$12</f>
        <v>Prisoners_males</v>
      </c>
      <c r="C524" t="s">
        <v>34</v>
      </c>
      <c r="D524" s="3"/>
      <c r="E524" s="3">
        <v>0</v>
      </c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</row>
    <row r="525" spans="1:55">
      <c r="A525" s="1" t="str">
        <f>'Population Definitions'!$A$13</f>
        <v>Prisoners_females</v>
      </c>
      <c r="C525" t="s">
        <v>34</v>
      </c>
      <c r="D525" s="3"/>
      <c r="E525" s="3">
        <v>0</v>
      </c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</row>
    <row r="526" spans="1:55">
      <c r="A526" s="1" t="str">
        <f>'Population Definitions'!$A$14</f>
        <v>Prisoners_PWID_males</v>
      </c>
      <c r="C526" t="s">
        <v>34</v>
      </c>
      <c r="D526" s="3"/>
      <c r="E526" s="3">
        <v>0</v>
      </c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</row>
    <row r="527" spans="1:55">
      <c r="A527" s="1" t="str">
        <f>'Population Definitions'!$A$15</f>
        <v>Prisoners_PWID_females</v>
      </c>
      <c r="C527" t="s">
        <v>34</v>
      </c>
      <c r="D527" s="3"/>
      <c r="E527" s="3">
        <v>0</v>
      </c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</row>
    <row r="529" spans="1:55">
      <c r="A529" s="1" t="s">
        <v>160</v>
      </c>
      <c r="B529" s="1" t="s">
        <v>31</v>
      </c>
      <c r="C529" s="1" t="s">
        <v>32</v>
      </c>
      <c r="D529" s="1" t="s">
        <v>33</v>
      </c>
      <c r="E529" s="1">
        <v>2000</v>
      </c>
      <c r="F529" s="1">
        <v>2001</v>
      </c>
      <c r="G529" s="1">
        <v>2002</v>
      </c>
      <c r="H529" s="1">
        <v>2003</v>
      </c>
      <c r="I529" s="1">
        <v>2004</v>
      </c>
      <c r="J529" s="1">
        <v>2005</v>
      </c>
      <c r="K529" s="1">
        <v>2006</v>
      </c>
      <c r="L529" s="1">
        <v>2007</v>
      </c>
      <c r="M529" s="1">
        <v>2008</v>
      </c>
      <c r="N529" s="1">
        <v>2009</v>
      </c>
      <c r="O529" s="1">
        <v>2010</v>
      </c>
      <c r="P529" s="1">
        <v>2011</v>
      </c>
      <c r="Q529" s="1">
        <v>2012</v>
      </c>
      <c r="R529" s="1">
        <v>2013</v>
      </c>
      <c r="S529" s="1">
        <v>2014</v>
      </c>
      <c r="T529" s="1">
        <v>2015</v>
      </c>
      <c r="U529" s="1">
        <v>2016</v>
      </c>
      <c r="V529" s="1">
        <v>2017</v>
      </c>
      <c r="W529" s="1">
        <v>2018</v>
      </c>
      <c r="X529" s="1">
        <v>2019</v>
      </c>
      <c r="Y529" s="1">
        <v>2020</v>
      </c>
      <c r="Z529" s="1">
        <v>2021</v>
      </c>
      <c r="AA529" s="1">
        <v>2022</v>
      </c>
      <c r="AB529" s="1">
        <v>2023</v>
      </c>
      <c r="AC529" s="1">
        <v>2024</v>
      </c>
      <c r="AD529" s="1">
        <v>2025</v>
      </c>
      <c r="AE529" s="1">
        <v>2026</v>
      </c>
      <c r="AF529" s="1">
        <v>2027</v>
      </c>
      <c r="AG529" s="1">
        <v>2028</v>
      </c>
      <c r="AH529" s="1">
        <v>2029</v>
      </c>
      <c r="AI529" s="1">
        <v>2030</v>
      </c>
      <c r="AJ529" s="1">
        <v>2031</v>
      </c>
      <c r="AK529" s="1">
        <v>2032</v>
      </c>
      <c r="AL529" s="1">
        <v>2033</v>
      </c>
      <c r="AM529" s="1">
        <v>2034</v>
      </c>
      <c r="AN529" s="1">
        <v>2035</v>
      </c>
      <c r="AO529" s="1">
        <v>2036</v>
      </c>
      <c r="AP529" s="1">
        <v>2037</v>
      </c>
      <c r="AQ529" s="1">
        <v>2038</v>
      </c>
      <c r="AR529" s="1">
        <v>2039</v>
      </c>
      <c r="AS529" s="1">
        <v>2040</v>
      </c>
      <c r="AT529" s="1">
        <v>2041</v>
      </c>
      <c r="AU529" s="1">
        <v>2042</v>
      </c>
      <c r="AV529" s="1">
        <v>2043</v>
      </c>
      <c r="AW529" s="1">
        <v>2044</v>
      </c>
      <c r="AX529" s="1">
        <v>2045</v>
      </c>
      <c r="AY529" s="1">
        <v>2046</v>
      </c>
      <c r="AZ529" s="1">
        <v>2047</v>
      </c>
      <c r="BA529" s="1">
        <v>2048</v>
      </c>
      <c r="BB529" s="1">
        <v>2049</v>
      </c>
      <c r="BC529" s="1">
        <v>2050</v>
      </c>
    </row>
    <row r="530" spans="1:55">
      <c r="A530" s="1" t="str">
        <f>'Population Definitions'!$A$2</f>
        <v>PWID_males</v>
      </c>
      <c r="C530" t="s">
        <v>34</v>
      </c>
      <c r="D530" s="3"/>
      <c r="E530" s="3">
        <v>4.322523296747837</v>
      </c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</row>
    <row r="531" spans="1:55">
      <c r="A531" s="1" t="str">
        <f>'Population Definitions'!$A$3</f>
        <v>PWID_females</v>
      </c>
      <c r="C531" t="s">
        <v>34</v>
      </c>
      <c r="D531" s="3"/>
      <c r="E531" s="3">
        <v>3.281287735167542</v>
      </c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</row>
    <row r="532" spans="1:55">
      <c r="A532" s="1" t="str">
        <f>'Population Definitions'!$A$4</f>
        <v>0-9_males</v>
      </c>
      <c r="C532" t="s">
        <v>34</v>
      </c>
      <c r="D532" s="3"/>
      <c r="E532" s="3">
        <v>0</v>
      </c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</row>
    <row r="533" spans="1:55">
      <c r="A533" s="1" t="str">
        <f>'Population Definitions'!$A$5</f>
        <v>0-9_females</v>
      </c>
      <c r="C533" t="s">
        <v>34</v>
      </c>
      <c r="D533" s="3"/>
      <c r="E533" s="3">
        <v>0</v>
      </c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</row>
    <row r="534" spans="1:55">
      <c r="A534" s="1" t="str">
        <f>'Population Definitions'!$A$6</f>
        <v>10-17_males</v>
      </c>
      <c r="C534" t="s">
        <v>34</v>
      </c>
      <c r="D534" s="3"/>
      <c r="E534" s="3">
        <v>0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</row>
    <row r="535" spans="1:55">
      <c r="A535" s="1" t="str">
        <f>'Population Definitions'!$A$7</f>
        <v>10-17_females</v>
      </c>
      <c r="C535" t="s">
        <v>34</v>
      </c>
      <c r="D535" s="3"/>
      <c r="E535" s="3">
        <v>0</v>
      </c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</row>
    <row r="536" spans="1:55">
      <c r="A536" s="1" t="str">
        <f>'Population Definitions'!$A$8</f>
        <v>18-64_males</v>
      </c>
      <c r="C536" t="s">
        <v>34</v>
      </c>
      <c r="D536" s="3"/>
      <c r="E536" s="3">
        <v>22.63344231669715</v>
      </c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</row>
    <row r="537" spans="1:55">
      <c r="A537" s="1" t="str">
        <f>'Population Definitions'!$A$9</f>
        <v>18-64_females</v>
      </c>
      <c r="C537" t="s">
        <v>34</v>
      </c>
      <c r="D537" s="3"/>
      <c r="E537" s="3">
        <v>22.2020802779785</v>
      </c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</row>
    <row r="538" spans="1:55">
      <c r="A538" s="1" t="str">
        <f>'Population Definitions'!$A$10</f>
        <v>65+_males</v>
      </c>
      <c r="C538" t="s">
        <v>34</v>
      </c>
      <c r="D538" s="3"/>
      <c r="E538" s="3">
        <v>3.864478203166445</v>
      </c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</row>
    <row r="539" spans="1:55">
      <c r="A539" s="1" t="str">
        <f>'Population Definitions'!$A$11</f>
        <v>65+_females</v>
      </c>
      <c r="C539" t="s">
        <v>34</v>
      </c>
      <c r="D539" s="3"/>
      <c r="E539" s="3">
        <v>4.711088334118847</v>
      </c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</row>
    <row r="540" spans="1:55">
      <c r="A540" s="1" t="str">
        <f>'Population Definitions'!$A$12</f>
        <v>Prisoners_males</v>
      </c>
      <c r="C540" t="s">
        <v>34</v>
      </c>
      <c r="D540" s="3"/>
      <c r="E540" s="3">
        <v>0.20004035805</v>
      </c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</row>
    <row r="541" spans="1:55">
      <c r="A541" s="1" t="str">
        <f>'Population Definitions'!$A$13</f>
        <v>Prisoners_females</v>
      </c>
      <c r="C541" t="s">
        <v>34</v>
      </c>
      <c r="D541" s="3"/>
      <c r="E541" s="3">
        <v>0.02214380924224316</v>
      </c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</row>
    <row r="542" spans="1:55">
      <c r="A542" s="1" t="str">
        <f>'Population Definitions'!$A$14</f>
        <v>Prisoners_PWID_males</v>
      </c>
      <c r="C542" t="s">
        <v>34</v>
      </c>
      <c r="D542" s="3"/>
      <c r="E542" s="3">
        <v>0.6001210741499999</v>
      </c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</row>
    <row r="543" spans="1:55">
      <c r="A543" s="1" t="str">
        <f>'Population Definitions'!$A$15</f>
        <v>Prisoners_PWID_females</v>
      </c>
      <c r="C543" t="s">
        <v>34</v>
      </c>
      <c r="D543" s="3"/>
      <c r="E543" s="3">
        <v>0.008599672576448451</v>
      </c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</row>
    <row r="545" spans="1:55">
      <c r="A545" s="1" t="s">
        <v>161</v>
      </c>
      <c r="B545" s="1" t="s">
        <v>31</v>
      </c>
      <c r="C545" s="1" t="s">
        <v>32</v>
      </c>
      <c r="D545" s="1" t="s">
        <v>33</v>
      </c>
      <c r="E545" s="1">
        <v>2000</v>
      </c>
      <c r="F545" s="1">
        <v>2001</v>
      </c>
      <c r="G545" s="1">
        <v>2002</v>
      </c>
      <c r="H545" s="1">
        <v>2003</v>
      </c>
      <c r="I545" s="1">
        <v>2004</v>
      </c>
      <c r="J545" s="1">
        <v>2005</v>
      </c>
      <c r="K545" s="1">
        <v>2006</v>
      </c>
      <c r="L545" s="1">
        <v>2007</v>
      </c>
      <c r="M545" s="1">
        <v>2008</v>
      </c>
      <c r="N545" s="1">
        <v>2009</v>
      </c>
      <c r="O545" s="1">
        <v>2010</v>
      </c>
      <c r="P545" s="1">
        <v>2011</v>
      </c>
      <c r="Q545" s="1">
        <v>2012</v>
      </c>
      <c r="R545" s="1">
        <v>2013</v>
      </c>
      <c r="S545" s="1">
        <v>2014</v>
      </c>
      <c r="T545" s="1">
        <v>2015</v>
      </c>
      <c r="U545" s="1">
        <v>2016</v>
      </c>
      <c r="V545" s="1">
        <v>2017</v>
      </c>
      <c r="W545" s="1">
        <v>2018</v>
      </c>
      <c r="X545" s="1">
        <v>2019</v>
      </c>
      <c r="Y545" s="1">
        <v>2020</v>
      </c>
      <c r="Z545" s="1">
        <v>2021</v>
      </c>
      <c r="AA545" s="1">
        <v>2022</v>
      </c>
      <c r="AB545" s="1">
        <v>2023</v>
      </c>
      <c r="AC545" s="1">
        <v>2024</v>
      </c>
      <c r="AD545" s="1">
        <v>2025</v>
      </c>
      <c r="AE545" s="1">
        <v>2026</v>
      </c>
      <c r="AF545" s="1">
        <v>2027</v>
      </c>
      <c r="AG545" s="1">
        <v>2028</v>
      </c>
      <c r="AH545" s="1">
        <v>2029</v>
      </c>
      <c r="AI545" s="1">
        <v>2030</v>
      </c>
      <c r="AJ545" s="1">
        <v>2031</v>
      </c>
      <c r="AK545" s="1">
        <v>2032</v>
      </c>
      <c r="AL545" s="1">
        <v>2033</v>
      </c>
      <c r="AM545" s="1">
        <v>2034</v>
      </c>
      <c r="AN545" s="1">
        <v>2035</v>
      </c>
      <c r="AO545" s="1">
        <v>2036</v>
      </c>
      <c r="AP545" s="1">
        <v>2037</v>
      </c>
      <c r="AQ545" s="1">
        <v>2038</v>
      </c>
      <c r="AR545" s="1">
        <v>2039</v>
      </c>
      <c r="AS545" s="1">
        <v>2040</v>
      </c>
      <c r="AT545" s="1">
        <v>2041</v>
      </c>
      <c r="AU545" s="1">
        <v>2042</v>
      </c>
      <c r="AV545" s="1">
        <v>2043</v>
      </c>
      <c r="AW545" s="1">
        <v>2044</v>
      </c>
      <c r="AX545" s="1">
        <v>2045</v>
      </c>
      <c r="AY545" s="1">
        <v>2046</v>
      </c>
      <c r="AZ545" s="1">
        <v>2047</v>
      </c>
      <c r="BA545" s="1">
        <v>2048</v>
      </c>
      <c r="BB545" s="1">
        <v>2049</v>
      </c>
      <c r="BC545" s="1">
        <v>2050</v>
      </c>
    </row>
    <row r="546" spans="1:55">
      <c r="A546" s="1" t="str">
        <f>'Population Definitions'!$A$2</f>
        <v>PWID_males</v>
      </c>
      <c r="C546" t="s">
        <v>34</v>
      </c>
      <c r="D546" s="3"/>
      <c r="E546" s="3">
        <v>4.322523296747837</v>
      </c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</row>
    <row r="547" spans="1:55">
      <c r="A547" s="1" t="str">
        <f>'Population Definitions'!$A$3</f>
        <v>PWID_females</v>
      </c>
      <c r="C547" t="s">
        <v>34</v>
      </c>
      <c r="D547" s="3"/>
      <c r="E547" s="3">
        <v>3.281287735167542</v>
      </c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</row>
    <row r="548" spans="1:55">
      <c r="A548" s="1" t="str">
        <f>'Population Definitions'!$A$4</f>
        <v>0-9_males</v>
      </c>
      <c r="C548" t="s">
        <v>34</v>
      </c>
      <c r="D548" s="3"/>
      <c r="E548" s="3">
        <v>0</v>
      </c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</row>
    <row r="549" spans="1:55">
      <c r="A549" s="1" t="str">
        <f>'Population Definitions'!$A$5</f>
        <v>0-9_females</v>
      </c>
      <c r="C549" t="s">
        <v>34</v>
      </c>
      <c r="D549" s="3"/>
      <c r="E549" s="3">
        <v>0</v>
      </c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</row>
    <row r="550" spans="1:55">
      <c r="A550" s="1" t="str">
        <f>'Population Definitions'!$A$6</f>
        <v>10-17_males</v>
      </c>
      <c r="C550" t="s">
        <v>34</v>
      </c>
      <c r="D550" s="3"/>
      <c r="E550" s="3">
        <v>0</v>
      </c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</row>
    <row r="551" spans="1:55">
      <c r="A551" s="1" t="str">
        <f>'Population Definitions'!$A$7</f>
        <v>10-17_females</v>
      </c>
      <c r="C551" t="s">
        <v>34</v>
      </c>
      <c r="D551" s="3"/>
      <c r="E551" s="3">
        <v>0</v>
      </c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</row>
    <row r="552" spans="1:55">
      <c r="A552" s="1" t="str">
        <f>'Population Definitions'!$A$8</f>
        <v>18-64_males</v>
      </c>
      <c r="C552" t="s">
        <v>34</v>
      </c>
      <c r="D552" s="3"/>
      <c r="E552" s="3">
        <v>22.63344231669715</v>
      </c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</row>
    <row r="553" spans="1:55">
      <c r="A553" s="1" t="str">
        <f>'Population Definitions'!$A$9</f>
        <v>18-64_females</v>
      </c>
      <c r="C553" t="s">
        <v>34</v>
      </c>
      <c r="D553" s="3"/>
      <c r="E553" s="3">
        <v>22.2020802779785</v>
      </c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</row>
    <row r="554" spans="1:55">
      <c r="A554" s="1" t="str">
        <f>'Population Definitions'!$A$10</f>
        <v>65+_males</v>
      </c>
      <c r="C554" t="s">
        <v>34</v>
      </c>
      <c r="D554" s="3"/>
      <c r="E554" s="3">
        <v>3.864478203166445</v>
      </c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</row>
    <row r="555" spans="1:55">
      <c r="A555" s="1" t="str">
        <f>'Population Definitions'!$A$11</f>
        <v>65+_females</v>
      </c>
      <c r="C555" t="s">
        <v>34</v>
      </c>
      <c r="D555" s="3"/>
      <c r="E555" s="3">
        <v>4.711088334118847</v>
      </c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</row>
    <row r="556" spans="1:55">
      <c r="A556" s="1" t="str">
        <f>'Population Definitions'!$A$12</f>
        <v>Prisoners_males</v>
      </c>
      <c r="C556" t="s">
        <v>34</v>
      </c>
      <c r="D556" s="3"/>
      <c r="E556" s="3">
        <v>0.20004035805</v>
      </c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</row>
    <row r="557" spans="1:55">
      <c r="A557" s="1" t="str">
        <f>'Population Definitions'!$A$13</f>
        <v>Prisoners_females</v>
      </c>
      <c r="C557" t="s">
        <v>34</v>
      </c>
      <c r="D557" s="3"/>
      <c r="E557" s="3">
        <v>0.02214380924224316</v>
      </c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</row>
    <row r="558" spans="1:55">
      <c r="A558" s="1" t="str">
        <f>'Population Definitions'!$A$14</f>
        <v>Prisoners_PWID_males</v>
      </c>
      <c r="C558" t="s">
        <v>34</v>
      </c>
      <c r="D558" s="3"/>
      <c r="E558" s="3">
        <v>0.6001210741499999</v>
      </c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</row>
    <row r="559" spans="1:55">
      <c r="A559" s="1" t="str">
        <f>'Population Definitions'!$A$15</f>
        <v>Prisoners_PWID_females</v>
      </c>
      <c r="C559" t="s">
        <v>34</v>
      </c>
      <c r="D559" s="3"/>
      <c r="E559" s="3">
        <v>0.008599672576448451</v>
      </c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</row>
    <row r="561" spans="1:55">
      <c r="A561" s="1" t="s">
        <v>162</v>
      </c>
      <c r="B561" s="1" t="s">
        <v>31</v>
      </c>
      <c r="C561" s="1" t="s">
        <v>32</v>
      </c>
      <c r="D561" s="1" t="s">
        <v>33</v>
      </c>
      <c r="E561" s="1">
        <v>2000</v>
      </c>
      <c r="F561" s="1">
        <v>2001</v>
      </c>
      <c r="G561" s="1">
        <v>2002</v>
      </c>
      <c r="H561" s="1">
        <v>2003</v>
      </c>
      <c r="I561" s="1">
        <v>2004</v>
      </c>
      <c r="J561" s="1">
        <v>2005</v>
      </c>
      <c r="K561" s="1">
        <v>2006</v>
      </c>
      <c r="L561" s="1">
        <v>2007</v>
      </c>
      <c r="M561" s="1">
        <v>2008</v>
      </c>
      <c r="N561" s="1">
        <v>2009</v>
      </c>
      <c r="O561" s="1">
        <v>2010</v>
      </c>
      <c r="P561" s="1">
        <v>2011</v>
      </c>
      <c r="Q561" s="1">
        <v>2012</v>
      </c>
      <c r="R561" s="1">
        <v>2013</v>
      </c>
      <c r="S561" s="1">
        <v>2014</v>
      </c>
      <c r="T561" s="1">
        <v>2015</v>
      </c>
      <c r="U561" s="1">
        <v>2016</v>
      </c>
      <c r="V561" s="1">
        <v>2017</v>
      </c>
      <c r="W561" s="1">
        <v>2018</v>
      </c>
      <c r="X561" s="1">
        <v>2019</v>
      </c>
      <c r="Y561" s="1">
        <v>2020</v>
      </c>
      <c r="Z561" s="1">
        <v>2021</v>
      </c>
      <c r="AA561" s="1">
        <v>2022</v>
      </c>
      <c r="AB561" s="1">
        <v>2023</v>
      </c>
      <c r="AC561" s="1">
        <v>2024</v>
      </c>
      <c r="AD561" s="1">
        <v>2025</v>
      </c>
      <c r="AE561" s="1">
        <v>2026</v>
      </c>
      <c r="AF561" s="1">
        <v>2027</v>
      </c>
      <c r="AG561" s="1">
        <v>2028</v>
      </c>
      <c r="AH561" s="1">
        <v>2029</v>
      </c>
      <c r="AI561" s="1">
        <v>2030</v>
      </c>
      <c r="AJ561" s="1">
        <v>2031</v>
      </c>
      <c r="AK561" s="1">
        <v>2032</v>
      </c>
      <c r="AL561" s="1">
        <v>2033</v>
      </c>
      <c r="AM561" s="1">
        <v>2034</v>
      </c>
      <c r="AN561" s="1">
        <v>2035</v>
      </c>
      <c r="AO561" s="1">
        <v>2036</v>
      </c>
      <c r="AP561" s="1">
        <v>2037</v>
      </c>
      <c r="AQ561" s="1">
        <v>2038</v>
      </c>
      <c r="AR561" s="1">
        <v>2039</v>
      </c>
      <c r="AS561" s="1">
        <v>2040</v>
      </c>
      <c r="AT561" s="1">
        <v>2041</v>
      </c>
      <c r="AU561" s="1">
        <v>2042</v>
      </c>
      <c r="AV561" s="1">
        <v>2043</v>
      </c>
      <c r="AW561" s="1">
        <v>2044</v>
      </c>
      <c r="AX561" s="1">
        <v>2045</v>
      </c>
      <c r="AY561" s="1">
        <v>2046</v>
      </c>
      <c r="AZ561" s="1">
        <v>2047</v>
      </c>
      <c r="BA561" s="1">
        <v>2048</v>
      </c>
      <c r="BB561" s="1">
        <v>2049</v>
      </c>
      <c r="BC561" s="1">
        <v>2050</v>
      </c>
    </row>
    <row r="562" spans="1:55">
      <c r="A562" s="1" t="str">
        <f>'Population Definitions'!$A$2</f>
        <v>PWID_males</v>
      </c>
      <c r="C562" t="s">
        <v>34</v>
      </c>
      <c r="D562" s="3"/>
      <c r="E562" s="3">
        <v>1.080630824186959</v>
      </c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</row>
    <row r="563" spans="1:55">
      <c r="A563" s="1" t="str">
        <f>'Population Definitions'!$A$3</f>
        <v>PWID_females</v>
      </c>
      <c r="C563" t="s">
        <v>34</v>
      </c>
      <c r="D563" s="3"/>
      <c r="E563" s="3">
        <v>0.8203219337918854</v>
      </c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</row>
    <row r="564" spans="1:55">
      <c r="A564" s="1" t="str">
        <f>'Population Definitions'!$A$4</f>
        <v>0-9_males</v>
      </c>
      <c r="C564" t="s">
        <v>34</v>
      </c>
      <c r="D564" s="3"/>
      <c r="E564" s="3">
        <v>0</v>
      </c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</row>
    <row r="565" spans="1:55">
      <c r="A565" s="1" t="str">
        <f>'Population Definitions'!$A$5</f>
        <v>0-9_females</v>
      </c>
      <c r="C565" t="s">
        <v>34</v>
      </c>
      <c r="D565" s="3"/>
      <c r="E565" s="3">
        <v>0</v>
      </c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</row>
    <row r="566" spans="1:55">
      <c r="A566" s="1" t="str">
        <f>'Population Definitions'!$A$6</f>
        <v>10-17_males</v>
      </c>
      <c r="C566" t="s">
        <v>34</v>
      </c>
      <c r="D566" s="3"/>
      <c r="E566" s="3">
        <v>0</v>
      </c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</row>
    <row r="567" spans="1:55">
      <c r="A567" s="1" t="str">
        <f>'Population Definitions'!$A$7</f>
        <v>10-17_females</v>
      </c>
      <c r="C567" t="s">
        <v>34</v>
      </c>
      <c r="D567" s="3"/>
      <c r="E567" s="3">
        <v>0</v>
      </c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</row>
    <row r="568" spans="1:55">
      <c r="A568" s="1" t="str">
        <f>'Population Definitions'!$A$8</f>
        <v>18-64_males</v>
      </c>
      <c r="C568" t="s">
        <v>34</v>
      </c>
      <c r="D568" s="3"/>
      <c r="E568" s="3">
        <v>5.658360579174286</v>
      </c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</row>
    <row r="569" spans="1:55">
      <c r="A569" s="1" t="str">
        <f>'Population Definitions'!$A$9</f>
        <v>18-64_females</v>
      </c>
      <c r="C569" t="s">
        <v>34</v>
      </c>
      <c r="D569" s="3"/>
      <c r="E569" s="3">
        <v>5.550520069494624</v>
      </c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</row>
    <row r="570" spans="1:55">
      <c r="A570" s="1" t="str">
        <f>'Population Definitions'!$A$10</f>
        <v>65+_males</v>
      </c>
      <c r="C570" t="s">
        <v>34</v>
      </c>
      <c r="D570" s="3"/>
      <c r="E570" s="3">
        <v>0.9661195507916112</v>
      </c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</row>
    <row r="571" spans="1:55">
      <c r="A571" s="1" t="str">
        <f>'Population Definitions'!$A$11</f>
        <v>65+_females</v>
      </c>
      <c r="C571" t="s">
        <v>34</v>
      </c>
      <c r="D571" s="3"/>
      <c r="E571" s="3">
        <v>1.177772083529712</v>
      </c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</row>
    <row r="572" spans="1:55">
      <c r="A572" s="1" t="str">
        <f>'Population Definitions'!$A$12</f>
        <v>Prisoners_males</v>
      </c>
      <c r="C572" t="s">
        <v>34</v>
      </c>
      <c r="D572" s="3"/>
      <c r="E572" s="3">
        <v>0.05001008951249999</v>
      </c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</row>
    <row r="573" spans="1:55">
      <c r="A573" s="1" t="str">
        <f>'Population Definitions'!$A$13</f>
        <v>Prisoners_females</v>
      </c>
      <c r="C573" t="s">
        <v>34</v>
      </c>
      <c r="D573" s="3"/>
      <c r="E573" s="3">
        <v>0.005535952310560791</v>
      </c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</row>
    <row r="574" spans="1:55">
      <c r="A574" s="1" t="str">
        <f>'Population Definitions'!$A$14</f>
        <v>Prisoners_PWID_males</v>
      </c>
      <c r="C574" t="s">
        <v>34</v>
      </c>
      <c r="D574" s="3"/>
      <c r="E574" s="3">
        <v>0.1500302685375</v>
      </c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</row>
    <row r="575" spans="1:55">
      <c r="A575" s="1" t="str">
        <f>'Population Definitions'!$A$15</f>
        <v>Prisoners_PWID_females</v>
      </c>
      <c r="C575" t="s">
        <v>34</v>
      </c>
      <c r="D575" s="3"/>
      <c r="E575" s="3">
        <v>0.002149918144112113</v>
      </c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</row>
    <row r="577" spans="1:55">
      <c r="A577" s="1" t="s">
        <v>163</v>
      </c>
      <c r="B577" s="1" t="s">
        <v>31</v>
      </c>
      <c r="C577" s="1" t="s">
        <v>32</v>
      </c>
      <c r="D577" s="1" t="s">
        <v>33</v>
      </c>
      <c r="E577" s="1">
        <v>2000</v>
      </c>
      <c r="F577" s="1">
        <v>2001</v>
      </c>
      <c r="G577" s="1">
        <v>2002</v>
      </c>
      <c r="H577" s="1">
        <v>2003</v>
      </c>
      <c r="I577" s="1">
        <v>2004</v>
      </c>
      <c r="J577" s="1">
        <v>2005</v>
      </c>
      <c r="K577" s="1">
        <v>2006</v>
      </c>
      <c r="L577" s="1">
        <v>2007</v>
      </c>
      <c r="M577" s="1">
        <v>2008</v>
      </c>
      <c r="N577" s="1">
        <v>2009</v>
      </c>
      <c r="O577" s="1">
        <v>2010</v>
      </c>
      <c r="P577" s="1">
        <v>2011</v>
      </c>
      <c r="Q577" s="1">
        <v>2012</v>
      </c>
      <c r="R577" s="1">
        <v>2013</v>
      </c>
      <c r="S577" s="1">
        <v>2014</v>
      </c>
      <c r="T577" s="1">
        <v>2015</v>
      </c>
      <c r="U577" s="1">
        <v>2016</v>
      </c>
      <c r="V577" s="1">
        <v>2017</v>
      </c>
      <c r="W577" s="1">
        <v>2018</v>
      </c>
      <c r="X577" s="1">
        <v>2019</v>
      </c>
      <c r="Y577" s="1">
        <v>2020</v>
      </c>
      <c r="Z577" s="1">
        <v>2021</v>
      </c>
      <c r="AA577" s="1">
        <v>2022</v>
      </c>
      <c r="AB577" s="1">
        <v>2023</v>
      </c>
      <c r="AC577" s="1">
        <v>2024</v>
      </c>
      <c r="AD577" s="1">
        <v>2025</v>
      </c>
      <c r="AE577" s="1">
        <v>2026</v>
      </c>
      <c r="AF577" s="1">
        <v>2027</v>
      </c>
      <c r="AG577" s="1">
        <v>2028</v>
      </c>
      <c r="AH577" s="1">
        <v>2029</v>
      </c>
      <c r="AI577" s="1">
        <v>2030</v>
      </c>
      <c r="AJ577" s="1">
        <v>2031</v>
      </c>
      <c r="AK577" s="1">
        <v>2032</v>
      </c>
      <c r="AL577" s="1">
        <v>2033</v>
      </c>
      <c r="AM577" s="1">
        <v>2034</v>
      </c>
      <c r="AN577" s="1">
        <v>2035</v>
      </c>
      <c r="AO577" s="1">
        <v>2036</v>
      </c>
      <c r="AP577" s="1">
        <v>2037</v>
      </c>
      <c r="AQ577" s="1">
        <v>2038</v>
      </c>
      <c r="AR577" s="1">
        <v>2039</v>
      </c>
      <c r="AS577" s="1">
        <v>2040</v>
      </c>
      <c r="AT577" s="1">
        <v>2041</v>
      </c>
      <c r="AU577" s="1">
        <v>2042</v>
      </c>
      <c r="AV577" s="1">
        <v>2043</v>
      </c>
      <c r="AW577" s="1">
        <v>2044</v>
      </c>
      <c r="AX577" s="1">
        <v>2045</v>
      </c>
      <c r="AY577" s="1">
        <v>2046</v>
      </c>
      <c r="AZ577" s="1">
        <v>2047</v>
      </c>
      <c r="BA577" s="1">
        <v>2048</v>
      </c>
      <c r="BB577" s="1">
        <v>2049</v>
      </c>
      <c r="BC577" s="1">
        <v>2050</v>
      </c>
    </row>
    <row r="578" spans="1:55">
      <c r="A578" s="1" t="str">
        <f>'Population Definitions'!$A$2</f>
        <v>PWID_males</v>
      </c>
      <c r="C578" t="s">
        <v>34</v>
      </c>
      <c r="D578" s="3"/>
      <c r="E578" s="3">
        <v>0.308751664053417</v>
      </c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</row>
    <row r="579" spans="1:55">
      <c r="A579" s="1" t="str">
        <f>'Population Definitions'!$A$3</f>
        <v>PWID_females</v>
      </c>
      <c r="C579" t="s">
        <v>34</v>
      </c>
      <c r="D579" s="3"/>
      <c r="E579" s="3">
        <v>0.2343776953691101</v>
      </c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</row>
    <row r="580" spans="1:55">
      <c r="A580" s="1" t="str">
        <f>'Population Definitions'!$A$4</f>
        <v>0-9_males</v>
      </c>
      <c r="C580" t="s">
        <v>34</v>
      </c>
      <c r="D580" s="3"/>
      <c r="E580" s="3">
        <v>0</v>
      </c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</row>
    <row r="581" spans="1:55">
      <c r="A581" s="1" t="str">
        <f>'Population Definitions'!$A$5</f>
        <v>0-9_females</v>
      </c>
      <c r="C581" t="s">
        <v>34</v>
      </c>
      <c r="D581" s="3"/>
      <c r="E581" s="3">
        <v>0</v>
      </c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</row>
    <row r="582" spans="1:55">
      <c r="A582" s="1" t="str">
        <f>'Population Definitions'!$A$6</f>
        <v>10-17_males</v>
      </c>
      <c r="C582" t="s">
        <v>34</v>
      </c>
      <c r="D582" s="3"/>
      <c r="E582" s="3">
        <v>0</v>
      </c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</row>
    <row r="583" spans="1:55">
      <c r="A583" s="1" t="str">
        <f>'Population Definitions'!$A$7</f>
        <v>10-17_females</v>
      </c>
      <c r="C583" t="s">
        <v>34</v>
      </c>
      <c r="D583" s="3"/>
      <c r="E583" s="3">
        <v>0</v>
      </c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</row>
    <row r="584" spans="1:55">
      <c r="A584" s="1" t="str">
        <f>'Population Definitions'!$A$8</f>
        <v>18-64_males</v>
      </c>
      <c r="C584" t="s">
        <v>34</v>
      </c>
      <c r="D584" s="3"/>
      <c r="E584" s="3">
        <v>1.616674451192653</v>
      </c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</row>
    <row r="585" spans="1:55">
      <c r="A585" s="1" t="str">
        <f>'Population Definitions'!$A$9</f>
        <v>18-64_females</v>
      </c>
      <c r="C585" t="s">
        <v>34</v>
      </c>
      <c r="D585" s="3"/>
      <c r="E585" s="3">
        <v>1.585862876998464</v>
      </c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</row>
    <row r="586" spans="1:55">
      <c r="A586" s="1" t="str">
        <f>'Population Definitions'!$A$10</f>
        <v>65+_males</v>
      </c>
      <c r="C586" t="s">
        <v>34</v>
      </c>
      <c r="D586" s="3"/>
      <c r="E586" s="3">
        <v>0.2760341573690318</v>
      </c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</row>
    <row r="587" spans="1:55">
      <c r="A587" s="1" t="str">
        <f>'Population Definitions'!$A$11</f>
        <v>65+_females</v>
      </c>
      <c r="C587" t="s">
        <v>34</v>
      </c>
      <c r="D587" s="3"/>
      <c r="E587" s="3">
        <v>0.3365063095799177</v>
      </c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</row>
    <row r="588" spans="1:55">
      <c r="A588" s="1" t="str">
        <f>'Population Definitions'!$A$12</f>
        <v>Prisoners_males</v>
      </c>
      <c r="C588" t="s">
        <v>34</v>
      </c>
      <c r="D588" s="3"/>
      <c r="E588" s="3">
        <v>0.01428859700357143</v>
      </c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</row>
    <row r="589" spans="1:55">
      <c r="A589" s="1" t="str">
        <f>'Population Definitions'!$A$13</f>
        <v>Prisoners_females</v>
      </c>
      <c r="C589" t="s">
        <v>34</v>
      </c>
      <c r="D589" s="3"/>
      <c r="E589" s="3">
        <v>0.001581700660160226</v>
      </c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</row>
    <row r="590" spans="1:55">
      <c r="A590" s="1" t="str">
        <f>'Population Definitions'!$A$14</f>
        <v>Prisoners_PWID_males</v>
      </c>
      <c r="C590" t="s">
        <v>34</v>
      </c>
      <c r="D590" s="3"/>
      <c r="E590" s="3">
        <v>0.04286579101071428</v>
      </c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</row>
    <row r="591" spans="1:55">
      <c r="A591" s="1" t="str">
        <f>'Population Definitions'!$A$15</f>
        <v>Prisoners_PWID_females</v>
      </c>
      <c r="C591" t="s">
        <v>34</v>
      </c>
      <c r="D591" s="3"/>
      <c r="E591" s="3">
        <v>0.000614262326889175</v>
      </c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</row>
    <row r="593" spans="1:55">
      <c r="A593" s="1" t="s">
        <v>164</v>
      </c>
      <c r="B593" s="1" t="s">
        <v>31</v>
      </c>
      <c r="C593" s="1" t="s">
        <v>32</v>
      </c>
      <c r="D593" s="1" t="s">
        <v>33</v>
      </c>
      <c r="E593" s="1">
        <v>2000</v>
      </c>
      <c r="F593" s="1">
        <v>2001</v>
      </c>
      <c r="G593" s="1">
        <v>2002</v>
      </c>
      <c r="H593" s="1">
        <v>2003</v>
      </c>
      <c r="I593" s="1">
        <v>2004</v>
      </c>
      <c r="J593" s="1">
        <v>2005</v>
      </c>
      <c r="K593" s="1">
        <v>2006</v>
      </c>
      <c r="L593" s="1">
        <v>2007</v>
      </c>
      <c r="M593" s="1">
        <v>2008</v>
      </c>
      <c r="N593" s="1">
        <v>2009</v>
      </c>
      <c r="O593" s="1">
        <v>2010</v>
      </c>
      <c r="P593" s="1">
        <v>2011</v>
      </c>
      <c r="Q593" s="1">
        <v>2012</v>
      </c>
      <c r="R593" s="1">
        <v>2013</v>
      </c>
      <c r="S593" s="1">
        <v>2014</v>
      </c>
      <c r="T593" s="1">
        <v>2015</v>
      </c>
      <c r="U593" s="1">
        <v>2016</v>
      </c>
      <c r="V593" s="1">
        <v>2017</v>
      </c>
      <c r="W593" s="1">
        <v>2018</v>
      </c>
      <c r="X593" s="1">
        <v>2019</v>
      </c>
      <c r="Y593" s="1">
        <v>2020</v>
      </c>
      <c r="Z593" s="1">
        <v>2021</v>
      </c>
      <c r="AA593" s="1">
        <v>2022</v>
      </c>
      <c r="AB593" s="1">
        <v>2023</v>
      </c>
      <c r="AC593" s="1">
        <v>2024</v>
      </c>
      <c r="AD593" s="1">
        <v>2025</v>
      </c>
      <c r="AE593" s="1">
        <v>2026</v>
      </c>
      <c r="AF593" s="1">
        <v>2027</v>
      </c>
      <c r="AG593" s="1">
        <v>2028</v>
      </c>
      <c r="AH593" s="1">
        <v>2029</v>
      </c>
      <c r="AI593" s="1">
        <v>2030</v>
      </c>
      <c r="AJ593" s="1">
        <v>2031</v>
      </c>
      <c r="AK593" s="1">
        <v>2032</v>
      </c>
      <c r="AL593" s="1">
        <v>2033</v>
      </c>
      <c r="AM593" s="1">
        <v>2034</v>
      </c>
      <c r="AN593" s="1">
        <v>2035</v>
      </c>
      <c r="AO593" s="1">
        <v>2036</v>
      </c>
      <c r="AP593" s="1">
        <v>2037</v>
      </c>
      <c r="AQ593" s="1">
        <v>2038</v>
      </c>
      <c r="AR593" s="1">
        <v>2039</v>
      </c>
      <c r="AS593" s="1">
        <v>2040</v>
      </c>
      <c r="AT593" s="1">
        <v>2041</v>
      </c>
      <c r="AU593" s="1">
        <v>2042</v>
      </c>
      <c r="AV593" s="1">
        <v>2043</v>
      </c>
      <c r="AW593" s="1">
        <v>2044</v>
      </c>
      <c r="AX593" s="1">
        <v>2045</v>
      </c>
      <c r="AY593" s="1">
        <v>2046</v>
      </c>
      <c r="AZ593" s="1">
        <v>2047</v>
      </c>
      <c r="BA593" s="1">
        <v>2048</v>
      </c>
      <c r="BB593" s="1">
        <v>2049</v>
      </c>
      <c r="BC593" s="1">
        <v>2050</v>
      </c>
    </row>
    <row r="594" spans="1:55">
      <c r="A594" s="1" t="str">
        <f>'Population Definitions'!$A$2</f>
        <v>PWID_males</v>
      </c>
      <c r="C594" t="s">
        <v>34</v>
      </c>
      <c r="D594" s="3"/>
      <c r="E594" s="3">
        <v>0.205834442702278</v>
      </c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</row>
    <row r="595" spans="1:55">
      <c r="A595" s="1" t="str">
        <f>'Population Definitions'!$A$3</f>
        <v>PWID_females</v>
      </c>
      <c r="C595" t="s">
        <v>34</v>
      </c>
      <c r="D595" s="3"/>
      <c r="E595" s="3">
        <v>0.1562517969127401</v>
      </c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</row>
    <row r="596" spans="1:55">
      <c r="A596" s="1" t="str">
        <f>'Population Definitions'!$A$4</f>
        <v>0-9_males</v>
      </c>
      <c r="C596" t="s">
        <v>34</v>
      </c>
      <c r="D596" s="3"/>
      <c r="E596" s="3">
        <v>0</v>
      </c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</row>
    <row r="597" spans="1:55">
      <c r="A597" s="1" t="str">
        <f>'Population Definitions'!$A$5</f>
        <v>0-9_females</v>
      </c>
      <c r="C597" t="s">
        <v>34</v>
      </c>
      <c r="D597" s="3"/>
      <c r="E597" s="3">
        <v>0</v>
      </c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</row>
    <row r="598" spans="1:55">
      <c r="A598" s="1" t="str">
        <f>'Population Definitions'!$A$6</f>
        <v>10-17_males</v>
      </c>
      <c r="C598" t="s">
        <v>34</v>
      </c>
      <c r="D598" s="3"/>
      <c r="E598" s="3">
        <v>0</v>
      </c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</row>
    <row r="599" spans="1:55">
      <c r="A599" s="1" t="str">
        <f>'Population Definitions'!$A$7</f>
        <v>10-17_females</v>
      </c>
      <c r="C599" t="s">
        <v>34</v>
      </c>
      <c r="D599" s="3"/>
      <c r="E599" s="3">
        <v>0</v>
      </c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</row>
    <row r="600" spans="1:55">
      <c r="A600" s="1" t="str">
        <f>'Population Definitions'!$A$8</f>
        <v>18-64_males</v>
      </c>
      <c r="C600" t="s">
        <v>34</v>
      </c>
      <c r="D600" s="3"/>
      <c r="E600" s="3">
        <v>1.077782967461769</v>
      </c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</row>
    <row r="601" spans="1:55">
      <c r="A601" s="1" t="str">
        <f>'Population Definitions'!$A$9</f>
        <v>18-64_females</v>
      </c>
      <c r="C601" t="s">
        <v>34</v>
      </c>
      <c r="D601" s="3"/>
      <c r="E601" s="3">
        <v>1.057241917998976</v>
      </c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</row>
    <row r="602" spans="1:55">
      <c r="A602" s="1" t="str">
        <f>'Population Definitions'!$A$10</f>
        <v>65+_males</v>
      </c>
      <c r="C602" t="s">
        <v>34</v>
      </c>
      <c r="D602" s="3"/>
      <c r="E602" s="3">
        <v>0.1840227715793545</v>
      </c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</row>
    <row r="603" spans="1:55">
      <c r="A603" s="1" t="str">
        <f>'Population Definitions'!$A$11</f>
        <v>65+_females</v>
      </c>
      <c r="C603" t="s">
        <v>34</v>
      </c>
      <c r="D603" s="3"/>
      <c r="E603" s="3">
        <v>0.2243375397199451</v>
      </c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</row>
    <row r="604" spans="1:55">
      <c r="A604" s="1" t="str">
        <f>'Population Definitions'!$A$12</f>
        <v>Prisoners_males</v>
      </c>
      <c r="C604" t="s">
        <v>34</v>
      </c>
      <c r="D604" s="3"/>
      <c r="E604" s="3">
        <v>0.009525731335714285</v>
      </c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</row>
    <row r="605" spans="1:55">
      <c r="A605" s="1" t="str">
        <f>'Population Definitions'!$A$13</f>
        <v>Prisoners_females</v>
      </c>
      <c r="C605" t="s">
        <v>34</v>
      </c>
      <c r="D605" s="3"/>
      <c r="E605" s="3">
        <v>0.001054467106773484</v>
      </c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</row>
    <row r="606" spans="1:55">
      <c r="A606" s="1" t="str">
        <f>'Population Definitions'!$A$14</f>
        <v>Prisoners_PWID_males</v>
      </c>
      <c r="C606" t="s">
        <v>34</v>
      </c>
      <c r="D606" s="3"/>
      <c r="E606" s="3">
        <v>0.02857719400714286</v>
      </c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</row>
    <row r="607" spans="1:55">
      <c r="A607" s="1" t="str">
        <f>'Population Definitions'!$A$15</f>
        <v>Prisoners_PWID_females</v>
      </c>
      <c r="C607" t="s">
        <v>34</v>
      </c>
      <c r="D607" s="3"/>
      <c r="E607" s="3">
        <v>0.0004095082179261167</v>
      </c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</row>
    <row r="609" spans="1:55">
      <c r="A609" s="1" t="s">
        <v>165</v>
      </c>
      <c r="B609" s="1" t="s">
        <v>31</v>
      </c>
      <c r="C609" s="1" t="s">
        <v>32</v>
      </c>
      <c r="D609" s="1" t="s">
        <v>33</v>
      </c>
      <c r="E609" s="1">
        <v>2000</v>
      </c>
      <c r="F609" s="1">
        <v>2001</v>
      </c>
      <c r="G609" s="1">
        <v>2002</v>
      </c>
      <c r="H609" s="1">
        <v>2003</v>
      </c>
      <c r="I609" s="1">
        <v>2004</v>
      </c>
      <c r="J609" s="1">
        <v>2005</v>
      </c>
      <c r="K609" s="1">
        <v>2006</v>
      </c>
      <c r="L609" s="1">
        <v>2007</v>
      </c>
      <c r="M609" s="1">
        <v>2008</v>
      </c>
      <c r="N609" s="1">
        <v>2009</v>
      </c>
      <c r="O609" s="1">
        <v>2010</v>
      </c>
      <c r="P609" s="1">
        <v>2011</v>
      </c>
      <c r="Q609" s="1">
        <v>2012</v>
      </c>
      <c r="R609" s="1">
        <v>2013</v>
      </c>
      <c r="S609" s="1">
        <v>2014</v>
      </c>
      <c r="T609" s="1">
        <v>2015</v>
      </c>
      <c r="U609" s="1">
        <v>2016</v>
      </c>
      <c r="V609" s="1">
        <v>2017</v>
      </c>
      <c r="W609" s="1">
        <v>2018</v>
      </c>
      <c r="X609" s="1">
        <v>2019</v>
      </c>
      <c r="Y609" s="1">
        <v>2020</v>
      </c>
      <c r="Z609" s="1">
        <v>2021</v>
      </c>
      <c r="AA609" s="1">
        <v>2022</v>
      </c>
      <c r="AB609" s="1">
        <v>2023</v>
      </c>
      <c r="AC609" s="1">
        <v>2024</v>
      </c>
      <c r="AD609" s="1">
        <v>2025</v>
      </c>
      <c r="AE609" s="1">
        <v>2026</v>
      </c>
      <c r="AF609" s="1">
        <v>2027</v>
      </c>
      <c r="AG609" s="1">
        <v>2028</v>
      </c>
      <c r="AH609" s="1">
        <v>2029</v>
      </c>
      <c r="AI609" s="1">
        <v>2030</v>
      </c>
      <c r="AJ609" s="1">
        <v>2031</v>
      </c>
      <c r="AK609" s="1">
        <v>2032</v>
      </c>
      <c r="AL609" s="1">
        <v>2033</v>
      </c>
      <c r="AM609" s="1">
        <v>2034</v>
      </c>
      <c r="AN609" s="1">
        <v>2035</v>
      </c>
      <c r="AO609" s="1">
        <v>2036</v>
      </c>
      <c r="AP609" s="1">
        <v>2037</v>
      </c>
      <c r="AQ609" s="1">
        <v>2038</v>
      </c>
      <c r="AR609" s="1">
        <v>2039</v>
      </c>
      <c r="AS609" s="1">
        <v>2040</v>
      </c>
      <c r="AT609" s="1">
        <v>2041</v>
      </c>
      <c r="AU609" s="1">
        <v>2042</v>
      </c>
      <c r="AV609" s="1">
        <v>2043</v>
      </c>
      <c r="AW609" s="1">
        <v>2044</v>
      </c>
      <c r="AX609" s="1">
        <v>2045</v>
      </c>
      <c r="AY609" s="1">
        <v>2046</v>
      </c>
      <c r="AZ609" s="1">
        <v>2047</v>
      </c>
      <c r="BA609" s="1">
        <v>2048</v>
      </c>
      <c r="BB609" s="1">
        <v>2049</v>
      </c>
      <c r="BC609" s="1">
        <v>2050</v>
      </c>
    </row>
    <row r="610" spans="1:55">
      <c r="A610" s="1" t="str">
        <f>'Population Definitions'!$A$2</f>
        <v>PWID_males</v>
      </c>
      <c r="C610" t="s">
        <v>34</v>
      </c>
      <c r="D610" s="3"/>
      <c r="E610" s="3">
        <v>0.04631274960801254</v>
      </c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</row>
    <row r="611" spans="1:55">
      <c r="A611" s="1" t="str">
        <f>'Population Definitions'!$A$3</f>
        <v>PWID_females</v>
      </c>
      <c r="C611" t="s">
        <v>34</v>
      </c>
      <c r="D611" s="3"/>
      <c r="E611" s="3">
        <v>0.03515665430536652</v>
      </c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</row>
    <row r="612" spans="1:55">
      <c r="A612" s="1" t="str">
        <f>'Population Definitions'!$A$4</f>
        <v>0-9_males</v>
      </c>
      <c r="C612" t="s">
        <v>34</v>
      </c>
      <c r="D612" s="3"/>
      <c r="E612" s="3">
        <v>0</v>
      </c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</row>
    <row r="613" spans="1:55">
      <c r="A613" s="1" t="str">
        <f>'Population Definitions'!$A$5</f>
        <v>0-9_females</v>
      </c>
      <c r="C613" t="s">
        <v>34</v>
      </c>
      <c r="D613" s="3"/>
      <c r="E613" s="3">
        <v>0</v>
      </c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</row>
    <row r="614" spans="1:55">
      <c r="A614" s="1" t="str">
        <f>'Population Definitions'!$A$6</f>
        <v>10-17_males</v>
      </c>
      <c r="C614" t="s">
        <v>34</v>
      </c>
      <c r="D614" s="3"/>
      <c r="E614" s="3">
        <v>0</v>
      </c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</row>
    <row r="615" spans="1:55">
      <c r="A615" s="1" t="str">
        <f>'Population Definitions'!$A$7</f>
        <v>10-17_females</v>
      </c>
      <c r="C615" t="s">
        <v>34</v>
      </c>
      <c r="D615" s="3"/>
      <c r="E615" s="3">
        <v>0</v>
      </c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</row>
    <row r="616" spans="1:55">
      <c r="A616" s="1" t="str">
        <f>'Population Definitions'!$A$8</f>
        <v>18-64_males</v>
      </c>
      <c r="C616" t="s">
        <v>34</v>
      </c>
      <c r="D616" s="3"/>
      <c r="E616" s="3">
        <v>0.242501167678898</v>
      </c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</row>
    <row r="617" spans="1:55">
      <c r="A617" s="1" t="str">
        <f>'Population Definitions'!$A$9</f>
        <v>18-64_females</v>
      </c>
      <c r="C617" t="s">
        <v>34</v>
      </c>
      <c r="D617" s="3"/>
      <c r="E617" s="3">
        <v>0.2378794315497696</v>
      </c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</row>
    <row r="618" spans="1:55">
      <c r="A618" s="1" t="str">
        <f>'Population Definitions'!$A$10</f>
        <v>65+_males</v>
      </c>
      <c r="C618" t="s">
        <v>34</v>
      </c>
      <c r="D618" s="3"/>
      <c r="E618" s="3">
        <v>0.04140512360535476</v>
      </c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</row>
    <row r="619" spans="1:55">
      <c r="A619" s="1" t="str">
        <f>'Population Definitions'!$A$11</f>
        <v>65+_females</v>
      </c>
      <c r="C619" t="s">
        <v>34</v>
      </c>
      <c r="D619" s="3"/>
      <c r="E619" s="3">
        <v>0.05047594643698765</v>
      </c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</row>
    <row r="620" spans="1:55">
      <c r="A620" s="1" t="str">
        <f>'Population Definitions'!$A$12</f>
        <v>Prisoners_males</v>
      </c>
      <c r="C620" t="s">
        <v>34</v>
      </c>
      <c r="D620" s="3"/>
      <c r="E620" s="3">
        <v>0.002143289550535714</v>
      </c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</row>
    <row r="621" spans="1:55">
      <c r="A621" s="1" t="str">
        <f>'Population Definitions'!$A$13</f>
        <v>Prisoners_females</v>
      </c>
      <c r="C621" t="s">
        <v>34</v>
      </c>
      <c r="D621" s="3"/>
      <c r="E621" s="3">
        <v>0.0002372550990240339</v>
      </c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</row>
    <row r="622" spans="1:55">
      <c r="A622" s="1" t="str">
        <f>'Population Definitions'!$A$14</f>
        <v>Prisoners_PWID_males</v>
      </c>
      <c r="C622" t="s">
        <v>34</v>
      </c>
      <c r="D622" s="3"/>
      <c r="E622" s="3">
        <v>0.006429868651607142</v>
      </c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</row>
    <row r="623" spans="1:55">
      <c r="A623" s="1" t="str">
        <f>'Population Definitions'!$A$15</f>
        <v>Prisoners_PWID_females</v>
      </c>
      <c r="C623" t="s">
        <v>34</v>
      </c>
      <c r="D623" s="3"/>
      <c r="E623" s="3">
        <v>9.213934903337625E-05</v>
      </c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</row>
    <row r="625" spans="1:55">
      <c r="A625" s="1" t="s">
        <v>166</v>
      </c>
      <c r="B625" s="1" t="s">
        <v>31</v>
      </c>
      <c r="C625" s="1" t="s">
        <v>32</v>
      </c>
      <c r="D625" s="1" t="s">
        <v>33</v>
      </c>
      <c r="E625" s="1">
        <v>2000</v>
      </c>
      <c r="F625" s="1">
        <v>2001</v>
      </c>
      <c r="G625" s="1">
        <v>2002</v>
      </c>
      <c r="H625" s="1">
        <v>2003</v>
      </c>
      <c r="I625" s="1">
        <v>2004</v>
      </c>
      <c r="J625" s="1">
        <v>2005</v>
      </c>
      <c r="K625" s="1">
        <v>2006</v>
      </c>
      <c r="L625" s="1">
        <v>2007</v>
      </c>
      <c r="M625" s="1">
        <v>2008</v>
      </c>
      <c r="N625" s="1">
        <v>2009</v>
      </c>
      <c r="O625" s="1">
        <v>2010</v>
      </c>
      <c r="P625" s="1">
        <v>2011</v>
      </c>
      <c r="Q625" s="1">
        <v>2012</v>
      </c>
      <c r="R625" s="1">
        <v>2013</v>
      </c>
      <c r="S625" s="1">
        <v>2014</v>
      </c>
      <c r="T625" s="1">
        <v>2015</v>
      </c>
      <c r="U625" s="1">
        <v>2016</v>
      </c>
      <c r="V625" s="1">
        <v>2017</v>
      </c>
      <c r="W625" s="1">
        <v>2018</v>
      </c>
      <c r="X625" s="1">
        <v>2019</v>
      </c>
      <c r="Y625" s="1">
        <v>2020</v>
      </c>
      <c r="Z625" s="1">
        <v>2021</v>
      </c>
      <c r="AA625" s="1">
        <v>2022</v>
      </c>
      <c r="AB625" s="1">
        <v>2023</v>
      </c>
      <c r="AC625" s="1">
        <v>2024</v>
      </c>
      <c r="AD625" s="1">
        <v>2025</v>
      </c>
      <c r="AE625" s="1">
        <v>2026</v>
      </c>
      <c r="AF625" s="1">
        <v>2027</v>
      </c>
      <c r="AG625" s="1">
        <v>2028</v>
      </c>
      <c r="AH625" s="1">
        <v>2029</v>
      </c>
      <c r="AI625" s="1">
        <v>2030</v>
      </c>
      <c r="AJ625" s="1">
        <v>2031</v>
      </c>
      <c r="AK625" s="1">
        <v>2032</v>
      </c>
      <c r="AL625" s="1">
        <v>2033</v>
      </c>
      <c r="AM625" s="1">
        <v>2034</v>
      </c>
      <c r="AN625" s="1">
        <v>2035</v>
      </c>
      <c r="AO625" s="1">
        <v>2036</v>
      </c>
      <c r="AP625" s="1">
        <v>2037</v>
      </c>
      <c r="AQ625" s="1">
        <v>2038</v>
      </c>
      <c r="AR625" s="1">
        <v>2039</v>
      </c>
      <c r="AS625" s="1">
        <v>2040</v>
      </c>
      <c r="AT625" s="1">
        <v>2041</v>
      </c>
      <c r="AU625" s="1">
        <v>2042</v>
      </c>
      <c r="AV625" s="1">
        <v>2043</v>
      </c>
      <c r="AW625" s="1">
        <v>2044</v>
      </c>
      <c r="AX625" s="1">
        <v>2045</v>
      </c>
      <c r="AY625" s="1">
        <v>2046</v>
      </c>
      <c r="AZ625" s="1">
        <v>2047</v>
      </c>
      <c r="BA625" s="1">
        <v>2048</v>
      </c>
      <c r="BB625" s="1">
        <v>2049</v>
      </c>
      <c r="BC625" s="1">
        <v>2050</v>
      </c>
    </row>
    <row r="626" spans="1:55">
      <c r="A626" s="1" t="str">
        <f>'Population Definitions'!$A$2</f>
        <v>PWID_males</v>
      </c>
      <c r="C626" t="s">
        <v>34</v>
      </c>
      <c r="D626" s="3"/>
      <c r="E626" s="3">
        <v>0.005145861067557525</v>
      </c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</row>
    <row r="627" spans="1:55">
      <c r="A627" s="1" t="str">
        <f>'Population Definitions'!$A$3</f>
        <v>PWID_females</v>
      </c>
      <c r="C627" t="s">
        <v>34</v>
      </c>
      <c r="D627" s="3"/>
      <c r="E627" s="3">
        <v>0.00390629492281894</v>
      </c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</row>
    <row r="628" spans="1:55">
      <c r="A628" s="1" t="str">
        <f>'Population Definitions'!$A$4</f>
        <v>0-9_males</v>
      </c>
      <c r="C628" t="s">
        <v>34</v>
      </c>
      <c r="D628" s="3"/>
      <c r="E628" s="3">
        <v>0</v>
      </c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</row>
    <row r="629" spans="1:55">
      <c r="A629" s="1" t="str">
        <f>'Population Definitions'!$A$5</f>
        <v>0-9_females</v>
      </c>
      <c r="C629" t="s">
        <v>34</v>
      </c>
      <c r="D629" s="3"/>
      <c r="E629" s="3">
        <v>0</v>
      </c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</row>
    <row r="630" spans="1:55">
      <c r="A630" s="1" t="str">
        <f>'Population Definitions'!$A$6</f>
        <v>10-17_males</v>
      </c>
      <c r="C630" t="s">
        <v>34</v>
      </c>
      <c r="D630" s="3"/>
      <c r="E630" s="3">
        <v>0</v>
      </c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</row>
    <row r="631" spans="1:55">
      <c r="A631" s="1" t="str">
        <f>'Population Definitions'!$A$7</f>
        <v>10-17_females</v>
      </c>
      <c r="C631" t="s">
        <v>34</v>
      </c>
      <c r="D631" s="3"/>
      <c r="E631" s="3">
        <v>0</v>
      </c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</row>
    <row r="632" spans="1:55">
      <c r="A632" s="1" t="str">
        <f>'Population Definitions'!$A$8</f>
        <v>18-64_males</v>
      </c>
      <c r="C632" t="s">
        <v>34</v>
      </c>
      <c r="D632" s="3"/>
      <c r="E632" s="3">
        <v>0.02694457418654724</v>
      </c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</row>
    <row r="633" spans="1:55">
      <c r="A633" s="1" t="str">
        <f>'Population Definitions'!$A$9</f>
        <v>18-64_females</v>
      </c>
      <c r="C633" t="s">
        <v>34</v>
      </c>
      <c r="D633" s="3"/>
      <c r="E633" s="3">
        <v>0.02643104794997736</v>
      </c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</row>
    <row r="634" spans="1:55">
      <c r="A634" s="1" t="str">
        <f>'Population Definitions'!$A$10</f>
        <v>65+_males</v>
      </c>
      <c r="C634" t="s">
        <v>34</v>
      </c>
      <c r="D634" s="3"/>
      <c r="E634" s="3">
        <v>0.004600569289484378</v>
      </c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</row>
    <row r="635" spans="1:55">
      <c r="A635" s="1" t="str">
        <f>'Population Definitions'!$A$11</f>
        <v>65+_females</v>
      </c>
      <c r="C635" t="s">
        <v>34</v>
      </c>
      <c r="D635" s="3"/>
      <c r="E635" s="3">
        <v>0.005608438492999255</v>
      </c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</row>
    <row r="636" spans="1:55">
      <c r="A636" s="1" t="str">
        <f>'Population Definitions'!$A$12</f>
        <v>Prisoners_males</v>
      </c>
      <c r="C636" t="s">
        <v>34</v>
      </c>
      <c r="D636" s="3"/>
      <c r="E636" s="3">
        <v>0.0002381432833928838</v>
      </c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</row>
    <row r="637" spans="1:55">
      <c r="A637" s="1" t="str">
        <f>'Population Definitions'!$A$13</f>
        <v>Prisoners_females</v>
      </c>
      <c r="C637" t="s">
        <v>34</v>
      </c>
      <c r="D637" s="3"/>
      <c r="E637" s="3">
        <v>2.636167766934005E-05</v>
      </c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</row>
    <row r="638" spans="1:55">
      <c r="A638" s="1" t="str">
        <f>'Population Definitions'!$A$14</f>
        <v>Prisoners_PWID_males</v>
      </c>
      <c r="C638" t="s">
        <v>34</v>
      </c>
      <c r="D638" s="3"/>
      <c r="E638" s="3">
        <v>0.0007144298501786514</v>
      </c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</row>
    <row r="639" spans="1:55">
      <c r="A639" s="1" t="str">
        <f>'Population Definitions'!$A$15</f>
        <v>Prisoners_PWID_females</v>
      </c>
      <c r="C639" t="s">
        <v>34</v>
      </c>
      <c r="D639" s="3"/>
      <c r="E639" s="3">
        <v>1.023770544815406E-05</v>
      </c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</row>
    <row r="641" spans="1:57">
      <c r="A641" s="1" t="s">
        <v>167</v>
      </c>
      <c r="B641" s="1" t="s">
        <v>31</v>
      </c>
      <c r="C641" s="1" t="s">
        <v>32</v>
      </c>
      <c r="D641" s="1" t="s">
        <v>33</v>
      </c>
      <c r="E641" s="1" t="s">
        <v>38</v>
      </c>
      <c r="F641" s="1"/>
      <c r="G641" s="1">
        <v>2000</v>
      </c>
      <c r="H641" s="1">
        <v>2001</v>
      </c>
      <c r="I641" s="1">
        <v>2002</v>
      </c>
      <c r="J641" s="1">
        <v>2003</v>
      </c>
      <c r="K641" s="1">
        <v>2004</v>
      </c>
      <c r="L641" s="1">
        <v>2005</v>
      </c>
      <c r="M641" s="1">
        <v>2006</v>
      </c>
      <c r="N641" s="1">
        <v>2007</v>
      </c>
      <c r="O641" s="1">
        <v>2008</v>
      </c>
      <c r="P641" s="1">
        <v>2009</v>
      </c>
      <c r="Q641" s="1">
        <v>2010</v>
      </c>
      <c r="R641" s="1">
        <v>2011</v>
      </c>
      <c r="S641" s="1">
        <v>2012</v>
      </c>
      <c r="T641" s="1">
        <v>2013</v>
      </c>
      <c r="U641" s="1">
        <v>2014</v>
      </c>
      <c r="V641" s="1">
        <v>2015</v>
      </c>
      <c r="W641" s="1">
        <v>2016</v>
      </c>
      <c r="X641" s="1">
        <v>2017</v>
      </c>
      <c r="Y641" s="1">
        <v>2018</v>
      </c>
      <c r="Z641" s="1">
        <v>2019</v>
      </c>
      <c r="AA641" s="1">
        <v>2020</v>
      </c>
      <c r="AB641" s="1">
        <v>2021</v>
      </c>
      <c r="AC641" s="1">
        <v>2022</v>
      </c>
      <c r="AD641" s="1">
        <v>2023</v>
      </c>
      <c r="AE641" s="1">
        <v>2024</v>
      </c>
      <c r="AF641" s="1">
        <v>2025</v>
      </c>
      <c r="AG641" s="1">
        <v>2026</v>
      </c>
      <c r="AH641" s="1">
        <v>2027</v>
      </c>
      <c r="AI641" s="1">
        <v>2028</v>
      </c>
      <c r="AJ641" s="1">
        <v>2029</v>
      </c>
      <c r="AK641" s="1">
        <v>2030</v>
      </c>
      <c r="AL641" s="1">
        <v>2031</v>
      </c>
      <c r="AM641" s="1">
        <v>2032</v>
      </c>
      <c r="AN641" s="1">
        <v>2033</v>
      </c>
      <c r="AO641" s="1">
        <v>2034</v>
      </c>
      <c r="AP641" s="1">
        <v>2035</v>
      </c>
      <c r="AQ641" s="1">
        <v>2036</v>
      </c>
      <c r="AR641" s="1">
        <v>2037</v>
      </c>
      <c r="AS641" s="1">
        <v>2038</v>
      </c>
      <c r="AT641" s="1">
        <v>2039</v>
      </c>
      <c r="AU641" s="1">
        <v>2040</v>
      </c>
      <c r="AV641" s="1">
        <v>2041</v>
      </c>
      <c r="AW641" s="1">
        <v>2042</v>
      </c>
      <c r="AX641" s="1">
        <v>2043</v>
      </c>
      <c r="AY641" s="1">
        <v>2044</v>
      </c>
      <c r="AZ641" s="1">
        <v>2045</v>
      </c>
      <c r="BA641" s="1">
        <v>2046</v>
      </c>
      <c r="BB641" s="1">
        <v>2047</v>
      </c>
      <c r="BC641" s="1">
        <v>2048</v>
      </c>
      <c r="BD641" s="1">
        <v>2049</v>
      </c>
      <c r="BE641" s="1">
        <v>2050</v>
      </c>
    </row>
    <row r="642" spans="1:57">
      <c r="A642" s="1" t="str">
        <f>'Population Definitions'!$A$2</f>
        <v>PWID_males</v>
      </c>
      <c r="C642" t="s">
        <v>34</v>
      </c>
      <c r="D642" s="3"/>
      <c r="E642" s="3">
        <v>0</v>
      </c>
      <c r="F642" s="4" t="s">
        <v>39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</row>
    <row r="643" spans="1:57">
      <c r="A643" s="1" t="str">
        <f>'Population Definitions'!$A$3</f>
        <v>PWID_females</v>
      </c>
      <c r="C643" t="s">
        <v>34</v>
      </c>
      <c r="D643" s="3"/>
      <c r="E643" s="3">
        <v>0</v>
      </c>
      <c r="F643" s="4" t="s">
        <v>39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</row>
    <row r="644" spans="1:57">
      <c r="A644" s="1" t="str">
        <f>'Population Definitions'!$A$4</f>
        <v>0-9_males</v>
      </c>
      <c r="C644" t="s">
        <v>34</v>
      </c>
      <c r="D644" s="3"/>
      <c r="E644" s="3">
        <v>0</v>
      </c>
      <c r="F644" s="4" t="s">
        <v>39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</row>
    <row r="645" spans="1:57">
      <c r="A645" s="1" t="str">
        <f>'Population Definitions'!$A$5</f>
        <v>0-9_females</v>
      </c>
      <c r="C645" t="s">
        <v>34</v>
      </c>
      <c r="D645" s="3"/>
      <c r="E645" s="3">
        <v>0</v>
      </c>
      <c r="F645" s="4" t="s">
        <v>39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</row>
    <row r="646" spans="1:57">
      <c r="A646" s="1" t="str">
        <f>'Population Definitions'!$A$6</f>
        <v>10-17_males</v>
      </c>
      <c r="C646" t="s">
        <v>34</v>
      </c>
      <c r="D646" s="3"/>
      <c r="E646" s="3">
        <v>0</v>
      </c>
      <c r="F646" s="4" t="s">
        <v>39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</row>
    <row r="647" spans="1:57">
      <c r="A647" s="1" t="str">
        <f>'Population Definitions'!$A$7</f>
        <v>10-17_females</v>
      </c>
      <c r="C647" t="s">
        <v>34</v>
      </c>
      <c r="D647" s="3"/>
      <c r="E647" s="3">
        <v>0</v>
      </c>
      <c r="F647" s="4" t="s">
        <v>39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</row>
    <row r="648" spans="1:57">
      <c r="A648" s="1" t="str">
        <f>'Population Definitions'!$A$8</f>
        <v>18-64_males</v>
      </c>
      <c r="C648" t="s">
        <v>34</v>
      </c>
      <c r="D648" s="3"/>
      <c r="E648" s="3">
        <v>0</v>
      </c>
      <c r="F648" s="4" t="s">
        <v>39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</row>
    <row r="649" spans="1:57">
      <c r="A649" s="1" t="str">
        <f>'Population Definitions'!$A$9</f>
        <v>18-64_females</v>
      </c>
      <c r="C649" t="s">
        <v>34</v>
      </c>
      <c r="D649" s="3"/>
      <c r="E649" s="3">
        <v>0</v>
      </c>
      <c r="F649" s="4" t="s">
        <v>39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</row>
    <row r="650" spans="1:57">
      <c r="A650" s="1" t="str">
        <f>'Population Definitions'!$A$10</f>
        <v>65+_males</v>
      </c>
      <c r="C650" t="s">
        <v>34</v>
      </c>
      <c r="D650" s="3"/>
      <c r="E650" s="3">
        <v>0</v>
      </c>
      <c r="F650" s="4" t="s">
        <v>39</v>
      </c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</row>
    <row r="651" spans="1:57">
      <c r="A651" s="1" t="str">
        <f>'Population Definitions'!$A$11</f>
        <v>65+_females</v>
      </c>
      <c r="C651" t="s">
        <v>34</v>
      </c>
      <c r="D651" s="3"/>
      <c r="E651" s="3">
        <v>0</v>
      </c>
      <c r="F651" s="4" t="s">
        <v>39</v>
      </c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</row>
    <row r="652" spans="1:57">
      <c r="A652" s="1" t="str">
        <f>'Population Definitions'!$A$12</f>
        <v>Prisoners_males</v>
      </c>
      <c r="C652" t="s">
        <v>34</v>
      </c>
      <c r="D652" s="3"/>
      <c r="E652" s="3">
        <v>0</v>
      </c>
      <c r="F652" s="4" t="s">
        <v>39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</row>
    <row r="653" spans="1:57">
      <c r="A653" s="1" t="str">
        <f>'Population Definitions'!$A$13</f>
        <v>Prisoners_females</v>
      </c>
      <c r="C653" t="s">
        <v>34</v>
      </c>
      <c r="D653" s="3"/>
      <c r="E653" s="3">
        <v>0</v>
      </c>
      <c r="F653" s="4" t="s">
        <v>39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</row>
    <row r="654" spans="1:57">
      <c r="A654" s="1" t="str">
        <f>'Population Definitions'!$A$14</f>
        <v>Prisoners_PWID_males</v>
      </c>
      <c r="C654" t="s">
        <v>34</v>
      </c>
      <c r="D654" s="3"/>
      <c r="E654" s="3">
        <v>0</v>
      </c>
      <c r="F654" s="4" t="s">
        <v>39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</row>
    <row r="655" spans="1:57">
      <c r="A655" s="1" t="str">
        <f>'Population Definitions'!$A$15</f>
        <v>Prisoners_PWID_females</v>
      </c>
      <c r="C655" t="s">
        <v>34</v>
      </c>
      <c r="D655" s="3"/>
      <c r="E655" s="3">
        <v>0</v>
      </c>
      <c r="F655" s="4" t="s">
        <v>39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</row>
    <row r="657" spans="1:55">
      <c r="A657" s="1" t="s">
        <v>168</v>
      </c>
      <c r="B657" s="1" t="s">
        <v>31</v>
      </c>
      <c r="C657" s="1" t="s">
        <v>32</v>
      </c>
      <c r="D657" s="1" t="s">
        <v>33</v>
      </c>
      <c r="E657" s="1">
        <v>2000</v>
      </c>
      <c r="F657" s="1">
        <v>2001</v>
      </c>
      <c r="G657" s="1">
        <v>2002</v>
      </c>
      <c r="H657" s="1">
        <v>2003</v>
      </c>
      <c r="I657" s="1">
        <v>2004</v>
      </c>
      <c r="J657" s="1">
        <v>2005</v>
      </c>
      <c r="K657" s="1">
        <v>2006</v>
      </c>
      <c r="L657" s="1">
        <v>2007</v>
      </c>
      <c r="M657" s="1">
        <v>2008</v>
      </c>
      <c r="N657" s="1">
        <v>2009</v>
      </c>
      <c r="O657" s="1">
        <v>2010</v>
      </c>
      <c r="P657" s="1">
        <v>2011</v>
      </c>
      <c r="Q657" s="1">
        <v>2012</v>
      </c>
      <c r="R657" s="1">
        <v>2013</v>
      </c>
      <c r="S657" s="1">
        <v>2014</v>
      </c>
      <c r="T657" s="1">
        <v>2015</v>
      </c>
      <c r="U657" s="1">
        <v>2016</v>
      </c>
      <c r="V657" s="1">
        <v>2017</v>
      </c>
      <c r="W657" s="1">
        <v>2018</v>
      </c>
      <c r="X657" s="1">
        <v>2019</v>
      </c>
      <c r="Y657" s="1">
        <v>2020</v>
      </c>
      <c r="Z657" s="1">
        <v>2021</v>
      </c>
      <c r="AA657" s="1">
        <v>2022</v>
      </c>
      <c r="AB657" s="1">
        <v>2023</v>
      </c>
      <c r="AC657" s="1">
        <v>2024</v>
      </c>
      <c r="AD657" s="1">
        <v>2025</v>
      </c>
      <c r="AE657" s="1">
        <v>2026</v>
      </c>
      <c r="AF657" s="1">
        <v>2027</v>
      </c>
      <c r="AG657" s="1">
        <v>2028</v>
      </c>
      <c r="AH657" s="1">
        <v>2029</v>
      </c>
      <c r="AI657" s="1">
        <v>2030</v>
      </c>
      <c r="AJ657" s="1">
        <v>2031</v>
      </c>
      <c r="AK657" s="1">
        <v>2032</v>
      </c>
      <c r="AL657" s="1">
        <v>2033</v>
      </c>
      <c r="AM657" s="1">
        <v>2034</v>
      </c>
      <c r="AN657" s="1">
        <v>2035</v>
      </c>
      <c r="AO657" s="1">
        <v>2036</v>
      </c>
      <c r="AP657" s="1">
        <v>2037</v>
      </c>
      <c r="AQ657" s="1">
        <v>2038</v>
      </c>
      <c r="AR657" s="1">
        <v>2039</v>
      </c>
      <c r="AS657" s="1">
        <v>2040</v>
      </c>
      <c r="AT657" s="1">
        <v>2041</v>
      </c>
      <c r="AU657" s="1">
        <v>2042</v>
      </c>
      <c r="AV657" s="1">
        <v>2043</v>
      </c>
      <c r="AW657" s="1">
        <v>2044</v>
      </c>
      <c r="AX657" s="1">
        <v>2045</v>
      </c>
      <c r="AY657" s="1">
        <v>2046</v>
      </c>
      <c r="AZ657" s="1">
        <v>2047</v>
      </c>
      <c r="BA657" s="1">
        <v>2048</v>
      </c>
      <c r="BB657" s="1">
        <v>2049</v>
      </c>
      <c r="BC657" s="1">
        <v>2050</v>
      </c>
    </row>
    <row r="658" spans="1:55">
      <c r="A658" s="1" t="str">
        <f>'Population Definitions'!$A$2</f>
        <v>PWID_males</v>
      </c>
      <c r="C658" t="s">
        <v>34</v>
      </c>
      <c r="D658" s="3"/>
      <c r="E658" s="3">
        <v>0</v>
      </c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</row>
    <row r="659" spans="1:55">
      <c r="A659" s="1" t="str">
        <f>'Population Definitions'!$A$3</f>
        <v>PWID_females</v>
      </c>
      <c r="C659" t="s">
        <v>34</v>
      </c>
      <c r="D659" s="3"/>
      <c r="E659" s="3">
        <v>0</v>
      </c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</row>
    <row r="660" spans="1:55">
      <c r="A660" s="1" t="str">
        <f>'Population Definitions'!$A$4</f>
        <v>0-9_males</v>
      </c>
      <c r="C660" t="s">
        <v>34</v>
      </c>
      <c r="D660" s="3"/>
      <c r="E660" s="3">
        <v>0</v>
      </c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</row>
    <row r="661" spans="1:55">
      <c r="A661" s="1" t="str">
        <f>'Population Definitions'!$A$5</f>
        <v>0-9_females</v>
      </c>
      <c r="C661" t="s">
        <v>34</v>
      </c>
      <c r="D661" s="3"/>
      <c r="E661" s="3">
        <v>0</v>
      </c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</row>
    <row r="662" spans="1:55">
      <c r="A662" s="1" t="str">
        <f>'Population Definitions'!$A$6</f>
        <v>10-17_males</v>
      </c>
      <c r="C662" t="s">
        <v>34</v>
      </c>
      <c r="D662" s="3"/>
      <c r="E662" s="3">
        <v>0</v>
      </c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</row>
    <row r="663" spans="1:55">
      <c r="A663" s="1" t="str">
        <f>'Population Definitions'!$A$7</f>
        <v>10-17_females</v>
      </c>
      <c r="C663" t="s">
        <v>34</v>
      </c>
      <c r="D663" s="3"/>
      <c r="E663" s="3">
        <v>0</v>
      </c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</row>
    <row r="664" spans="1:55">
      <c r="A664" s="1" t="str">
        <f>'Population Definitions'!$A$8</f>
        <v>18-64_males</v>
      </c>
      <c r="C664" t="s">
        <v>34</v>
      </c>
      <c r="D664" s="3"/>
      <c r="E664" s="3">
        <v>0</v>
      </c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</row>
    <row r="665" spans="1:55">
      <c r="A665" s="1" t="str">
        <f>'Population Definitions'!$A$9</f>
        <v>18-64_females</v>
      </c>
      <c r="C665" t="s">
        <v>34</v>
      </c>
      <c r="D665" s="3"/>
      <c r="E665" s="3">
        <v>0</v>
      </c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</row>
    <row r="666" spans="1:55">
      <c r="A666" s="1" t="str">
        <f>'Population Definitions'!$A$10</f>
        <v>65+_males</v>
      </c>
      <c r="C666" t="s">
        <v>34</v>
      </c>
      <c r="D666" s="3"/>
      <c r="E666" s="3">
        <v>0</v>
      </c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</row>
    <row r="667" spans="1:55">
      <c r="A667" s="1" t="str">
        <f>'Population Definitions'!$A$11</f>
        <v>65+_females</v>
      </c>
      <c r="C667" t="s">
        <v>34</v>
      </c>
      <c r="D667" s="3"/>
      <c r="E667" s="3">
        <v>0</v>
      </c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</row>
    <row r="668" spans="1:55">
      <c r="A668" s="1" t="str">
        <f>'Population Definitions'!$A$12</f>
        <v>Prisoners_males</v>
      </c>
      <c r="C668" t="s">
        <v>34</v>
      </c>
      <c r="D668" s="3"/>
      <c r="E668" s="3">
        <v>0</v>
      </c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</row>
    <row r="669" spans="1:55">
      <c r="A669" s="1" t="str">
        <f>'Population Definitions'!$A$13</f>
        <v>Prisoners_females</v>
      </c>
      <c r="C669" t="s">
        <v>34</v>
      </c>
      <c r="D669" s="3"/>
      <c r="E669" s="3">
        <v>0</v>
      </c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</row>
    <row r="670" spans="1:55">
      <c r="A670" s="1" t="str">
        <f>'Population Definitions'!$A$14</f>
        <v>Prisoners_PWID_males</v>
      </c>
      <c r="C670" t="s">
        <v>34</v>
      </c>
      <c r="D670" s="3"/>
      <c r="E670" s="3">
        <v>0</v>
      </c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</row>
    <row r="671" spans="1:55">
      <c r="A671" s="1" t="str">
        <f>'Population Definitions'!$A$15</f>
        <v>Prisoners_PWID_females</v>
      </c>
      <c r="C671" t="s">
        <v>34</v>
      </c>
      <c r="D671" s="3"/>
      <c r="E671" s="3">
        <v>0</v>
      </c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</row>
    <row r="673" spans="1:55">
      <c r="A673" s="1" t="s">
        <v>169</v>
      </c>
      <c r="B673" s="1" t="s">
        <v>31</v>
      </c>
      <c r="C673" s="1" t="s">
        <v>32</v>
      </c>
      <c r="D673" s="1" t="s">
        <v>33</v>
      </c>
      <c r="E673" s="1">
        <v>2000</v>
      </c>
      <c r="F673" s="1">
        <v>2001</v>
      </c>
      <c r="G673" s="1">
        <v>2002</v>
      </c>
      <c r="H673" s="1">
        <v>2003</v>
      </c>
      <c r="I673" s="1">
        <v>2004</v>
      </c>
      <c r="J673" s="1">
        <v>2005</v>
      </c>
      <c r="K673" s="1">
        <v>2006</v>
      </c>
      <c r="L673" s="1">
        <v>2007</v>
      </c>
      <c r="M673" s="1">
        <v>2008</v>
      </c>
      <c r="N673" s="1">
        <v>2009</v>
      </c>
      <c r="O673" s="1">
        <v>2010</v>
      </c>
      <c r="P673" s="1">
        <v>2011</v>
      </c>
      <c r="Q673" s="1">
        <v>2012</v>
      </c>
      <c r="R673" s="1">
        <v>2013</v>
      </c>
      <c r="S673" s="1">
        <v>2014</v>
      </c>
      <c r="T673" s="1">
        <v>2015</v>
      </c>
      <c r="U673" s="1">
        <v>2016</v>
      </c>
      <c r="V673" s="1">
        <v>2017</v>
      </c>
      <c r="W673" s="1">
        <v>2018</v>
      </c>
      <c r="X673" s="1">
        <v>2019</v>
      </c>
      <c r="Y673" s="1">
        <v>2020</v>
      </c>
      <c r="Z673" s="1">
        <v>2021</v>
      </c>
      <c r="AA673" s="1">
        <v>2022</v>
      </c>
      <c r="AB673" s="1">
        <v>2023</v>
      </c>
      <c r="AC673" s="1">
        <v>2024</v>
      </c>
      <c r="AD673" s="1">
        <v>2025</v>
      </c>
      <c r="AE673" s="1">
        <v>2026</v>
      </c>
      <c r="AF673" s="1">
        <v>2027</v>
      </c>
      <c r="AG673" s="1">
        <v>2028</v>
      </c>
      <c r="AH673" s="1">
        <v>2029</v>
      </c>
      <c r="AI673" s="1">
        <v>2030</v>
      </c>
      <c r="AJ673" s="1">
        <v>2031</v>
      </c>
      <c r="AK673" s="1">
        <v>2032</v>
      </c>
      <c r="AL673" s="1">
        <v>2033</v>
      </c>
      <c r="AM673" s="1">
        <v>2034</v>
      </c>
      <c r="AN673" s="1">
        <v>2035</v>
      </c>
      <c r="AO673" s="1">
        <v>2036</v>
      </c>
      <c r="AP673" s="1">
        <v>2037</v>
      </c>
      <c r="AQ673" s="1">
        <v>2038</v>
      </c>
      <c r="AR673" s="1">
        <v>2039</v>
      </c>
      <c r="AS673" s="1">
        <v>2040</v>
      </c>
      <c r="AT673" s="1">
        <v>2041</v>
      </c>
      <c r="AU673" s="1">
        <v>2042</v>
      </c>
      <c r="AV673" s="1">
        <v>2043</v>
      </c>
      <c r="AW673" s="1">
        <v>2044</v>
      </c>
      <c r="AX673" s="1">
        <v>2045</v>
      </c>
      <c r="AY673" s="1">
        <v>2046</v>
      </c>
      <c r="AZ673" s="1">
        <v>2047</v>
      </c>
      <c r="BA673" s="1">
        <v>2048</v>
      </c>
      <c r="BB673" s="1">
        <v>2049</v>
      </c>
      <c r="BC673" s="1">
        <v>2050</v>
      </c>
    </row>
    <row r="674" spans="1:55">
      <c r="A674" s="1" t="str">
        <f>'Population Definitions'!$A$2</f>
        <v>PWID_males</v>
      </c>
      <c r="C674" t="s">
        <v>34</v>
      </c>
      <c r="D674" s="3"/>
      <c r="E674" s="3">
        <v>0</v>
      </c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</row>
    <row r="675" spans="1:55">
      <c r="A675" s="1" t="str">
        <f>'Population Definitions'!$A$3</f>
        <v>PWID_females</v>
      </c>
      <c r="C675" t="s">
        <v>34</v>
      </c>
      <c r="D675" s="3"/>
      <c r="E675" s="3">
        <v>0</v>
      </c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</row>
    <row r="676" spans="1:55">
      <c r="A676" s="1" t="str">
        <f>'Population Definitions'!$A$4</f>
        <v>0-9_males</v>
      </c>
      <c r="C676" t="s">
        <v>34</v>
      </c>
      <c r="D676" s="3"/>
      <c r="E676" s="3">
        <v>0</v>
      </c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</row>
    <row r="677" spans="1:55">
      <c r="A677" s="1" t="str">
        <f>'Population Definitions'!$A$5</f>
        <v>0-9_females</v>
      </c>
      <c r="C677" t="s">
        <v>34</v>
      </c>
      <c r="D677" s="3"/>
      <c r="E677" s="3">
        <v>0</v>
      </c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</row>
    <row r="678" spans="1:55">
      <c r="A678" s="1" t="str">
        <f>'Population Definitions'!$A$6</f>
        <v>10-17_males</v>
      </c>
      <c r="C678" t="s">
        <v>34</v>
      </c>
      <c r="D678" s="3"/>
      <c r="E678" s="3">
        <v>0</v>
      </c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</row>
    <row r="679" spans="1:55">
      <c r="A679" s="1" t="str">
        <f>'Population Definitions'!$A$7</f>
        <v>10-17_females</v>
      </c>
      <c r="C679" t="s">
        <v>34</v>
      </c>
      <c r="D679" s="3"/>
      <c r="E679" s="3">
        <v>0</v>
      </c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</row>
    <row r="680" spans="1:55">
      <c r="A680" s="1" t="str">
        <f>'Population Definitions'!$A$8</f>
        <v>18-64_males</v>
      </c>
      <c r="C680" t="s">
        <v>34</v>
      </c>
      <c r="D680" s="3"/>
      <c r="E680" s="3">
        <v>0</v>
      </c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</row>
    <row r="681" spans="1:55">
      <c r="A681" s="1" t="str">
        <f>'Population Definitions'!$A$9</f>
        <v>18-64_females</v>
      </c>
      <c r="C681" t="s">
        <v>34</v>
      </c>
      <c r="D681" s="3"/>
      <c r="E681" s="3">
        <v>0</v>
      </c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</row>
    <row r="682" spans="1:55">
      <c r="A682" s="1" t="str">
        <f>'Population Definitions'!$A$10</f>
        <v>65+_males</v>
      </c>
      <c r="C682" t="s">
        <v>34</v>
      </c>
      <c r="D682" s="3"/>
      <c r="E682" s="3">
        <v>0</v>
      </c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</row>
    <row r="683" spans="1:55">
      <c r="A683" s="1" t="str">
        <f>'Population Definitions'!$A$11</f>
        <v>65+_females</v>
      </c>
      <c r="C683" t="s">
        <v>34</v>
      </c>
      <c r="D683" s="3"/>
      <c r="E683" s="3">
        <v>0</v>
      </c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</row>
    <row r="684" spans="1:55">
      <c r="A684" s="1" t="str">
        <f>'Population Definitions'!$A$12</f>
        <v>Prisoners_males</v>
      </c>
      <c r="C684" t="s">
        <v>34</v>
      </c>
      <c r="D684" s="3"/>
      <c r="E684" s="3">
        <v>0</v>
      </c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</row>
    <row r="685" spans="1:55">
      <c r="A685" s="1" t="str">
        <f>'Population Definitions'!$A$13</f>
        <v>Prisoners_females</v>
      </c>
      <c r="C685" t="s">
        <v>34</v>
      </c>
      <c r="D685" s="3"/>
      <c r="E685" s="3">
        <v>0</v>
      </c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</row>
    <row r="686" spans="1:55">
      <c r="A686" s="1" t="str">
        <f>'Population Definitions'!$A$14</f>
        <v>Prisoners_PWID_males</v>
      </c>
      <c r="C686" t="s">
        <v>34</v>
      </c>
      <c r="D686" s="3"/>
      <c r="E686" s="3">
        <v>0</v>
      </c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</row>
    <row r="687" spans="1:55">
      <c r="A687" s="1" t="str">
        <f>'Population Definitions'!$A$15</f>
        <v>Prisoners_PWID_females</v>
      </c>
      <c r="C687" t="s">
        <v>34</v>
      </c>
      <c r="D687" s="3"/>
      <c r="E687" s="3">
        <v>0</v>
      </c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</row>
    <row r="689" spans="1:55">
      <c r="A689" s="1" t="s">
        <v>170</v>
      </c>
      <c r="B689" s="1" t="s">
        <v>31</v>
      </c>
      <c r="C689" s="1" t="s">
        <v>32</v>
      </c>
      <c r="D689" s="1" t="s">
        <v>33</v>
      </c>
      <c r="E689" s="1">
        <v>2000</v>
      </c>
      <c r="F689" s="1">
        <v>2001</v>
      </c>
      <c r="G689" s="1">
        <v>2002</v>
      </c>
      <c r="H689" s="1">
        <v>2003</v>
      </c>
      <c r="I689" s="1">
        <v>2004</v>
      </c>
      <c r="J689" s="1">
        <v>2005</v>
      </c>
      <c r="K689" s="1">
        <v>2006</v>
      </c>
      <c r="L689" s="1">
        <v>2007</v>
      </c>
      <c r="M689" s="1">
        <v>2008</v>
      </c>
      <c r="N689" s="1">
        <v>2009</v>
      </c>
      <c r="O689" s="1">
        <v>2010</v>
      </c>
      <c r="P689" s="1">
        <v>2011</v>
      </c>
      <c r="Q689" s="1">
        <v>2012</v>
      </c>
      <c r="R689" s="1">
        <v>2013</v>
      </c>
      <c r="S689" s="1">
        <v>2014</v>
      </c>
      <c r="T689" s="1">
        <v>2015</v>
      </c>
      <c r="U689" s="1">
        <v>2016</v>
      </c>
      <c r="V689" s="1">
        <v>2017</v>
      </c>
      <c r="W689" s="1">
        <v>2018</v>
      </c>
      <c r="X689" s="1">
        <v>2019</v>
      </c>
      <c r="Y689" s="1">
        <v>2020</v>
      </c>
      <c r="Z689" s="1">
        <v>2021</v>
      </c>
      <c r="AA689" s="1">
        <v>2022</v>
      </c>
      <c r="AB689" s="1">
        <v>2023</v>
      </c>
      <c r="AC689" s="1">
        <v>2024</v>
      </c>
      <c r="AD689" s="1">
        <v>2025</v>
      </c>
      <c r="AE689" s="1">
        <v>2026</v>
      </c>
      <c r="AF689" s="1">
        <v>2027</v>
      </c>
      <c r="AG689" s="1">
        <v>2028</v>
      </c>
      <c r="AH689" s="1">
        <v>2029</v>
      </c>
      <c r="AI689" s="1">
        <v>2030</v>
      </c>
      <c r="AJ689" s="1">
        <v>2031</v>
      </c>
      <c r="AK689" s="1">
        <v>2032</v>
      </c>
      <c r="AL689" s="1">
        <v>2033</v>
      </c>
      <c r="AM689" s="1">
        <v>2034</v>
      </c>
      <c r="AN689" s="1">
        <v>2035</v>
      </c>
      <c r="AO689" s="1">
        <v>2036</v>
      </c>
      <c r="AP689" s="1">
        <v>2037</v>
      </c>
      <c r="AQ689" s="1">
        <v>2038</v>
      </c>
      <c r="AR689" s="1">
        <v>2039</v>
      </c>
      <c r="AS689" s="1">
        <v>2040</v>
      </c>
      <c r="AT689" s="1">
        <v>2041</v>
      </c>
      <c r="AU689" s="1">
        <v>2042</v>
      </c>
      <c r="AV689" s="1">
        <v>2043</v>
      </c>
      <c r="AW689" s="1">
        <v>2044</v>
      </c>
      <c r="AX689" s="1">
        <v>2045</v>
      </c>
      <c r="AY689" s="1">
        <v>2046</v>
      </c>
      <c r="AZ689" s="1">
        <v>2047</v>
      </c>
      <c r="BA689" s="1">
        <v>2048</v>
      </c>
      <c r="BB689" s="1">
        <v>2049</v>
      </c>
      <c r="BC689" s="1">
        <v>2050</v>
      </c>
    </row>
    <row r="690" spans="1:55">
      <c r="A690" s="1" t="str">
        <f>'Population Definitions'!$A$2</f>
        <v>PWID_males</v>
      </c>
      <c r="C690" t="s">
        <v>34</v>
      </c>
      <c r="D690" s="3"/>
      <c r="E690" s="3">
        <v>0</v>
      </c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</row>
    <row r="691" spans="1:55">
      <c r="A691" s="1" t="str">
        <f>'Population Definitions'!$A$3</f>
        <v>PWID_females</v>
      </c>
      <c r="C691" t="s">
        <v>34</v>
      </c>
      <c r="D691" s="3"/>
      <c r="E691" s="3">
        <v>0</v>
      </c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</row>
    <row r="692" spans="1:55">
      <c r="A692" s="1" t="str">
        <f>'Population Definitions'!$A$4</f>
        <v>0-9_males</v>
      </c>
      <c r="C692" t="s">
        <v>34</v>
      </c>
      <c r="D692" s="3"/>
      <c r="E692" s="3">
        <v>0</v>
      </c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</row>
    <row r="693" spans="1:55">
      <c r="A693" s="1" t="str">
        <f>'Population Definitions'!$A$5</f>
        <v>0-9_females</v>
      </c>
      <c r="C693" t="s">
        <v>34</v>
      </c>
      <c r="D693" s="3"/>
      <c r="E693" s="3">
        <v>0</v>
      </c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</row>
    <row r="694" spans="1:55">
      <c r="A694" s="1" t="str">
        <f>'Population Definitions'!$A$6</f>
        <v>10-17_males</v>
      </c>
      <c r="C694" t="s">
        <v>34</v>
      </c>
      <c r="D694" s="3"/>
      <c r="E694" s="3">
        <v>0</v>
      </c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</row>
    <row r="695" spans="1:55">
      <c r="A695" s="1" t="str">
        <f>'Population Definitions'!$A$7</f>
        <v>10-17_females</v>
      </c>
      <c r="C695" t="s">
        <v>34</v>
      </c>
      <c r="D695" s="3"/>
      <c r="E695" s="3">
        <v>0</v>
      </c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</row>
    <row r="696" spans="1:55">
      <c r="A696" s="1" t="str">
        <f>'Population Definitions'!$A$8</f>
        <v>18-64_males</v>
      </c>
      <c r="C696" t="s">
        <v>34</v>
      </c>
      <c r="D696" s="3"/>
      <c r="E696" s="3">
        <v>0</v>
      </c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</row>
    <row r="697" spans="1:55">
      <c r="A697" s="1" t="str">
        <f>'Population Definitions'!$A$9</f>
        <v>18-64_females</v>
      </c>
      <c r="C697" t="s">
        <v>34</v>
      </c>
      <c r="D697" s="3"/>
      <c r="E697" s="3">
        <v>0</v>
      </c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</row>
    <row r="698" spans="1:55">
      <c r="A698" s="1" t="str">
        <f>'Population Definitions'!$A$10</f>
        <v>65+_males</v>
      </c>
      <c r="C698" t="s">
        <v>34</v>
      </c>
      <c r="D698" s="3"/>
      <c r="E698" s="3">
        <v>0</v>
      </c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</row>
    <row r="699" spans="1:55">
      <c r="A699" s="1" t="str">
        <f>'Population Definitions'!$A$11</f>
        <v>65+_females</v>
      </c>
      <c r="C699" t="s">
        <v>34</v>
      </c>
      <c r="D699" s="3"/>
      <c r="E699" s="3">
        <v>0</v>
      </c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</row>
    <row r="700" spans="1:55">
      <c r="A700" s="1" t="str">
        <f>'Population Definitions'!$A$12</f>
        <v>Prisoners_males</v>
      </c>
      <c r="C700" t="s">
        <v>34</v>
      </c>
      <c r="D700" s="3"/>
      <c r="E700" s="3">
        <v>0</v>
      </c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</row>
    <row r="701" spans="1:55">
      <c r="A701" s="1" t="str">
        <f>'Population Definitions'!$A$13</f>
        <v>Prisoners_females</v>
      </c>
      <c r="C701" t="s">
        <v>34</v>
      </c>
      <c r="D701" s="3"/>
      <c r="E701" s="3">
        <v>0</v>
      </c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</row>
    <row r="702" spans="1:55">
      <c r="A702" s="1" t="str">
        <f>'Population Definitions'!$A$14</f>
        <v>Prisoners_PWID_males</v>
      </c>
      <c r="C702" t="s">
        <v>34</v>
      </c>
      <c r="D702" s="3"/>
      <c r="E702" s="3">
        <v>0</v>
      </c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</row>
    <row r="703" spans="1:55">
      <c r="A703" s="1" t="str">
        <f>'Population Definitions'!$A$15</f>
        <v>Prisoners_PWID_females</v>
      </c>
      <c r="C703" t="s">
        <v>34</v>
      </c>
      <c r="D703" s="3"/>
      <c r="E703" s="3">
        <v>0</v>
      </c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</row>
    <row r="705" spans="1:55">
      <c r="A705" s="1" t="s">
        <v>171</v>
      </c>
      <c r="B705" s="1" t="s">
        <v>31</v>
      </c>
      <c r="C705" s="1" t="s">
        <v>32</v>
      </c>
      <c r="D705" s="1" t="s">
        <v>33</v>
      </c>
      <c r="E705" s="1">
        <v>2000</v>
      </c>
      <c r="F705" s="1">
        <v>2001</v>
      </c>
      <c r="G705" s="1">
        <v>2002</v>
      </c>
      <c r="H705" s="1">
        <v>2003</v>
      </c>
      <c r="I705" s="1">
        <v>2004</v>
      </c>
      <c r="J705" s="1">
        <v>2005</v>
      </c>
      <c r="K705" s="1">
        <v>2006</v>
      </c>
      <c r="L705" s="1">
        <v>2007</v>
      </c>
      <c r="M705" s="1">
        <v>2008</v>
      </c>
      <c r="N705" s="1">
        <v>2009</v>
      </c>
      <c r="O705" s="1">
        <v>2010</v>
      </c>
      <c r="P705" s="1">
        <v>2011</v>
      </c>
      <c r="Q705" s="1">
        <v>2012</v>
      </c>
      <c r="R705" s="1">
        <v>2013</v>
      </c>
      <c r="S705" s="1">
        <v>2014</v>
      </c>
      <c r="T705" s="1">
        <v>2015</v>
      </c>
      <c r="U705" s="1">
        <v>2016</v>
      </c>
      <c r="V705" s="1">
        <v>2017</v>
      </c>
      <c r="W705" s="1">
        <v>2018</v>
      </c>
      <c r="X705" s="1">
        <v>2019</v>
      </c>
      <c r="Y705" s="1">
        <v>2020</v>
      </c>
      <c r="Z705" s="1">
        <v>2021</v>
      </c>
      <c r="AA705" s="1">
        <v>2022</v>
      </c>
      <c r="AB705" s="1">
        <v>2023</v>
      </c>
      <c r="AC705" s="1">
        <v>2024</v>
      </c>
      <c r="AD705" s="1">
        <v>2025</v>
      </c>
      <c r="AE705" s="1">
        <v>2026</v>
      </c>
      <c r="AF705" s="1">
        <v>2027</v>
      </c>
      <c r="AG705" s="1">
        <v>2028</v>
      </c>
      <c r="AH705" s="1">
        <v>2029</v>
      </c>
      <c r="AI705" s="1">
        <v>2030</v>
      </c>
      <c r="AJ705" s="1">
        <v>2031</v>
      </c>
      <c r="AK705" s="1">
        <v>2032</v>
      </c>
      <c r="AL705" s="1">
        <v>2033</v>
      </c>
      <c r="AM705" s="1">
        <v>2034</v>
      </c>
      <c r="AN705" s="1">
        <v>2035</v>
      </c>
      <c r="AO705" s="1">
        <v>2036</v>
      </c>
      <c r="AP705" s="1">
        <v>2037</v>
      </c>
      <c r="AQ705" s="1">
        <v>2038</v>
      </c>
      <c r="AR705" s="1">
        <v>2039</v>
      </c>
      <c r="AS705" s="1">
        <v>2040</v>
      </c>
      <c r="AT705" s="1">
        <v>2041</v>
      </c>
      <c r="AU705" s="1">
        <v>2042</v>
      </c>
      <c r="AV705" s="1">
        <v>2043</v>
      </c>
      <c r="AW705" s="1">
        <v>2044</v>
      </c>
      <c r="AX705" s="1">
        <v>2045</v>
      </c>
      <c r="AY705" s="1">
        <v>2046</v>
      </c>
      <c r="AZ705" s="1">
        <v>2047</v>
      </c>
      <c r="BA705" s="1">
        <v>2048</v>
      </c>
      <c r="BB705" s="1">
        <v>2049</v>
      </c>
      <c r="BC705" s="1">
        <v>2050</v>
      </c>
    </row>
    <row r="706" spans="1:55">
      <c r="A706" s="1" t="str">
        <f>'Population Definitions'!$A$2</f>
        <v>PWID_males</v>
      </c>
      <c r="C706" t="s">
        <v>34</v>
      </c>
      <c r="D706" s="3"/>
      <c r="E706" s="3">
        <v>0</v>
      </c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</row>
    <row r="707" spans="1:55">
      <c r="A707" s="1" t="str">
        <f>'Population Definitions'!$A$3</f>
        <v>PWID_females</v>
      </c>
      <c r="C707" t="s">
        <v>34</v>
      </c>
      <c r="D707" s="3"/>
      <c r="E707" s="3">
        <v>0</v>
      </c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</row>
    <row r="708" spans="1:55">
      <c r="A708" s="1" t="str">
        <f>'Population Definitions'!$A$4</f>
        <v>0-9_males</v>
      </c>
      <c r="C708" t="s">
        <v>34</v>
      </c>
      <c r="D708" s="3"/>
      <c r="E708" s="3">
        <v>0</v>
      </c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</row>
    <row r="709" spans="1:55">
      <c r="A709" s="1" t="str">
        <f>'Population Definitions'!$A$5</f>
        <v>0-9_females</v>
      </c>
      <c r="C709" t="s">
        <v>34</v>
      </c>
      <c r="D709" s="3"/>
      <c r="E709" s="3">
        <v>0</v>
      </c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</row>
    <row r="710" spans="1:55">
      <c r="A710" s="1" t="str">
        <f>'Population Definitions'!$A$6</f>
        <v>10-17_males</v>
      </c>
      <c r="C710" t="s">
        <v>34</v>
      </c>
      <c r="D710" s="3"/>
      <c r="E710" s="3">
        <v>0</v>
      </c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</row>
    <row r="711" spans="1:55">
      <c r="A711" s="1" t="str">
        <f>'Population Definitions'!$A$7</f>
        <v>10-17_females</v>
      </c>
      <c r="C711" t="s">
        <v>34</v>
      </c>
      <c r="D711" s="3"/>
      <c r="E711" s="3">
        <v>0</v>
      </c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</row>
    <row r="712" spans="1:55">
      <c r="A712" s="1" t="str">
        <f>'Population Definitions'!$A$8</f>
        <v>18-64_males</v>
      </c>
      <c r="C712" t="s">
        <v>34</v>
      </c>
      <c r="D712" s="3"/>
      <c r="E712" s="3">
        <v>0</v>
      </c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</row>
    <row r="713" spans="1:55">
      <c r="A713" s="1" t="str">
        <f>'Population Definitions'!$A$9</f>
        <v>18-64_females</v>
      </c>
      <c r="C713" t="s">
        <v>34</v>
      </c>
      <c r="D713" s="3"/>
      <c r="E713" s="3">
        <v>0</v>
      </c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</row>
    <row r="714" spans="1:55">
      <c r="A714" s="1" t="str">
        <f>'Population Definitions'!$A$10</f>
        <v>65+_males</v>
      </c>
      <c r="C714" t="s">
        <v>34</v>
      </c>
      <c r="D714" s="3"/>
      <c r="E714" s="3">
        <v>0</v>
      </c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</row>
    <row r="715" spans="1:55">
      <c r="A715" s="1" t="str">
        <f>'Population Definitions'!$A$11</f>
        <v>65+_females</v>
      </c>
      <c r="C715" t="s">
        <v>34</v>
      </c>
      <c r="D715" s="3"/>
      <c r="E715" s="3">
        <v>0</v>
      </c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</row>
    <row r="716" spans="1:55">
      <c r="A716" s="1" t="str">
        <f>'Population Definitions'!$A$12</f>
        <v>Prisoners_males</v>
      </c>
      <c r="C716" t="s">
        <v>34</v>
      </c>
      <c r="D716" s="3"/>
      <c r="E716" s="3">
        <v>0</v>
      </c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</row>
    <row r="717" spans="1:55">
      <c r="A717" s="1" t="str">
        <f>'Population Definitions'!$A$13</f>
        <v>Prisoners_females</v>
      </c>
      <c r="C717" t="s">
        <v>34</v>
      </c>
      <c r="D717" s="3"/>
      <c r="E717" s="3">
        <v>0</v>
      </c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</row>
    <row r="718" spans="1:55">
      <c r="A718" s="1" t="str">
        <f>'Population Definitions'!$A$14</f>
        <v>Prisoners_PWID_males</v>
      </c>
      <c r="C718" t="s">
        <v>34</v>
      </c>
      <c r="D718" s="3"/>
      <c r="E718" s="3">
        <v>0</v>
      </c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</row>
    <row r="719" spans="1:55">
      <c r="A719" s="1" t="str">
        <f>'Population Definitions'!$A$15</f>
        <v>Prisoners_PWID_females</v>
      </c>
      <c r="C719" t="s">
        <v>34</v>
      </c>
      <c r="D719" s="3"/>
      <c r="E719" s="3">
        <v>0</v>
      </c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</row>
    <row r="721" spans="1:55">
      <c r="A721" s="1" t="s">
        <v>172</v>
      </c>
      <c r="B721" s="1" t="s">
        <v>31</v>
      </c>
      <c r="C721" s="1" t="s">
        <v>32</v>
      </c>
      <c r="D721" s="1" t="s">
        <v>33</v>
      </c>
      <c r="E721" s="1">
        <v>2000</v>
      </c>
      <c r="F721" s="1">
        <v>2001</v>
      </c>
      <c r="G721" s="1">
        <v>2002</v>
      </c>
      <c r="H721" s="1">
        <v>2003</v>
      </c>
      <c r="I721" s="1">
        <v>2004</v>
      </c>
      <c r="J721" s="1">
        <v>2005</v>
      </c>
      <c r="K721" s="1">
        <v>2006</v>
      </c>
      <c r="L721" s="1">
        <v>2007</v>
      </c>
      <c r="M721" s="1">
        <v>2008</v>
      </c>
      <c r="N721" s="1">
        <v>2009</v>
      </c>
      <c r="O721" s="1">
        <v>2010</v>
      </c>
      <c r="P721" s="1">
        <v>2011</v>
      </c>
      <c r="Q721" s="1">
        <v>2012</v>
      </c>
      <c r="R721" s="1">
        <v>2013</v>
      </c>
      <c r="S721" s="1">
        <v>2014</v>
      </c>
      <c r="T721" s="1">
        <v>2015</v>
      </c>
      <c r="U721" s="1">
        <v>2016</v>
      </c>
      <c r="V721" s="1">
        <v>2017</v>
      </c>
      <c r="W721" s="1">
        <v>2018</v>
      </c>
      <c r="X721" s="1">
        <v>2019</v>
      </c>
      <c r="Y721" s="1">
        <v>2020</v>
      </c>
      <c r="Z721" s="1">
        <v>2021</v>
      </c>
      <c r="AA721" s="1">
        <v>2022</v>
      </c>
      <c r="AB721" s="1">
        <v>2023</v>
      </c>
      <c r="AC721" s="1">
        <v>2024</v>
      </c>
      <c r="AD721" s="1">
        <v>2025</v>
      </c>
      <c r="AE721" s="1">
        <v>2026</v>
      </c>
      <c r="AF721" s="1">
        <v>2027</v>
      </c>
      <c r="AG721" s="1">
        <v>2028</v>
      </c>
      <c r="AH721" s="1">
        <v>2029</v>
      </c>
      <c r="AI721" s="1">
        <v>2030</v>
      </c>
      <c r="AJ721" s="1">
        <v>2031</v>
      </c>
      <c r="AK721" s="1">
        <v>2032</v>
      </c>
      <c r="AL721" s="1">
        <v>2033</v>
      </c>
      <c r="AM721" s="1">
        <v>2034</v>
      </c>
      <c r="AN721" s="1">
        <v>2035</v>
      </c>
      <c r="AO721" s="1">
        <v>2036</v>
      </c>
      <c r="AP721" s="1">
        <v>2037</v>
      </c>
      <c r="AQ721" s="1">
        <v>2038</v>
      </c>
      <c r="AR721" s="1">
        <v>2039</v>
      </c>
      <c r="AS721" s="1">
        <v>2040</v>
      </c>
      <c r="AT721" s="1">
        <v>2041</v>
      </c>
      <c r="AU721" s="1">
        <v>2042</v>
      </c>
      <c r="AV721" s="1">
        <v>2043</v>
      </c>
      <c r="AW721" s="1">
        <v>2044</v>
      </c>
      <c r="AX721" s="1">
        <v>2045</v>
      </c>
      <c r="AY721" s="1">
        <v>2046</v>
      </c>
      <c r="AZ721" s="1">
        <v>2047</v>
      </c>
      <c r="BA721" s="1">
        <v>2048</v>
      </c>
      <c r="BB721" s="1">
        <v>2049</v>
      </c>
      <c r="BC721" s="1">
        <v>2050</v>
      </c>
    </row>
    <row r="722" spans="1:55">
      <c r="A722" s="1" t="str">
        <f>'Population Definitions'!$A$2</f>
        <v>PWID_males</v>
      </c>
      <c r="C722" t="s">
        <v>34</v>
      </c>
      <c r="D722" s="3"/>
      <c r="E722" s="3">
        <v>0</v>
      </c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</row>
    <row r="723" spans="1:55">
      <c r="A723" s="1" t="str">
        <f>'Population Definitions'!$A$3</f>
        <v>PWID_females</v>
      </c>
      <c r="C723" t="s">
        <v>34</v>
      </c>
      <c r="D723" s="3"/>
      <c r="E723" s="3">
        <v>0</v>
      </c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</row>
    <row r="724" spans="1:55">
      <c r="A724" s="1" t="str">
        <f>'Population Definitions'!$A$4</f>
        <v>0-9_males</v>
      </c>
      <c r="C724" t="s">
        <v>34</v>
      </c>
      <c r="D724" s="3"/>
      <c r="E724" s="3">
        <v>0</v>
      </c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</row>
    <row r="725" spans="1:55">
      <c r="A725" s="1" t="str">
        <f>'Population Definitions'!$A$5</f>
        <v>0-9_females</v>
      </c>
      <c r="C725" t="s">
        <v>34</v>
      </c>
      <c r="D725" s="3"/>
      <c r="E725" s="3">
        <v>0</v>
      </c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</row>
    <row r="726" spans="1:55">
      <c r="A726" s="1" t="str">
        <f>'Population Definitions'!$A$6</f>
        <v>10-17_males</v>
      </c>
      <c r="C726" t="s">
        <v>34</v>
      </c>
      <c r="D726" s="3"/>
      <c r="E726" s="3">
        <v>0</v>
      </c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</row>
    <row r="727" spans="1:55">
      <c r="A727" s="1" t="str">
        <f>'Population Definitions'!$A$7</f>
        <v>10-17_females</v>
      </c>
      <c r="C727" t="s">
        <v>34</v>
      </c>
      <c r="D727" s="3"/>
      <c r="E727" s="3">
        <v>0</v>
      </c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</row>
    <row r="728" spans="1:55">
      <c r="A728" s="1" t="str">
        <f>'Population Definitions'!$A$8</f>
        <v>18-64_males</v>
      </c>
      <c r="C728" t="s">
        <v>34</v>
      </c>
      <c r="D728" s="3"/>
      <c r="E728" s="3">
        <v>0</v>
      </c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</row>
    <row r="729" spans="1:55">
      <c r="A729" s="1" t="str">
        <f>'Population Definitions'!$A$9</f>
        <v>18-64_females</v>
      </c>
      <c r="C729" t="s">
        <v>34</v>
      </c>
      <c r="D729" s="3"/>
      <c r="E729" s="3">
        <v>0</v>
      </c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</row>
    <row r="730" spans="1:55">
      <c r="A730" s="1" t="str">
        <f>'Population Definitions'!$A$10</f>
        <v>65+_males</v>
      </c>
      <c r="C730" t="s">
        <v>34</v>
      </c>
      <c r="D730" s="3"/>
      <c r="E730" s="3">
        <v>0</v>
      </c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</row>
    <row r="731" spans="1:55">
      <c r="A731" s="1" t="str">
        <f>'Population Definitions'!$A$11</f>
        <v>65+_females</v>
      </c>
      <c r="C731" t="s">
        <v>34</v>
      </c>
      <c r="D731" s="3"/>
      <c r="E731" s="3">
        <v>0</v>
      </c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</row>
    <row r="732" spans="1:55">
      <c r="A732" s="1" t="str">
        <f>'Population Definitions'!$A$12</f>
        <v>Prisoners_males</v>
      </c>
      <c r="C732" t="s">
        <v>34</v>
      </c>
      <c r="D732" s="3"/>
      <c r="E732" s="3">
        <v>0</v>
      </c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</row>
    <row r="733" spans="1:55">
      <c r="A733" s="1" t="str">
        <f>'Population Definitions'!$A$13</f>
        <v>Prisoners_females</v>
      </c>
      <c r="C733" t="s">
        <v>34</v>
      </c>
      <c r="D733" s="3"/>
      <c r="E733" s="3">
        <v>0</v>
      </c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</row>
    <row r="734" spans="1:55">
      <c r="A734" s="1" t="str">
        <f>'Population Definitions'!$A$14</f>
        <v>Prisoners_PWID_males</v>
      </c>
      <c r="C734" t="s">
        <v>34</v>
      </c>
      <c r="D734" s="3"/>
      <c r="E734" s="3">
        <v>0</v>
      </c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</row>
    <row r="735" spans="1:55">
      <c r="A735" s="1" t="str">
        <f>'Population Definitions'!$A$15</f>
        <v>Prisoners_PWID_females</v>
      </c>
      <c r="C735" t="s">
        <v>34</v>
      </c>
      <c r="D735" s="3"/>
      <c r="E735" s="3">
        <v>0</v>
      </c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</row>
    <row r="737" spans="1:55">
      <c r="A737" s="1" t="s">
        <v>173</v>
      </c>
      <c r="B737" s="1" t="s">
        <v>31</v>
      </c>
      <c r="C737" s="1" t="s">
        <v>32</v>
      </c>
      <c r="D737" s="1" t="s">
        <v>33</v>
      </c>
      <c r="E737" s="1">
        <v>2000</v>
      </c>
      <c r="F737" s="1">
        <v>2001</v>
      </c>
      <c r="G737" s="1">
        <v>2002</v>
      </c>
      <c r="H737" s="1">
        <v>2003</v>
      </c>
      <c r="I737" s="1">
        <v>2004</v>
      </c>
      <c r="J737" s="1">
        <v>2005</v>
      </c>
      <c r="K737" s="1">
        <v>2006</v>
      </c>
      <c r="L737" s="1">
        <v>2007</v>
      </c>
      <c r="M737" s="1">
        <v>2008</v>
      </c>
      <c r="N737" s="1">
        <v>2009</v>
      </c>
      <c r="O737" s="1">
        <v>2010</v>
      </c>
      <c r="P737" s="1">
        <v>2011</v>
      </c>
      <c r="Q737" s="1">
        <v>2012</v>
      </c>
      <c r="R737" s="1">
        <v>2013</v>
      </c>
      <c r="S737" s="1">
        <v>2014</v>
      </c>
      <c r="T737" s="1">
        <v>2015</v>
      </c>
      <c r="U737" s="1">
        <v>2016</v>
      </c>
      <c r="V737" s="1">
        <v>2017</v>
      </c>
      <c r="W737" s="1">
        <v>2018</v>
      </c>
      <c r="X737" s="1">
        <v>2019</v>
      </c>
      <c r="Y737" s="1">
        <v>2020</v>
      </c>
      <c r="Z737" s="1">
        <v>2021</v>
      </c>
      <c r="AA737" s="1">
        <v>2022</v>
      </c>
      <c r="AB737" s="1">
        <v>2023</v>
      </c>
      <c r="AC737" s="1">
        <v>2024</v>
      </c>
      <c r="AD737" s="1">
        <v>2025</v>
      </c>
      <c r="AE737" s="1">
        <v>2026</v>
      </c>
      <c r="AF737" s="1">
        <v>2027</v>
      </c>
      <c r="AG737" s="1">
        <v>2028</v>
      </c>
      <c r="AH737" s="1">
        <v>2029</v>
      </c>
      <c r="AI737" s="1">
        <v>2030</v>
      </c>
      <c r="AJ737" s="1">
        <v>2031</v>
      </c>
      <c r="AK737" s="1">
        <v>2032</v>
      </c>
      <c r="AL737" s="1">
        <v>2033</v>
      </c>
      <c r="AM737" s="1">
        <v>2034</v>
      </c>
      <c r="AN737" s="1">
        <v>2035</v>
      </c>
      <c r="AO737" s="1">
        <v>2036</v>
      </c>
      <c r="AP737" s="1">
        <v>2037</v>
      </c>
      <c r="AQ737" s="1">
        <v>2038</v>
      </c>
      <c r="AR737" s="1">
        <v>2039</v>
      </c>
      <c r="AS737" s="1">
        <v>2040</v>
      </c>
      <c r="AT737" s="1">
        <v>2041</v>
      </c>
      <c r="AU737" s="1">
        <v>2042</v>
      </c>
      <c r="AV737" s="1">
        <v>2043</v>
      </c>
      <c r="AW737" s="1">
        <v>2044</v>
      </c>
      <c r="AX737" s="1">
        <v>2045</v>
      </c>
      <c r="AY737" s="1">
        <v>2046</v>
      </c>
      <c r="AZ737" s="1">
        <v>2047</v>
      </c>
      <c r="BA737" s="1">
        <v>2048</v>
      </c>
      <c r="BB737" s="1">
        <v>2049</v>
      </c>
      <c r="BC737" s="1">
        <v>2050</v>
      </c>
    </row>
    <row r="738" spans="1:55">
      <c r="A738" s="1" t="str">
        <f>'Population Definitions'!$A$2</f>
        <v>PWID_males</v>
      </c>
      <c r="C738" t="s">
        <v>34</v>
      </c>
      <c r="D738" s="3"/>
      <c r="E738" s="3">
        <v>0</v>
      </c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</row>
    <row r="739" spans="1:55">
      <c r="A739" s="1" t="str">
        <f>'Population Definitions'!$A$3</f>
        <v>PWID_females</v>
      </c>
      <c r="C739" t="s">
        <v>34</v>
      </c>
      <c r="D739" s="3"/>
      <c r="E739" s="3">
        <v>0</v>
      </c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</row>
    <row r="740" spans="1:55">
      <c r="A740" s="1" t="str">
        <f>'Population Definitions'!$A$4</f>
        <v>0-9_males</v>
      </c>
      <c r="C740" t="s">
        <v>34</v>
      </c>
      <c r="D740" s="3"/>
      <c r="E740" s="3">
        <v>0</v>
      </c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</row>
    <row r="741" spans="1:55">
      <c r="A741" s="1" t="str">
        <f>'Population Definitions'!$A$5</f>
        <v>0-9_females</v>
      </c>
      <c r="C741" t="s">
        <v>34</v>
      </c>
      <c r="D741" s="3"/>
      <c r="E741" s="3">
        <v>0</v>
      </c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</row>
    <row r="742" spans="1:55">
      <c r="A742" s="1" t="str">
        <f>'Population Definitions'!$A$6</f>
        <v>10-17_males</v>
      </c>
      <c r="C742" t="s">
        <v>34</v>
      </c>
      <c r="D742" s="3"/>
      <c r="E742" s="3">
        <v>0</v>
      </c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</row>
    <row r="743" spans="1:55">
      <c r="A743" s="1" t="str">
        <f>'Population Definitions'!$A$7</f>
        <v>10-17_females</v>
      </c>
      <c r="C743" t="s">
        <v>34</v>
      </c>
      <c r="D743" s="3"/>
      <c r="E743" s="3">
        <v>0</v>
      </c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</row>
    <row r="744" spans="1:55">
      <c r="A744" s="1" t="str">
        <f>'Population Definitions'!$A$8</f>
        <v>18-64_males</v>
      </c>
      <c r="C744" t="s">
        <v>34</v>
      </c>
      <c r="D744" s="3"/>
      <c r="E744" s="3">
        <v>0</v>
      </c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</row>
    <row r="745" spans="1:55">
      <c r="A745" s="1" t="str">
        <f>'Population Definitions'!$A$9</f>
        <v>18-64_females</v>
      </c>
      <c r="C745" t="s">
        <v>34</v>
      </c>
      <c r="D745" s="3"/>
      <c r="E745" s="3">
        <v>0</v>
      </c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</row>
    <row r="746" spans="1:55">
      <c r="A746" s="1" t="str">
        <f>'Population Definitions'!$A$10</f>
        <v>65+_males</v>
      </c>
      <c r="C746" t="s">
        <v>34</v>
      </c>
      <c r="D746" s="3"/>
      <c r="E746" s="3">
        <v>0</v>
      </c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</row>
    <row r="747" spans="1:55">
      <c r="A747" s="1" t="str">
        <f>'Population Definitions'!$A$11</f>
        <v>65+_females</v>
      </c>
      <c r="C747" t="s">
        <v>34</v>
      </c>
      <c r="D747" s="3"/>
      <c r="E747" s="3">
        <v>0</v>
      </c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</row>
    <row r="748" spans="1:55">
      <c r="A748" s="1" t="str">
        <f>'Population Definitions'!$A$12</f>
        <v>Prisoners_males</v>
      </c>
      <c r="C748" t="s">
        <v>34</v>
      </c>
      <c r="D748" s="3"/>
      <c r="E748" s="3">
        <v>0</v>
      </c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</row>
    <row r="749" spans="1:55">
      <c r="A749" s="1" t="str">
        <f>'Population Definitions'!$A$13</f>
        <v>Prisoners_females</v>
      </c>
      <c r="C749" t="s">
        <v>34</v>
      </c>
      <c r="D749" s="3"/>
      <c r="E749" s="3">
        <v>0</v>
      </c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</row>
    <row r="750" spans="1:55">
      <c r="A750" s="1" t="str">
        <f>'Population Definitions'!$A$14</f>
        <v>Prisoners_PWID_males</v>
      </c>
      <c r="C750" t="s">
        <v>34</v>
      </c>
      <c r="D750" s="3"/>
      <c r="E750" s="3">
        <v>0</v>
      </c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</row>
    <row r="751" spans="1:55">
      <c r="A751" s="1" t="str">
        <f>'Population Definitions'!$A$15</f>
        <v>Prisoners_PWID_females</v>
      </c>
      <c r="C751" t="s">
        <v>34</v>
      </c>
      <c r="D751" s="3"/>
      <c r="E751" s="3">
        <v>0</v>
      </c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</row>
    <row r="753" spans="1:55">
      <c r="A753" s="1" t="s">
        <v>174</v>
      </c>
      <c r="B753" s="1" t="s">
        <v>31</v>
      </c>
      <c r="C753" s="1" t="s">
        <v>32</v>
      </c>
      <c r="D753" s="1" t="s">
        <v>33</v>
      </c>
      <c r="E753" s="1">
        <v>2000</v>
      </c>
      <c r="F753" s="1">
        <v>2001</v>
      </c>
      <c r="G753" s="1">
        <v>2002</v>
      </c>
      <c r="H753" s="1">
        <v>2003</v>
      </c>
      <c r="I753" s="1">
        <v>2004</v>
      </c>
      <c r="J753" s="1">
        <v>2005</v>
      </c>
      <c r="K753" s="1">
        <v>2006</v>
      </c>
      <c r="L753" s="1">
        <v>2007</v>
      </c>
      <c r="M753" s="1">
        <v>2008</v>
      </c>
      <c r="N753" s="1">
        <v>2009</v>
      </c>
      <c r="O753" s="1">
        <v>2010</v>
      </c>
      <c r="P753" s="1">
        <v>2011</v>
      </c>
      <c r="Q753" s="1">
        <v>2012</v>
      </c>
      <c r="R753" s="1">
        <v>2013</v>
      </c>
      <c r="S753" s="1">
        <v>2014</v>
      </c>
      <c r="T753" s="1">
        <v>2015</v>
      </c>
      <c r="U753" s="1">
        <v>2016</v>
      </c>
      <c r="V753" s="1">
        <v>2017</v>
      </c>
      <c r="W753" s="1">
        <v>2018</v>
      </c>
      <c r="X753" s="1">
        <v>2019</v>
      </c>
      <c r="Y753" s="1">
        <v>2020</v>
      </c>
      <c r="Z753" s="1">
        <v>2021</v>
      </c>
      <c r="AA753" s="1">
        <v>2022</v>
      </c>
      <c r="AB753" s="1">
        <v>2023</v>
      </c>
      <c r="AC753" s="1">
        <v>2024</v>
      </c>
      <c r="AD753" s="1">
        <v>2025</v>
      </c>
      <c r="AE753" s="1">
        <v>2026</v>
      </c>
      <c r="AF753" s="1">
        <v>2027</v>
      </c>
      <c r="AG753" s="1">
        <v>2028</v>
      </c>
      <c r="AH753" s="1">
        <v>2029</v>
      </c>
      <c r="AI753" s="1">
        <v>2030</v>
      </c>
      <c r="AJ753" s="1">
        <v>2031</v>
      </c>
      <c r="AK753" s="1">
        <v>2032</v>
      </c>
      <c r="AL753" s="1">
        <v>2033</v>
      </c>
      <c r="AM753" s="1">
        <v>2034</v>
      </c>
      <c r="AN753" s="1">
        <v>2035</v>
      </c>
      <c r="AO753" s="1">
        <v>2036</v>
      </c>
      <c r="AP753" s="1">
        <v>2037</v>
      </c>
      <c r="AQ753" s="1">
        <v>2038</v>
      </c>
      <c r="AR753" s="1">
        <v>2039</v>
      </c>
      <c r="AS753" s="1">
        <v>2040</v>
      </c>
      <c r="AT753" s="1">
        <v>2041</v>
      </c>
      <c r="AU753" s="1">
        <v>2042</v>
      </c>
      <c r="AV753" s="1">
        <v>2043</v>
      </c>
      <c r="AW753" s="1">
        <v>2044</v>
      </c>
      <c r="AX753" s="1">
        <v>2045</v>
      </c>
      <c r="AY753" s="1">
        <v>2046</v>
      </c>
      <c r="AZ753" s="1">
        <v>2047</v>
      </c>
      <c r="BA753" s="1">
        <v>2048</v>
      </c>
      <c r="BB753" s="1">
        <v>2049</v>
      </c>
      <c r="BC753" s="1">
        <v>2050</v>
      </c>
    </row>
    <row r="754" spans="1:55">
      <c r="A754" s="1" t="str">
        <f>'Population Definitions'!$A$2</f>
        <v>PWID_males</v>
      </c>
      <c r="C754" t="s">
        <v>34</v>
      </c>
      <c r="D754" s="3"/>
      <c r="E754" s="3">
        <v>0</v>
      </c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</row>
    <row r="755" spans="1:55">
      <c r="A755" s="1" t="str">
        <f>'Population Definitions'!$A$3</f>
        <v>PWID_females</v>
      </c>
      <c r="C755" t="s">
        <v>34</v>
      </c>
      <c r="D755" s="3"/>
      <c r="E755" s="3">
        <v>0</v>
      </c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</row>
    <row r="756" spans="1:55">
      <c r="A756" s="1" t="str">
        <f>'Population Definitions'!$A$4</f>
        <v>0-9_males</v>
      </c>
      <c r="C756" t="s">
        <v>34</v>
      </c>
      <c r="D756" s="3"/>
      <c r="E756" s="3">
        <v>0</v>
      </c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</row>
    <row r="757" spans="1:55">
      <c r="A757" s="1" t="str">
        <f>'Population Definitions'!$A$5</f>
        <v>0-9_females</v>
      </c>
      <c r="C757" t="s">
        <v>34</v>
      </c>
      <c r="D757" s="3"/>
      <c r="E757" s="3">
        <v>0</v>
      </c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</row>
    <row r="758" spans="1:55">
      <c r="A758" s="1" t="str">
        <f>'Population Definitions'!$A$6</f>
        <v>10-17_males</v>
      </c>
      <c r="C758" t="s">
        <v>34</v>
      </c>
      <c r="D758" s="3"/>
      <c r="E758" s="3">
        <v>0</v>
      </c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</row>
    <row r="759" spans="1:55">
      <c r="A759" s="1" t="str">
        <f>'Population Definitions'!$A$7</f>
        <v>10-17_females</v>
      </c>
      <c r="C759" t="s">
        <v>34</v>
      </c>
      <c r="D759" s="3"/>
      <c r="E759" s="3">
        <v>0</v>
      </c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</row>
    <row r="760" spans="1:55">
      <c r="A760" s="1" t="str">
        <f>'Population Definitions'!$A$8</f>
        <v>18-64_males</v>
      </c>
      <c r="C760" t="s">
        <v>34</v>
      </c>
      <c r="D760" s="3"/>
      <c r="E760" s="3">
        <v>0</v>
      </c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</row>
    <row r="761" spans="1:55">
      <c r="A761" s="1" t="str">
        <f>'Population Definitions'!$A$9</f>
        <v>18-64_females</v>
      </c>
      <c r="C761" t="s">
        <v>34</v>
      </c>
      <c r="D761" s="3"/>
      <c r="E761" s="3">
        <v>0</v>
      </c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</row>
    <row r="762" spans="1:55">
      <c r="A762" s="1" t="str">
        <f>'Population Definitions'!$A$10</f>
        <v>65+_males</v>
      </c>
      <c r="C762" t="s">
        <v>34</v>
      </c>
      <c r="D762" s="3"/>
      <c r="E762" s="3">
        <v>0</v>
      </c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</row>
    <row r="763" spans="1:55">
      <c r="A763" s="1" t="str">
        <f>'Population Definitions'!$A$11</f>
        <v>65+_females</v>
      </c>
      <c r="C763" t="s">
        <v>34</v>
      </c>
      <c r="D763" s="3"/>
      <c r="E763" s="3">
        <v>0</v>
      </c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</row>
    <row r="764" spans="1:55">
      <c r="A764" s="1" t="str">
        <f>'Population Definitions'!$A$12</f>
        <v>Prisoners_males</v>
      </c>
      <c r="C764" t="s">
        <v>34</v>
      </c>
      <c r="D764" s="3"/>
      <c r="E764" s="3">
        <v>0</v>
      </c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</row>
    <row r="765" spans="1:55">
      <c r="A765" s="1" t="str">
        <f>'Population Definitions'!$A$13</f>
        <v>Prisoners_females</v>
      </c>
      <c r="C765" t="s">
        <v>34</v>
      </c>
      <c r="D765" s="3"/>
      <c r="E765" s="3">
        <v>0</v>
      </c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</row>
    <row r="766" spans="1:55">
      <c r="A766" s="1" t="str">
        <f>'Population Definitions'!$A$14</f>
        <v>Prisoners_PWID_males</v>
      </c>
      <c r="C766" t="s">
        <v>34</v>
      </c>
      <c r="D766" s="3"/>
      <c r="E766" s="3">
        <v>0</v>
      </c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</row>
    <row r="767" spans="1:55">
      <c r="A767" s="1" t="str">
        <f>'Population Definitions'!$A$15</f>
        <v>Prisoners_PWID_females</v>
      </c>
      <c r="C767" t="s">
        <v>34</v>
      </c>
      <c r="D767" s="3"/>
      <c r="E767" s="3">
        <v>0</v>
      </c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</row>
    <row r="769" spans="1:55">
      <c r="A769" s="1" t="s">
        <v>175</v>
      </c>
      <c r="B769" s="1" t="s">
        <v>31</v>
      </c>
      <c r="C769" s="1" t="s">
        <v>32</v>
      </c>
      <c r="D769" s="1" t="s">
        <v>33</v>
      </c>
      <c r="E769" s="1">
        <v>2000</v>
      </c>
      <c r="F769" s="1">
        <v>2001</v>
      </c>
      <c r="G769" s="1">
        <v>2002</v>
      </c>
      <c r="H769" s="1">
        <v>2003</v>
      </c>
      <c r="I769" s="1">
        <v>2004</v>
      </c>
      <c r="J769" s="1">
        <v>2005</v>
      </c>
      <c r="K769" s="1">
        <v>2006</v>
      </c>
      <c r="L769" s="1">
        <v>2007</v>
      </c>
      <c r="M769" s="1">
        <v>2008</v>
      </c>
      <c r="N769" s="1">
        <v>2009</v>
      </c>
      <c r="O769" s="1">
        <v>2010</v>
      </c>
      <c r="P769" s="1">
        <v>2011</v>
      </c>
      <c r="Q769" s="1">
        <v>2012</v>
      </c>
      <c r="R769" s="1">
        <v>2013</v>
      </c>
      <c r="S769" s="1">
        <v>2014</v>
      </c>
      <c r="T769" s="1">
        <v>2015</v>
      </c>
      <c r="U769" s="1">
        <v>2016</v>
      </c>
      <c r="V769" s="1">
        <v>2017</v>
      </c>
      <c r="W769" s="1">
        <v>2018</v>
      </c>
      <c r="X769" s="1">
        <v>2019</v>
      </c>
      <c r="Y769" s="1">
        <v>2020</v>
      </c>
      <c r="Z769" s="1">
        <v>2021</v>
      </c>
      <c r="AA769" s="1">
        <v>2022</v>
      </c>
      <c r="AB769" s="1">
        <v>2023</v>
      </c>
      <c r="AC769" s="1">
        <v>2024</v>
      </c>
      <c r="AD769" s="1">
        <v>2025</v>
      </c>
      <c r="AE769" s="1">
        <v>2026</v>
      </c>
      <c r="AF769" s="1">
        <v>2027</v>
      </c>
      <c r="AG769" s="1">
        <v>2028</v>
      </c>
      <c r="AH769" s="1">
        <v>2029</v>
      </c>
      <c r="AI769" s="1">
        <v>2030</v>
      </c>
      <c r="AJ769" s="1">
        <v>2031</v>
      </c>
      <c r="AK769" s="1">
        <v>2032</v>
      </c>
      <c r="AL769" s="1">
        <v>2033</v>
      </c>
      <c r="AM769" s="1">
        <v>2034</v>
      </c>
      <c r="AN769" s="1">
        <v>2035</v>
      </c>
      <c r="AO769" s="1">
        <v>2036</v>
      </c>
      <c r="AP769" s="1">
        <v>2037</v>
      </c>
      <c r="AQ769" s="1">
        <v>2038</v>
      </c>
      <c r="AR769" s="1">
        <v>2039</v>
      </c>
      <c r="AS769" s="1">
        <v>2040</v>
      </c>
      <c r="AT769" s="1">
        <v>2041</v>
      </c>
      <c r="AU769" s="1">
        <v>2042</v>
      </c>
      <c r="AV769" s="1">
        <v>2043</v>
      </c>
      <c r="AW769" s="1">
        <v>2044</v>
      </c>
      <c r="AX769" s="1">
        <v>2045</v>
      </c>
      <c r="AY769" s="1">
        <v>2046</v>
      </c>
      <c r="AZ769" s="1">
        <v>2047</v>
      </c>
      <c r="BA769" s="1">
        <v>2048</v>
      </c>
      <c r="BB769" s="1">
        <v>2049</v>
      </c>
      <c r="BC769" s="1">
        <v>2050</v>
      </c>
    </row>
    <row r="770" spans="1:55">
      <c r="A770" s="1" t="str">
        <f>'Population Definitions'!$A$2</f>
        <v>PWID_males</v>
      </c>
      <c r="C770" t="s">
        <v>34</v>
      </c>
      <c r="D770" s="3"/>
      <c r="E770" s="3">
        <v>0</v>
      </c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</row>
    <row r="771" spans="1:55">
      <c r="A771" s="1" t="str">
        <f>'Population Definitions'!$A$3</f>
        <v>PWID_females</v>
      </c>
      <c r="C771" t="s">
        <v>34</v>
      </c>
      <c r="D771" s="3"/>
      <c r="E771" s="3">
        <v>0</v>
      </c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</row>
    <row r="772" spans="1:55">
      <c r="A772" s="1" t="str">
        <f>'Population Definitions'!$A$4</f>
        <v>0-9_males</v>
      </c>
      <c r="C772" t="s">
        <v>34</v>
      </c>
      <c r="D772" s="3"/>
      <c r="E772" s="3">
        <v>0</v>
      </c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</row>
    <row r="773" spans="1:55">
      <c r="A773" s="1" t="str">
        <f>'Population Definitions'!$A$5</f>
        <v>0-9_females</v>
      </c>
      <c r="C773" t="s">
        <v>34</v>
      </c>
      <c r="D773" s="3"/>
      <c r="E773" s="3">
        <v>0</v>
      </c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</row>
    <row r="774" spans="1:55">
      <c r="A774" s="1" t="str">
        <f>'Population Definitions'!$A$6</f>
        <v>10-17_males</v>
      </c>
      <c r="C774" t="s">
        <v>34</v>
      </c>
      <c r="D774" s="3"/>
      <c r="E774" s="3">
        <v>0</v>
      </c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</row>
    <row r="775" spans="1:55">
      <c r="A775" s="1" t="str">
        <f>'Population Definitions'!$A$7</f>
        <v>10-17_females</v>
      </c>
      <c r="C775" t="s">
        <v>34</v>
      </c>
      <c r="D775" s="3"/>
      <c r="E775" s="3">
        <v>0</v>
      </c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</row>
    <row r="776" spans="1:55">
      <c r="A776" s="1" t="str">
        <f>'Population Definitions'!$A$8</f>
        <v>18-64_males</v>
      </c>
      <c r="C776" t="s">
        <v>34</v>
      </c>
      <c r="D776" s="3"/>
      <c r="E776" s="3">
        <v>0</v>
      </c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</row>
    <row r="777" spans="1:55">
      <c r="A777" s="1" t="str">
        <f>'Population Definitions'!$A$9</f>
        <v>18-64_females</v>
      </c>
      <c r="C777" t="s">
        <v>34</v>
      </c>
      <c r="D777" s="3"/>
      <c r="E777" s="3">
        <v>0</v>
      </c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</row>
    <row r="778" spans="1:55">
      <c r="A778" s="1" t="str">
        <f>'Population Definitions'!$A$10</f>
        <v>65+_males</v>
      </c>
      <c r="C778" t="s">
        <v>34</v>
      </c>
      <c r="D778" s="3"/>
      <c r="E778" s="3">
        <v>0</v>
      </c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</row>
    <row r="779" spans="1:55">
      <c r="A779" s="1" t="str">
        <f>'Population Definitions'!$A$11</f>
        <v>65+_females</v>
      </c>
      <c r="C779" t="s">
        <v>34</v>
      </c>
      <c r="D779" s="3"/>
      <c r="E779" s="3">
        <v>0</v>
      </c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</row>
    <row r="780" spans="1:55">
      <c r="A780" s="1" t="str">
        <f>'Population Definitions'!$A$12</f>
        <v>Prisoners_males</v>
      </c>
      <c r="C780" t="s">
        <v>34</v>
      </c>
      <c r="D780" s="3"/>
      <c r="E780" s="3">
        <v>0</v>
      </c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</row>
    <row r="781" spans="1:55">
      <c r="A781" s="1" t="str">
        <f>'Population Definitions'!$A$13</f>
        <v>Prisoners_females</v>
      </c>
      <c r="C781" t="s">
        <v>34</v>
      </c>
      <c r="D781" s="3"/>
      <c r="E781" s="3">
        <v>0</v>
      </c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</row>
    <row r="782" spans="1:55">
      <c r="A782" s="1" t="str">
        <f>'Population Definitions'!$A$14</f>
        <v>Prisoners_PWID_males</v>
      </c>
      <c r="C782" t="s">
        <v>34</v>
      </c>
      <c r="D782" s="3"/>
      <c r="E782" s="3">
        <v>0</v>
      </c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</row>
    <row r="783" spans="1:55">
      <c r="A783" s="1" t="str">
        <f>'Population Definitions'!$A$15</f>
        <v>Prisoners_PWID_females</v>
      </c>
      <c r="C783" t="s">
        <v>34</v>
      </c>
      <c r="D783" s="3"/>
      <c r="E783" s="3">
        <v>0</v>
      </c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</row>
    <row r="785" spans="1:55">
      <c r="A785" s="1" t="s">
        <v>176</v>
      </c>
      <c r="B785" s="1" t="s">
        <v>31</v>
      </c>
      <c r="C785" s="1" t="s">
        <v>32</v>
      </c>
      <c r="D785" s="1" t="s">
        <v>33</v>
      </c>
      <c r="E785" s="1">
        <v>2000</v>
      </c>
      <c r="F785" s="1">
        <v>2001</v>
      </c>
      <c r="G785" s="1">
        <v>2002</v>
      </c>
      <c r="H785" s="1">
        <v>2003</v>
      </c>
      <c r="I785" s="1">
        <v>2004</v>
      </c>
      <c r="J785" s="1">
        <v>2005</v>
      </c>
      <c r="K785" s="1">
        <v>2006</v>
      </c>
      <c r="L785" s="1">
        <v>2007</v>
      </c>
      <c r="M785" s="1">
        <v>2008</v>
      </c>
      <c r="N785" s="1">
        <v>2009</v>
      </c>
      <c r="O785" s="1">
        <v>2010</v>
      </c>
      <c r="P785" s="1">
        <v>2011</v>
      </c>
      <c r="Q785" s="1">
        <v>2012</v>
      </c>
      <c r="R785" s="1">
        <v>2013</v>
      </c>
      <c r="S785" s="1">
        <v>2014</v>
      </c>
      <c r="T785" s="1">
        <v>2015</v>
      </c>
      <c r="U785" s="1">
        <v>2016</v>
      </c>
      <c r="V785" s="1">
        <v>2017</v>
      </c>
      <c r="W785" s="1">
        <v>2018</v>
      </c>
      <c r="X785" s="1">
        <v>2019</v>
      </c>
      <c r="Y785" s="1">
        <v>2020</v>
      </c>
      <c r="Z785" s="1">
        <v>2021</v>
      </c>
      <c r="AA785" s="1">
        <v>2022</v>
      </c>
      <c r="AB785" s="1">
        <v>2023</v>
      </c>
      <c r="AC785" s="1">
        <v>2024</v>
      </c>
      <c r="AD785" s="1">
        <v>2025</v>
      </c>
      <c r="AE785" s="1">
        <v>2026</v>
      </c>
      <c r="AF785" s="1">
        <v>2027</v>
      </c>
      <c r="AG785" s="1">
        <v>2028</v>
      </c>
      <c r="AH785" s="1">
        <v>2029</v>
      </c>
      <c r="AI785" s="1">
        <v>2030</v>
      </c>
      <c r="AJ785" s="1">
        <v>2031</v>
      </c>
      <c r="AK785" s="1">
        <v>2032</v>
      </c>
      <c r="AL785" s="1">
        <v>2033</v>
      </c>
      <c r="AM785" s="1">
        <v>2034</v>
      </c>
      <c r="AN785" s="1">
        <v>2035</v>
      </c>
      <c r="AO785" s="1">
        <v>2036</v>
      </c>
      <c r="AP785" s="1">
        <v>2037</v>
      </c>
      <c r="AQ785" s="1">
        <v>2038</v>
      </c>
      <c r="AR785" s="1">
        <v>2039</v>
      </c>
      <c r="AS785" s="1">
        <v>2040</v>
      </c>
      <c r="AT785" s="1">
        <v>2041</v>
      </c>
      <c r="AU785" s="1">
        <v>2042</v>
      </c>
      <c r="AV785" s="1">
        <v>2043</v>
      </c>
      <c r="AW785" s="1">
        <v>2044</v>
      </c>
      <c r="AX785" s="1">
        <v>2045</v>
      </c>
      <c r="AY785" s="1">
        <v>2046</v>
      </c>
      <c r="AZ785" s="1">
        <v>2047</v>
      </c>
      <c r="BA785" s="1">
        <v>2048</v>
      </c>
      <c r="BB785" s="1">
        <v>2049</v>
      </c>
      <c r="BC785" s="1">
        <v>2050</v>
      </c>
    </row>
    <row r="786" spans="1:55">
      <c r="A786" s="1" t="str">
        <f>'Population Definitions'!$A$2</f>
        <v>PWID_males</v>
      </c>
      <c r="C786" t="s">
        <v>34</v>
      </c>
      <c r="D786" s="3"/>
      <c r="E786" s="3">
        <v>0</v>
      </c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</row>
    <row r="787" spans="1:55">
      <c r="A787" s="1" t="str">
        <f>'Population Definitions'!$A$3</f>
        <v>PWID_females</v>
      </c>
      <c r="C787" t="s">
        <v>34</v>
      </c>
      <c r="D787" s="3"/>
      <c r="E787" s="3">
        <v>0</v>
      </c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</row>
    <row r="788" spans="1:55">
      <c r="A788" s="1" t="str">
        <f>'Population Definitions'!$A$4</f>
        <v>0-9_males</v>
      </c>
      <c r="C788" t="s">
        <v>34</v>
      </c>
      <c r="D788" s="3"/>
      <c r="E788" s="3">
        <v>0</v>
      </c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</row>
    <row r="789" spans="1:55">
      <c r="A789" s="1" t="str">
        <f>'Population Definitions'!$A$5</f>
        <v>0-9_females</v>
      </c>
      <c r="C789" t="s">
        <v>34</v>
      </c>
      <c r="D789" s="3"/>
      <c r="E789" s="3">
        <v>0</v>
      </c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</row>
    <row r="790" spans="1:55">
      <c r="A790" s="1" t="str">
        <f>'Population Definitions'!$A$6</f>
        <v>10-17_males</v>
      </c>
      <c r="C790" t="s">
        <v>34</v>
      </c>
      <c r="D790" s="3"/>
      <c r="E790" s="3">
        <v>0</v>
      </c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</row>
    <row r="791" spans="1:55">
      <c r="A791" s="1" t="str">
        <f>'Population Definitions'!$A$7</f>
        <v>10-17_females</v>
      </c>
      <c r="C791" t="s">
        <v>34</v>
      </c>
      <c r="D791" s="3"/>
      <c r="E791" s="3">
        <v>0</v>
      </c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</row>
    <row r="792" spans="1:55">
      <c r="A792" s="1" t="str">
        <f>'Population Definitions'!$A$8</f>
        <v>18-64_males</v>
      </c>
      <c r="C792" t="s">
        <v>34</v>
      </c>
      <c r="D792" s="3"/>
      <c r="E792" s="3">
        <v>0</v>
      </c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</row>
    <row r="793" spans="1:55">
      <c r="A793" s="1" t="str">
        <f>'Population Definitions'!$A$9</f>
        <v>18-64_females</v>
      </c>
      <c r="C793" t="s">
        <v>34</v>
      </c>
      <c r="D793" s="3"/>
      <c r="E793" s="3">
        <v>0</v>
      </c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</row>
    <row r="794" spans="1:55">
      <c r="A794" s="1" t="str">
        <f>'Population Definitions'!$A$10</f>
        <v>65+_males</v>
      </c>
      <c r="C794" t="s">
        <v>34</v>
      </c>
      <c r="D794" s="3"/>
      <c r="E794" s="3">
        <v>0</v>
      </c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</row>
    <row r="795" spans="1:55">
      <c r="A795" s="1" t="str">
        <f>'Population Definitions'!$A$11</f>
        <v>65+_females</v>
      </c>
      <c r="C795" t="s">
        <v>34</v>
      </c>
      <c r="D795" s="3"/>
      <c r="E795" s="3">
        <v>0</v>
      </c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</row>
    <row r="796" spans="1:55">
      <c r="A796" s="1" t="str">
        <f>'Population Definitions'!$A$12</f>
        <v>Prisoners_males</v>
      </c>
      <c r="C796" t="s">
        <v>34</v>
      </c>
      <c r="D796" s="3"/>
      <c r="E796" s="3">
        <v>0</v>
      </c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</row>
    <row r="797" spans="1:55">
      <c r="A797" s="1" t="str">
        <f>'Population Definitions'!$A$13</f>
        <v>Prisoners_females</v>
      </c>
      <c r="C797" t="s">
        <v>34</v>
      </c>
      <c r="D797" s="3"/>
      <c r="E797" s="3">
        <v>0</v>
      </c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</row>
    <row r="798" spans="1:55">
      <c r="A798" s="1" t="str">
        <f>'Population Definitions'!$A$14</f>
        <v>Prisoners_PWID_males</v>
      </c>
      <c r="C798" t="s">
        <v>34</v>
      </c>
      <c r="D798" s="3"/>
      <c r="E798" s="3">
        <v>0</v>
      </c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</row>
    <row r="799" spans="1:55">
      <c r="A799" s="1" t="str">
        <f>'Population Definitions'!$A$15</f>
        <v>Prisoners_PWID_females</v>
      </c>
      <c r="C799" t="s">
        <v>34</v>
      </c>
      <c r="D799" s="3"/>
      <c r="E799" s="3">
        <v>0</v>
      </c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</row>
    <row r="801" spans="1:55">
      <c r="A801" s="1" t="s">
        <v>177</v>
      </c>
      <c r="B801" s="1" t="s">
        <v>31</v>
      </c>
      <c r="C801" s="1" t="s">
        <v>32</v>
      </c>
      <c r="D801" s="1" t="s">
        <v>33</v>
      </c>
      <c r="E801" s="1">
        <v>2000</v>
      </c>
      <c r="F801" s="1">
        <v>2001</v>
      </c>
      <c r="G801" s="1">
        <v>2002</v>
      </c>
      <c r="H801" s="1">
        <v>2003</v>
      </c>
      <c r="I801" s="1">
        <v>2004</v>
      </c>
      <c r="J801" s="1">
        <v>2005</v>
      </c>
      <c r="K801" s="1">
        <v>2006</v>
      </c>
      <c r="L801" s="1">
        <v>2007</v>
      </c>
      <c r="M801" s="1">
        <v>2008</v>
      </c>
      <c r="N801" s="1">
        <v>2009</v>
      </c>
      <c r="O801" s="1">
        <v>2010</v>
      </c>
      <c r="P801" s="1">
        <v>2011</v>
      </c>
      <c r="Q801" s="1">
        <v>2012</v>
      </c>
      <c r="R801" s="1">
        <v>2013</v>
      </c>
      <c r="S801" s="1">
        <v>2014</v>
      </c>
      <c r="T801" s="1">
        <v>2015</v>
      </c>
      <c r="U801" s="1">
        <v>2016</v>
      </c>
      <c r="V801" s="1">
        <v>2017</v>
      </c>
      <c r="W801" s="1">
        <v>2018</v>
      </c>
      <c r="X801" s="1">
        <v>2019</v>
      </c>
      <c r="Y801" s="1">
        <v>2020</v>
      </c>
      <c r="Z801" s="1">
        <v>2021</v>
      </c>
      <c r="AA801" s="1">
        <v>2022</v>
      </c>
      <c r="AB801" s="1">
        <v>2023</v>
      </c>
      <c r="AC801" s="1">
        <v>2024</v>
      </c>
      <c r="AD801" s="1">
        <v>2025</v>
      </c>
      <c r="AE801" s="1">
        <v>2026</v>
      </c>
      <c r="AF801" s="1">
        <v>2027</v>
      </c>
      <c r="AG801" s="1">
        <v>2028</v>
      </c>
      <c r="AH801" s="1">
        <v>2029</v>
      </c>
      <c r="AI801" s="1">
        <v>2030</v>
      </c>
      <c r="AJ801" s="1">
        <v>2031</v>
      </c>
      <c r="AK801" s="1">
        <v>2032</v>
      </c>
      <c r="AL801" s="1">
        <v>2033</v>
      </c>
      <c r="AM801" s="1">
        <v>2034</v>
      </c>
      <c r="AN801" s="1">
        <v>2035</v>
      </c>
      <c r="AO801" s="1">
        <v>2036</v>
      </c>
      <c r="AP801" s="1">
        <v>2037</v>
      </c>
      <c r="AQ801" s="1">
        <v>2038</v>
      </c>
      <c r="AR801" s="1">
        <v>2039</v>
      </c>
      <c r="AS801" s="1">
        <v>2040</v>
      </c>
      <c r="AT801" s="1">
        <v>2041</v>
      </c>
      <c r="AU801" s="1">
        <v>2042</v>
      </c>
      <c r="AV801" s="1">
        <v>2043</v>
      </c>
      <c r="AW801" s="1">
        <v>2044</v>
      </c>
      <c r="AX801" s="1">
        <v>2045</v>
      </c>
      <c r="AY801" s="1">
        <v>2046</v>
      </c>
      <c r="AZ801" s="1">
        <v>2047</v>
      </c>
      <c r="BA801" s="1">
        <v>2048</v>
      </c>
      <c r="BB801" s="1">
        <v>2049</v>
      </c>
      <c r="BC801" s="1">
        <v>2050</v>
      </c>
    </row>
    <row r="802" spans="1:55">
      <c r="A802" s="1" t="str">
        <f>'Population Definitions'!$A$2</f>
        <v>PWID_males</v>
      </c>
      <c r="C802" t="s">
        <v>34</v>
      </c>
      <c r="D802" s="3"/>
      <c r="E802" s="3">
        <v>0</v>
      </c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</row>
    <row r="803" spans="1:55">
      <c r="A803" s="1" t="str">
        <f>'Population Definitions'!$A$3</f>
        <v>PWID_females</v>
      </c>
      <c r="C803" t="s">
        <v>34</v>
      </c>
      <c r="D803" s="3"/>
      <c r="E803" s="3">
        <v>0</v>
      </c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</row>
    <row r="804" spans="1:55">
      <c r="A804" s="1" t="str">
        <f>'Population Definitions'!$A$4</f>
        <v>0-9_males</v>
      </c>
      <c r="C804" t="s">
        <v>34</v>
      </c>
      <c r="D804" s="3"/>
      <c r="E804" s="3">
        <v>0</v>
      </c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</row>
    <row r="805" spans="1:55">
      <c r="A805" s="1" t="str">
        <f>'Population Definitions'!$A$5</f>
        <v>0-9_females</v>
      </c>
      <c r="C805" t="s">
        <v>34</v>
      </c>
      <c r="D805" s="3"/>
      <c r="E805" s="3">
        <v>0</v>
      </c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</row>
    <row r="806" spans="1:55">
      <c r="A806" s="1" t="str">
        <f>'Population Definitions'!$A$6</f>
        <v>10-17_males</v>
      </c>
      <c r="C806" t="s">
        <v>34</v>
      </c>
      <c r="D806" s="3"/>
      <c r="E806" s="3">
        <v>0</v>
      </c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</row>
    <row r="807" spans="1:55">
      <c r="A807" s="1" t="str">
        <f>'Population Definitions'!$A$7</f>
        <v>10-17_females</v>
      </c>
      <c r="C807" t="s">
        <v>34</v>
      </c>
      <c r="D807" s="3"/>
      <c r="E807" s="3">
        <v>0</v>
      </c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</row>
    <row r="808" spans="1:55">
      <c r="A808" s="1" t="str">
        <f>'Population Definitions'!$A$8</f>
        <v>18-64_males</v>
      </c>
      <c r="C808" t="s">
        <v>34</v>
      </c>
      <c r="D808" s="3"/>
      <c r="E808" s="3">
        <v>0</v>
      </c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</row>
    <row r="809" spans="1:55">
      <c r="A809" s="1" t="str">
        <f>'Population Definitions'!$A$9</f>
        <v>18-64_females</v>
      </c>
      <c r="C809" t="s">
        <v>34</v>
      </c>
      <c r="D809" s="3"/>
      <c r="E809" s="3">
        <v>0</v>
      </c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</row>
    <row r="810" spans="1:55">
      <c r="A810" s="1" t="str">
        <f>'Population Definitions'!$A$10</f>
        <v>65+_males</v>
      </c>
      <c r="C810" t="s">
        <v>34</v>
      </c>
      <c r="D810" s="3"/>
      <c r="E810" s="3">
        <v>0</v>
      </c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</row>
    <row r="811" spans="1:55">
      <c r="A811" s="1" t="str">
        <f>'Population Definitions'!$A$11</f>
        <v>65+_females</v>
      </c>
      <c r="C811" t="s">
        <v>34</v>
      </c>
      <c r="D811" s="3"/>
      <c r="E811" s="3">
        <v>0</v>
      </c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</row>
    <row r="812" spans="1:55">
      <c r="A812" s="1" t="str">
        <f>'Population Definitions'!$A$12</f>
        <v>Prisoners_males</v>
      </c>
      <c r="C812" t="s">
        <v>34</v>
      </c>
      <c r="D812" s="3"/>
      <c r="E812" s="3">
        <v>0</v>
      </c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</row>
    <row r="813" spans="1:55">
      <c r="A813" s="1" t="str">
        <f>'Population Definitions'!$A$13</f>
        <v>Prisoners_females</v>
      </c>
      <c r="C813" t="s">
        <v>34</v>
      </c>
      <c r="D813" s="3"/>
      <c r="E813" s="3">
        <v>0</v>
      </c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</row>
    <row r="814" spans="1:55">
      <c r="A814" s="1" t="str">
        <f>'Population Definitions'!$A$14</f>
        <v>Prisoners_PWID_males</v>
      </c>
      <c r="C814" t="s">
        <v>34</v>
      </c>
      <c r="D814" s="3"/>
      <c r="E814" s="3">
        <v>0</v>
      </c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</row>
    <row r="815" spans="1:55">
      <c r="A815" s="1" t="str">
        <f>'Population Definitions'!$A$15</f>
        <v>Prisoners_PWID_females</v>
      </c>
      <c r="C815" t="s">
        <v>34</v>
      </c>
      <c r="D815" s="3"/>
      <c r="E815" s="3">
        <v>0</v>
      </c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</row>
    <row r="817" spans="1:55">
      <c r="A817" s="1" t="s">
        <v>178</v>
      </c>
      <c r="B817" s="1" t="s">
        <v>31</v>
      </c>
      <c r="C817" s="1" t="s">
        <v>32</v>
      </c>
      <c r="D817" s="1" t="s">
        <v>33</v>
      </c>
      <c r="E817" s="1">
        <v>2000</v>
      </c>
      <c r="F817" s="1">
        <v>2001</v>
      </c>
      <c r="G817" s="1">
        <v>2002</v>
      </c>
      <c r="H817" s="1">
        <v>2003</v>
      </c>
      <c r="I817" s="1">
        <v>2004</v>
      </c>
      <c r="J817" s="1">
        <v>2005</v>
      </c>
      <c r="K817" s="1">
        <v>2006</v>
      </c>
      <c r="L817" s="1">
        <v>2007</v>
      </c>
      <c r="M817" s="1">
        <v>2008</v>
      </c>
      <c r="N817" s="1">
        <v>2009</v>
      </c>
      <c r="O817" s="1">
        <v>2010</v>
      </c>
      <c r="P817" s="1">
        <v>2011</v>
      </c>
      <c r="Q817" s="1">
        <v>2012</v>
      </c>
      <c r="R817" s="1">
        <v>2013</v>
      </c>
      <c r="S817" s="1">
        <v>2014</v>
      </c>
      <c r="T817" s="1">
        <v>2015</v>
      </c>
      <c r="U817" s="1">
        <v>2016</v>
      </c>
      <c r="V817" s="1">
        <v>2017</v>
      </c>
      <c r="W817" s="1">
        <v>2018</v>
      </c>
      <c r="X817" s="1">
        <v>2019</v>
      </c>
      <c r="Y817" s="1">
        <v>2020</v>
      </c>
      <c r="Z817" s="1">
        <v>2021</v>
      </c>
      <c r="AA817" s="1">
        <v>2022</v>
      </c>
      <c r="AB817" s="1">
        <v>2023</v>
      </c>
      <c r="AC817" s="1">
        <v>2024</v>
      </c>
      <c r="AD817" s="1">
        <v>2025</v>
      </c>
      <c r="AE817" s="1">
        <v>2026</v>
      </c>
      <c r="AF817" s="1">
        <v>2027</v>
      </c>
      <c r="AG817" s="1">
        <v>2028</v>
      </c>
      <c r="AH817" s="1">
        <v>2029</v>
      </c>
      <c r="AI817" s="1">
        <v>2030</v>
      </c>
      <c r="AJ817" s="1">
        <v>2031</v>
      </c>
      <c r="AK817" s="1">
        <v>2032</v>
      </c>
      <c r="AL817" s="1">
        <v>2033</v>
      </c>
      <c r="AM817" s="1">
        <v>2034</v>
      </c>
      <c r="AN817" s="1">
        <v>2035</v>
      </c>
      <c r="AO817" s="1">
        <v>2036</v>
      </c>
      <c r="AP817" s="1">
        <v>2037</v>
      </c>
      <c r="AQ817" s="1">
        <v>2038</v>
      </c>
      <c r="AR817" s="1">
        <v>2039</v>
      </c>
      <c r="AS817" s="1">
        <v>2040</v>
      </c>
      <c r="AT817" s="1">
        <v>2041</v>
      </c>
      <c r="AU817" s="1">
        <v>2042</v>
      </c>
      <c r="AV817" s="1">
        <v>2043</v>
      </c>
      <c r="AW817" s="1">
        <v>2044</v>
      </c>
      <c r="AX817" s="1">
        <v>2045</v>
      </c>
      <c r="AY817" s="1">
        <v>2046</v>
      </c>
      <c r="AZ817" s="1">
        <v>2047</v>
      </c>
      <c r="BA817" s="1">
        <v>2048</v>
      </c>
      <c r="BB817" s="1">
        <v>2049</v>
      </c>
      <c r="BC817" s="1">
        <v>2050</v>
      </c>
    </row>
    <row r="818" spans="1:55">
      <c r="A818" s="1" t="str">
        <f>'Population Definitions'!$A$2</f>
        <v>PWID_males</v>
      </c>
      <c r="C818" t="s">
        <v>34</v>
      </c>
      <c r="D818" s="3"/>
      <c r="E818" s="3">
        <v>0</v>
      </c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</row>
    <row r="819" spans="1:55">
      <c r="A819" s="1" t="str">
        <f>'Population Definitions'!$A$3</f>
        <v>PWID_females</v>
      </c>
      <c r="C819" t="s">
        <v>34</v>
      </c>
      <c r="D819" s="3"/>
      <c r="E819" s="3">
        <v>0</v>
      </c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</row>
    <row r="820" spans="1:55">
      <c r="A820" s="1" t="str">
        <f>'Population Definitions'!$A$4</f>
        <v>0-9_males</v>
      </c>
      <c r="C820" t="s">
        <v>34</v>
      </c>
      <c r="D820" s="3"/>
      <c r="E820" s="3">
        <v>0</v>
      </c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</row>
    <row r="821" spans="1:55">
      <c r="A821" s="1" t="str">
        <f>'Population Definitions'!$A$5</f>
        <v>0-9_females</v>
      </c>
      <c r="C821" t="s">
        <v>34</v>
      </c>
      <c r="D821" s="3"/>
      <c r="E821" s="3">
        <v>0</v>
      </c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</row>
    <row r="822" spans="1:55">
      <c r="A822" s="1" t="str">
        <f>'Population Definitions'!$A$6</f>
        <v>10-17_males</v>
      </c>
      <c r="C822" t="s">
        <v>34</v>
      </c>
      <c r="D822" s="3"/>
      <c r="E822" s="3">
        <v>0</v>
      </c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</row>
    <row r="823" spans="1:55">
      <c r="A823" s="1" t="str">
        <f>'Population Definitions'!$A$7</f>
        <v>10-17_females</v>
      </c>
      <c r="C823" t="s">
        <v>34</v>
      </c>
      <c r="D823" s="3"/>
      <c r="E823" s="3">
        <v>0</v>
      </c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</row>
    <row r="824" spans="1:55">
      <c r="A824" s="1" t="str">
        <f>'Population Definitions'!$A$8</f>
        <v>18-64_males</v>
      </c>
      <c r="C824" t="s">
        <v>34</v>
      </c>
      <c r="D824" s="3"/>
      <c r="E824" s="3">
        <v>0</v>
      </c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</row>
    <row r="825" spans="1:55">
      <c r="A825" s="1" t="str">
        <f>'Population Definitions'!$A$9</f>
        <v>18-64_females</v>
      </c>
      <c r="C825" t="s">
        <v>34</v>
      </c>
      <c r="D825" s="3"/>
      <c r="E825" s="3">
        <v>0</v>
      </c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</row>
    <row r="826" spans="1:55">
      <c r="A826" s="1" t="str">
        <f>'Population Definitions'!$A$10</f>
        <v>65+_males</v>
      </c>
      <c r="C826" t="s">
        <v>34</v>
      </c>
      <c r="D826" s="3"/>
      <c r="E826" s="3">
        <v>0</v>
      </c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</row>
    <row r="827" spans="1:55">
      <c r="A827" s="1" t="str">
        <f>'Population Definitions'!$A$11</f>
        <v>65+_females</v>
      </c>
      <c r="C827" t="s">
        <v>34</v>
      </c>
      <c r="D827" s="3"/>
      <c r="E827" s="3">
        <v>0</v>
      </c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</row>
    <row r="828" spans="1:55">
      <c r="A828" s="1" t="str">
        <f>'Population Definitions'!$A$12</f>
        <v>Prisoners_males</v>
      </c>
      <c r="C828" t="s">
        <v>34</v>
      </c>
      <c r="D828" s="3"/>
      <c r="E828" s="3">
        <v>0</v>
      </c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</row>
    <row r="829" spans="1:55">
      <c r="A829" s="1" t="str">
        <f>'Population Definitions'!$A$13</f>
        <v>Prisoners_females</v>
      </c>
      <c r="C829" t="s">
        <v>34</v>
      </c>
      <c r="D829" s="3"/>
      <c r="E829" s="3">
        <v>0</v>
      </c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</row>
    <row r="830" spans="1:55">
      <c r="A830" s="1" t="str">
        <f>'Population Definitions'!$A$14</f>
        <v>Prisoners_PWID_males</v>
      </c>
      <c r="C830" t="s">
        <v>34</v>
      </c>
      <c r="D830" s="3"/>
      <c r="E830" s="3">
        <v>0</v>
      </c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</row>
    <row r="831" spans="1:55">
      <c r="A831" s="1" t="str">
        <f>'Population Definitions'!$A$15</f>
        <v>Prisoners_PWID_females</v>
      </c>
      <c r="C831" t="s">
        <v>34</v>
      </c>
      <c r="D831" s="3"/>
      <c r="E831" s="3">
        <v>0</v>
      </c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</row>
    <row r="833" spans="1:55">
      <c r="A833" s="1" t="s">
        <v>179</v>
      </c>
      <c r="B833" s="1" t="s">
        <v>31</v>
      </c>
      <c r="C833" s="1" t="s">
        <v>32</v>
      </c>
      <c r="D833" s="1" t="s">
        <v>33</v>
      </c>
      <c r="E833" s="1">
        <v>2000</v>
      </c>
      <c r="F833" s="1">
        <v>2001</v>
      </c>
      <c r="G833" s="1">
        <v>2002</v>
      </c>
      <c r="H833" s="1">
        <v>2003</v>
      </c>
      <c r="I833" s="1">
        <v>2004</v>
      </c>
      <c r="J833" s="1">
        <v>2005</v>
      </c>
      <c r="K833" s="1">
        <v>2006</v>
      </c>
      <c r="L833" s="1">
        <v>2007</v>
      </c>
      <c r="M833" s="1">
        <v>2008</v>
      </c>
      <c r="N833" s="1">
        <v>2009</v>
      </c>
      <c r="O833" s="1">
        <v>2010</v>
      </c>
      <c r="P833" s="1">
        <v>2011</v>
      </c>
      <c r="Q833" s="1">
        <v>2012</v>
      </c>
      <c r="R833" s="1">
        <v>2013</v>
      </c>
      <c r="S833" s="1">
        <v>2014</v>
      </c>
      <c r="T833" s="1">
        <v>2015</v>
      </c>
      <c r="U833" s="1">
        <v>2016</v>
      </c>
      <c r="V833" s="1">
        <v>2017</v>
      </c>
      <c r="W833" s="1">
        <v>2018</v>
      </c>
      <c r="X833" s="1">
        <v>2019</v>
      </c>
      <c r="Y833" s="1">
        <v>2020</v>
      </c>
      <c r="Z833" s="1">
        <v>2021</v>
      </c>
      <c r="AA833" s="1">
        <v>2022</v>
      </c>
      <c r="AB833" s="1">
        <v>2023</v>
      </c>
      <c r="AC833" s="1">
        <v>2024</v>
      </c>
      <c r="AD833" s="1">
        <v>2025</v>
      </c>
      <c r="AE833" s="1">
        <v>2026</v>
      </c>
      <c r="AF833" s="1">
        <v>2027</v>
      </c>
      <c r="AG833" s="1">
        <v>2028</v>
      </c>
      <c r="AH833" s="1">
        <v>2029</v>
      </c>
      <c r="AI833" s="1">
        <v>2030</v>
      </c>
      <c r="AJ833" s="1">
        <v>2031</v>
      </c>
      <c r="AK833" s="1">
        <v>2032</v>
      </c>
      <c r="AL833" s="1">
        <v>2033</v>
      </c>
      <c r="AM833" s="1">
        <v>2034</v>
      </c>
      <c r="AN833" s="1">
        <v>2035</v>
      </c>
      <c r="AO833" s="1">
        <v>2036</v>
      </c>
      <c r="AP833" s="1">
        <v>2037</v>
      </c>
      <c r="AQ833" s="1">
        <v>2038</v>
      </c>
      <c r="AR833" s="1">
        <v>2039</v>
      </c>
      <c r="AS833" s="1">
        <v>2040</v>
      </c>
      <c r="AT833" s="1">
        <v>2041</v>
      </c>
      <c r="AU833" s="1">
        <v>2042</v>
      </c>
      <c r="AV833" s="1">
        <v>2043</v>
      </c>
      <c r="AW833" s="1">
        <v>2044</v>
      </c>
      <c r="AX833" s="1">
        <v>2045</v>
      </c>
      <c r="AY833" s="1">
        <v>2046</v>
      </c>
      <c r="AZ833" s="1">
        <v>2047</v>
      </c>
      <c r="BA833" s="1">
        <v>2048</v>
      </c>
      <c r="BB833" s="1">
        <v>2049</v>
      </c>
      <c r="BC833" s="1">
        <v>2050</v>
      </c>
    </row>
    <row r="834" spans="1:55">
      <c r="A834" s="1" t="str">
        <f>'Population Definitions'!$A$2</f>
        <v>PWID_males</v>
      </c>
      <c r="C834" t="s">
        <v>34</v>
      </c>
      <c r="D834" s="3"/>
      <c r="E834" s="3">
        <v>0</v>
      </c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</row>
    <row r="835" spans="1:55">
      <c r="A835" s="1" t="str">
        <f>'Population Definitions'!$A$3</f>
        <v>PWID_females</v>
      </c>
      <c r="C835" t="s">
        <v>34</v>
      </c>
      <c r="D835" s="3"/>
      <c r="E835" s="3">
        <v>0</v>
      </c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</row>
    <row r="836" spans="1:55">
      <c r="A836" s="1" t="str">
        <f>'Population Definitions'!$A$4</f>
        <v>0-9_males</v>
      </c>
      <c r="C836" t="s">
        <v>34</v>
      </c>
      <c r="D836" s="3"/>
      <c r="E836" s="3">
        <v>0</v>
      </c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</row>
    <row r="837" spans="1:55">
      <c r="A837" s="1" t="str">
        <f>'Population Definitions'!$A$5</f>
        <v>0-9_females</v>
      </c>
      <c r="C837" t="s">
        <v>34</v>
      </c>
      <c r="D837" s="3"/>
      <c r="E837" s="3">
        <v>0</v>
      </c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</row>
    <row r="838" spans="1:55">
      <c r="A838" s="1" t="str">
        <f>'Population Definitions'!$A$6</f>
        <v>10-17_males</v>
      </c>
      <c r="C838" t="s">
        <v>34</v>
      </c>
      <c r="D838" s="3"/>
      <c r="E838" s="3">
        <v>0</v>
      </c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</row>
    <row r="839" spans="1:55">
      <c r="A839" s="1" t="str">
        <f>'Population Definitions'!$A$7</f>
        <v>10-17_females</v>
      </c>
      <c r="C839" t="s">
        <v>34</v>
      </c>
      <c r="D839" s="3"/>
      <c r="E839" s="3">
        <v>0</v>
      </c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</row>
    <row r="840" spans="1:55">
      <c r="A840" s="1" t="str">
        <f>'Population Definitions'!$A$8</f>
        <v>18-64_males</v>
      </c>
      <c r="C840" t="s">
        <v>34</v>
      </c>
      <c r="D840" s="3"/>
      <c r="E840" s="3">
        <v>0</v>
      </c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</row>
    <row r="841" spans="1:55">
      <c r="A841" s="1" t="str">
        <f>'Population Definitions'!$A$9</f>
        <v>18-64_females</v>
      </c>
      <c r="C841" t="s">
        <v>34</v>
      </c>
      <c r="D841" s="3"/>
      <c r="E841" s="3">
        <v>0</v>
      </c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</row>
    <row r="842" spans="1:55">
      <c r="A842" s="1" t="str">
        <f>'Population Definitions'!$A$10</f>
        <v>65+_males</v>
      </c>
      <c r="C842" t="s">
        <v>34</v>
      </c>
      <c r="D842" s="3"/>
      <c r="E842" s="3">
        <v>0</v>
      </c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</row>
    <row r="843" spans="1:55">
      <c r="A843" s="1" t="str">
        <f>'Population Definitions'!$A$11</f>
        <v>65+_females</v>
      </c>
      <c r="C843" t="s">
        <v>34</v>
      </c>
      <c r="D843" s="3"/>
      <c r="E843" s="3">
        <v>0</v>
      </c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</row>
    <row r="844" spans="1:55">
      <c r="A844" s="1" t="str">
        <f>'Population Definitions'!$A$12</f>
        <v>Prisoners_males</v>
      </c>
      <c r="C844" t="s">
        <v>34</v>
      </c>
      <c r="D844" s="3"/>
      <c r="E844" s="3">
        <v>0</v>
      </c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</row>
    <row r="845" spans="1:55">
      <c r="A845" s="1" t="str">
        <f>'Population Definitions'!$A$13</f>
        <v>Prisoners_females</v>
      </c>
      <c r="C845" t="s">
        <v>34</v>
      </c>
      <c r="D845" s="3"/>
      <c r="E845" s="3">
        <v>0</v>
      </c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</row>
    <row r="846" spans="1:55">
      <c r="A846" s="1" t="str">
        <f>'Population Definitions'!$A$14</f>
        <v>Prisoners_PWID_males</v>
      </c>
      <c r="C846" t="s">
        <v>34</v>
      </c>
      <c r="D846" s="3"/>
      <c r="E846" s="3">
        <v>0</v>
      </c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</row>
    <row r="847" spans="1:55">
      <c r="A847" s="1" t="str">
        <f>'Population Definitions'!$A$15</f>
        <v>Prisoners_PWID_females</v>
      </c>
      <c r="C847" t="s">
        <v>34</v>
      </c>
      <c r="D847" s="3"/>
      <c r="E847" s="3">
        <v>0</v>
      </c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</row>
    <row r="849" spans="1:55">
      <c r="A849" s="1" t="s">
        <v>180</v>
      </c>
      <c r="B849" s="1" t="s">
        <v>31</v>
      </c>
      <c r="C849" s="1" t="s">
        <v>32</v>
      </c>
      <c r="D849" s="1" t="s">
        <v>33</v>
      </c>
      <c r="E849" s="1">
        <v>2000</v>
      </c>
      <c r="F849" s="1">
        <v>2001</v>
      </c>
      <c r="G849" s="1">
        <v>2002</v>
      </c>
      <c r="H849" s="1">
        <v>2003</v>
      </c>
      <c r="I849" s="1">
        <v>2004</v>
      </c>
      <c r="J849" s="1">
        <v>2005</v>
      </c>
      <c r="K849" s="1">
        <v>2006</v>
      </c>
      <c r="L849" s="1">
        <v>2007</v>
      </c>
      <c r="M849" s="1">
        <v>2008</v>
      </c>
      <c r="N849" s="1">
        <v>2009</v>
      </c>
      <c r="O849" s="1">
        <v>2010</v>
      </c>
      <c r="P849" s="1">
        <v>2011</v>
      </c>
      <c r="Q849" s="1">
        <v>2012</v>
      </c>
      <c r="R849" s="1">
        <v>2013</v>
      </c>
      <c r="S849" s="1">
        <v>2014</v>
      </c>
      <c r="T849" s="1">
        <v>2015</v>
      </c>
      <c r="U849" s="1">
        <v>2016</v>
      </c>
      <c r="V849" s="1">
        <v>2017</v>
      </c>
      <c r="W849" s="1">
        <v>2018</v>
      </c>
      <c r="X849" s="1">
        <v>2019</v>
      </c>
      <c r="Y849" s="1">
        <v>2020</v>
      </c>
      <c r="Z849" s="1">
        <v>2021</v>
      </c>
      <c r="AA849" s="1">
        <v>2022</v>
      </c>
      <c r="AB849" s="1">
        <v>2023</v>
      </c>
      <c r="AC849" s="1">
        <v>2024</v>
      </c>
      <c r="AD849" s="1">
        <v>2025</v>
      </c>
      <c r="AE849" s="1">
        <v>2026</v>
      </c>
      <c r="AF849" s="1">
        <v>2027</v>
      </c>
      <c r="AG849" s="1">
        <v>2028</v>
      </c>
      <c r="AH849" s="1">
        <v>2029</v>
      </c>
      <c r="AI849" s="1">
        <v>2030</v>
      </c>
      <c r="AJ849" s="1">
        <v>2031</v>
      </c>
      <c r="AK849" s="1">
        <v>2032</v>
      </c>
      <c r="AL849" s="1">
        <v>2033</v>
      </c>
      <c r="AM849" s="1">
        <v>2034</v>
      </c>
      <c r="AN849" s="1">
        <v>2035</v>
      </c>
      <c r="AO849" s="1">
        <v>2036</v>
      </c>
      <c r="AP849" s="1">
        <v>2037</v>
      </c>
      <c r="AQ849" s="1">
        <v>2038</v>
      </c>
      <c r="AR849" s="1">
        <v>2039</v>
      </c>
      <c r="AS849" s="1">
        <v>2040</v>
      </c>
      <c r="AT849" s="1">
        <v>2041</v>
      </c>
      <c r="AU849" s="1">
        <v>2042</v>
      </c>
      <c r="AV849" s="1">
        <v>2043</v>
      </c>
      <c r="AW849" s="1">
        <v>2044</v>
      </c>
      <c r="AX849" s="1">
        <v>2045</v>
      </c>
      <c r="AY849" s="1">
        <v>2046</v>
      </c>
      <c r="AZ849" s="1">
        <v>2047</v>
      </c>
      <c r="BA849" s="1">
        <v>2048</v>
      </c>
      <c r="BB849" s="1">
        <v>2049</v>
      </c>
      <c r="BC849" s="1">
        <v>2050</v>
      </c>
    </row>
    <row r="850" spans="1:55">
      <c r="A850" s="1" t="str">
        <f>'Population Definitions'!$A$2</f>
        <v>PWID_males</v>
      </c>
      <c r="C850" t="s">
        <v>34</v>
      </c>
      <c r="D850" s="3"/>
      <c r="E850" s="3">
        <v>0</v>
      </c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</row>
    <row r="851" spans="1:55">
      <c r="A851" s="1" t="str">
        <f>'Population Definitions'!$A$3</f>
        <v>PWID_females</v>
      </c>
      <c r="C851" t="s">
        <v>34</v>
      </c>
      <c r="D851" s="3"/>
      <c r="E851" s="3">
        <v>0</v>
      </c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</row>
    <row r="852" spans="1:55">
      <c r="A852" s="1" t="str">
        <f>'Population Definitions'!$A$4</f>
        <v>0-9_males</v>
      </c>
      <c r="C852" t="s">
        <v>34</v>
      </c>
      <c r="D852" s="3"/>
      <c r="E852" s="3">
        <v>0</v>
      </c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</row>
    <row r="853" spans="1:55">
      <c r="A853" s="1" t="str">
        <f>'Population Definitions'!$A$5</f>
        <v>0-9_females</v>
      </c>
      <c r="C853" t="s">
        <v>34</v>
      </c>
      <c r="D853" s="3"/>
      <c r="E853" s="3">
        <v>0</v>
      </c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</row>
    <row r="854" spans="1:55">
      <c r="A854" s="1" t="str">
        <f>'Population Definitions'!$A$6</f>
        <v>10-17_males</v>
      </c>
      <c r="C854" t="s">
        <v>34</v>
      </c>
      <c r="D854" s="3"/>
      <c r="E854" s="3">
        <v>0</v>
      </c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</row>
    <row r="855" spans="1:55">
      <c r="A855" s="1" t="str">
        <f>'Population Definitions'!$A$7</f>
        <v>10-17_females</v>
      </c>
      <c r="C855" t="s">
        <v>34</v>
      </c>
      <c r="D855" s="3"/>
      <c r="E855" s="3">
        <v>0</v>
      </c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</row>
    <row r="856" spans="1:55">
      <c r="A856" s="1" t="str">
        <f>'Population Definitions'!$A$8</f>
        <v>18-64_males</v>
      </c>
      <c r="C856" t="s">
        <v>34</v>
      </c>
      <c r="D856" s="3"/>
      <c r="E856" s="3">
        <v>0</v>
      </c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</row>
    <row r="857" spans="1:55">
      <c r="A857" s="1" t="str">
        <f>'Population Definitions'!$A$9</f>
        <v>18-64_females</v>
      </c>
      <c r="C857" t="s">
        <v>34</v>
      </c>
      <c r="D857" s="3"/>
      <c r="E857" s="3">
        <v>0</v>
      </c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</row>
    <row r="858" spans="1:55">
      <c r="A858" s="1" t="str">
        <f>'Population Definitions'!$A$10</f>
        <v>65+_males</v>
      </c>
      <c r="C858" t="s">
        <v>34</v>
      </c>
      <c r="D858" s="3"/>
      <c r="E858" s="3">
        <v>0</v>
      </c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</row>
    <row r="859" spans="1:55">
      <c r="A859" s="1" t="str">
        <f>'Population Definitions'!$A$11</f>
        <v>65+_females</v>
      </c>
      <c r="C859" t="s">
        <v>34</v>
      </c>
      <c r="D859" s="3"/>
      <c r="E859" s="3">
        <v>0</v>
      </c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</row>
    <row r="860" spans="1:55">
      <c r="A860" s="1" t="str">
        <f>'Population Definitions'!$A$12</f>
        <v>Prisoners_males</v>
      </c>
      <c r="C860" t="s">
        <v>34</v>
      </c>
      <c r="D860" s="3"/>
      <c r="E860" s="3">
        <v>0</v>
      </c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</row>
    <row r="861" spans="1:55">
      <c r="A861" s="1" t="str">
        <f>'Population Definitions'!$A$13</f>
        <v>Prisoners_females</v>
      </c>
      <c r="C861" t="s">
        <v>34</v>
      </c>
      <c r="D861" s="3"/>
      <c r="E861" s="3">
        <v>0</v>
      </c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</row>
    <row r="862" spans="1:55">
      <c r="A862" s="1" t="str">
        <f>'Population Definitions'!$A$14</f>
        <v>Prisoners_PWID_males</v>
      </c>
      <c r="C862" t="s">
        <v>34</v>
      </c>
      <c r="D862" s="3"/>
      <c r="E862" s="3">
        <v>0</v>
      </c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</row>
    <row r="863" spans="1:55">
      <c r="A863" s="1" t="str">
        <f>'Population Definitions'!$A$15</f>
        <v>Prisoners_PWID_females</v>
      </c>
      <c r="C863" t="s">
        <v>34</v>
      </c>
      <c r="D863" s="3"/>
      <c r="E863" s="3">
        <v>0</v>
      </c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</row>
    <row r="865" spans="1:55">
      <c r="A865" s="1" t="s">
        <v>181</v>
      </c>
      <c r="B865" s="1" t="s">
        <v>31</v>
      </c>
      <c r="C865" s="1" t="s">
        <v>32</v>
      </c>
      <c r="D865" s="1" t="s">
        <v>33</v>
      </c>
      <c r="E865" s="1">
        <v>2000</v>
      </c>
      <c r="F865" s="1">
        <v>2001</v>
      </c>
      <c r="G865" s="1">
        <v>2002</v>
      </c>
      <c r="H865" s="1">
        <v>2003</v>
      </c>
      <c r="I865" s="1">
        <v>2004</v>
      </c>
      <c r="J865" s="1">
        <v>2005</v>
      </c>
      <c r="K865" s="1">
        <v>2006</v>
      </c>
      <c r="L865" s="1">
        <v>2007</v>
      </c>
      <c r="M865" s="1">
        <v>2008</v>
      </c>
      <c r="N865" s="1">
        <v>2009</v>
      </c>
      <c r="O865" s="1">
        <v>2010</v>
      </c>
      <c r="P865" s="1">
        <v>2011</v>
      </c>
      <c r="Q865" s="1">
        <v>2012</v>
      </c>
      <c r="R865" s="1">
        <v>2013</v>
      </c>
      <c r="S865" s="1">
        <v>2014</v>
      </c>
      <c r="T865" s="1">
        <v>2015</v>
      </c>
      <c r="U865" s="1">
        <v>2016</v>
      </c>
      <c r="V865" s="1">
        <v>2017</v>
      </c>
      <c r="W865" s="1">
        <v>2018</v>
      </c>
      <c r="X865" s="1">
        <v>2019</v>
      </c>
      <c r="Y865" s="1">
        <v>2020</v>
      </c>
      <c r="Z865" s="1">
        <v>2021</v>
      </c>
      <c r="AA865" s="1">
        <v>2022</v>
      </c>
      <c r="AB865" s="1">
        <v>2023</v>
      </c>
      <c r="AC865" s="1">
        <v>2024</v>
      </c>
      <c r="AD865" s="1">
        <v>2025</v>
      </c>
      <c r="AE865" s="1">
        <v>2026</v>
      </c>
      <c r="AF865" s="1">
        <v>2027</v>
      </c>
      <c r="AG865" s="1">
        <v>2028</v>
      </c>
      <c r="AH865" s="1">
        <v>2029</v>
      </c>
      <c r="AI865" s="1">
        <v>2030</v>
      </c>
      <c r="AJ865" s="1">
        <v>2031</v>
      </c>
      <c r="AK865" s="1">
        <v>2032</v>
      </c>
      <c r="AL865" s="1">
        <v>2033</v>
      </c>
      <c r="AM865" s="1">
        <v>2034</v>
      </c>
      <c r="AN865" s="1">
        <v>2035</v>
      </c>
      <c r="AO865" s="1">
        <v>2036</v>
      </c>
      <c r="AP865" s="1">
        <v>2037</v>
      </c>
      <c r="AQ865" s="1">
        <v>2038</v>
      </c>
      <c r="AR865" s="1">
        <v>2039</v>
      </c>
      <c r="AS865" s="1">
        <v>2040</v>
      </c>
      <c r="AT865" s="1">
        <v>2041</v>
      </c>
      <c r="AU865" s="1">
        <v>2042</v>
      </c>
      <c r="AV865" s="1">
        <v>2043</v>
      </c>
      <c r="AW865" s="1">
        <v>2044</v>
      </c>
      <c r="AX865" s="1">
        <v>2045</v>
      </c>
      <c r="AY865" s="1">
        <v>2046</v>
      </c>
      <c r="AZ865" s="1">
        <v>2047</v>
      </c>
      <c r="BA865" s="1">
        <v>2048</v>
      </c>
      <c r="BB865" s="1">
        <v>2049</v>
      </c>
      <c r="BC865" s="1">
        <v>2050</v>
      </c>
    </row>
    <row r="866" spans="1:55">
      <c r="A866" s="1" t="str">
        <f>'Population Definitions'!$A$2</f>
        <v>PWID_males</v>
      </c>
      <c r="C866" t="s">
        <v>34</v>
      </c>
      <c r="D866" s="3"/>
      <c r="E866" s="3">
        <v>0</v>
      </c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</row>
    <row r="867" spans="1:55">
      <c r="A867" s="1" t="str">
        <f>'Population Definitions'!$A$3</f>
        <v>PWID_females</v>
      </c>
      <c r="C867" t="s">
        <v>34</v>
      </c>
      <c r="D867" s="3"/>
      <c r="E867" s="3">
        <v>0</v>
      </c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</row>
    <row r="868" spans="1:55">
      <c r="A868" s="1" t="str">
        <f>'Population Definitions'!$A$4</f>
        <v>0-9_males</v>
      </c>
      <c r="C868" t="s">
        <v>34</v>
      </c>
      <c r="D868" s="3"/>
      <c r="E868" s="3">
        <v>0</v>
      </c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</row>
    <row r="869" spans="1:55">
      <c r="A869" s="1" t="str">
        <f>'Population Definitions'!$A$5</f>
        <v>0-9_females</v>
      </c>
      <c r="C869" t="s">
        <v>34</v>
      </c>
      <c r="D869" s="3"/>
      <c r="E869" s="3">
        <v>0</v>
      </c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</row>
    <row r="870" spans="1:55">
      <c r="A870" s="1" t="str">
        <f>'Population Definitions'!$A$6</f>
        <v>10-17_males</v>
      </c>
      <c r="C870" t="s">
        <v>34</v>
      </c>
      <c r="D870" s="3"/>
      <c r="E870" s="3">
        <v>0</v>
      </c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</row>
    <row r="871" spans="1:55">
      <c r="A871" s="1" t="str">
        <f>'Population Definitions'!$A$7</f>
        <v>10-17_females</v>
      </c>
      <c r="C871" t="s">
        <v>34</v>
      </c>
      <c r="D871" s="3"/>
      <c r="E871" s="3">
        <v>0</v>
      </c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</row>
    <row r="872" spans="1:55">
      <c r="A872" s="1" t="str">
        <f>'Population Definitions'!$A$8</f>
        <v>18-64_males</v>
      </c>
      <c r="C872" t="s">
        <v>34</v>
      </c>
      <c r="D872" s="3"/>
      <c r="E872" s="3">
        <v>0</v>
      </c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</row>
    <row r="873" spans="1:55">
      <c r="A873" s="1" t="str">
        <f>'Population Definitions'!$A$9</f>
        <v>18-64_females</v>
      </c>
      <c r="C873" t="s">
        <v>34</v>
      </c>
      <c r="D873" s="3"/>
      <c r="E873" s="3">
        <v>0</v>
      </c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</row>
    <row r="874" spans="1:55">
      <c r="A874" s="1" t="str">
        <f>'Population Definitions'!$A$10</f>
        <v>65+_males</v>
      </c>
      <c r="C874" t="s">
        <v>34</v>
      </c>
      <c r="D874" s="3"/>
      <c r="E874" s="3">
        <v>0</v>
      </c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</row>
    <row r="875" spans="1:55">
      <c r="A875" s="1" t="str">
        <f>'Population Definitions'!$A$11</f>
        <v>65+_females</v>
      </c>
      <c r="C875" t="s">
        <v>34</v>
      </c>
      <c r="D875" s="3"/>
      <c r="E875" s="3">
        <v>0</v>
      </c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</row>
    <row r="876" spans="1:55">
      <c r="A876" s="1" t="str">
        <f>'Population Definitions'!$A$12</f>
        <v>Prisoners_males</v>
      </c>
      <c r="C876" t="s">
        <v>34</v>
      </c>
      <c r="D876" s="3"/>
      <c r="E876" s="3">
        <v>0</v>
      </c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</row>
    <row r="877" spans="1:55">
      <c r="A877" s="1" t="str">
        <f>'Population Definitions'!$A$13</f>
        <v>Prisoners_females</v>
      </c>
      <c r="C877" t="s">
        <v>34</v>
      </c>
      <c r="D877" s="3"/>
      <c r="E877" s="3">
        <v>0</v>
      </c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</row>
    <row r="878" spans="1:55">
      <c r="A878" s="1" t="str">
        <f>'Population Definitions'!$A$14</f>
        <v>Prisoners_PWID_males</v>
      </c>
      <c r="C878" t="s">
        <v>34</v>
      </c>
      <c r="D878" s="3"/>
      <c r="E878" s="3">
        <v>0</v>
      </c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</row>
    <row r="879" spans="1:55">
      <c r="A879" s="1" t="str">
        <f>'Population Definitions'!$A$15</f>
        <v>Prisoners_PWID_females</v>
      </c>
      <c r="C879" t="s">
        <v>34</v>
      </c>
      <c r="D879" s="3"/>
      <c r="E879" s="3">
        <v>0</v>
      </c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</row>
    <row r="881" spans="1:55">
      <c r="A881" s="1" t="s">
        <v>182</v>
      </c>
      <c r="B881" s="1" t="s">
        <v>31</v>
      </c>
      <c r="C881" s="1" t="s">
        <v>32</v>
      </c>
      <c r="D881" s="1" t="s">
        <v>33</v>
      </c>
      <c r="E881" s="1">
        <v>2000</v>
      </c>
      <c r="F881" s="1">
        <v>2001</v>
      </c>
      <c r="G881" s="1">
        <v>2002</v>
      </c>
      <c r="H881" s="1">
        <v>2003</v>
      </c>
      <c r="I881" s="1">
        <v>2004</v>
      </c>
      <c r="J881" s="1">
        <v>2005</v>
      </c>
      <c r="K881" s="1">
        <v>2006</v>
      </c>
      <c r="L881" s="1">
        <v>2007</v>
      </c>
      <c r="M881" s="1">
        <v>2008</v>
      </c>
      <c r="N881" s="1">
        <v>2009</v>
      </c>
      <c r="O881" s="1">
        <v>2010</v>
      </c>
      <c r="P881" s="1">
        <v>2011</v>
      </c>
      <c r="Q881" s="1">
        <v>2012</v>
      </c>
      <c r="R881" s="1">
        <v>2013</v>
      </c>
      <c r="S881" s="1">
        <v>2014</v>
      </c>
      <c r="T881" s="1">
        <v>2015</v>
      </c>
      <c r="U881" s="1">
        <v>2016</v>
      </c>
      <c r="V881" s="1">
        <v>2017</v>
      </c>
      <c r="W881" s="1">
        <v>2018</v>
      </c>
      <c r="X881" s="1">
        <v>2019</v>
      </c>
      <c r="Y881" s="1">
        <v>2020</v>
      </c>
      <c r="Z881" s="1">
        <v>2021</v>
      </c>
      <c r="AA881" s="1">
        <v>2022</v>
      </c>
      <c r="AB881" s="1">
        <v>2023</v>
      </c>
      <c r="AC881" s="1">
        <v>2024</v>
      </c>
      <c r="AD881" s="1">
        <v>2025</v>
      </c>
      <c r="AE881" s="1">
        <v>2026</v>
      </c>
      <c r="AF881" s="1">
        <v>2027</v>
      </c>
      <c r="AG881" s="1">
        <v>2028</v>
      </c>
      <c r="AH881" s="1">
        <v>2029</v>
      </c>
      <c r="AI881" s="1">
        <v>2030</v>
      </c>
      <c r="AJ881" s="1">
        <v>2031</v>
      </c>
      <c r="AK881" s="1">
        <v>2032</v>
      </c>
      <c r="AL881" s="1">
        <v>2033</v>
      </c>
      <c r="AM881" s="1">
        <v>2034</v>
      </c>
      <c r="AN881" s="1">
        <v>2035</v>
      </c>
      <c r="AO881" s="1">
        <v>2036</v>
      </c>
      <c r="AP881" s="1">
        <v>2037</v>
      </c>
      <c r="AQ881" s="1">
        <v>2038</v>
      </c>
      <c r="AR881" s="1">
        <v>2039</v>
      </c>
      <c r="AS881" s="1">
        <v>2040</v>
      </c>
      <c r="AT881" s="1">
        <v>2041</v>
      </c>
      <c r="AU881" s="1">
        <v>2042</v>
      </c>
      <c r="AV881" s="1">
        <v>2043</v>
      </c>
      <c r="AW881" s="1">
        <v>2044</v>
      </c>
      <c r="AX881" s="1">
        <v>2045</v>
      </c>
      <c r="AY881" s="1">
        <v>2046</v>
      </c>
      <c r="AZ881" s="1">
        <v>2047</v>
      </c>
      <c r="BA881" s="1">
        <v>2048</v>
      </c>
      <c r="BB881" s="1">
        <v>2049</v>
      </c>
      <c r="BC881" s="1">
        <v>2050</v>
      </c>
    </row>
    <row r="882" spans="1:55">
      <c r="A882" s="1" t="str">
        <f>'Population Definitions'!$A$2</f>
        <v>PWID_males</v>
      </c>
      <c r="C882" t="s">
        <v>34</v>
      </c>
      <c r="D882" s="3"/>
      <c r="E882" s="3">
        <v>0</v>
      </c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</row>
    <row r="883" spans="1:55">
      <c r="A883" s="1" t="str">
        <f>'Population Definitions'!$A$3</f>
        <v>PWID_females</v>
      </c>
      <c r="C883" t="s">
        <v>34</v>
      </c>
      <c r="D883" s="3"/>
      <c r="E883" s="3">
        <v>0</v>
      </c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</row>
    <row r="884" spans="1:55">
      <c r="A884" s="1" t="str">
        <f>'Population Definitions'!$A$4</f>
        <v>0-9_males</v>
      </c>
      <c r="C884" t="s">
        <v>34</v>
      </c>
      <c r="D884" s="3"/>
      <c r="E884" s="3">
        <v>0</v>
      </c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</row>
    <row r="885" spans="1:55">
      <c r="A885" s="1" t="str">
        <f>'Population Definitions'!$A$5</f>
        <v>0-9_females</v>
      </c>
      <c r="C885" t="s">
        <v>34</v>
      </c>
      <c r="D885" s="3"/>
      <c r="E885" s="3">
        <v>0</v>
      </c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</row>
    <row r="886" spans="1:55">
      <c r="A886" s="1" t="str">
        <f>'Population Definitions'!$A$6</f>
        <v>10-17_males</v>
      </c>
      <c r="C886" t="s">
        <v>34</v>
      </c>
      <c r="D886" s="3"/>
      <c r="E886" s="3">
        <v>0</v>
      </c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</row>
    <row r="887" spans="1:55">
      <c r="A887" s="1" t="str">
        <f>'Population Definitions'!$A$7</f>
        <v>10-17_females</v>
      </c>
      <c r="C887" t="s">
        <v>34</v>
      </c>
      <c r="D887" s="3"/>
      <c r="E887" s="3">
        <v>0</v>
      </c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</row>
    <row r="888" spans="1:55">
      <c r="A888" s="1" t="str">
        <f>'Population Definitions'!$A$8</f>
        <v>18-64_males</v>
      </c>
      <c r="C888" t="s">
        <v>34</v>
      </c>
      <c r="D888" s="3"/>
      <c r="E888" s="3">
        <v>0</v>
      </c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</row>
    <row r="889" spans="1:55">
      <c r="A889" s="1" t="str">
        <f>'Population Definitions'!$A$9</f>
        <v>18-64_females</v>
      </c>
      <c r="C889" t="s">
        <v>34</v>
      </c>
      <c r="D889" s="3"/>
      <c r="E889" s="3">
        <v>0</v>
      </c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</row>
    <row r="890" spans="1:55">
      <c r="A890" s="1" t="str">
        <f>'Population Definitions'!$A$10</f>
        <v>65+_males</v>
      </c>
      <c r="C890" t="s">
        <v>34</v>
      </c>
      <c r="D890" s="3"/>
      <c r="E890" s="3">
        <v>0</v>
      </c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</row>
    <row r="891" spans="1:55">
      <c r="A891" s="1" t="str">
        <f>'Population Definitions'!$A$11</f>
        <v>65+_females</v>
      </c>
      <c r="C891" t="s">
        <v>34</v>
      </c>
      <c r="D891" s="3"/>
      <c r="E891" s="3">
        <v>0</v>
      </c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</row>
    <row r="892" spans="1:55">
      <c r="A892" s="1" t="str">
        <f>'Population Definitions'!$A$12</f>
        <v>Prisoners_males</v>
      </c>
      <c r="C892" t="s">
        <v>34</v>
      </c>
      <c r="D892" s="3"/>
      <c r="E892" s="3">
        <v>0</v>
      </c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</row>
    <row r="893" spans="1:55">
      <c r="A893" s="1" t="str">
        <f>'Population Definitions'!$A$13</f>
        <v>Prisoners_females</v>
      </c>
      <c r="C893" t="s">
        <v>34</v>
      </c>
      <c r="D893" s="3"/>
      <c r="E893" s="3">
        <v>0</v>
      </c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</row>
    <row r="894" spans="1:55">
      <c r="A894" s="1" t="str">
        <f>'Population Definitions'!$A$14</f>
        <v>Prisoners_PWID_males</v>
      </c>
      <c r="C894" t="s">
        <v>34</v>
      </c>
      <c r="D894" s="3"/>
      <c r="E894" s="3">
        <v>0</v>
      </c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</row>
    <row r="895" spans="1:55">
      <c r="A895" s="1" t="str">
        <f>'Population Definitions'!$A$15</f>
        <v>Prisoners_PWID_females</v>
      </c>
      <c r="C895" t="s">
        <v>34</v>
      </c>
      <c r="D895" s="3"/>
      <c r="E895" s="3">
        <v>0</v>
      </c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</row>
    <row r="897" spans="1:55">
      <c r="A897" s="1" t="s">
        <v>183</v>
      </c>
      <c r="B897" s="1" t="s">
        <v>31</v>
      </c>
      <c r="C897" s="1" t="s">
        <v>32</v>
      </c>
      <c r="D897" s="1" t="s">
        <v>33</v>
      </c>
      <c r="E897" s="1">
        <v>2000</v>
      </c>
      <c r="F897" s="1">
        <v>2001</v>
      </c>
      <c r="G897" s="1">
        <v>2002</v>
      </c>
      <c r="H897" s="1">
        <v>2003</v>
      </c>
      <c r="I897" s="1">
        <v>2004</v>
      </c>
      <c r="J897" s="1">
        <v>2005</v>
      </c>
      <c r="K897" s="1">
        <v>2006</v>
      </c>
      <c r="L897" s="1">
        <v>2007</v>
      </c>
      <c r="M897" s="1">
        <v>2008</v>
      </c>
      <c r="N897" s="1">
        <v>2009</v>
      </c>
      <c r="O897" s="1">
        <v>2010</v>
      </c>
      <c r="P897" s="1">
        <v>2011</v>
      </c>
      <c r="Q897" s="1">
        <v>2012</v>
      </c>
      <c r="R897" s="1">
        <v>2013</v>
      </c>
      <c r="S897" s="1">
        <v>2014</v>
      </c>
      <c r="T897" s="1">
        <v>2015</v>
      </c>
      <c r="U897" s="1">
        <v>2016</v>
      </c>
      <c r="V897" s="1">
        <v>2017</v>
      </c>
      <c r="W897" s="1">
        <v>2018</v>
      </c>
      <c r="X897" s="1">
        <v>2019</v>
      </c>
      <c r="Y897" s="1">
        <v>2020</v>
      </c>
      <c r="Z897" s="1">
        <v>2021</v>
      </c>
      <c r="AA897" s="1">
        <v>2022</v>
      </c>
      <c r="AB897" s="1">
        <v>2023</v>
      </c>
      <c r="AC897" s="1">
        <v>2024</v>
      </c>
      <c r="AD897" s="1">
        <v>2025</v>
      </c>
      <c r="AE897" s="1">
        <v>2026</v>
      </c>
      <c r="AF897" s="1">
        <v>2027</v>
      </c>
      <c r="AG897" s="1">
        <v>2028</v>
      </c>
      <c r="AH897" s="1">
        <v>2029</v>
      </c>
      <c r="AI897" s="1">
        <v>2030</v>
      </c>
      <c r="AJ897" s="1">
        <v>2031</v>
      </c>
      <c r="AK897" s="1">
        <v>2032</v>
      </c>
      <c r="AL897" s="1">
        <v>2033</v>
      </c>
      <c r="AM897" s="1">
        <v>2034</v>
      </c>
      <c r="AN897" s="1">
        <v>2035</v>
      </c>
      <c r="AO897" s="1">
        <v>2036</v>
      </c>
      <c r="AP897" s="1">
        <v>2037</v>
      </c>
      <c r="AQ897" s="1">
        <v>2038</v>
      </c>
      <c r="AR897" s="1">
        <v>2039</v>
      </c>
      <c r="AS897" s="1">
        <v>2040</v>
      </c>
      <c r="AT897" s="1">
        <v>2041</v>
      </c>
      <c r="AU897" s="1">
        <v>2042</v>
      </c>
      <c r="AV897" s="1">
        <v>2043</v>
      </c>
      <c r="AW897" s="1">
        <v>2044</v>
      </c>
      <c r="AX897" s="1">
        <v>2045</v>
      </c>
      <c r="AY897" s="1">
        <v>2046</v>
      </c>
      <c r="AZ897" s="1">
        <v>2047</v>
      </c>
      <c r="BA897" s="1">
        <v>2048</v>
      </c>
      <c r="BB897" s="1">
        <v>2049</v>
      </c>
      <c r="BC897" s="1">
        <v>2050</v>
      </c>
    </row>
    <row r="898" spans="1:55">
      <c r="A898" s="1" t="str">
        <f>'Population Definitions'!$A$2</f>
        <v>PWID_males</v>
      </c>
      <c r="C898" t="s">
        <v>34</v>
      </c>
      <c r="D898" s="3"/>
      <c r="E898" s="3">
        <v>0</v>
      </c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</row>
    <row r="899" spans="1:55">
      <c r="A899" s="1" t="str">
        <f>'Population Definitions'!$A$3</f>
        <v>PWID_females</v>
      </c>
      <c r="C899" t="s">
        <v>34</v>
      </c>
      <c r="D899" s="3"/>
      <c r="E899" s="3">
        <v>0</v>
      </c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</row>
    <row r="900" spans="1:55">
      <c r="A900" s="1" t="str">
        <f>'Population Definitions'!$A$4</f>
        <v>0-9_males</v>
      </c>
      <c r="C900" t="s">
        <v>34</v>
      </c>
      <c r="D900" s="3"/>
      <c r="E900" s="3">
        <v>0</v>
      </c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</row>
    <row r="901" spans="1:55">
      <c r="A901" s="1" t="str">
        <f>'Population Definitions'!$A$5</f>
        <v>0-9_females</v>
      </c>
      <c r="C901" t="s">
        <v>34</v>
      </c>
      <c r="D901" s="3"/>
      <c r="E901" s="3">
        <v>0</v>
      </c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</row>
    <row r="902" spans="1:55">
      <c r="A902" s="1" t="str">
        <f>'Population Definitions'!$A$6</f>
        <v>10-17_males</v>
      </c>
      <c r="C902" t="s">
        <v>34</v>
      </c>
      <c r="D902" s="3"/>
      <c r="E902" s="3">
        <v>0</v>
      </c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</row>
    <row r="903" spans="1:55">
      <c r="A903" s="1" t="str">
        <f>'Population Definitions'!$A$7</f>
        <v>10-17_females</v>
      </c>
      <c r="C903" t="s">
        <v>34</v>
      </c>
      <c r="D903" s="3"/>
      <c r="E903" s="3">
        <v>0</v>
      </c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</row>
    <row r="904" spans="1:55">
      <c r="A904" s="1" t="str">
        <f>'Population Definitions'!$A$8</f>
        <v>18-64_males</v>
      </c>
      <c r="C904" t="s">
        <v>34</v>
      </c>
      <c r="D904" s="3"/>
      <c r="E904" s="3">
        <v>0</v>
      </c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</row>
    <row r="905" spans="1:55">
      <c r="A905" s="1" t="str">
        <f>'Population Definitions'!$A$9</f>
        <v>18-64_females</v>
      </c>
      <c r="C905" t="s">
        <v>34</v>
      </c>
      <c r="D905" s="3"/>
      <c r="E905" s="3">
        <v>0</v>
      </c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</row>
    <row r="906" spans="1:55">
      <c r="A906" s="1" t="str">
        <f>'Population Definitions'!$A$10</f>
        <v>65+_males</v>
      </c>
      <c r="C906" t="s">
        <v>34</v>
      </c>
      <c r="D906" s="3"/>
      <c r="E906" s="3">
        <v>0</v>
      </c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</row>
    <row r="907" spans="1:55">
      <c r="A907" s="1" t="str">
        <f>'Population Definitions'!$A$11</f>
        <v>65+_females</v>
      </c>
      <c r="C907" t="s">
        <v>34</v>
      </c>
      <c r="D907" s="3"/>
      <c r="E907" s="3">
        <v>0</v>
      </c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</row>
    <row r="908" spans="1:55">
      <c r="A908" s="1" t="str">
        <f>'Population Definitions'!$A$12</f>
        <v>Prisoners_males</v>
      </c>
      <c r="C908" t="s">
        <v>34</v>
      </c>
      <c r="D908" s="3"/>
      <c r="E908" s="3">
        <v>0</v>
      </c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</row>
    <row r="909" spans="1:55">
      <c r="A909" s="1" t="str">
        <f>'Population Definitions'!$A$13</f>
        <v>Prisoners_females</v>
      </c>
      <c r="C909" t="s">
        <v>34</v>
      </c>
      <c r="D909" s="3"/>
      <c r="E909" s="3">
        <v>0</v>
      </c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</row>
    <row r="910" spans="1:55">
      <c r="A910" s="1" t="str">
        <f>'Population Definitions'!$A$14</f>
        <v>Prisoners_PWID_males</v>
      </c>
      <c r="C910" t="s">
        <v>34</v>
      </c>
      <c r="D910" s="3"/>
      <c r="E910" s="3">
        <v>0</v>
      </c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</row>
    <row r="911" spans="1:55">
      <c r="A911" s="1" t="str">
        <f>'Population Definitions'!$A$15</f>
        <v>Prisoners_PWID_females</v>
      </c>
      <c r="C911" t="s">
        <v>34</v>
      </c>
      <c r="D911" s="3"/>
      <c r="E911" s="3">
        <v>0</v>
      </c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</row>
    <row r="913" spans="1:55">
      <c r="A913" s="1" t="s">
        <v>184</v>
      </c>
      <c r="B913" s="1" t="s">
        <v>31</v>
      </c>
      <c r="C913" s="1" t="s">
        <v>32</v>
      </c>
      <c r="D913" s="1" t="s">
        <v>33</v>
      </c>
      <c r="E913" s="1">
        <v>2000</v>
      </c>
      <c r="F913" s="1">
        <v>2001</v>
      </c>
      <c r="G913" s="1">
        <v>2002</v>
      </c>
      <c r="H913" s="1">
        <v>2003</v>
      </c>
      <c r="I913" s="1">
        <v>2004</v>
      </c>
      <c r="J913" s="1">
        <v>2005</v>
      </c>
      <c r="K913" s="1">
        <v>2006</v>
      </c>
      <c r="L913" s="1">
        <v>2007</v>
      </c>
      <c r="M913" s="1">
        <v>2008</v>
      </c>
      <c r="N913" s="1">
        <v>2009</v>
      </c>
      <c r="O913" s="1">
        <v>2010</v>
      </c>
      <c r="P913" s="1">
        <v>2011</v>
      </c>
      <c r="Q913" s="1">
        <v>2012</v>
      </c>
      <c r="R913" s="1">
        <v>2013</v>
      </c>
      <c r="S913" s="1">
        <v>2014</v>
      </c>
      <c r="T913" s="1">
        <v>2015</v>
      </c>
      <c r="U913" s="1">
        <v>2016</v>
      </c>
      <c r="V913" s="1">
        <v>2017</v>
      </c>
      <c r="W913" s="1">
        <v>2018</v>
      </c>
      <c r="X913" s="1">
        <v>2019</v>
      </c>
      <c r="Y913" s="1">
        <v>2020</v>
      </c>
      <c r="Z913" s="1">
        <v>2021</v>
      </c>
      <c r="AA913" s="1">
        <v>2022</v>
      </c>
      <c r="AB913" s="1">
        <v>2023</v>
      </c>
      <c r="AC913" s="1">
        <v>2024</v>
      </c>
      <c r="AD913" s="1">
        <v>2025</v>
      </c>
      <c r="AE913" s="1">
        <v>2026</v>
      </c>
      <c r="AF913" s="1">
        <v>2027</v>
      </c>
      <c r="AG913" s="1">
        <v>2028</v>
      </c>
      <c r="AH913" s="1">
        <v>2029</v>
      </c>
      <c r="AI913" s="1">
        <v>2030</v>
      </c>
      <c r="AJ913" s="1">
        <v>2031</v>
      </c>
      <c r="AK913" s="1">
        <v>2032</v>
      </c>
      <c r="AL913" s="1">
        <v>2033</v>
      </c>
      <c r="AM913" s="1">
        <v>2034</v>
      </c>
      <c r="AN913" s="1">
        <v>2035</v>
      </c>
      <c r="AO913" s="1">
        <v>2036</v>
      </c>
      <c r="AP913" s="1">
        <v>2037</v>
      </c>
      <c r="AQ913" s="1">
        <v>2038</v>
      </c>
      <c r="AR913" s="1">
        <v>2039</v>
      </c>
      <c r="AS913" s="1">
        <v>2040</v>
      </c>
      <c r="AT913" s="1">
        <v>2041</v>
      </c>
      <c r="AU913" s="1">
        <v>2042</v>
      </c>
      <c r="AV913" s="1">
        <v>2043</v>
      </c>
      <c r="AW913" s="1">
        <v>2044</v>
      </c>
      <c r="AX913" s="1">
        <v>2045</v>
      </c>
      <c r="AY913" s="1">
        <v>2046</v>
      </c>
      <c r="AZ913" s="1">
        <v>2047</v>
      </c>
      <c r="BA913" s="1">
        <v>2048</v>
      </c>
      <c r="BB913" s="1">
        <v>2049</v>
      </c>
      <c r="BC913" s="1">
        <v>2050</v>
      </c>
    </row>
    <row r="914" spans="1:55">
      <c r="A914" s="1" t="str">
        <f>'Population Definitions'!$A$2</f>
        <v>PWID_males</v>
      </c>
      <c r="C914" t="s">
        <v>34</v>
      </c>
      <c r="D914" s="3"/>
      <c r="E914" s="3">
        <v>0</v>
      </c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</row>
    <row r="915" spans="1:55">
      <c r="A915" s="1" t="str">
        <f>'Population Definitions'!$A$3</f>
        <v>PWID_females</v>
      </c>
      <c r="C915" t="s">
        <v>34</v>
      </c>
      <c r="D915" s="3"/>
      <c r="E915" s="3">
        <v>0</v>
      </c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</row>
    <row r="916" spans="1:55">
      <c r="A916" s="1" t="str">
        <f>'Population Definitions'!$A$4</f>
        <v>0-9_males</v>
      </c>
      <c r="C916" t="s">
        <v>34</v>
      </c>
      <c r="D916" s="3"/>
      <c r="E916" s="3">
        <v>0</v>
      </c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</row>
    <row r="917" spans="1:55">
      <c r="A917" s="1" t="str">
        <f>'Population Definitions'!$A$5</f>
        <v>0-9_females</v>
      </c>
      <c r="C917" t="s">
        <v>34</v>
      </c>
      <c r="D917" s="3"/>
      <c r="E917" s="3">
        <v>0</v>
      </c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</row>
    <row r="918" spans="1:55">
      <c r="A918" s="1" t="str">
        <f>'Population Definitions'!$A$6</f>
        <v>10-17_males</v>
      </c>
      <c r="C918" t="s">
        <v>34</v>
      </c>
      <c r="D918" s="3"/>
      <c r="E918" s="3">
        <v>0</v>
      </c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</row>
    <row r="919" spans="1:55">
      <c r="A919" s="1" t="str">
        <f>'Population Definitions'!$A$7</f>
        <v>10-17_females</v>
      </c>
      <c r="C919" t="s">
        <v>34</v>
      </c>
      <c r="D919" s="3"/>
      <c r="E919" s="3">
        <v>0</v>
      </c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</row>
    <row r="920" spans="1:55">
      <c r="A920" s="1" t="str">
        <f>'Population Definitions'!$A$8</f>
        <v>18-64_males</v>
      </c>
      <c r="C920" t="s">
        <v>34</v>
      </c>
      <c r="D920" s="3"/>
      <c r="E920" s="3">
        <v>0</v>
      </c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</row>
    <row r="921" spans="1:55">
      <c r="A921" s="1" t="str">
        <f>'Population Definitions'!$A$9</f>
        <v>18-64_females</v>
      </c>
      <c r="C921" t="s">
        <v>34</v>
      </c>
      <c r="D921" s="3"/>
      <c r="E921" s="3">
        <v>0</v>
      </c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</row>
    <row r="922" spans="1:55">
      <c r="A922" s="1" t="str">
        <f>'Population Definitions'!$A$10</f>
        <v>65+_males</v>
      </c>
      <c r="C922" t="s">
        <v>34</v>
      </c>
      <c r="D922" s="3"/>
      <c r="E922" s="3">
        <v>0</v>
      </c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</row>
    <row r="923" spans="1:55">
      <c r="A923" s="1" t="str">
        <f>'Population Definitions'!$A$11</f>
        <v>65+_females</v>
      </c>
      <c r="C923" t="s">
        <v>34</v>
      </c>
      <c r="D923" s="3"/>
      <c r="E923" s="3">
        <v>0</v>
      </c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</row>
    <row r="924" spans="1:55">
      <c r="A924" s="1" t="str">
        <f>'Population Definitions'!$A$12</f>
        <v>Prisoners_males</v>
      </c>
      <c r="C924" t="s">
        <v>34</v>
      </c>
      <c r="D924" s="3"/>
      <c r="E924" s="3">
        <v>0</v>
      </c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</row>
    <row r="925" spans="1:55">
      <c r="A925" s="1" t="str">
        <f>'Population Definitions'!$A$13</f>
        <v>Prisoners_females</v>
      </c>
      <c r="C925" t="s">
        <v>34</v>
      </c>
      <c r="D925" s="3"/>
      <c r="E925" s="3">
        <v>0</v>
      </c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</row>
    <row r="926" spans="1:55">
      <c r="A926" s="1" t="str">
        <f>'Population Definitions'!$A$14</f>
        <v>Prisoners_PWID_males</v>
      </c>
      <c r="C926" t="s">
        <v>34</v>
      </c>
      <c r="D926" s="3"/>
      <c r="E926" s="3">
        <v>0</v>
      </c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</row>
    <row r="927" spans="1:55">
      <c r="A927" s="1" t="str">
        <f>'Population Definitions'!$A$15</f>
        <v>Prisoners_PWID_females</v>
      </c>
      <c r="C927" t="s">
        <v>34</v>
      </c>
      <c r="D927" s="3"/>
      <c r="E927" s="3">
        <v>0</v>
      </c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</row>
    <row r="929" spans="1:55">
      <c r="A929" s="1" t="s">
        <v>185</v>
      </c>
      <c r="B929" s="1" t="s">
        <v>31</v>
      </c>
      <c r="C929" s="1" t="s">
        <v>32</v>
      </c>
      <c r="D929" s="1" t="s">
        <v>33</v>
      </c>
      <c r="E929" s="1">
        <v>2000</v>
      </c>
      <c r="F929" s="1">
        <v>2001</v>
      </c>
      <c r="G929" s="1">
        <v>2002</v>
      </c>
      <c r="H929" s="1">
        <v>2003</v>
      </c>
      <c r="I929" s="1">
        <v>2004</v>
      </c>
      <c r="J929" s="1">
        <v>2005</v>
      </c>
      <c r="K929" s="1">
        <v>2006</v>
      </c>
      <c r="L929" s="1">
        <v>2007</v>
      </c>
      <c r="M929" s="1">
        <v>2008</v>
      </c>
      <c r="N929" s="1">
        <v>2009</v>
      </c>
      <c r="O929" s="1">
        <v>2010</v>
      </c>
      <c r="P929" s="1">
        <v>2011</v>
      </c>
      <c r="Q929" s="1">
        <v>2012</v>
      </c>
      <c r="R929" s="1">
        <v>2013</v>
      </c>
      <c r="S929" s="1">
        <v>2014</v>
      </c>
      <c r="T929" s="1">
        <v>2015</v>
      </c>
      <c r="U929" s="1">
        <v>2016</v>
      </c>
      <c r="V929" s="1">
        <v>2017</v>
      </c>
      <c r="W929" s="1">
        <v>2018</v>
      </c>
      <c r="X929" s="1">
        <v>2019</v>
      </c>
      <c r="Y929" s="1">
        <v>2020</v>
      </c>
      <c r="Z929" s="1">
        <v>2021</v>
      </c>
      <c r="AA929" s="1">
        <v>2022</v>
      </c>
      <c r="AB929" s="1">
        <v>2023</v>
      </c>
      <c r="AC929" s="1">
        <v>2024</v>
      </c>
      <c r="AD929" s="1">
        <v>2025</v>
      </c>
      <c r="AE929" s="1">
        <v>2026</v>
      </c>
      <c r="AF929" s="1">
        <v>2027</v>
      </c>
      <c r="AG929" s="1">
        <v>2028</v>
      </c>
      <c r="AH929" s="1">
        <v>2029</v>
      </c>
      <c r="AI929" s="1">
        <v>2030</v>
      </c>
      <c r="AJ929" s="1">
        <v>2031</v>
      </c>
      <c r="AK929" s="1">
        <v>2032</v>
      </c>
      <c r="AL929" s="1">
        <v>2033</v>
      </c>
      <c r="AM929" s="1">
        <v>2034</v>
      </c>
      <c r="AN929" s="1">
        <v>2035</v>
      </c>
      <c r="AO929" s="1">
        <v>2036</v>
      </c>
      <c r="AP929" s="1">
        <v>2037</v>
      </c>
      <c r="AQ929" s="1">
        <v>2038</v>
      </c>
      <c r="AR929" s="1">
        <v>2039</v>
      </c>
      <c r="AS929" s="1">
        <v>2040</v>
      </c>
      <c r="AT929" s="1">
        <v>2041</v>
      </c>
      <c r="AU929" s="1">
        <v>2042</v>
      </c>
      <c r="AV929" s="1">
        <v>2043</v>
      </c>
      <c r="AW929" s="1">
        <v>2044</v>
      </c>
      <c r="AX929" s="1">
        <v>2045</v>
      </c>
      <c r="AY929" s="1">
        <v>2046</v>
      </c>
      <c r="AZ929" s="1">
        <v>2047</v>
      </c>
      <c r="BA929" s="1">
        <v>2048</v>
      </c>
      <c r="BB929" s="1">
        <v>2049</v>
      </c>
      <c r="BC929" s="1">
        <v>2050</v>
      </c>
    </row>
    <row r="930" spans="1:55">
      <c r="A930" s="1" t="str">
        <f>'Population Definitions'!$A$2</f>
        <v>PWID_males</v>
      </c>
      <c r="C930" t="s">
        <v>34</v>
      </c>
      <c r="D930" s="3"/>
      <c r="E930" s="3">
        <v>0</v>
      </c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</row>
    <row r="931" spans="1:55">
      <c r="A931" s="1" t="str">
        <f>'Population Definitions'!$A$3</f>
        <v>PWID_females</v>
      </c>
      <c r="C931" t="s">
        <v>34</v>
      </c>
      <c r="D931" s="3"/>
      <c r="E931" s="3">
        <v>0</v>
      </c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</row>
    <row r="932" spans="1:55">
      <c r="A932" s="1" t="str">
        <f>'Population Definitions'!$A$4</f>
        <v>0-9_males</v>
      </c>
      <c r="C932" t="s">
        <v>34</v>
      </c>
      <c r="D932" s="3"/>
      <c r="E932" s="3">
        <v>0</v>
      </c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</row>
    <row r="933" spans="1:55">
      <c r="A933" s="1" t="str">
        <f>'Population Definitions'!$A$5</f>
        <v>0-9_females</v>
      </c>
      <c r="C933" t="s">
        <v>34</v>
      </c>
      <c r="D933" s="3"/>
      <c r="E933" s="3">
        <v>0</v>
      </c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</row>
    <row r="934" spans="1:55">
      <c r="A934" s="1" t="str">
        <f>'Population Definitions'!$A$6</f>
        <v>10-17_males</v>
      </c>
      <c r="C934" t="s">
        <v>34</v>
      </c>
      <c r="D934" s="3"/>
      <c r="E934" s="3">
        <v>0</v>
      </c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</row>
    <row r="935" spans="1:55">
      <c r="A935" s="1" t="str">
        <f>'Population Definitions'!$A$7</f>
        <v>10-17_females</v>
      </c>
      <c r="C935" t="s">
        <v>34</v>
      </c>
      <c r="D935" s="3"/>
      <c r="E935" s="3">
        <v>0</v>
      </c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</row>
    <row r="936" spans="1:55">
      <c r="A936" s="1" t="str">
        <f>'Population Definitions'!$A$8</f>
        <v>18-64_males</v>
      </c>
      <c r="C936" t="s">
        <v>34</v>
      </c>
      <c r="D936" s="3"/>
      <c r="E936" s="3">
        <v>0</v>
      </c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</row>
    <row r="937" spans="1:55">
      <c r="A937" s="1" t="str">
        <f>'Population Definitions'!$A$9</f>
        <v>18-64_females</v>
      </c>
      <c r="C937" t="s">
        <v>34</v>
      </c>
      <c r="D937" s="3"/>
      <c r="E937" s="3">
        <v>0</v>
      </c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</row>
    <row r="938" spans="1:55">
      <c r="A938" s="1" t="str">
        <f>'Population Definitions'!$A$10</f>
        <v>65+_males</v>
      </c>
      <c r="C938" t="s">
        <v>34</v>
      </c>
      <c r="D938" s="3"/>
      <c r="E938" s="3">
        <v>0</v>
      </c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</row>
    <row r="939" spans="1:55">
      <c r="A939" s="1" t="str">
        <f>'Population Definitions'!$A$11</f>
        <v>65+_females</v>
      </c>
      <c r="C939" t="s">
        <v>34</v>
      </c>
      <c r="D939" s="3"/>
      <c r="E939" s="3">
        <v>0</v>
      </c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</row>
    <row r="940" spans="1:55">
      <c r="A940" s="1" t="str">
        <f>'Population Definitions'!$A$12</f>
        <v>Prisoners_males</v>
      </c>
      <c r="C940" t="s">
        <v>34</v>
      </c>
      <c r="D940" s="3"/>
      <c r="E940" s="3">
        <v>0</v>
      </c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</row>
    <row r="941" spans="1:55">
      <c r="A941" s="1" t="str">
        <f>'Population Definitions'!$A$13</f>
        <v>Prisoners_females</v>
      </c>
      <c r="C941" t="s">
        <v>34</v>
      </c>
      <c r="D941" s="3"/>
      <c r="E941" s="3">
        <v>0</v>
      </c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</row>
    <row r="942" spans="1:55">
      <c r="A942" s="1" t="str">
        <f>'Population Definitions'!$A$14</f>
        <v>Prisoners_PWID_males</v>
      </c>
      <c r="C942" t="s">
        <v>34</v>
      </c>
      <c r="D942" s="3"/>
      <c r="E942" s="3">
        <v>0</v>
      </c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</row>
    <row r="943" spans="1:55">
      <c r="A943" s="1" t="str">
        <f>'Population Definitions'!$A$15</f>
        <v>Prisoners_PWID_females</v>
      </c>
      <c r="C943" t="s">
        <v>34</v>
      </c>
      <c r="D943" s="3"/>
      <c r="E943" s="3">
        <v>0</v>
      </c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</row>
    <row r="945" spans="1:55">
      <c r="A945" s="1" t="s">
        <v>186</v>
      </c>
      <c r="B945" s="1" t="s">
        <v>31</v>
      </c>
      <c r="C945" s="1" t="s">
        <v>32</v>
      </c>
      <c r="D945" s="1" t="s">
        <v>33</v>
      </c>
      <c r="E945" s="1">
        <v>2000</v>
      </c>
      <c r="F945" s="1">
        <v>2001</v>
      </c>
      <c r="G945" s="1">
        <v>2002</v>
      </c>
      <c r="H945" s="1">
        <v>2003</v>
      </c>
      <c r="I945" s="1">
        <v>2004</v>
      </c>
      <c r="J945" s="1">
        <v>2005</v>
      </c>
      <c r="K945" s="1">
        <v>2006</v>
      </c>
      <c r="L945" s="1">
        <v>2007</v>
      </c>
      <c r="M945" s="1">
        <v>2008</v>
      </c>
      <c r="N945" s="1">
        <v>2009</v>
      </c>
      <c r="O945" s="1">
        <v>2010</v>
      </c>
      <c r="P945" s="1">
        <v>2011</v>
      </c>
      <c r="Q945" s="1">
        <v>2012</v>
      </c>
      <c r="R945" s="1">
        <v>2013</v>
      </c>
      <c r="S945" s="1">
        <v>2014</v>
      </c>
      <c r="T945" s="1">
        <v>2015</v>
      </c>
      <c r="U945" s="1">
        <v>2016</v>
      </c>
      <c r="V945" s="1">
        <v>2017</v>
      </c>
      <c r="W945" s="1">
        <v>2018</v>
      </c>
      <c r="X945" s="1">
        <v>2019</v>
      </c>
      <c r="Y945" s="1">
        <v>2020</v>
      </c>
      <c r="Z945" s="1">
        <v>2021</v>
      </c>
      <c r="AA945" s="1">
        <v>2022</v>
      </c>
      <c r="AB945" s="1">
        <v>2023</v>
      </c>
      <c r="AC945" s="1">
        <v>2024</v>
      </c>
      <c r="AD945" s="1">
        <v>2025</v>
      </c>
      <c r="AE945" s="1">
        <v>2026</v>
      </c>
      <c r="AF945" s="1">
        <v>2027</v>
      </c>
      <c r="AG945" s="1">
        <v>2028</v>
      </c>
      <c r="AH945" s="1">
        <v>2029</v>
      </c>
      <c r="AI945" s="1">
        <v>2030</v>
      </c>
      <c r="AJ945" s="1">
        <v>2031</v>
      </c>
      <c r="AK945" s="1">
        <v>2032</v>
      </c>
      <c r="AL945" s="1">
        <v>2033</v>
      </c>
      <c r="AM945" s="1">
        <v>2034</v>
      </c>
      <c r="AN945" s="1">
        <v>2035</v>
      </c>
      <c r="AO945" s="1">
        <v>2036</v>
      </c>
      <c r="AP945" s="1">
        <v>2037</v>
      </c>
      <c r="AQ945" s="1">
        <v>2038</v>
      </c>
      <c r="AR945" s="1">
        <v>2039</v>
      </c>
      <c r="AS945" s="1">
        <v>2040</v>
      </c>
      <c r="AT945" s="1">
        <v>2041</v>
      </c>
      <c r="AU945" s="1">
        <v>2042</v>
      </c>
      <c r="AV945" s="1">
        <v>2043</v>
      </c>
      <c r="AW945" s="1">
        <v>2044</v>
      </c>
      <c r="AX945" s="1">
        <v>2045</v>
      </c>
      <c r="AY945" s="1">
        <v>2046</v>
      </c>
      <c r="AZ945" s="1">
        <v>2047</v>
      </c>
      <c r="BA945" s="1">
        <v>2048</v>
      </c>
      <c r="BB945" s="1">
        <v>2049</v>
      </c>
      <c r="BC945" s="1">
        <v>2050</v>
      </c>
    </row>
    <row r="946" spans="1:55">
      <c r="A946" s="1" t="str">
        <f>'Population Definitions'!$A$2</f>
        <v>PWID_males</v>
      </c>
      <c r="C946" t="s">
        <v>34</v>
      </c>
      <c r="D946" s="3"/>
      <c r="E946" s="3">
        <v>0</v>
      </c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</row>
    <row r="947" spans="1:55">
      <c r="A947" s="1" t="str">
        <f>'Population Definitions'!$A$3</f>
        <v>PWID_females</v>
      </c>
      <c r="C947" t="s">
        <v>34</v>
      </c>
      <c r="D947" s="3"/>
      <c r="E947" s="3">
        <v>0</v>
      </c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</row>
    <row r="948" spans="1:55">
      <c r="A948" s="1" t="str">
        <f>'Population Definitions'!$A$4</f>
        <v>0-9_males</v>
      </c>
      <c r="C948" t="s">
        <v>34</v>
      </c>
      <c r="D948" s="3"/>
      <c r="E948" s="3">
        <v>0</v>
      </c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</row>
    <row r="949" spans="1:55">
      <c r="A949" s="1" t="str">
        <f>'Population Definitions'!$A$5</f>
        <v>0-9_females</v>
      </c>
      <c r="C949" t="s">
        <v>34</v>
      </c>
      <c r="D949" s="3"/>
      <c r="E949" s="3">
        <v>0</v>
      </c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</row>
    <row r="950" spans="1:55">
      <c r="A950" s="1" t="str">
        <f>'Population Definitions'!$A$6</f>
        <v>10-17_males</v>
      </c>
      <c r="C950" t="s">
        <v>34</v>
      </c>
      <c r="D950" s="3"/>
      <c r="E950" s="3">
        <v>0</v>
      </c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</row>
    <row r="951" spans="1:55">
      <c r="A951" s="1" t="str">
        <f>'Population Definitions'!$A$7</f>
        <v>10-17_females</v>
      </c>
      <c r="C951" t="s">
        <v>34</v>
      </c>
      <c r="D951" s="3"/>
      <c r="E951" s="3">
        <v>0</v>
      </c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</row>
    <row r="952" spans="1:55">
      <c r="A952" s="1" t="str">
        <f>'Population Definitions'!$A$8</f>
        <v>18-64_males</v>
      </c>
      <c r="C952" t="s">
        <v>34</v>
      </c>
      <c r="D952" s="3"/>
      <c r="E952" s="3">
        <v>0</v>
      </c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</row>
    <row r="953" spans="1:55">
      <c r="A953" s="1" t="str">
        <f>'Population Definitions'!$A$9</f>
        <v>18-64_females</v>
      </c>
      <c r="C953" t="s">
        <v>34</v>
      </c>
      <c r="D953" s="3"/>
      <c r="E953" s="3">
        <v>0</v>
      </c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</row>
    <row r="954" spans="1:55">
      <c r="A954" s="1" t="str">
        <f>'Population Definitions'!$A$10</f>
        <v>65+_males</v>
      </c>
      <c r="C954" t="s">
        <v>34</v>
      </c>
      <c r="D954" s="3"/>
      <c r="E954" s="3">
        <v>0</v>
      </c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</row>
    <row r="955" spans="1:55">
      <c r="A955" s="1" t="str">
        <f>'Population Definitions'!$A$11</f>
        <v>65+_females</v>
      </c>
      <c r="C955" t="s">
        <v>34</v>
      </c>
      <c r="D955" s="3"/>
      <c r="E955" s="3">
        <v>0</v>
      </c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</row>
    <row r="956" spans="1:55">
      <c r="A956" s="1" t="str">
        <f>'Population Definitions'!$A$12</f>
        <v>Prisoners_males</v>
      </c>
      <c r="C956" t="s">
        <v>34</v>
      </c>
      <c r="D956" s="3"/>
      <c r="E956" s="3">
        <v>0</v>
      </c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</row>
    <row r="957" spans="1:55">
      <c r="A957" s="1" t="str">
        <f>'Population Definitions'!$A$13</f>
        <v>Prisoners_females</v>
      </c>
      <c r="C957" t="s">
        <v>34</v>
      </c>
      <c r="D957" s="3"/>
      <c r="E957" s="3">
        <v>0</v>
      </c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</row>
    <row r="958" spans="1:55">
      <c r="A958" s="1" t="str">
        <f>'Population Definitions'!$A$14</f>
        <v>Prisoners_PWID_males</v>
      </c>
      <c r="C958" t="s">
        <v>34</v>
      </c>
      <c r="D958" s="3"/>
      <c r="E958" s="3">
        <v>0</v>
      </c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</row>
    <row r="959" spans="1:55">
      <c r="A959" s="1" t="str">
        <f>'Population Definitions'!$A$15</f>
        <v>Prisoners_PWID_females</v>
      </c>
      <c r="C959" t="s">
        <v>34</v>
      </c>
      <c r="D959" s="3"/>
      <c r="E959" s="3">
        <v>0</v>
      </c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</row>
    <row r="961" spans="1:55">
      <c r="A961" s="1" t="s">
        <v>187</v>
      </c>
      <c r="B961" s="1" t="s">
        <v>31</v>
      </c>
      <c r="C961" s="1" t="s">
        <v>32</v>
      </c>
      <c r="D961" s="1" t="s">
        <v>33</v>
      </c>
      <c r="E961" s="1">
        <v>2000</v>
      </c>
      <c r="F961" s="1">
        <v>2001</v>
      </c>
      <c r="G961" s="1">
        <v>2002</v>
      </c>
      <c r="H961" s="1">
        <v>2003</v>
      </c>
      <c r="I961" s="1">
        <v>2004</v>
      </c>
      <c r="J961" s="1">
        <v>2005</v>
      </c>
      <c r="K961" s="1">
        <v>2006</v>
      </c>
      <c r="L961" s="1">
        <v>2007</v>
      </c>
      <c r="M961" s="1">
        <v>2008</v>
      </c>
      <c r="N961" s="1">
        <v>2009</v>
      </c>
      <c r="O961" s="1">
        <v>2010</v>
      </c>
      <c r="P961" s="1">
        <v>2011</v>
      </c>
      <c r="Q961" s="1">
        <v>2012</v>
      </c>
      <c r="R961" s="1">
        <v>2013</v>
      </c>
      <c r="S961" s="1">
        <v>2014</v>
      </c>
      <c r="T961" s="1">
        <v>2015</v>
      </c>
      <c r="U961" s="1">
        <v>2016</v>
      </c>
      <c r="V961" s="1">
        <v>2017</v>
      </c>
      <c r="W961" s="1">
        <v>2018</v>
      </c>
      <c r="X961" s="1">
        <v>2019</v>
      </c>
      <c r="Y961" s="1">
        <v>2020</v>
      </c>
      <c r="Z961" s="1">
        <v>2021</v>
      </c>
      <c r="AA961" s="1">
        <v>2022</v>
      </c>
      <c r="AB961" s="1">
        <v>2023</v>
      </c>
      <c r="AC961" s="1">
        <v>2024</v>
      </c>
      <c r="AD961" s="1">
        <v>2025</v>
      </c>
      <c r="AE961" s="1">
        <v>2026</v>
      </c>
      <c r="AF961" s="1">
        <v>2027</v>
      </c>
      <c r="AG961" s="1">
        <v>2028</v>
      </c>
      <c r="AH961" s="1">
        <v>2029</v>
      </c>
      <c r="AI961" s="1">
        <v>2030</v>
      </c>
      <c r="AJ961" s="1">
        <v>2031</v>
      </c>
      <c r="AK961" s="1">
        <v>2032</v>
      </c>
      <c r="AL961" s="1">
        <v>2033</v>
      </c>
      <c r="AM961" s="1">
        <v>2034</v>
      </c>
      <c r="AN961" s="1">
        <v>2035</v>
      </c>
      <c r="AO961" s="1">
        <v>2036</v>
      </c>
      <c r="AP961" s="1">
        <v>2037</v>
      </c>
      <c r="AQ961" s="1">
        <v>2038</v>
      </c>
      <c r="AR961" s="1">
        <v>2039</v>
      </c>
      <c r="AS961" s="1">
        <v>2040</v>
      </c>
      <c r="AT961" s="1">
        <v>2041</v>
      </c>
      <c r="AU961" s="1">
        <v>2042</v>
      </c>
      <c r="AV961" s="1">
        <v>2043</v>
      </c>
      <c r="AW961" s="1">
        <v>2044</v>
      </c>
      <c r="AX961" s="1">
        <v>2045</v>
      </c>
      <c r="AY961" s="1">
        <v>2046</v>
      </c>
      <c r="AZ961" s="1">
        <v>2047</v>
      </c>
      <c r="BA961" s="1">
        <v>2048</v>
      </c>
      <c r="BB961" s="1">
        <v>2049</v>
      </c>
      <c r="BC961" s="1">
        <v>2050</v>
      </c>
    </row>
    <row r="962" spans="1:55">
      <c r="A962" s="1" t="str">
        <f>'Population Definitions'!$A$2</f>
        <v>PWID_males</v>
      </c>
      <c r="C962" t="s">
        <v>34</v>
      </c>
      <c r="D962" s="3"/>
      <c r="E962" s="3">
        <v>0</v>
      </c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</row>
    <row r="963" spans="1:55">
      <c r="A963" s="1" t="str">
        <f>'Population Definitions'!$A$3</f>
        <v>PWID_females</v>
      </c>
      <c r="C963" t="s">
        <v>34</v>
      </c>
      <c r="D963" s="3"/>
      <c r="E963" s="3">
        <v>0</v>
      </c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</row>
    <row r="964" spans="1:55">
      <c r="A964" s="1" t="str">
        <f>'Population Definitions'!$A$4</f>
        <v>0-9_males</v>
      </c>
      <c r="C964" t="s">
        <v>34</v>
      </c>
      <c r="D964" s="3"/>
      <c r="E964" s="3">
        <v>0</v>
      </c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</row>
    <row r="965" spans="1:55">
      <c r="A965" s="1" t="str">
        <f>'Population Definitions'!$A$5</f>
        <v>0-9_females</v>
      </c>
      <c r="C965" t="s">
        <v>34</v>
      </c>
      <c r="D965" s="3"/>
      <c r="E965" s="3">
        <v>0</v>
      </c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</row>
    <row r="966" spans="1:55">
      <c r="A966" s="1" t="str">
        <f>'Population Definitions'!$A$6</f>
        <v>10-17_males</v>
      </c>
      <c r="C966" t="s">
        <v>34</v>
      </c>
      <c r="D966" s="3"/>
      <c r="E966" s="3">
        <v>0</v>
      </c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</row>
    <row r="967" spans="1:55">
      <c r="A967" s="1" t="str">
        <f>'Population Definitions'!$A$7</f>
        <v>10-17_females</v>
      </c>
      <c r="C967" t="s">
        <v>34</v>
      </c>
      <c r="D967" s="3"/>
      <c r="E967" s="3">
        <v>0</v>
      </c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</row>
    <row r="968" spans="1:55">
      <c r="A968" s="1" t="str">
        <f>'Population Definitions'!$A$8</f>
        <v>18-64_males</v>
      </c>
      <c r="C968" t="s">
        <v>34</v>
      </c>
      <c r="D968" s="3"/>
      <c r="E968" s="3">
        <v>0</v>
      </c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</row>
    <row r="969" spans="1:55">
      <c r="A969" s="1" t="str">
        <f>'Population Definitions'!$A$9</f>
        <v>18-64_females</v>
      </c>
      <c r="C969" t="s">
        <v>34</v>
      </c>
      <c r="D969" s="3"/>
      <c r="E969" s="3">
        <v>0</v>
      </c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</row>
    <row r="970" spans="1:55">
      <c r="A970" s="1" t="str">
        <f>'Population Definitions'!$A$10</f>
        <v>65+_males</v>
      </c>
      <c r="C970" t="s">
        <v>34</v>
      </c>
      <c r="D970" s="3"/>
      <c r="E970" s="3">
        <v>0</v>
      </c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</row>
    <row r="971" spans="1:55">
      <c r="A971" s="1" t="str">
        <f>'Population Definitions'!$A$11</f>
        <v>65+_females</v>
      </c>
      <c r="C971" t="s">
        <v>34</v>
      </c>
      <c r="D971" s="3"/>
      <c r="E971" s="3">
        <v>0</v>
      </c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</row>
    <row r="972" spans="1:55">
      <c r="A972" s="1" t="str">
        <f>'Population Definitions'!$A$12</f>
        <v>Prisoners_males</v>
      </c>
      <c r="C972" t="s">
        <v>34</v>
      </c>
      <c r="D972" s="3"/>
      <c r="E972" s="3">
        <v>0</v>
      </c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</row>
    <row r="973" spans="1:55">
      <c r="A973" s="1" t="str">
        <f>'Population Definitions'!$A$13</f>
        <v>Prisoners_females</v>
      </c>
      <c r="C973" t="s">
        <v>34</v>
      </c>
      <c r="D973" s="3"/>
      <c r="E973" s="3">
        <v>0</v>
      </c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</row>
    <row r="974" spans="1:55">
      <c r="A974" s="1" t="str">
        <f>'Population Definitions'!$A$14</f>
        <v>Prisoners_PWID_males</v>
      </c>
      <c r="C974" t="s">
        <v>34</v>
      </c>
      <c r="D974" s="3"/>
      <c r="E974" s="3">
        <v>0</v>
      </c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</row>
    <row r="975" spans="1:55">
      <c r="A975" s="1" t="str">
        <f>'Population Definitions'!$A$15</f>
        <v>Prisoners_PWID_females</v>
      </c>
      <c r="C975" t="s">
        <v>34</v>
      </c>
      <c r="D975" s="3"/>
      <c r="E975" s="3">
        <v>0</v>
      </c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</row>
    <row r="977" spans="1:55">
      <c r="A977" s="1" t="s">
        <v>188</v>
      </c>
      <c r="B977" s="1" t="s">
        <v>31</v>
      </c>
      <c r="C977" s="1" t="s">
        <v>32</v>
      </c>
      <c r="D977" s="1" t="s">
        <v>33</v>
      </c>
      <c r="E977" s="1">
        <v>2000</v>
      </c>
      <c r="F977" s="1">
        <v>2001</v>
      </c>
      <c r="G977" s="1">
        <v>2002</v>
      </c>
      <c r="H977" s="1">
        <v>2003</v>
      </c>
      <c r="I977" s="1">
        <v>2004</v>
      </c>
      <c r="J977" s="1">
        <v>2005</v>
      </c>
      <c r="K977" s="1">
        <v>2006</v>
      </c>
      <c r="L977" s="1">
        <v>2007</v>
      </c>
      <c r="M977" s="1">
        <v>2008</v>
      </c>
      <c r="N977" s="1">
        <v>2009</v>
      </c>
      <c r="O977" s="1">
        <v>2010</v>
      </c>
      <c r="P977" s="1">
        <v>2011</v>
      </c>
      <c r="Q977" s="1">
        <v>2012</v>
      </c>
      <c r="R977" s="1">
        <v>2013</v>
      </c>
      <c r="S977" s="1">
        <v>2014</v>
      </c>
      <c r="T977" s="1">
        <v>2015</v>
      </c>
      <c r="U977" s="1">
        <v>2016</v>
      </c>
      <c r="V977" s="1">
        <v>2017</v>
      </c>
      <c r="W977" s="1">
        <v>2018</v>
      </c>
      <c r="X977" s="1">
        <v>2019</v>
      </c>
      <c r="Y977" s="1">
        <v>2020</v>
      </c>
      <c r="Z977" s="1">
        <v>2021</v>
      </c>
      <c r="AA977" s="1">
        <v>2022</v>
      </c>
      <c r="AB977" s="1">
        <v>2023</v>
      </c>
      <c r="AC977" s="1">
        <v>2024</v>
      </c>
      <c r="AD977" s="1">
        <v>2025</v>
      </c>
      <c r="AE977" s="1">
        <v>2026</v>
      </c>
      <c r="AF977" s="1">
        <v>2027</v>
      </c>
      <c r="AG977" s="1">
        <v>2028</v>
      </c>
      <c r="AH977" s="1">
        <v>2029</v>
      </c>
      <c r="AI977" s="1">
        <v>2030</v>
      </c>
      <c r="AJ977" s="1">
        <v>2031</v>
      </c>
      <c r="AK977" s="1">
        <v>2032</v>
      </c>
      <c r="AL977" s="1">
        <v>2033</v>
      </c>
      <c r="AM977" s="1">
        <v>2034</v>
      </c>
      <c r="AN977" s="1">
        <v>2035</v>
      </c>
      <c r="AO977" s="1">
        <v>2036</v>
      </c>
      <c r="AP977" s="1">
        <v>2037</v>
      </c>
      <c r="AQ977" s="1">
        <v>2038</v>
      </c>
      <c r="AR977" s="1">
        <v>2039</v>
      </c>
      <c r="AS977" s="1">
        <v>2040</v>
      </c>
      <c r="AT977" s="1">
        <v>2041</v>
      </c>
      <c r="AU977" s="1">
        <v>2042</v>
      </c>
      <c r="AV977" s="1">
        <v>2043</v>
      </c>
      <c r="AW977" s="1">
        <v>2044</v>
      </c>
      <c r="AX977" s="1">
        <v>2045</v>
      </c>
      <c r="AY977" s="1">
        <v>2046</v>
      </c>
      <c r="AZ977" s="1">
        <v>2047</v>
      </c>
      <c r="BA977" s="1">
        <v>2048</v>
      </c>
      <c r="BB977" s="1">
        <v>2049</v>
      </c>
      <c r="BC977" s="1">
        <v>2050</v>
      </c>
    </row>
    <row r="978" spans="1:55">
      <c r="A978" s="1" t="str">
        <f>'Population Definitions'!$A$2</f>
        <v>PWID_males</v>
      </c>
      <c r="C978" t="s">
        <v>34</v>
      </c>
      <c r="D978" s="3"/>
      <c r="E978" s="3">
        <v>0</v>
      </c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</row>
    <row r="979" spans="1:55">
      <c r="A979" s="1" t="str">
        <f>'Population Definitions'!$A$3</f>
        <v>PWID_females</v>
      </c>
      <c r="C979" t="s">
        <v>34</v>
      </c>
      <c r="D979" s="3"/>
      <c r="E979" s="3">
        <v>0</v>
      </c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</row>
    <row r="980" spans="1:55">
      <c r="A980" s="1" t="str">
        <f>'Population Definitions'!$A$4</f>
        <v>0-9_males</v>
      </c>
      <c r="C980" t="s">
        <v>34</v>
      </c>
      <c r="D980" s="3"/>
      <c r="E980" s="3">
        <v>0</v>
      </c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</row>
    <row r="981" spans="1:55">
      <c r="A981" s="1" t="str">
        <f>'Population Definitions'!$A$5</f>
        <v>0-9_females</v>
      </c>
      <c r="C981" t="s">
        <v>34</v>
      </c>
      <c r="D981" s="3"/>
      <c r="E981" s="3">
        <v>0</v>
      </c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</row>
    <row r="982" spans="1:55">
      <c r="A982" s="1" t="str">
        <f>'Population Definitions'!$A$6</f>
        <v>10-17_males</v>
      </c>
      <c r="C982" t="s">
        <v>34</v>
      </c>
      <c r="D982" s="3"/>
      <c r="E982" s="3">
        <v>0</v>
      </c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</row>
    <row r="983" spans="1:55">
      <c r="A983" s="1" t="str">
        <f>'Population Definitions'!$A$7</f>
        <v>10-17_females</v>
      </c>
      <c r="C983" t="s">
        <v>34</v>
      </c>
      <c r="D983" s="3"/>
      <c r="E983" s="3">
        <v>0</v>
      </c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</row>
    <row r="984" spans="1:55">
      <c r="A984" s="1" t="str">
        <f>'Population Definitions'!$A$8</f>
        <v>18-64_males</v>
      </c>
      <c r="C984" t="s">
        <v>34</v>
      </c>
      <c r="D984" s="3"/>
      <c r="E984" s="3">
        <v>0</v>
      </c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</row>
    <row r="985" spans="1:55">
      <c r="A985" s="1" t="str">
        <f>'Population Definitions'!$A$9</f>
        <v>18-64_females</v>
      </c>
      <c r="C985" t="s">
        <v>34</v>
      </c>
      <c r="D985" s="3"/>
      <c r="E985" s="3">
        <v>0</v>
      </c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</row>
    <row r="986" spans="1:55">
      <c r="A986" s="1" t="str">
        <f>'Population Definitions'!$A$10</f>
        <v>65+_males</v>
      </c>
      <c r="C986" t="s">
        <v>34</v>
      </c>
      <c r="D986" s="3"/>
      <c r="E986" s="3">
        <v>0</v>
      </c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</row>
    <row r="987" spans="1:55">
      <c r="A987" s="1" t="str">
        <f>'Population Definitions'!$A$11</f>
        <v>65+_females</v>
      </c>
      <c r="C987" t="s">
        <v>34</v>
      </c>
      <c r="D987" s="3"/>
      <c r="E987" s="3">
        <v>0</v>
      </c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</row>
    <row r="988" spans="1:55">
      <c r="A988" s="1" t="str">
        <f>'Population Definitions'!$A$12</f>
        <v>Prisoners_males</v>
      </c>
      <c r="C988" t="s">
        <v>34</v>
      </c>
      <c r="D988" s="3"/>
      <c r="E988" s="3">
        <v>0</v>
      </c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</row>
    <row r="989" spans="1:55">
      <c r="A989" s="1" t="str">
        <f>'Population Definitions'!$A$13</f>
        <v>Prisoners_females</v>
      </c>
      <c r="C989" t="s">
        <v>34</v>
      </c>
      <c r="D989" s="3"/>
      <c r="E989" s="3">
        <v>0</v>
      </c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</row>
    <row r="990" spans="1:55">
      <c r="A990" s="1" t="str">
        <f>'Population Definitions'!$A$14</f>
        <v>Prisoners_PWID_males</v>
      </c>
      <c r="C990" t="s">
        <v>34</v>
      </c>
      <c r="D990" s="3"/>
      <c r="E990" s="3">
        <v>0</v>
      </c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</row>
    <row r="991" spans="1:55">
      <c r="A991" s="1" t="str">
        <f>'Population Definitions'!$A$15</f>
        <v>Prisoners_PWID_females</v>
      </c>
      <c r="C991" t="s">
        <v>34</v>
      </c>
      <c r="D991" s="3"/>
      <c r="E991" s="3">
        <v>0</v>
      </c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</row>
    <row r="993" spans="1:55">
      <c r="A993" s="1" t="s">
        <v>189</v>
      </c>
      <c r="B993" s="1" t="s">
        <v>31</v>
      </c>
      <c r="C993" s="1" t="s">
        <v>32</v>
      </c>
      <c r="D993" s="1" t="s">
        <v>33</v>
      </c>
      <c r="E993" s="1">
        <v>2000</v>
      </c>
      <c r="F993" s="1">
        <v>2001</v>
      </c>
      <c r="G993" s="1">
        <v>2002</v>
      </c>
      <c r="H993" s="1">
        <v>2003</v>
      </c>
      <c r="I993" s="1">
        <v>2004</v>
      </c>
      <c r="J993" s="1">
        <v>2005</v>
      </c>
      <c r="K993" s="1">
        <v>2006</v>
      </c>
      <c r="L993" s="1">
        <v>2007</v>
      </c>
      <c r="M993" s="1">
        <v>2008</v>
      </c>
      <c r="N993" s="1">
        <v>2009</v>
      </c>
      <c r="O993" s="1">
        <v>2010</v>
      </c>
      <c r="P993" s="1">
        <v>2011</v>
      </c>
      <c r="Q993" s="1">
        <v>2012</v>
      </c>
      <c r="R993" s="1">
        <v>2013</v>
      </c>
      <c r="S993" s="1">
        <v>2014</v>
      </c>
      <c r="T993" s="1">
        <v>2015</v>
      </c>
      <c r="U993" s="1">
        <v>2016</v>
      </c>
      <c r="V993" s="1">
        <v>2017</v>
      </c>
      <c r="W993" s="1">
        <v>2018</v>
      </c>
      <c r="X993" s="1">
        <v>2019</v>
      </c>
      <c r="Y993" s="1">
        <v>2020</v>
      </c>
      <c r="Z993" s="1">
        <v>2021</v>
      </c>
      <c r="AA993" s="1">
        <v>2022</v>
      </c>
      <c r="AB993" s="1">
        <v>2023</v>
      </c>
      <c r="AC993" s="1">
        <v>2024</v>
      </c>
      <c r="AD993" s="1">
        <v>2025</v>
      </c>
      <c r="AE993" s="1">
        <v>2026</v>
      </c>
      <c r="AF993" s="1">
        <v>2027</v>
      </c>
      <c r="AG993" s="1">
        <v>2028</v>
      </c>
      <c r="AH993" s="1">
        <v>2029</v>
      </c>
      <c r="AI993" s="1">
        <v>2030</v>
      </c>
      <c r="AJ993" s="1">
        <v>2031</v>
      </c>
      <c r="AK993" s="1">
        <v>2032</v>
      </c>
      <c r="AL993" s="1">
        <v>2033</v>
      </c>
      <c r="AM993" s="1">
        <v>2034</v>
      </c>
      <c r="AN993" s="1">
        <v>2035</v>
      </c>
      <c r="AO993" s="1">
        <v>2036</v>
      </c>
      <c r="AP993" s="1">
        <v>2037</v>
      </c>
      <c r="AQ993" s="1">
        <v>2038</v>
      </c>
      <c r="AR993" s="1">
        <v>2039</v>
      </c>
      <c r="AS993" s="1">
        <v>2040</v>
      </c>
      <c r="AT993" s="1">
        <v>2041</v>
      </c>
      <c r="AU993" s="1">
        <v>2042</v>
      </c>
      <c r="AV993" s="1">
        <v>2043</v>
      </c>
      <c r="AW993" s="1">
        <v>2044</v>
      </c>
      <c r="AX993" s="1">
        <v>2045</v>
      </c>
      <c r="AY993" s="1">
        <v>2046</v>
      </c>
      <c r="AZ993" s="1">
        <v>2047</v>
      </c>
      <c r="BA993" s="1">
        <v>2048</v>
      </c>
      <c r="BB993" s="1">
        <v>2049</v>
      </c>
      <c r="BC993" s="1">
        <v>2050</v>
      </c>
    </row>
    <row r="994" spans="1:55">
      <c r="A994" s="1" t="str">
        <f>'Population Definitions'!$A$2</f>
        <v>PWID_males</v>
      </c>
      <c r="C994" t="s">
        <v>34</v>
      </c>
      <c r="D994" s="3"/>
      <c r="E994" s="3">
        <v>0</v>
      </c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</row>
    <row r="995" spans="1:55">
      <c r="A995" s="1" t="str">
        <f>'Population Definitions'!$A$3</f>
        <v>PWID_females</v>
      </c>
      <c r="C995" t="s">
        <v>34</v>
      </c>
      <c r="D995" s="3"/>
      <c r="E995" s="3">
        <v>0</v>
      </c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</row>
    <row r="996" spans="1:55">
      <c r="A996" s="1" t="str">
        <f>'Population Definitions'!$A$4</f>
        <v>0-9_males</v>
      </c>
      <c r="C996" t="s">
        <v>34</v>
      </c>
      <c r="D996" s="3"/>
      <c r="E996" s="3">
        <v>0</v>
      </c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</row>
    <row r="997" spans="1:55">
      <c r="A997" s="1" t="str">
        <f>'Population Definitions'!$A$5</f>
        <v>0-9_females</v>
      </c>
      <c r="C997" t="s">
        <v>34</v>
      </c>
      <c r="D997" s="3"/>
      <c r="E997" s="3">
        <v>0</v>
      </c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</row>
    <row r="998" spans="1:55">
      <c r="A998" s="1" t="str">
        <f>'Population Definitions'!$A$6</f>
        <v>10-17_males</v>
      </c>
      <c r="C998" t="s">
        <v>34</v>
      </c>
      <c r="D998" s="3"/>
      <c r="E998" s="3">
        <v>0</v>
      </c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</row>
    <row r="999" spans="1:55">
      <c r="A999" s="1" t="str">
        <f>'Population Definitions'!$A$7</f>
        <v>10-17_females</v>
      </c>
      <c r="C999" t="s">
        <v>34</v>
      </c>
      <c r="D999" s="3"/>
      <c r="E999" s="3">
        <v>0</v>
      </c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</row>
    <row r="1000" spans="1:55">
      <c r="A1000" s="1" t="str">
        <f>'Population Definitions'!$A$8</f>
        <v>18-64_males</v>
      </c>
      <c r="C1000" t="s">
        <v>34</v>
      </c>
      <c r="D1000" s="3"/>
      <c r="E1000" s="3">
        <v>0</v>
      </c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</row>
    <row r="1001" spans="1:55">
      <c r="A1001" s="1" t="str">
        <f>'Population Definitions'!$A$9</f>
        <v>18-64_females</v>
      </c>
      <c r="C1001" t="s">
        <v>34</v>
      </c>
      <c r="D1001" s="3"/>
      <c r="E1001" s="3">
        <v>0</v>
      </c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</row>
    <row r="1002" spans="1:55">
      <c r="A1002" s="1" t="str">
        <f>'Population Definitions'!$A$10</f>
        <v>65+_males</v>
      </c>
      <c r="C1002" t="s">
        <v>34</v>
      </c>
      <c r="D1002" s="3"/>
      <c r="E1002" s="3">
        <v>0</v>
      </c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</row>
    <row r="1003" spans="1:55">
      <c r="A1003" s="1" t="str">
        <f>'Population Definitions'!$A$11</f>
        <v>65+_females</v>
      </c>
      <c r="C1003" t="s">
        <v>34</v>
      </c>
      <c r="D1003" s="3"/>
      <c r="E1003" s="3">
        <v>0</v>
      </c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</row>
    <row r="1004" spans="1:55">
      <c r="A1004" s="1" t="str">
        <f>'Population Definitions'!$A$12</f>
        <v>Prisoners_males</v>
      </c>
      <c r="C1004" t="s">
        <v>34</v>
      </c>
      <c r="D1004" s="3"/>
      <c r="E1004" s="3">
        <v>0</v>
      </c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</row>
    <row r="1005" spans="1:55">
      <c r="A1005" s="1" t="str">
        <f>'Population Definitions'!$A$13</f>
        <v>Prisoners_females</v>
      </c>
      <c r="C1005" t="s">
        <v>34</v>
      </c>
      <c r="D1005" s="3"/>
      <c r="E1005" s="3">
        <v>0</v>
      </c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</row>
    <row r="1006" spans="1:55">
      <c r="A1006" s="1" t="str">
        <f>'Population Definitions'!$A$14</f>
        <v>Prisoners_PWID_males</v>
      </c>
      <c r="C1006" t="s">
        <v>34</v>
      </c>
      <c r="D1006" s="3"/>
      <c r="E1006" s="3">
        <v>0</v>
      </c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</row>
    <row r="1007" spans="1:55">
      <c r="A1007" s="1" t="str">
        <f>'Population Definitions'!$A$15</f>
        <v>Prisoners_PWID_females</v>
      </c>
      <c r="C1007" t="s">
        <v>34</v>
      </c>
      <c r="D1007" s="3"/>
      <c r="E1007" s="3">
        <v>0</v>
      </c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</row>
    <row r="1009" spans="1:55">
      <c r="A1009" s="1" t="s">
        <v>190</v>
      </c>
      <c r="B1009" s="1" t="s">
        <v>31</v>
      </c>
      <c r="C1009" s="1" t="s">
        <v>32</v>
      </c>
      <c r="D1009" s="1" t="s">
        <v>33</v>
      </c>
      <c r="E1009" s="1">
        <v>2000</v>
      </c>
      <c r="F1009" s="1">
        <v>2001</v>
      </c>
      <c r="G1009" s="1">
        <v>2002</v>
      </c>
      <c r="H1009" s="1">
        <v>2003</v>
      </c>
      <c r="I1009" s="1">
        <v>2004</v>
      </c>
      <c r="J1009" s="1">
        <v>2005</v>
      </c>
      <c r="K1009" s="1">
        <v>2006</v>
      </c>
      <c r="L1009" s="1">
        <v>2007</v>
      </c>
      <c r="M1009" s="1">
        <v>2008</v>
      </c>
      <c r="N1009" s="1">
        <v>2009</v>
      </c>
      <c r="O1009" s="1">
        <v>2010</v>
      </c>
      <c r="P1009" s="1">
        <v>2011</v>
      </c>
      <c r="Q1009" s="1">
        <v>2012</v>
      </c>
      <c r="R1009" s="1">
        <v>2013</v>
      </c>
      <c r="S1009" s="1">
        <v>2014</v>
      </c>
      <c r="T1009" s="1">
        <v>2015</v>
      </c>
      <c r="U1009" s="1">
        <v>2016</v>
      </c>
      <c r="V1009" s="1">
        <v>2017</v>
      </c>
      <c r="W1009" s="1">
        <v>2018</v>
      </c>
      <c r="X1009" s="1">
        <v>2019</v>
      </c>
      <c r="Y1009" s="1">
        <v>2020</v>
      </c>
      <c r="Z1009" s="1">
        <v>2021</v>
      </c>
      <c r="AA1009" s="1">
        <v>2022</v>
      </c>
      <c r="AB1009" s="1">
        <v>2023</v>
      </c>
      <c r="AC1009" s="1">
        <v>2024</v>
      </c>
      <c r="AD1009" s="1">
        <v>2025</v>
      </c>
      <c r="AE1009" s="1">
        <v>2026</v>
      </c>
      <c r="AF1009" s="1">
        <v>2027</v>
      </c>
      <c r="AG1009" s="1">
        <v>2028</v>
      </c>
      <c r="AH1009" s="1">
        <v>2029</v>
      </c>
      <c r="AI1009" s="1">
        <v>2030</v>
      </c>
      <c r="AJ1009" s="1">
        <v>2031</v>
      </c>
      <c r="AK1009" s="1">
        <v>2032</v>
      </c>
      <c r="AL1009" s="1">
        <v>2033</v>
      </c>
      <c r="AM1009" s="1">
        <v>2034</v>
      </c>
      <c r="AN1009" s="1">
        <v>2035</v>
      </c>
      <c r="AO1009" s="1">
        <v>2036</v>
      </c>
      <c r="AP1009" s="1">
        <v>2037</v>
      </c>
      <c r="AQ1009" s="1">
        <v>2038</v>
      </c>
      <c r="AR1009" s="1">
        <v>2039</v>
      </c>
      <c r="AS1009" s="1">
        <v>2040</v>
      </c>
      <c r="AT1009" s="1">
        <v>2041</v>
      </c>
      <c r="AU1009" s="1">
        <v>2042</v>
      </c>
      <c r="AV1009" s="1">
        <v>2043</v>
      </c>
      <c r="AW1009" s="1">
        <v>2044</v>
      </c>
      <c r="AX1009" s="1">
        <v>2045</v>
      </c>
      <c r="AY1009" s="1">
        <v>2046</v>
      </c>
      <c r="AZ1009" s="1">
        <v>2047</v>
      </c>
      <c r="BA1009" s="1">
        <v>2048</v>
      </c>
      <c r="BB1009" s="1">
        <v>2049</v>
      </c>
      <c r="BC1009" s="1">
        <v>2050</v>
      </c>
    </row>
    <row r="1010" spans="1:55">
      <c r="A1010" s="1" t="str">
        <f>'Population Definitions'!$A$2</f>
        <v>PWID_males</v>
      </c>
      <c r="C1010" t="s">
        <v>34</v>
      </c>
      <c r="D1010" s="3"/>
      <c r="E1010" s="3">
        <v>0</v>
      </c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</row>
    <row r="1011" spans="1:55">
      <c r="A1011" s="1" t="str">
        <f>'Population Definitions'!$A$3</f>
        <v>PWID_females</v>
      </c>
      <c r="C1011" t="s">
        <v>34</v>
      </c>
      <c r="D1011" s="3"/>
      <c r="E1011" s="3">
        <v>0</v>
      </c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</row>
    <row r="1012" spans="1:55">
      <c r="A1012" s="1" t="str">
        <f>'Population Definitions'!$A$4</f>
        <v>0-9_males</v>
      </c>
      <c r="C1012" t="s">
        <v>34</v>
      </c>
      <c r="D1012" s="3"/>
      <c r="E1012" s="3">
        <v>0</v>
      </c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</row>
    <row r="1013" spans="1:55">
      <c r="A1013" s="1" t="str">
        <f>'Population Definitions'!$A$5</f>
        <v>0-9_females</v>
      </c>
      <c r="C1013" t="s">
        <v>34</v>
      </c>
      <c r="D1013" s="3"/>
      <c r="E1013" s="3">
        <v>0</v>
      </c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</row>
    <row r="1014" spans="1:55">
      <c r="A1014" s="1" t="str">
        <f>'Population Definitions'!$A$6</f>
        <v>10-17_males</v>
      </c>
      <c r="C1014" t="s">
        <v>34</v>
      </c>
      <c r="D1014" s="3"/>
      <c r="E1014" s="3">
        <v>0</v>
      </c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</row>
    <row r="1015" spans="1:55">
      <c r="A1015" s="1" t="str">
        <f>'Population Definitions'!$A$7</f>
        <v>10-17_females</v>
      </c>
      <c r="C1015" t="s">
        <v>34</v>
      </c>
      <c r="D1015" s="3"/>
      <c r="E1015" s="3">
        <v>0</v>
      </c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</row>
    <row r="1016" spans="1:55">
      <c r="A1016" s="1" t="str">
        <f>'Population Definitions'!$A$8</f>
        <v>18-64_males</v>
      </c>
      <c r="C1016" t="s">
        <v>34</v>
      </c>
      <c r="D1016" s="3"/>
      <c r="E1016" s="3">
        <v>0</v>
      </c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</row>
    <row r="1017" spans="1:55">
      <c r="A1017" s="1" t="str">
        <f>'Population Definitions'!$A$9</f>
        <v>18-64_females</v>
      </c>
      <c r="C1017" t="s">
        <v>34</v>
      </c>
      <c r="D1017" s="3"/>
      <c r="E1017" s="3">
        <v>0</v>
      </c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</row>
    <row r="1018" spans="1:55">
      <c r="A1018" s="1" t="str">
        <f>'Population Definitions'!$A$10</f>
        <v>65+_males</v>
      </c>
      <c r="C1018" t="s">
        <v>34</v>
      </c>
      <c r="D1018" s="3"/>
      <c r="E1018" s="3">
        <v>0</v>
      </c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</row>
    <row r="1019" spans="1:55">
      <c r="A1019" s="1" t="str">
        <f>'Population Definitions'!$A$11</f>
        <v>65+_females</v>
      </c>
      <c r="C1019" t="s">
        <v>34</v>
      </c>
      <c r="D1019" s="3"/>
      <c r="E1019" s="3">
        <v>0</v>
      </c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</row>
    <row r="1020" spans="1:55">
      <c r="A1020" s="1" t="str">
        <f>'Population Definitions'!$A$12</f>
        <v>Prisoners_males</v>
      </c>
      <c r="C1020" t="s">
        <v>34</v>
      </c>
      <c r="D1020" s="3"/>
      <c r="E1020" s="3">
        <v>0</v>
      </c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</row>
    <row r="1021" spans="1:55">
      <c r="A1021" s="1" t="str">
        <f>'Population Definitions'!$A$13</f>
        <v>Prisoners_females</v>
      </c>
      <c r="C1021" t="s">
        <v>34</v>
      </c>
      <c r="D1021" s="3"/>
      <c r="E1021" s="3">
        <v>0</v>
      </c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</row>
    <row r="1022" spans="1:55">
      <c r="A1022" s="1" t="str">
        <f>'Population Definitions'!$A$14</f>
        <v>Prisoners_PWID_males</v>
      </c>
      <c r="C1022" t="s">
        <v>34</v>
      </c>
      <c r="D1022" s="3"/>
      <c r="E1022" s="3">
        <v>0</v>
      </c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</row>
    <row r="1023" spans="1:55">
      <c r="A1023" s="1" t="str">
        <f>'Population Definitions'!$A$15</f>
        <v>Prisoners_PWID_females</v>
      </c>
      <c r="C1023" t="s">
        <v>34</v>
      </c>
      <c r="D1023" s="3"/>
      <c r="E1023" s="3">
        <v>0</v>
      </c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</row>
    <row r="1025" spans="1:55">
      <c r="A1025" s="1" t="s">
        <v>191</v>
      </c>
      <c r="B1025" s="1" t="s">
        <v>31</v>
      </c>
      <c r="C1025" s="1" t="s">
        <v>32</v>
      </c>
      <c r="D1025" s="1" t="s">
        <v>33</v>
      </c>
      <c r="E1025" s="1">
        <v>2000</v>
      </c>
      <c r="F1025" s="1">
        <v>2001</v>
      </c>
      <c r="G1025" s="1">
        <v>2002</v>
      </c>
      <c r="H1025" s="1">
        <v>2003</v>
      </c>
      <c r="I1025" s="1">
        <v>2004</v>
      </c>
      <c r="J1025" s="1">
        <v>2005</v>
      </c>
      <c r="K1025" s="1">
        <v>2006</v>
      </c>
      <c r="L1025" s="1">
        <v>2007</v>
      </c>
      <c r="M1025" s="1">
        <v>2008</v>
      </c>
      <c r="N1025" s="1">
        <v>2009</v>
      </c>
      <c r="O1025" s="1">
        <v>2010</v>
      </c>
      <c r="P1025" s="1">
        <v>2011</v>
      </c>
      <c r="Q1025" s="1">
        <v>2012</v>
      </c>
      <c r="R1025" s="1">
        <v>2013</v>
      </c>
      <c r="S1025" s="1">
        <v>2014</v>
      </c>
      <c r="T1025" s="1">
        <v>2015</v>
      </c>
      <c r="U1025" s="1">
        <v>2016</v>
      </c>
      <c r="V1025" s="1">
        <v>2017</v>
      </c>
      <c r="W1025" s="1">
        <v>2018</v>
      </c>
      <c r="X1025" s="1">
        <v>2019</v>
      </c>
      <c r="Y1025" s="1">
        <v>2020</v>
      </c>
      <c r="Z1025" s="1">
        <v>2021</v>
      </c>
      <c r="AA1025" s="1">
        <v>2022</v>
      </c>
      <c r="AB1025" s="1">
        <v>2023</v>
      </c>
      <c r="AC1025" s="1">
        <v>2024</v>
      </c>
      <c r="AD1025" s="1">
        <v>2025</v>
      </c>
      <c r="AE1025" s="1">
        <v>2026</v>
      </c>
      <c r="AF1025" s="1">
        <v>2027</v>
      </c>
      <c r="AG1025" s="1">
        <v>2028</v>
      </c>
      <c r="AH1025" s="1">
        <v>2029</v>
      </c>
      <c r="AI1025" s="1">
        <v>2030</v>
      </c>
      <c r="AJ1025" s="1">
        <v>2031</v>
      </c>
      <c r="AK1025" s="1">
        <v>2032</v>
      </c>
      <c r="AL1025" s="1">
        <v>2033</v>
      </c>
      <c r="AM1025" s="1">
        <v>2034</v>
      </c>
      <c r="AN1025" s="1">
        <v>2035</v>
      </c>
      <c r="AO1025" s="1">
        <v>2036</v>
      </c>
      <c r="AP1025" s="1">
        <v>2037</v>
      </c>
      <c r="AQ1025" s="1">
        <v>2038</v>
      </c>
      <c r="AR1025" s="1">
        <v>2039</v>
      </c>
      <c r="AS1025" s="1">
        <v>2040</v>
      </c>
      <c r="AT1025" s="1">
        <v>2041</v>
      </c>
      <c r="AU1025" s="1">
        <v>2042</v>
      </c>
      <c r="AV1025" s="1">
        <v>2043</v>
      </c>
      <c r="AW1025" s="1">
        <v>2044</v>
      </c>
      <c r="AX1025" s="1">
        <v>2045</v>
      </c>
      <c r="AY1025" s="1">
        <v>2046</v>
      </c>
      <c r="AZ1025" s="1">
        <v>2047</v>
      </c>
      <c r="BA1025" s="1">
        <v>2048</v>
      </c>
      <c r="BB1025" s="1">
        <v>2049</v>
      </c>
      <c r="BC1025" s="1">
        <v>2050</v>
      </c>
    </row>
    <row r="1026" spans="1:55">
      <c r="A1026" s="1" t="str">
        <f>'Population Definitions'!$A$2</f>
        <v>PWID_males</v>
      </c>
      <c r="C1026" t="s">
        <v>34</v>
      </c>
      <c r="D1026" s="3"/>
      <c r="E1026" s="3">
        <v>0</v>
      </c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</row>
    <row r="1027" spans="1:55">
      <c r="A1027" s="1" t="str">
        <f>'Population Definitions'!$A$3</f>
        <v>PWID_females</v>
      </c>
      <c r="C1027" t="s">
        <v>34</v>
      </c>
      <c r="D1027" s="3"/>
      <c r="E1027" s="3">
        <v>0</v>
      </c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</row>
    <row r="1028" spans="1:55">
      <c r="A1028" s="1" t="str">
        <f>'Population Definitions'!$A$4</f>
        <v>0-9_males</v>
      </c>
      <c r="C1028" t="s">
        <v>34</v>
      </c>
      <c r="D1028" s="3"/>
      <c r="E1028" s="3">
        <v>0</v>
      </c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</row>
    <row r="1029" spans="1:55">
      <c r="A1029" s="1" t="str">
        <f>'Population Definitions'!$A$5</f>
        <v>0-9_females</v>
      </c>
      <c r="C1029" t="s">
        <v>34</v>
      </c>
      <c r="D1029" s="3"/>
      <c r="E1029" s="3">
        <v>0</v>
      </c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</row>
    <row r="1030" spans="1:55">
      <c r="A1030" s="1" t="str">
        <f>'Population Definitions'!$A$6</f>
        <v>10-17_males</v>
      </c>
      <c r="C1030" t="s">
        <v>34</v>
      </c>
      <c r="D1030" s="3"/>
      <c r="E1030" s="3">
        <v>0</v>
      </c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</row>
    <row r="1031" spans="1:55">
      <c r="A1031" s="1" t="str">
        <f>'Population Definitions'!$A$7</f>
        <v>10-17_females</v>
      </c>
      <c r="C1031" t="s">
        <v>34</v>
      </c>
      <c r="D1031" s="3"/>
      <c r="E1031" s="3">
        <v>0</v>
      </c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</row>
    <row r="1032" spans="1:55">
      <c r="A1032" s="1" t="str">
        <f>'Population Definitions'!$A$8</f>
        <v>18-64_males</v>
      </c>
      <c r="C1032" t="s">
        <v>34</v>
      </c>
      <c r="D1032" s="3"/>
      <c r="E1032" s="3">
        <v>0</v>
      </c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</row>
    <row r="1033" spans="1:55">
      <c r="A1033" s="1" t="str">
        <f>'Population Definitions'!$A$9</f>
        <v>18-64_females</v>
      </c>
      <c r="C1033" t="s">
        <v>34</v>
      </c>
      <c r="D1033" s="3"/>
      <c r="E1033" s="3">
        <v>0</v>
      </c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</row>
    <row r="1034" spans="1:55">
      <c r="A1034" s="1" t="str">
        <f>'Population Definitions'!$A$10</f>
        <v>65+_males</v>
      </c>
      <c r="C1034" t="s">
        <v>34</v>
      </c>
      <c r="D1034" s="3"/>
      <c r="E1034" s="3">
        <v>0</v>
      </c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</row>
    <row r="1035" spans="1:55">
      <c r="A1035" s="1" t="str">
        <f>'Population Definitions'!$A$11</f>
        <v>65+_females</v>
      </c>
      <c r="C1035" t="s">
        <v>34</v>
      </c>
      <c r="D1035" s="3"/>
      <c r="E1035" s="3">
        <v>0</v>
      </c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</row>
    <row r="1036" spans="1:55">
      <c r="A1036" s="1" t="str">
        <f>'Population Definitions'!$A$12</f>
        <v>Prisoners_males</v>
      </c>
      <c r="C1036" t="s">
        <v>34</v>
      </c>
      <c r="D1036" s="3"/>
      <c r="E1036" s="3">
        <v>0</v>
      </c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</row>
    <row r="1037" spans="1:55">
      <c r="A1037" s="1" t="str">
        <f>'Population Definitions'!$A$13</f>
        <v>Prisoners_females</v>
      </c>
      <c r="C1037" t="s">
        <v>34</v>
      </c>
      <c r="D1037" s="3"/>
      <c r="E1037" s="3">
        <v>0</v>
      </c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</row>
    <row r="1038" spans="1:55">
      <c r="A1038" s="1" t="str">
        <f>'Population Definitions'!$A$14</f>
        <v>Prisoners_PWID_males</v>
      </c>
      <c r="C1038" t="s">
        <v>34</v>
      </c>
      <c r="D1038" s="3"/>
      <c r="E1038" s="3">
        <v>0</v>
      </c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</row>
    <row r="1039" spans="1:55">
      <c r="A1039" s="1" t="str">
        <f>'Population Definitions'!$A$15</f>
        <v>Prisoners_PWID_females</v>
      </c>
      <c r="C1039" t="s">
        <v>34</v>
      </c>
      <c r="D1039" s="3"/>
      <c r="E1039" s="3">
        <v>0</v>
      </c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</row>
    <row r="1041" spans="1:55">
      <c r="A1041" s="1" t="s">
        <v>192</v>
      </c>
      <c r="B1041" s="1" t="s">
        <v>31</v>
      </c>
      <c r="C1041" s="1" t="s">
        <v>32</v>
      </c>
      <c r="D1041" s="1" t="s">
        <v>33</v>
      </c>
      <c r="E1041" s="1">
        <v>2000</v>
      </c>
      <c r="F1041" s="1">
        <v>2001</v>
      </c>
      <c r="G1041" s="1">
        <v>2002</v>
      </c>
      <c r="H1041" s="1">
        <v>2003</v>
      </c>
      <c r="I1041" s="1">
        <v>2004</v>
      </c>
      <c r="J1041" s="1">
        <v>2005</v>
      </c>
      <c r="K1041" s="1">
        <v>2006</v>
      </c>
      <c r="L1041" s="1">
        <v>2007</v>
      </c>
      <c r="M1041" s="1">
        <v>2008</v>
      </c>
      <c r="N1041" s="1">
        <v>2009</v>
      </c>
      <c r="O1041" s="1">
        <v>2010</v>
      </c>
      <c r="P1041" s="1">
        <v>2011</v>
      </c>
      <c r="Q1041" s="1">
        <v>2012</v>
      </c>
      <c r="R1041" s="1">
        <v>2013</v>
      </c>
      <c r="S1041" s="1">
        <v>2014</v>
      </c>
      <c r="T1041" s="1">
        <v>2015</v>
      </c>
      <c r="U1041" s="1">
        <v>2016</v>
      </c>
      <c r="V1041" s="1">
        <v>2017</v>
      </c>
      <c r="W1041" s="1">
        <v>2018</v>
      </c>
      <c r="X1041" s="1">
        <v>2019</v>
      </c>
      <c r="Y1041" s="1">
        <v>2020</v>
      </c>
      <c r="Z1041" s="1">
        <v>2021</v>
      </c>
      <c r="AA1041" s="1">
        <v>2022</v>
      </c>
      <c r="AB1041" s="1">
        <v>2023</v>
      </c>
      <c r="AC1041" s="1">
        <v>2024</v>
      </c>
      <c r="AD1041" s="1">
        <v>2025</v>
      </c>
      <c r="AE1041" s="1">
        <v>2026</v>
      </c>
      <c r="AF1041" s="1">
        <v>2027</v>
      </c>
      <c r="AG1041" s="1">
        <v>2028</v>
      </c>
      <c r="AH1041" s="1">
        <v>2029</v>
      </c>
      <c r="AI1041" s="1">
        <v>2030</v>
      </c>
      <c r="AJ1041" s="1">
        <v>2031</v>
      </c>
      <c r="AK1041" s="1">
        <v>2032</v>
      </c>
      <c r="AL1041" s="1">
        <v>2033</v>
      </c>
      <c r="AM1041" s="1">
        <v>2034</v>
      </c>
      <c r="AN1041" s="1">
        <v>2035</v>
      </c>
      <c r="AO1041" s="1">
        <v>2036</v>
      </c>
      <c r="AP1041" s="1">
        <v>2037</v>
      </c>
      <c r="AQ1041" s="1">
        <v>2038</v>
      </c>
      <c r="AR1041" s="1">
        <v>2039</v>
      </c>
      <c r="AS1041" s="1">
        <v>2040</v>
      </c>
      <c r="AT1041" s="1">
        <v>2041</v>
      </c>
      <c r="AU1041" s="1">
        <v>2042</v>
      </c>
      <c r="AV1041" s="1">
        <v>2043</v>
      </c>
      <c r="AW1041" s="1">
        <v>2044</v>
      </c>
      <c r="AX1041" s="1">
        <v>2045</v>
      </c>
      <c r="AY1041" s="1">
        <v>2046</v>
      </c>
      <c r="AZ1041" s="1">
        <v>2047</v>
      </c>
      <c r="BA1041" s="1">
        <v>2048</v>
      </c>
      <c r="BB1041" s="1">
        <v>2049</v>
      </c>
      <c r="BC1041" s="1">
        <v>2050</v>
      </c>
    </row>
    <row r="1042" spans="1:55">
      <c r="A1042" s="1" t="str">
        <f>'Population Definitions'!$A$2</f>
        <v>PWID_males</v>
      </c>
      <c r="C1042" t="s">
        <v>34</v>
      </c>
      <c r="D1042" s="3"/>
      <c r="E1042" s="3">
        <v>0</v>
      </c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</row>
    <row r="1043" spans="1:55">
      <c r="A1043" s="1" t="str">
        <f>'Population Definitions'!$A$3</f>
        <v>PWID_females</v>
      </c>
      <c r="C1043" t="s">
        <v>34</v>
      </c>
      <c r="D1043" s="3"/>
      <c r="E1043" s="3">
        <v>0</v>
      </c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</row>
    <row r="1044" spans="1:55">
      <c r="A1044" s="1" t="str">
        <f>'Population Definitions'!$A$4</f>
        <v>0-9_males</v>
      </c>
      <c r="C1044" t="s">
        <v>34</v>
      </c>
      <c r="D1044" s="3"/>
      <c r="E1044" s="3">
        <v>0</v>
      </c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</row>
    <row r="1045" spans="1:55">
      <c r="A1045" s="1" t="str">
        <f>'Population Definitions'!$A$5</f>
        <v>0-9_females</v>
      </c>
      <c r="C1045" t="s">
        <v>34</v>
      </c>
      <c r="D1045" s="3"/>
      <c r="E1045" s="3">
        <v>0</v>
      </c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</row>
    <row r="1046" spans="1:55">
      <c r="A1046" s="1" t="str">
        <f>'Population Definitions'!$A$6</f>
        <v>10-17_males</v>
      </c>
      <c r="C1046" t="s">
        <v>34</v>
      </c>
      <c r="D1046" s="3"/>
      <c r="E1046" s="3">
        <v>0</v>
      </c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</row>
    <row r="1047" spans="1:55">
      <c r="A1047" s="1" t="str">
        <f>'Population Definitions'!$A$7</f>
        <v>10-17_females</v>
      </c>
      <c r="C1047" t="s">
        <v>34</v>
      </c>
      <c r="D1047" s="3"/>
      <c r="E1047" s="3">
        <v>0</v>
      </c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</row>
    <row r="1048" spans="1:55">
      <c r="A1048" s="1" t="str">
        <f>'Population Definitions'!$A$8</f>
        <v>18-64_males</v>
      </c>
      <c r="C1048" t="s">
        <v>34</v>
      </c>
      <c r="D1048" s="3"/>
      <c r="E1048" s="3">
        <v>0</v>
      </c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</row>
    <row r="1049" spans="1:55">
      <c r="A1049" s="1" t="str">
        <f>'Population Definitions'!$A$9</f>
        <v>18-64_females</v>
      </c>
      <c r="C1049" t="s">
        <v>34</v>
      </c>
      <c r="D1049" s="3"/>
      <c r="E1049" s="3">
        <v>0</v>
      </c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</row>
    <row r="1050" spans="1:55">
      <c r="A1050" s="1" t="str">
        <f>'Population Definitions'!$A$10</f>
        <v>65+_males</v>
      </c>
      <c r="C1050" t="s">
        <v>34</v>
      </c>
      <c r="D1050" s="3"/>
      <c r="E1050" s="3">
        <v>0</v>
      </c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</row>
    <row r="1051" spans="1:55">
      <c r="A1051" s="1" t="str">
        <f>'Population Definitions'!$A$11</f>
        <v>65+_females</v>
      </c>
      <c r="C1051" t="s">
        <v>34</v>
      </c>
      <c r="D1051" s="3"/>
      <c r="E1051" s="3">
        <v>0</v>
      </c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</row>
    <row r="1052" spans="1:55">
      <c r="A1052" s="1" t="str">
        <f>'Population Definitions'!$A$12</f>
        <v>Prisoners_males</v>
      </c>
      <c r="C1052" t="s">
        <v>34</v>
      </c>
      <c r="D1052" s="3"/>
      <c r="E1052" s="3">
        <v>0</v>
      </c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</row>
    <row r="1053" spans="1:55">
      <c r="A1053" s="1" t="str">
        <f>'Population Definitions'!$A$13</f>
        <v>Prisoners_females</v>
      </c>
      <c r="C1053" t="s">
        <v>34</v>
      </c>
      <c r="D1053" s="3"/>
      <c r="E1053" s="3">
        <v>0</v>
      </c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</row>
    <row r="1054" spans="1:55">
      <c r="A1054" s="1" t="str">
        <f>'Population Definitions'!$A$14</f>
        <v>Prisoners_PWID_males</v>
      </c>
      <c r="C1054" t="s">
        <v>34</v>
      </c>
      <c r="D1054" s="3"/>
      <c r="E1054" s="3">
        <v>0</v>
      </c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</row>
    <row r="1055" spans="1:55">
      <c r="A1055" s="1" t="str">
        <f>'Population Definitions'!$A$15</f>
        <v>Prisoners_PWID_females</v>
      </c>
      <c r="C1055" t="s">
        <v>34</v>
      </c>
      <c r="D1055" s="3"/>
      <c r="E1055" s="3">
        <v>0</v>
      </c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</row>
    <row r="1057" spans="1:55">
      <c r="A1057" s="1" t="s">
        <v>193</v>
      </c>
      <c r="B1057" s="1" t="s">
        <v>31</v>
      </c>
      <c r="C1057" s="1" t="s">
        <v>32</v>
      </c>
      <c r="D1057" s="1" t="s">
        <v>33</v>
      </c>
      <c r="E1057" s="1">
        <v>2000</v>
      </c>
      <c r="F1057" s="1">
        <v>2001</v>
      </c>
      <c r="G1057" s="1">
        <v>2002</v>
      </c>
      <c r="H1057" s="1">
        <v>2003</v>
      </c>
      <c r="I1057" s="1">
        <v>2004</v>
      </c>
      <c r="J1057" s="1">
        <v>2005</v>
      </c>
      <c r="K1057" s="1">
        <v>2006</v>
      </c>
      <c r="L1057" s="1">
        <v>2007</v>
      </c>
      <c r="M1057" s="1">
        <v>2008</v>
      </c>
      <c r="N1057" s="1">
        <v>2009</v>
      </c>
      <c r="O1057" s="1">
        <v>2010</v>
      </c>
      <c r="P1057" s="1">
        <v>2011</v>
      </c>
      <c r="Q1057" s="1">
        <v>2012</v>
      </c>
      <c r="R1057" s="1">
        <v>2013</v>
      </c>
      <c r="S1057" s="1">
        <v>2014</v>
      </c>
      <c r="T1057" s="1">
        <v>2015</v>
      </c>
      <c r="U1057" s="1">
        <v>2016</v>
      </c>
      <c r="V1057" s="1">
        <v>2017</v>
      </c>
      <c r="W1057" s="1">
        <v>2018</v>
      </c>
      <c r="X1057" s="1">
        <v>2019</v>
      </c>
      <c r="Y1057" s="1">
        <v>2020</v>
      </c>
      <c r="Z1057" s="1">
        <v>2021</v>
      </c>
      <c r="AA1057" s="1">
        <v>2022</v>
      </c>
      <c r="AB1057" s="1">
        <v>2023</v>
      </c>
      <c r="AC1057" s="1">
        <v>2024</v>
      </c>
      <c r="AD1057" s="1">
        <v>2025</v>
      </c>
      <c r="AE1057" s="1">
        <v>2026</v>
      </c>
      <c r="AF1057" s="1">
        <v>2027</v>
      </c>
      <c r="AG1057" s="1">
        <v>2028</v>
      </c>
      <c r="AH1057" s="1">
        <v>2029</v>
      </c>
      <c r="AI1057" s="1">
        <v>2030</v>
      </c>
      <c r="AJ1057" s="1">
        <v>2031</v>
      </c>
      <c r="AK1057" s="1">
        <v>2032</v>
      </c>
      <c r="AL1057" s="1">
        <v>2033</v>
      </c>
      <c r="AM1057" s="1">
        <v>2034</v>
      </c>
      <c r="AN1057" s="1">
        <v>2035</v>
      </c>
      <c r="AO1057" s="1">
        <v>2036</v>
      </c>
      <c r="AP1057" s="1">
        <v>2037</v>
      </c>
      <c r="AQ1057" s="1">
        <v>2038</v>
      </c>
      <c r="AR1057" s="1">
        <v>2039</v>
      </c>
      <c r="AS1057" s="1">
        <v>2040</v>
      </c>
      <c r="AT1057" s="1">
        <v>2041</v>
      </c>
      <c r="AU1057" s="1">
        <v>2042</v>
      </c>
      <c r="AV1057" s="1">
        <v>2043</v>
      </c>
      <c r="AW1057" s="1">
        <v>2044</v>
      </c>
      <c r="AX1057" s="1">
        <v>2045</v>
      </c>
      <c r="AY1057" s="1">
        <v>2046</v>
      </c>
      <c r="AZ1057" s="1">
        <v>2047</v>
      </c>
      <c r="BA1057" s="1">
        <v>2048</v>
      </c>
      <c r="BB1057" s="1">
        <v>2049</v>
      </c>
      <c r="BC1057" s="1">
        <v>2050</v>
      </c>
    </row>
    <row r="1058" spans="1:55">
      <c r="A1058" s="1" t="str">
        <f>'Population Definitions'!$A$2</f>
        <v>PWID_males</v>
      </c>
      <c r="C1058" t="s">
        <v>34</v>
      </c>
      <c r="D1058" s="3"/>
      <c r="E1058" s="3">
        <v>0</v>
      </c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</row>
    <row r="1059" spans="1:55">
      <c r="A1059" s="1" t="str">
        <f>'Population Definitions'!$A$3</f>
        <v>PWID_females</v>
      </c>
      <c r="C1059" t="s">
        <v>34</v>
      </c>
      <c r="D1059" s="3"/>
      <c r="E1059" s="3">
        <v>0</v>
      </c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</row>
    <row r="1060" spans="1:55">
      <c r="A1060" s="1" t="str">
        <f>'Population Definitions'!$A$4</f>
        <v>0-9_males</v>
      </c>
      <c r="C1060" t="s">
        <v>34</v>
      </c>
      <c r="D1060" s="3"/>
      <c r="E1060" s="3">
        <v>0</v>
      </c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</row>
    <row r="1061" spans="1:55">
      <c r="A1061" s="1" t="str">
        <f>'Population Definitions'!$A$5</f>
        <v>0-9_females</v>
      </c>
      <c r="C1061" t="s">
        <v>34</v>
      </c>
      <c r="D1061" s="3"/>
      <c r="E1061" s="3">
        <v>0</v>
      </c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</row>
    <row r="1062" spans="1:55">
      <c r="A1062" s="1" t="str">
        <f>'Population Definitions'!$A$6</f>
        <v>10-17_males</v>
      </c>
      <c r="C1062" t="s">
        <v>34</v>
      </c>
      <c r="D1062" s="3"/>
      <c r="E1062" s="3">
        <v>0</v>
      </c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</row>
    <row r="1063" spans="1:55">
      <c r="A1063" s="1" t="str">
        <f>'Population Definitions'!$A$7</f>
        <v>10-17_females</v>
      </c>
      <c r="C1063" t="s">
        <v>34</v>
      </c>
      <c r="D1063" s="3"/>
      <c r="E1063" s="3">
        <v>0</v>
      </c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</row>
    <row r="1064" spans="1:55">
      <c r="A1064" s="1" t="str">
        <f>'Population Definitions'!$A$8</f>
        <v>18-64_males</v>
      </c>
      <c r="C1064" t="s">
        <v>34</v>
      </c>
      <c r="D1064" s="3"/>
      <c r="E1064" s="3">
        <v>0</v>
      </c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</row>
    <row r="1065" spans="1:55">
      <c r="A1065" s="1" t="str">
        <f>'Population Definitions'!$A$9</f>
        <v>18-64_females</v>
      </c>
      <c r="C1065" t="s">
        <v>34</v>
      </c>
      <c r="D1065" s="3"/>
      <c r="E1065" s="3">
        <v>0</v>
      </c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</row>
    <row r="1066" spans="1:55">
      <c r="A1066" s="1" t="str">
        <f>'Population Definitions'!$A$10</f>
        <v>65+_males</v>
      </c>
      <c r="C1066" t="s">
        <v>34</v>
      </c>
      <c r="D1066" s="3"/>
      <c r="E1066" s="3">
        <v>0</v>
      </c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</row>
    <row r="1067" spans="1:55">
      <c r="A1067" s="1" t="str">
        <f>'Population Definitions'!$A$11</f>
        <v>65+_females</v>
      </c>
      <c r="C1067" t="s">
        <v>34</v>
      </c>
      <c r="D1067" s="3"/>
      <c r="E1067" s="3">
        <v>0</v>
      </c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</row>
    <row r="1068" spans="1:55">
      <c r="A1068" s="1" t="str">
        <f>'Population Definitions'!$A$12</f>
        <v>Prisoners_males</v>
      </c>
      <c r="C1068" t="s">
        <v>34</v>
      </c>
      <c r="D1068" s="3"/>
      <c r="E1068" s="3">
        <v>0</v>
      </c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</row>
    <row r="1069" spans="1:55">
      <c r="A1069" s="1" t="str">
        <f>'Population Definitions'!$A$13</f>
        <v>Prisoners_females</v>
      </c>
      <c r="C1069" t="s">
        <v>34</v>
      </c>
      <c r="D1069" s="3"/>
      <c r="E1069" s="3">
        <v>0</v>
      </c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</row>
    <row r="1070" spans="1:55">
      <c r="A1070" s="1" t="str">
        <f>'Population Definitions'!$A$14</f>
        <v>Prisoners_PWID_males</v>
      </c>
      <c r="C1070" t="s">
        <v>34</v>
      </c>
      <c r="D1070" s="3"/>
      <c r="E1070" s="3">
        <v>0</v>
      </c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</row>
    <row r="1071" spans="1:55">
      <c r="A1071" s="1" t="str">
        <f>'Population Definitions'!$A$15</f>
        <v>Prisoners_PWID_females</v>
      </c>
      <c r="C1071" t="s">
        <v>34</v>
      </c>
      <c r="D1071" s="3"/>
      <c r="E1071" s="3">
        <v>0</v>
      </c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</row>
    <row r="1073" spans="1:55">
      <c r="A1073" s="1" t="s">
        <v>194</v>
      </c>
      <c r="B1073" s="1" t="s">
        <v>31</v>
      </c>
      <c r="C1073" s="1" t="s">
        <v>32</v>
      </c>
      <c r="D1073" s="1" t="s">
        <v>33</v>
      </c>
      <c r="E1073" s="1">
        <v>2000</v>
      </c>
      <c r="F1073" s="1">
        <v>2001</v>
      </c>
      <c r="G1073" s="1">
        <v>2002</v>
      </c>
      <c r="H1073" s="1">
        <v>2003</v>
      </c>
      <c r="I1073" s="1">
        <v>2004</v>
      </c>
      <c r="J1073" s="1">
        <v>2005</v>
      </c>
      <c r="K1073" s="1">
        <v>2006</v>
      </c>
      <c r="L1073" s="1">
        <v>2007</v>
      </c>
      <c r="M1073" s="1">
        <v>2008</v>
      </c>
      <c r="N1073" s="1">
        <v>2009</v>
      </c>
      <c r="O1073" s="1">
        <v>2010</v>
      </c>
      <c r="P1073" s="1">
        <v>2011</v>
      </c>
      <c r="Q1073" s="1">
        <v>2012</v>
      </c>
      <c r="R1073" s="1">
        <v>2013</v>
      </c>
      <c r="S1073" s="1">
        <v>2014</v>
      </c>
      <c r="T1073" s="1">
        <v>2015</v>
      </c>
      <c r="U1073" s="1">
        <v>2016</v>
      </c>
      <c r="V1073" s="1">
        <v>2017</v>
      </c>
      <c r="W1073" s="1">
        <v>2018</v>
      </c>
      <c r="X1073" s="1">
        <v>2019</v>
      </c>
      <c r="Y1073" s="1">
        <v>2020</v>
      </c>
      <c r="Z1073" s="1">
        <v>2021</v>
      </c>
      <c r="AA1073" s="1">
        <v>2022</v>
      </c>
      <c r="AB1073" s="1">
        <v>2023</v>
      </c>
      <c r="AC1073" s="1">
        <v>2024</v>
      </c>
      <c r="AD1073" s="1">
        <v>2025</v>
      </c>
      <c r="AE1073" s="1">
        <v>2026</v>
      </c>
      <c r="AF1073" s="1">
        <v>2027</v>
      </c>
      <c r="AG1073" s="1">
        <v>2028</v>
      </c>
      <c r="AH1073" s="1">
        <v>2029</v>
      </c>
      <c r="AI1073" s="1">
        <v>2030</v>
      </c>
      <c r="AJ1073" s="1">
        <v>2031</v>
      </c>
      <c r="AK1073" s="1">
        <v>2032</v>
      </c>
      <c r="AL1073" s="1">
        <v>2033</v>
      </c>
      <c r="AM1073" s="1">
        <v>2034</v>
      </c>
      <c r="AN1073" s="1">
        <v>2035</v>
      </c>
      <c r="AO1073" s="1">
        <v>2036</v>
      </c>
      <c r="AP1073" s="1">
        <v>2037</v>
      </c>
      <c r="AQ1073" s="1">
        <v>2038</v>
      </c>
      <c r="AR1073" s="1">
        <v>2039</v>
      </c>
      <c r="AS1073" s="1">
        <v>2040</v>
      </c>
      <c r="AT1073" s="1">
        <v>2041</v>
      </c>
      <c r="AU1073" s="1">
        <v>2042</v>
      </c>
      <c r="AV1073" s="1">
        <v>2043</v>
      </c>
      <c r="AW1073" s="1">
        <v>2044</v>
      </c>
      <c r="AX1073" s="1">
        <v>2045</v>
      </c>
      <c r="AY1073" s="1">
        <v>2046</v>
      </c>
      <c r="AZ1073" s="1">
        <v>2047</v>
      </c>
      <c r="BA1073" s="1">
        <v>2048</v>
      </c>
      <c r="BB1073" s="1">
        <v>2049</v>
      </c>
      <c r="BC1073" s="1">
        <v>2050</v>
      </c>
    </row>
    <row r="1074" spans="1:55">
      <c r="A1074" s="1" t="str">
        <f>'Population Definitions'!$A$2</f>
        <v>PWID_males</v>
      </c>
      <c r="C1074" t="s">
        <v>34</v>
      </c>
      <c r="D1074" s="3"/>
      <c r="E1074" s="3">
        <v>0</v>
      </c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</row>
    <row r="1075" spans="1:55">
      <c r="A1075" s="1" t="str">
        <f>'Population Definitions'!$A$3</f>
        <v>PWID_females</v>
      </c>
      <c r="C1075" t="s">
        <v>34</v>
      </c>
      <c r="D1075" s="3"/>
      <c r="E1075" s="3">
        <v>0</v>
      </c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</row>
    <row r="1076" spans="1:55">
      <c r="A1076" s="1" t="str">
        <f>'Population Definitions'!$A$4</f>
        <v>0-9_males</v>
      </c>
      <c r="C1076" t="s">
        <v>34</v>
      </c>
      <c r="D1076" s="3"/>
      <c r="E1076" s="3">
        <v>0</v>
      </c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</row>
    <row r="1077" spans="1:55">
      <c r="A1077" s="1" t="str">
        <f>'Population Definitions'!$A$5</f>
        <v>0-9_females</v>
      </c>
      <c r="C1077" t="s">
        <v>34</v>
      </c>
      <c r="D1077" s="3"/>
      <c r="E1077" s="3">
        <v>0</v>
      </c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</row>
    <row r="1078" spans="1:55">
      <c r="A1078" s="1" t="str">
        <f>'Population Definitions'!$A$6</f>
        <v>10-17_males</v>
      </c>
      <c r="C1078" t="s">
        <v>34</v>
      </c>
      <c r="D1078" s="3"/>
      <c r="E1078" s="3">
        <v>0</v>
      </c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</row>
    <row r="1079" spans="1:55">
      <c r="A1079" s="1" t="str">
        <f>'Population Definitions'!$A$7</f>
        <v>10-17_females</v>
      </c>
      <c r="C1079" t="s">
        <v>34</v>
      </c>
      <c r="D1079" s="3"/>
      <c r="E1079" s="3">
        <v>0</v>
      </c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</row>
    <row r="1080" spans="1:55">
      <c r="A1080" s="1" t="str">
        <f>'Population Definitions'!$A$8</f>
        <v>18-64_males</v>
      </c>
      <c r="C1080" t="s">
        <v>34</v>
      </c>
      <c r="D1080" s="3"/>
      <c r="E1080" s="3">
        <v>0</v>
      </c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</row>
    <row r="1081" spans="1:55">
      <c r="A1081" s="1" t="str">
        <f>'Population Definitions'!$A$9</f>
        <v>18-64_females</v>
      </c>
      <c r="C1081" t="s">
        <v>34</v>
      </c>
      <c r="D1081" s="3"/>
      <c r="E1081" s="3">
        <v>0</v>
      </c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</row>
    <row r="1082" spans="1:55">
      <c r="A1082" s="1" t="str">
        <f>'Population Definitions'!$A$10</f>
        <v>65+_males</v>
      </c>
      <c r="C1082" t="s">
        <v>34</v>
      </c>
      <c r="D1082" s="3"/>
      <c r="E1082" s="3">
        <v>0</v>
      </c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</row>
    <row r="1083" spans="1:55">
      <c r="A1083" s="1" t="str">
        <f>'Population Definitions'!$A$11</f>
        <v>65+_females</v>
      </c>
      <c r="C1083" t="s">
        <v>34</v>
      </c>
      <c r="D1083" s="3"/>
      <c r="E1083" s="3">
        <v>0</v>
      </c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</row>
    <row r="1084" spans="1:55">
      <c r="A1084" s="1" t="str">
        <f>'Population Definitions'!$A$12</f>
        <v>Prisoners_males</v>
      </c>
      <c r="C1084" t="s">
        <v>34</v>
      </c>
      <c r="D1084" s="3"/>
      <c r="E1084" s="3">
        <v>0</v>
      </c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</row>
    <row r="1085" spans="1:55">
      <c r="A1085" s="1" t="str">
        <f>'Population Definitions'!$A$13</f>
        <v>Prisoners_females</v>
      </c>
      <c r="C1085" t="s">
        <v>34</v>
      </c>
      <c r="D1085" s="3"/>
      <c r="E1085" s="3">
        <v>0</v>
      </c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</row>
    <row r="1086" spans="1:55">
      <c r="A1086" s="1" t="str">
        <f>'Population Definitions'!$A$14</f>
        <v>Prisoners_PWID_males</v>
      </c>
      <c r="C1086" t="s">
        <v>34</v>
      </c>
      <c r="D1086" s="3"/>
      <c r="E1086" s="3">
        <v>0</v>
      </c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</row>
    <row r="1087" spans="1:55">
      <c r="A1087" s="1" t="str">
        <f>'Population Definitions'!$A$15</f>
        <v>Prisoners_PWID_females</v>
      </c>
      <c r="C1087" t="s">
        <v>34</v>
      </c>
      <c r="D1087" s="3"/>
      <c r="E1087" s="3">
        <v>0</v>
      </c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</row>
    <row r="1089" spans="1:55">
      <c r="A1089" s="1" t="s">
        <v>195</v>
      </c>
      <c r="B1089" s="1" t="s">
        <v>31</v>
      </c>
      <c r="C1089" s="1" t="s">
        <v>32</v>
      </c>
      <c r="D1089" s="1" t="s">
        <v>33</v>
      </c>
      <c r="E1089" s="1">
        <v>2000</v>
      </c>
      <c r="F1089" s="1">
        <v>2001</v>
      </c>
      <c r="G1089" s="1">
        <v>2002</v>
      </c>
      <c r="H1089" s="1">
        <v>2003</v>
      </c>
      <c r="I1089" s="1">
        <v>2004</v>
      </c>
      <c r="J1089" s="1">
        <v>2005</v>
      </c>
      <c r="K1089" s="1">
        <v>2006</v>
      </c>
      <c r="L1089" s="1">
        <v>2007</v>
      </c>
      <c r="M1089" s="1">
        <v>2008</v>
      </c>
      <c r="N1089" s="1">
        <v>2009</v>
      </c>
      <c r="O1089" s="1">
        <v>2010</v>
      </c>
      <c r="P1089" s="1">
        <v>2011</v>
      </c>
      <c r="Q1089" s="1">
        <v>2012</v>
      </c>
      <c r="R1089" s="1">
        <v>2013</v>
      </c>
      <c r="S1089" s="1">
        <v>2014</v>
      </c>
      <c r="T1089" s="1">
        <v>2015</v>
      </c>
      <c r="U1089" s="1">
        <v>2016</v>
      </c>
      <c r="V1089" s="1">
        <v>2017</v>
      </c>
      <c r="W1089" s="1">
        <v>2018</v>
      </c>
      <c r="X1089" s="1">
        <v>2019</v>
      </c>
      <c r="Y1089" s="1">
        <v>2020</v>
      </c>
      <c r="Z1089" s="1">
        <v>2021</v>
      </c>
      <c r="AA1089" s="1">
        <v>2022</v>
      </c>
      <c r="AB1089" s="1">
        <v>2023</v>
      </c>
      <c r="AC1089" s="1">
        <v>2024</v>
      </c>
      <c r="AD1089" s="1">
        <v>2025</v>
      </c>
      <c r="AE1089" s="1">
        <v>2026</v>
      </c>
      <c r="AF1089" s="1">
        <v>2027</v>
      </c>
      <c r="AG1089" s="1">
        <v>2028</v>
      </c>
      <c r="AH1089" s="1">
        <v>2029</v>
      </c>
      <c r="AI1089" s="1">
        <v>2030</v>
      </c>
      <c r="AJ1089" s="1">
        <v>2031</v>
      </c>
      <c r="AK1089" s="1">
        <v>2032</v>
      </c>
      <c r="AL1089" s="1">
        <v>2033</v>
      </c>
      <c r="AM1089" s="1">
        <v>2034</v>
      </c>
      <c r="AN1089" s="1">
        <v>2035</v>
      </c>
      <c r="AO1089" s="1">
        <v>2036</v>
      </c>
      <c r="AP1089" s="1">
        <v>2037</v>
      </c>
      <c r="AQ1089" s="1">
        <v>2038</v>
      </c>
      <c r="AR1089" s="1">
        <v>2039</v>
      </c>
      <c r="AS1089" s="1">
        <v>2040</v>
      </c>
      <c r="AT1089" s="1">
        <v>2041</v>
      </c>
      <c r="AU1089" s="1">
        <v>2042</v>
      </c>
      <c r="AV1089" s="1">
        <v>2043</v>
      </c>
      <c r="AW1089" s="1">
        <v>2044</v>
      </c>
      <c r="AX1089" s="1">
        <v>2045</v>
      </c>
      <c r="AY1089" s="1">
        <v>2046</v>
      </c>
      <c r="AZ1089" s="1">
        <v>2047</v>
      </c>
      <c r="BA1089" s="1">
        <v>2048</v>
      </c>
      <c r="BB1089" s="1">
        <v>2049</v>
      </c>
      <c r="BC1089" s="1">
        <v>2050</v>
      </c>
    </row>
    <row r="1090" spans="1:55">
      <c r="A1090" s="1" t="str">
        <f>'Population Definitions'!$A$2</f>
        <v>PWID_males</v>
      </c>
      <c r="C1090" t="s">
        <v>34</v>
      </c>
      <c r="D1090" s="3"/>
      <c r="E1090" s="3">
        <v>0</v>
      </c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</row>
    <row r="1091" spans="1:55">
      <c r="A1091" s="1" t="str">
        <f>'Population Definitions'!$A$3</f>
        <v>PWID_females</v>
      </c>
      <c r="C1091" t="s">
        <v>34</v>
      </c>
      <c r="D1091" s="3"/>
      <c r="E1091" s="3">
        <v>0</v>
      </c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</row>
    <row r="1092" spans="1:55">
      <c r="A1092" s="1" t="str">
        <f>'Population Definitions'!$A$4</f>
        <v>0-9_males</v>
      </c>
      <c r="C1092" t="s">
        <v>34</v>
      </c>
      <c r="D1092" s="3"/>
      <c r="E1092" s="3">
        <v>0</v>
      </c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</row>
    <row r="1093" spans="1:55">
      <c r="A1093" s="1" t="str">
        <f>'Population Definitions'!$A$5</f>
        <v>0-9_females</v>
      </c>
      <c r="C1093" t="s">
        <v>34</v>
      </c>
      <c r="D1093" s="3"/>
      <c r="E1093" s="3">
        <v>0</v>
      </c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</row>
    <row r="1094" spans="1:55">
      <c r="A1094" s="1" t="str">
        <f>'Population Definitions'!$A$6</f>
        <v>10-17_males</v>
      </c>
      <c r="C1094" t="s">
        <v>34</v>
      </c>
      <c r="D1094" s="3"/>
      <c r="E1094" s="3">
        <v>0</v>
      </c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</row>
    <row r="1095" spans="1:55">
      <c r="A1095" s="1" t="str">
        <f>'Population Definitions'!$A$7</f>
        <v>10-17_females</v>
      </c>
      <c r="C1095" t="s">
        <v>34</v>
      </c>
      <c r="D1095" s="3"/>
      <c r="E1095" s="3">
        <v>0</v>
      </c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</row>
    <row r="1096" spans="1:55">
      <c r="A1096" s="1" t="str">
        <f>'Population Definitions'!$A$8</f>
        <v>18-64_males</v>
      </c>
      <c r="C1096" t="s">
        <v>34</v>
      </c>
      <c r="D1096" s="3"/>
      <c r="E1096" s="3">
        <v>0</v>
      </c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</row>
    <row r="1097" spans="1:55">
      <c r="A1097" s="1" t="str">
        <f>'Population Definitions'!$A$9</f>
        <v>18-64_females</v>
      </c>
      <c r="C1097" t="s">
        <v>34</v>
      </c>
      <c r="D1097" s="3"/>
      <c r="E1097" s="3">
        <v>0</v>
      </c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</row>
    <row r="1098" spans="1:55">
      <c r="A1098" s="1" t="str">
        <f>'Population Definitions'!$A$10</f>
        <v>65+_males</v>
      </c>
      <c r="C1098" t="s">
        <v>34</v>
      </c>
      <c r="D1098" s="3"/>
      <c r="E1098" s="3">
        <v>0</v>
      </c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</row>
    <row r="1099" spans="1:55">
      <c r="A1099" s="1" t="str">
        <f>'Population Definitions'!$A$11</f>
        <v>65+_females</v>
      </c>
      <c r="C1099" t="s">
        <v>34</v>
      </c>
      <c r="D1099" s="3"/>
      <c r="E1099" s="3">
        <v>0</v>
      </c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</row>
    <row r="1100" spans="1:55">
      <c r="A1100" s="1" t="str">
        <f>'Population Definitions'!$A$12</f>
        <v>Prisoners_males</v>
      </c>
      <c r="C1100" t="s">
        <v>34</v>
      </c>
      <c r="D1100" s="3"/>
      <c r="E1100" s="3">
        <v>0</v>
      </c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</row>
    <row r="1101" spans="1:55">
      <c r="A1101" s="1" t="str">
        <f>'Population Definitions'!$A$13</f>
        <v>Prisoners_females</v>
      </c>
      <c r="C1101" t="s">
        <v>34</v>
      </c>
      <c r="D1101" s="3"/>
      <c r="E1101" s="3">
        <v>0</v>
      </c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</row>
    <row r="1102" spans="1:55">
      <c r="A1102" s="1" t="str">
        <f>'Population Definitions'!$A$14</f>
        <v>Prisoners_PWID_males</v>
      </c>
      <c r="C1102" t="s">
        <v>34</v>
      </c>
      <c r="D1102" s="3"/>
      <c r="E1102" s="3">
        <v>0</v>
      </c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</row>
    <row r="1103" spans="1:55">
      <c r="A1103" s="1" t="str">
        <f>'Population Definitions'!$A$15</f>
        <v>Prisoners_PWID_females</v>
      </c>
      <c r="C1103" t="s">
        <v>34</v>
      </c>
      <c r="D1103" s="3"/>
      <c r="E1103" s="3">
        <v>0</v>
      </c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</row>
    <row r="1105" spans="1:55">
      <c r="A1105" s="1" t="s">
        <v>196</v>
      </c>
      <c r="B1105" s="1" t="s">
        <v>31</v>
      </c>
      <c r="C1105" s="1" t="s">
        <v>32</v>
      </c>
      <c r="D1105" s="1" t="s">
        <v>33</v>
      </c>
      <c r="E1105" s="1">
        <v>2000</v>
      </c>
      <c r="F1105" s="1">
        <v>2001</v>
      </c>
      <c r="G1105" s="1">
        <v>2002</v>
      </c>
      <c r="H1105" s="1">
        <v>2003</v>
      </c>
      <c r="I1105" s="1">
        <v>2004</v>
      </c>
      <c r="J1105" s="1">
        <v>2005</v>
      </c>
      <c r="K1105" s="1">
        <v>2006</v>
      </c>
      <c r="L1105" s="1">
        <v>2007</v>
      </c>
      <c r="M1105" s="1">
        <v>2008</v>
      </c>
      <c r="N1105" s="1">
        <v>2009</v>
      </c>
      <c r="O1105" s="1">
        <v>2010</v>
      </c>
      <c r="P1105" s="1">
        <v>2011</v>
      </c>
      <c r="Q1105" s="1">
        <v>2012</v>
      </c>
      <c r="R1105" s="1">
        <v>2013</v>
      </c>
      <c r="S1105" s="1">
        <v>2014</v>
      </c>
      <c r="T1105" s="1">
        <v>2015</v>
      </c>
      <c r="U1105" s="1">
        <v>2016</v>
      </c>
      <c r="V1105" s="1">
        <v>2017</v>
      </c>
      <c r="W1105" s="1">
        <v>2018</v>
      </c>
      <c r="X1105" s="1">
        <v>2019</v>
      </c>
      <c r="Y1105" s="1">
        <v>2020</v>
      </c>
      <c r="Z1105" s="1">
        <v>2021</v>
      </c>
      <c r="AA1105" s="1">
        <v>2022</v>
      </c>
      <c r="AB1105" s="1">
        <v>2023</v>
      </c>
      <c r="AC1105" s="1">
        <v>2024</v>
      </c>
      <c r="AD1105" s="1">
        <v>2025</v>
      </c>
      <c r="AE1105" s="1">
        <v>2026</v>
      </c>
      <c r="AF1105" s="1">
        <v>2027</v>
      </c>
      <c r="AG1105" s="1">
        <v>2028</v>
      </c>
      <c r="AH1105" s="1">
        <v>2029</v>
      </c>
      <c r="AI1105" s="1">
        <v>2030</v>
      </c>
      <c r="AJ1105" s="1">
        <v>2031</v>
      </c>
      <c r="AK1105" s="1">
        <v>2032</v>
      </c>
      <c r="AL1105" s="1">
        <v>2033</v>
      </c>
      <c r="AM1105" s="1">
        <v>2034</v>
      </c>
      <c r="AN1105" s="1">
        <v>2035</v>
      </c>
      <c r="AO1105" s="1">
        <v>2036</v>
      </c>
      <c r="AP1105" s="1">
        <v>2037</v>
      </c>
      <c r="AQ1105" s="1">
        <v>2038</v>
      </c>
      <c r="AR1105" s="1">
        <v>2039</v>
      </c>
      <c r="AS1105" s="1">
        <v>2040</v>
      </c>
      <c r="AT1105" s="1">
        <v>2041</v>
      </c>
      <c r="AU1105" s="1">
        <v>2042</v>
      </c>
      <c r="AV1105" s="1">
        <v>2043</v>
      </c>
      <c r="AW1105" s="1">
        <v>2044</v>
      </c>
      <c r="AX1105" s="1">
        <v>2045</v>
      </c>
      <c r="AY1105" s="1">
        <v>2046</v>
      </c>
      <c r="AZ1105" s="1">
        <v>2047</v>
      </c>
      <c r="BA1105" s="1">
        <v>2048</v>
      </c>
      <c r="BB1105" s="1">
        <v>2049</v>
      </c>
      <c r="BC1105" s="1">
        <v>2050</v>
      </c>
    </row>
    <row r="1106" spans="1:55">
      <c r="A1106" s="1" t="str">
        <f>'Population Definitions'!$A$2</f>
        <v>PWID_males</v>
      </c>
      <c r="C1106" t="s">
        <v>34</v>
      </c>
      <c r="D1106" s="3"/>
      <c r="E1106" s="3">
        <v>0</v>
      </c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</row>
    <row r="1107" spans="1:55">
      <c r="A1107" s="1" t="str">
        <f>'Population Definitions'!$A$3</f>
        <v>PWID_females</v>
      </c>
      <c r="C1107" t="s">
        <v>34</v>
      </c>
      <c r="D1107" s="3"/>
      <c r="E1107" s="3">
        <v>0</v>
      </c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</row>
    <row r="1108" spans="1:55">
      <c r="A1108" s="1" t="str">
        <f>'Population Definitions'!$A$4</f>
        <v>0-9_males</v>
      </c>
      <c r="C1108" t="s">
        <v>34</v>
      </c>
      <c r="D1108" s="3"/>
      <c r="E1108" s="3">
        <v>0</v>
      </c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</row>
    <row r="1109" spans="1:55">
      <c r="A1109" s="1" t="str">
        <f>'Population Definitions'!$A$5</f>
        <v>0-9_females</v>
      </c>
      <c r="C1109" t="s">
        <v>34</v>
      </c>
      <c r="D1109" s="3"/>
      <c r="E1109" s="3">
        <v>0</v>
      </c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</row>
    <row r="1110" spans="1:55">
      <c r="A1110" s="1" t="str">
        <f>'Population Definitions'!$A$6</f>
        <v>10-17_males</v>
      </c>
      <c r="C1110" t="s">
        <v>34</v>
      </c>
      <c r="D1110" s="3"/>
      <c r="E1110" s="3">
        <v>0</v>
      </c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</row>
    <row r="1111" spans="1:55">
      <c r="A1111" s="1" t="str">
        <f>'Population Definitions'!$A$7</f>
        <v>10-17_females</v>
      </c>
      <c r="C1111" t="s">
        <v>34</v>
      </c>
      <c r="D1111" s="3"/>
      <c r="E1111" s="3">
        <v>0</v>
      </c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</row>
    <row r="1112" spans="1:55">
      <c r="A1112" s="1" t="str">
        <f>'Population Definitions'!$A$8</f>
        <v>18-64_males</v>
      </c>
      <c r="C1112" t="s">
        <v>34</v>
      </c>
      <c r="D1112" s="3"/>
      <c r="E1112" s="3">
        <v>0</v>
      </c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</row>
    <row r="1113" spans="1:55">
      <c r="A1113" s="1" t="str">
        <f>'Population Definitions'!$A$9</f>
        <v>18-64_females</v>
      </c>
      <c r="C1113" t="s">
        <v>34</v>
      </c>
      <c r="D1113" s="3"/>
      <c r="E1113" s="3">
        <v>0</v>
      </c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</row>
    <row r="1114" spans="1:55">
      <c r="A1114" s="1" t="str">
        <f>'Population Definitions'!$A$10</f>
        <v>65+_males</v>
      </c>
      <c r="C1114" t="s">
        <v>34</v>
      </c>
      <c r="D1114" s="3"/>
      <c r="E1114" s="3">
        <v>0</v>
      </c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</row>
    <row r="1115" spans="1:55">
      <c r="A1115" s="1" t="str">
        <f>'Population Definitions'!$A$11</f>
        <v>65+_females</v>
      </c>
      <c r="C1115" t="s">
        <v>34</v>
      </c>
      <c r="D1115" s="3"/>
      <c r="E1115" s="3">
        <v>0</v>
      </c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</row>
    <row r="1116" spans="1:55">
      <c r="A1116" s="1" t="str">
        <f>'Population Definitions'!$A$12</f>
        <v>Prisoners_males</v>
      </c>
      <c r="C1116" t="s">
        <v>34</v>
      </c>
      <c r="D1116" s="3"/>
      <c r="E1116" s="3">
        <v>0</v>
      </c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</row>
    <row r="1117" spans="1:55">
      <c r="A1117" s="1" t="str">
        <f>'Population Definitions'!$A$13</f>
        <v>Prisoners_females</v>
      </c>
      <c r="C1117" t="s">
        <v>34</v>
      </c>
      <c r="D1117" s="3"/>
      <c r="E1117" s="3">
        <v>0</v>
      </c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</row>
    <row r="1118" spans="1:55">
      <c r="A1118" s="1" t="str">
        <f>'Population Definitions'!$A$14</f>
        <v>Prisoners_PWID_males</v>
      </c>
      <c r="C1118" t="s">
        <v>34</v>
      </c>
      <c r="D1118" s="3"/>
      <c r="E1118" s="3">
        <v>0</v>
      </c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</row>
    <row r="1119" spans="1:55">
      <c r="A1119" s="1" t="str">
        <f>'Population Definitions'!$A$15</f>
        <v>Prisoners_PWID_females</v>
      </c>
      <c r="C1119" t="s">
        <v>34</v>
      </c>
      <c r="D1119" s="3"/>
      <c r="E1119" s="3">
        <v>0</v>
      </c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</row>
    <row r="1121" spans="1:55">
      <c r="A1121" s="1" t="s">
        <v>197</v>
      </c>
      <c r="B1121" s="1" t="s">
        <v>31</v>
      </c>
      <c r="C1121" s="1" t="s">
        <v>32</v>
      </c>
      <c r="D1121" s="1" t="s">
        <v>33</v>
      </c>
      <c r="E1121" s="1">
        <v>2000</v>
      </c>
      <c r="F1121" s="1">
        <v>2001</v>
      </c>
      <c r="G1121" s="1">
        <v>2002</v>
      </c>
      <c r="H1121" s="1">
        <v>2003</v>
      </c>
      <c r="I1121" s="1">
        <v>2004</v>
      </c>
      <c r="J1121" s="1">
        <v>2005</v>
      </c>
      <c r="K1121" s="1">
        <v>2006</v>
      </c>
      <c r="L1121" s="1">
        <v>2007</v>
      </c>
      <c r="M1121" s="1">
        <v>2008</v>
      </c>
      <c r="N1121" s="1">
        <v>2009</v>
      </c>
      <c r="O1121" s="1">
        <v>2010</v>
      </c>
      <c r="P1121" s="1">
        <v>2011</v>
      </c>
      <c r="Q1121" s="1">
        <v>2012</v>
      </c>
      <c r="R1121" s="1">
        <v>2013</v>
      </c>
      <c r="S1121" s="1">
        <v>2014</v>
      </c>
      <c r="T1121" s="1">
        <v>2015</v>
      </c>
      <c r="U1121" s="1">
        <v>2016</v>
      </c>
      <c r="V1121" s="1">
        <v>2017</v>
      </c>
      <c r="W1121" s="1">
        <v>2018</v>
      </c>
      <c r="X1121" s="1">
        <v>2019</v>
      </c>
      <c r="Y1121" s="1">
        <v>2020</v>
      </c>
      <c r="Z1121" s="1">
        <v>2021</v>
      </c>
      <c r="AA1121" s="1">
        <v>2022</v>
      </c>
      <c r="AB1121" s="1">
        <v>2023</v>
      </c>
      <c r="AC1121" s="1">
        <v>2024</v>
      </c>
      <c r="AD1121" s="1">
        <v>2025</v>
      </c>
      <c r="AE1121" s="1">
        <v>2026</v>
      </c>
      <c r="AF1121" s="1">
        <v>2027</v>
      </c>
      <c r="AG1121" s="1">
        <v>2028</v>
      </c>
      <c r="AH1121" s="1">
        <v>2029</v>
      </c>
      <c r="AI1121" s="1">
        <v>2030</v>
      </c>
      <c r="AJ1121" s="1">
        <v>2031</v>
      </c>
      <c r="AK1121" s="1">
        <v>2032</v>
      </c>
      <c r="AL1121" s="1">
        <v>2033</v>
      </c>
      <c r="AM1121" s="1">
        <v>2034</v>
      </c>
      <c r="AN1121" s="1">
        <v>2035</v>
      </c>
      <c r="AO1121" s="1">
        <v>2036</v>
      </c>
      <c r="AP1121" s="1">
        <v>2037</v>
      </c>
      <c r="AQ1121" s="1">
        <v>2038</v>
      </c>
      <c r="AR1121" s="1">
        <v>2039</v>
      </c>
      <c r="AS1121" s="1">
        <v>2040</v>
      </c>
      <c r="AT1121" s="1">
        <v>2041</v>
      </c>
      <c r="AU1121" s="1">
        <v>2042</v>
      </c>
      <c r="AV1121" s="1">
        <v>2043</v>
      </c>
      <c r="AW1121" s="1">
        <v>2044</v>
      </c>
      <c r="AX1121" s="1">
        <v>2045</v>
      </c>
      <c r="AY1121" s="1">
        <v>2046</v>
      </c>
      <c r="AZ1121" s="1">
        <v>2047</v>
      </c>
      <c r="BA1121" s="1">
        <v>2048</v>
      </c>
      <c r="BB1121" s="1">
        <v>2049</v>
      </c>
      <c r="BC1121" s="1">
        <v>2050</v>
      </c>
    </row>
    <row r="1122" spans="1:55">
      <c r="A1122" s="1" t="str">
        <f>'Population Definitions'!$A$2</f>
        <v>PWID_males</v>
      </c>
      <c r="C1122" t="s">
        <v>34</v>
      </c>
      <c r="D1122" s="3"/>
      <c r="E1122" s="3">
        <v>0</v>
      </c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</row>
    <row r="1123" spans="1:55">
      <c r="A1123" s="1" t="str">
        <f>'Population Definitions'!$A$3</f>
        <v>PWID_females</v>
      </c>
      <c r="C1123" t="s">
        <v>34</v>
      </c>
      <c r="D1123" s="3"/>
      <c r="E1123" s="3">
        <v>0</v>
      </c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</row>
    <row r="1124" spans="1:55">
      <c r="A1124" s="1" t="str">
        <f>'Population Definitions'!$A$4</f>
        <v>0-9_males</v>
      </c>
      <c r="C1124" t="s">
        <v>34</v>
      </c>
      <c r="D1124" s="3"/>
      <c r="E1124" s="3">
        <v>0</v>
      </c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</row>
    <row r="1125" spans="1:55">
      <c r="A1125" s="1" t="str">
        <f>'Population Definitions'!$A$5</f>
        <v>0-9_females</v>
      </c>
      <c r="C1125" t="s">
        <v>34</v>
      </c>
      <c r="D1125" s="3"/>
      <c r="E1125" s="3">
        <v>0</v>
      </c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</row>
    <row r="1126" spans="1:55">
      <c r="A1126" s="1" t="str">
        <f>'Population Definitions'!$A$6</f>
        <v>10-17_males</v>
      </c>
      <c r="C1126" t="s">
        <v>34</v>
      </c>
      <c r="D1126" s="3"/>
      <c r="E1126" s="3">
        <v>0</v>
      </c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</row>
    <row r="1127" spans="1:55">
      <c r="A1127" s="1" t="str">
        <f>'Population Definitions'!$A$7</f>
        <v>10-17_females</v>
      </c>
      <c r="C1127" t="s">
        <v>34</v>
      </c>
      <c r="D1127" s="3"/>
      <c r="E1127" s="3">
        <v>0</v>
      </c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</row>
    <row r="1128" spans="1:55">
      <c r="A1128" s="1" t="str">
        <f>'Population Definitions'!$A$8</f>
        <v>18-64_males</v>
      </c>
      <c r="C1128" t="s">
        <v>34</v>
      </c>
      <c r="D1128" s="3"/>
      <c r="E1128" s="3">
        <v>0</v>
      </c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</row>
    <row r="1129" spans="1:55">
      <c r="A1129" s="1" t="str">
        <f>'Population Definitions'!$A$9</f>
        <v>18-64_females</v>
      </c>
      <c r="C1129" t="s">
        <v>34</v>
      </c>
      <c r="D1129" s="3"/>
      <c r="E1129" s="3">
        <v>0</v>
      </c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</row>
    <row r="1130" spans="1:55">
      <c r="A1130" s="1" t="str">
        <f>'Population Definitions'!$A$10</f>
        <v>65+_males</v>
      </c>
      <c r="C1130" t="s">
        <v>34</v>
      </c>
      <c r="D1130" s="3"/>
      <c r="E1130" s="3">
        <v>0</v>
      </c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</row>
    <row r="1131" spans="1:55">
      <c r="A1131" s="1" t="str">
        <f>'Population Definitions'!$A$11</f>
        <v>65+_females</v>
      </c>
      <c r="C1131" t="s">
        <v>34</v>
      </c>
      <c r="D1131" s="3"/>
      <c r="E1131" s="3">
        <v>0</v>
      </c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</row>
    <row r="1132" spans="1:55">
      <c r="A1132" s="1" t="str">
        <f>'Population Definitions'!$A$12</f>
        <v>Prisoners_males</v>
      </c>
      <c r="C1132" t="s">
        <v>34</v>
      </c>
      <c r="D1132" s="3"/>
      <c r="E1132" s="3">
        <v>0</v>
      </c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</row>
    <row r="1133" spans="1:55">
      <c r="A1133" s="1" t="str">
        <f>'Population Definitions'!$A$13</f>
        <v>Prisoners_females</v>
      </c>
      <c r="C1133" t="s">
        <v>34</v>
      </c>
      <c r="D1133" s="3"/>
      <c r="E1133" s="3">
        <v>0</v>
      </c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</row>
    <row r="1134" spans="1:55">
      <c r="A1134" s="1" t="str">
        <f>'Population Definitions'!$A$14</f>
        <v>Prisoners_PWID_males</v>
      </c>
      <c r="C1134" t="s">
        <v>34</v>
      </c>
      <c r="D1134" s="3"/>
      <c r="E1134" s="3">
        <v>0</v>
      </c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</row>
    <row r="1135" spans="1:55">
      <c r="A1135" s="1" t="str">
        <f>'Population Definitions'!$A$15</f>
        <v>Prisoners_PWID_females</v>
      </c>
      <c r="C1135" t="s">
        <v>34</v>
      </c>
      <c r="D1135" s="3"/>
      <c r="E1135" s="3">
        <v>0</v>
      </c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</row>
    <row r="1137" spans="1:55">
      <c r="A1137" s="1" t="s">
        <v>198</v>
      </c>
      <c r="B1137" s="1" t="s">
        <v>31</v>
      </c>
      <c r="C1137" s="1" t="s">
        <v>32</v>
      </c>
      <c r="D1137" s="1" t="s">
        <v>33</v>
      </c>
      <c r="E1137" s="1">
        <v>2000</v>
      </c>
      <c r="F1137" s="1">
        <v>2001</v>
      </c>
      <c r="G1137" s="1">
        <v>2002</v>
      </c>
      <c r="H1137" s="1">
        <v>2003</v>
      </c>
      <c r="I1137" s="1">
        <v>2004</v>
      </c>
      <c r="J1137" s="1">
        <v>2005</v>
      </c>
      <c r="K1137" s="1">
        <v>2006</v>
      </c>
      <c r="L1137" s="1">
        <v>2007</v>
      </c>
      <c r="M1137" s="1">
        <v>2008</v>
      </c>
      <c r="N1137" s="1">
        <v>2009</v>
      </c>
      <c r="O1137" s="1">
        <v>2010</v>
      </c>
      <c r="P1137" s="1">
        <v>2011</v>
      </c>
      <c r="Q1137" s="1">
        <v>2012</v>
      </c>
      <c r="R1137" s="1">
        <v>2013</v>
      </c>
      <c r="S1137" s="1">
        <v>2014</v>
      </c>
      <c r="T1137" s="1">
        <v>2015</v>
      </c>
      <c r="U1137" s="1">
        <v>2016</v>
      </c>
      <c r="V1137" s="1">
        <v>2017</v>
      </c>
      <c r="W1137" s="1">
        <v>2018</v>
      </c>
      <c r="X1137" s="1">
        <v>2019</v>
      </c>
      <c r="Y1137" s="1">
        <v>2020</v>
      </c>
      <c r="Z1137" s="1">
        <v>2021</v>
      </c>
      <c r="AA1137" s="1">
        <v>2022</v>
      </c>
      <c r="AB1137" s="1">
        <v>2023</v>
      </c>
      <c r="AC1137" s="1">
        <v>2024</v>
      </c>
      <c r="AD1137" s="1">
        <v>2025</v>
      </c>
      <c r="AE1137" s="1">
        <v>2026</v>
      </c>
      <c r="AF1137" s="1">
        <v>2027</v>
      </c>
      <c r="AG1137" s="1">
        <v>2028</v>
      </c>
      <c r="AH1137" s="1">
        <v>2029</v>
      </c>
      <c r="AI1137" s="1">
        <v>2030</v>
      </c>
      <c r="AJ1137" s="1">
        <v>2031</v>
      </c>
      <c r="AK1137" s="1">
        <v>2032</v>
      </c>
      <c r="AL1137" s="1">
        <v>2033</v>
      </c>
      <c r="AM1137" s="1">
        <v>2034</v>
      </c>
      <c r="AN1137" s="1">
        <v>2035</v>
      </c>
      <c r="AO1137" s="1">
        <v>2036</v>
      </c>
      <c r="AP1137" s="1">
        <v>2037</v>
      </c>
      <c r="AQ1137" s="1">
        <v>2038</v>
      </c>
      <c r="AR1137" s="1">
        <v>2039</v>
      </c>
      <c r="AS1137" s="1">
        <v>2040</v>
      </c>
      <c r="AT1137" s="1">
        <v>2041</v>
      </c>
      <c r="AU1137" s="1">
        <v>2042</v>
      </c>
      <c r="AV1137" s="1">
        <v>2043</v>
      </c>
      <c r="AW1137" s="1">
        <v>2044</v>
      </c>
      <c r="AX1137" s="1">
        <v>2045</v>
      </c>
      <c r="AY1137" s="1">
        <v>2046</v>
      </c>
      <c r="AZ1137" s="1">
        <v>2047</v>
      </c>
      <c r="BA1137" s="1">
        <v>2048</v>
      </c>
      <c r="BB1137" s="1">
        <v>2049</v>
      </c>
      <c r="BC1137" s="1">
        <v>2050</v>
      </c>
    </row>
    <row r="1138" spans="1:55">
      <c r="A1138" s="1" t="str">
        <f>'Population Definitions'!$A$2</f>
        <v>PWID_males</v>
      </c>
      <c r="C1138" t="s">
        <v>34</v>
      </c>
      <c r="D1138" s="3"/>
      <c r="E1138" s="3">
        <v>0</v>
      </c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</row>
    <row r="1139" spans="1:55">
      <c r="A1139" s="1" t="str">
        <f>'Population Definitions'!$A$3</f>
        <v>PWID_females</v>
      </c>
      <c r="C1139" t="s">
        <v>34</v>
      </c>
      <c r="D1139" s="3"/>
      <c r="E1139" s="3">
        <v>0</v>
      </c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</row>
    <row r="1140" spans="1:55">
      <c r="A1140" s="1" t="str">
        <f>'Population Definitions'!$A$4</f>
        <v>0-9_males</v>
      </c>
      <c r="C1140" t="s">
        <v>34</v>
      </c>
      <c r="D1140" s="3"/>
      <c r="E1140" s="3">
        <v>0</v>
      </c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</row>
    <row r="1141" spans="1:55">
      <c r="A1141" s="1" t="str">
        <f>'Population Definitions'!$A$5</f>
        <v>0-9_females</v>
      </c>
      <c r="C1141" t="s">
        <v>34</v>
      </c>
      <c r="D1141" s="3"/>
      <c r="E1141" s="3">
        <v>0</v>
      </c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</row>
    <row r="1142" spans="1:55">
      <c r="A1142" s="1" t="str">
        <f>'Population Definitions'!$A$6</f>
        <v>10-17_males</v>
      </c>
      <c r="C1142" t="s">
        <v>34</v>
      </c>
      <c r="D1142" s="3"/>
      <c r="E1142" s="3">
        <v>0</v>
      </c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</row>
    <row r="1143" spans="1:55">
      <c r="A1143" s="1" t="str">
        <f>'Population Definitions'!$A$7</f>
        <v>10-17_females</v>
      </c>
      <c r="C1143" t="s">
        <v>34</v>
      </c>
      <c r="D1143" s="3"/>
      <c r="E1143" s="3">
        <v>0</v>
      </c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</row>
    <row r="1144" spans="1:55">
      <c r="A1144" s="1" t="str">
        <f>'Population Definitions'!$A$8</f>
        <v>18-64_males</v>
      </c>
      <c r="C1144" t="s">
        <v>34</v>
      </c>
      <c r="D1144" s="3"/>
      <c r="E1144" s="3">
        <v>0</v>
      </c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</row>
    <row r="1145" spans="1:55">
      <c r="A1145" s="1" t="str">
        <f>'Population Definitions'!$A$9</f>
        <v>18-64_females</v>
      </c>
      <c r="C1145" t="s">
        <v>34</v>
      </c>
      <c r="D1145" s="3"/>
      <c r="E1145" s="3">
        <v>0</v>
      </c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</row>
    <row r="1146" spans="1:55">
      <c r="A1146" s="1" t="str">
        <f>'Population Definitions'!$A$10</f>
        <v>65+_males</v>
      </c>
      <c r="C1146" t="s">
        <v>34</v>
      </c>
      <c r="D1146" s="3"/>
      <c r="E1146" s="3">
        <v>0</v>
      </c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</row>
    <row r="1147" spans="1:55">
      <c r="A1147" s="1" t="str">
        <f>'Population Definitions'!$A$11</f>
        <v>65+_females</v>
      </c>
      <c r="C1147" t="s">
        <v>34</v>
      </c>
      <c r="D1147" s="3"/>
      <c r="E1147" s="3">
        <v>0</v>
      </c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</row>
    <row r="1148" spans="1:55">
      <c r="A1148" s="1" t="str">
        <f>'Population Definitions'!$A$12</f>
        <v>Prisoners_males</v>
      </c>
      <c r="C1148" t="s">
        <v>34</v>
      </c>
      <c r="D1148" s="3"/>
      <c r="E1148" s="3">
        <v>0</v>
      </c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</row>
    <row r="1149" spans="1:55">
      <c r="A1149" s="1" t="str">
        <f>'Population Definitions'!$A$13</f>
        <v>Prisoners_females</v>
      </c>
      <c r="C1149" t="s">
        <v>34</v>
      </c>
      <c r="D1149" s="3"/>
      <c r="E1149" s="3">
        <v>0</v>
      </c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</row>
    <row r="1150" spans="1:55">
      <c r="A1150" s="1" t="str">
        <f>'Population Definitions'!$A$14</f>
        <v>Prisoners_PWID_males</v>
      </c>
      <c r="C1150" t="s">
        <v>34</v>
      </c>
      <c r="D1150" s="3"/>
      <c r="E1150" s="3">
        <v>0</v>
      </c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</row>
    <row r="1151" spans="1:55">
      <c r="A1151" s="1" t="str">
        <f>'Population Definitions'!$A$15</f>
        <v>Prisoners_PWID_females</v>
      </c>
      <c r="C1151" t="s">
        <v>34</v>
      </c>
      <c r="D1151" s="3"/>
      <c r="E1151" s="3">
        <v>0</v>
      </c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</row>
    <row r="1153" spans="1:55">
      <c r="A1153" s="1" t="s">
        <v>199</v>
      </c>
      <c r="B1153" s="1" t="s">
        <v>31</v>
      </c>
      <c r="C1153" s="1" t="s">
        <v>32</v>
      </c>
      <c r="D1153" s="1" t="s">
        <v>33</v>
      </c>
      <c r="E1153" s="1">
        <v>2000</v>
      </c>
      <c r="F1153" s="1">
        <v>2001</v>
      </c>
      <c r="G1153" s="1">
        <v>2002</v>
      </c>
      <c r="H1153" s="1">
        <v>2003</v>
      </c>
      <c r="I1153" s="1">
        <v>2004</v>
      </c>
      <c r="J1153" s="1">
        <v>2005</v>
      </c>
      <c r="K1153" s="1">
        <v>2006</v>
      </c>
      <c r="L1153" s="1">
        <v>2007</v>
      </c>
      <c r="M1153" s="1">
        <v>2008</v>
      </c>
      <c r="N1153" s="1">
        <v>2009</v>
      </c>
      <c r="O1153" s="1">
        <v>2010</v>
      </c>
      <c r="P1153" s="1">
        <v>2011</v>
      </c>
      <c r="Q1153" s="1">
        <v>2012</v>
      </c>
      <c r="R1153" s="1">
        <v>2013</v>
      </c>
      <c r="S1153" s="1">
        <v>2014</v>
      </c>
      <c r="T1153" s="1">
        <v>2015</v>
      </c>
      <c r="U1153" s="1">
        <v>2016</v>
      </c>
      <c r="V1153" s="1">
        <v>2017</v>
      </c>
      <c r="W1153" s="1">
        <v>2018</v>
      </c>
      <c r="X1153" s="1">
        <v>2019</v>
      </c>
      <c r="Y1153" s="1">
        <v>2020</v>
      </c>
      <c r="Z1153" s="1">
        <v>2021</v>
      </c>
      <c r="AA1153" s="1">
        <v>2022</v>
      </c>
      <c r="AB1153" s="1">
        <v>2023</v>
      </c>
      <c r="AC1153" s="1">
        <v>2024</v>
      </c>
      <c r="AD1153" s="1">
        <v>2025</v>
      </c>
      <c r="AE1153" s="1">
        <v>2026</v>
      </c>
      <c r="AF1153" s="1">
        <v>2027</v>
      </c>
      <c r="AG1153" s="1">
        <v>2028</v>
      </c>
      <c r="AH1153" s="1">
        <v>2029</v>
      </c>
      <c r="AI1153" s="1">
        <v>2030</v>
      </c>
      <c r="AJ1153" s="1">
        <v>2031</v>
      </c>
      <c r="AK1153" s="1">
        <v>2032</v>
      </c>
      <c r="AL1153" s="1">
        <v>2033</v>
      </c>
      <c r="AM1153" s="1">
        <v>2034</v>
      </c>
      <c r="AN1153" s="1">
        <v>2035</v>
      </c>
      <c r="AO1153" s="1">
        <v>2036</v>
      </c>
      <c r="AP1153" s="1">
        <v>2037</v>
      </c>
      <c r="AQ1153" s="1">
        <v>2038</v>
      </c>
      <c r="AR1153" s="1">
        <v>2039</v>
      </c>
      <c r="AS1153" s="1">
        <v>2040</v>
      </c>
      <c r="AT1153" s="1">
        <v>2041</v>
      </c>
      <c r="AU1153" s="1">
        <v>2042</v>
      </c>
      <c r="AV1153" s="1">
        <v>2043</v>
      </c>
      <c r="AW1153" s="1">
        <v>2044</v>
      </c>
      <c r="AX1153" s="1">
        <v>2045</v>
      </c>
      <c r="AY1153" s="1">
        <v>2046</v>
      </c>
      <c r="AZ1153" s="1">
        <v>2047</v>
      </c>
      <c r="BA1153" s="1">
        <v>2048</v>
      </c>
      <c r="BB1153" s="1">
        <v>2049</v>
      </c>
      <c r="BC1153" s="1">
        <v>2050</v>
      </c>
    </row>
    <row r="1154" spans="1:55">
      <c r="A1154" s="1" t="str">
        <f>'Population Definitions'!$A$2</f>
        <v>PWID_males</v>
      </c>
      <c r="C1154" t="s">
        <v>34</v>
      </c>
      <c r="D1154" s="3"/>
      <c r="E1154" s="3">
        <v>0</v>
      </c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</row>
    <row r="1155" spans="1:55">
      <c r="A1155" s="1" t="str">
        <f>'Population Definitions'!$A$3</f>
        <v>PWID_females</v>
      </c>
      <c r="C1155" t="s">
        <v>34</v>
      </c>
      <c r="D1155" s="3"/>
      <c r="E1155" s="3">
        <v>0</v>
      </c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</row>
    <row r="1156" spans="1:55">
      <c r="A1156" s="1" t="str">
        <f>'Population Definitions'!$A$4</f>
        <v>0-9_males</v>
      </c>
      <c r="C1156" t="s">
        <v>34</v>
      </c>
      <c r="D1156" s="3"/>
      <c r="E1156" s="3">
        <v>0</v>
      </c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</row>
    <row r="1157" spans="1:55">
      <c r="A1157" s="1" t="str">
        <f>'Population Definitions'!$A$5</f>
        <v>0-9_females</v>
      </c>
      <c r="C1157" t="s">
        <v>34</v>
      </c>
      <c r="D1157" s="3"/>
      <c r="E1157" s="3">
        <v>0</v>
      </c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</row>
    <row r="1158" spans="1:55">
      <c r="A1158" s="1" t="str">
        <f>'Population Definitions'!$A$6</f>
        <v>10-17_males</v>
      </c>
      <c r="C1158" t="s">
        <v>34</v>
      </c>
      <c r="D1158" s="3"/>
      <c r="E1158" s="3">
        <v>0</v>
      </c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</row>
    <row r="1159" spans="1:55">
      <c r="A1159" s="1" t="str">
        <f>'Population Definitions'!$A$7</f>
        <v>10-17_females</v>
      </c>
      <c r="C1159" t="s">
        <v>34</v>
      </c>
      <c r="D1159" s="3"/>
      <c r="E1159" s="3">
        <v>0</v>
      </c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</row>
    <row r="1160" spans="1:55">
      <c r="A1160" s="1" t="str">
        <f>'Population Definitions'!$A$8</f>
        <v>18-64_males</v>
      </c>
      <c r="C1160" t="s">
        <v>34</v>
      </c>
      <c r="D1160" s="3"/>
      <c r="E1160" s="3">
        <v>0</v>
      </c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</row>
    <row r="1161" spans="1:55">
      <c r="A1161" s="1" t="str">
        <f>'Population Definitions'!$A$9</f>
        <v>18-64_females</v>
      </c>
      <c r="C1161" t="s">
        <v>34</v>
      </c>
      <c r="D1161" s="3"/>
      <c r="E1161" s="3">
        <v>0</v>
      </c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</row>
    <row r="1162" spans="1:55">
      <c r="A1162" s="1" t="str">
        <f>'Population Definitions'!$A$10</f>
        <v>65+_males</v>
      </c>
      <c r="C1162" t="s">
        <v>34</v>
      </c>
      <c r="D1162" s="3"/>
      <c r="E1162" s="3">
        <v>0</v>
      </c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</row>
    <row r="1163" spans="1:55">
      <c r="A1163" s="1" t="str">
        <f>'Population Definitions'!$A$11</f>
        <v>65+_females</v>
      </c>
      <c r="C1163" t="s">
        <v>34</v>
      </c>
      <c r="D1163" s="3"/>
      <c r="E1163" s="3">
        <v>0</v>
      </c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</row>
    <row r="1164" spans="1:55">
      <c r="A1164" s="1" t="str">
        <f>'Population Definitions'!$A$12</f>
        <v>Prisoners_males</v>
      </c>
      <c r="C1164" t="s">
        <v>34</v>
      </c>
      <c r="D1164" s="3"/>
      <c r="E1164" s="3">
        <v>0</v>
      </c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</row>
    <row r="1165" spans="1:55">
      <c r="A1165" s="1" t="str">
        <f>'Population Definitions'!$A$13</f>
        <v>Prisoners_females</v>
      </c>
      <c r="C1165" t="s">
        <v>34</v>
      </c>
      <c r="D1165" s="3"/>
      <c r="E1165" s="3">
        <v>0</v>
      </c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</row>
    <row r="1166" spans="1:55">
      <c r="A1166" s="1" t="str">
        <f>'Population Definitions'!$A$14</f>
        <v>Prisoners_PWID_males</v>
      </c>
      <c r="C1166" t="s">
        <v>34</v>
      </c>
      <c r="D1166" s="3"/>
      <c r="E1166" s="3">
        <v>0</v>
      </c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</row>
    <row r="1167" spans="1:55">
      <c r="A1167" s="1" t="str">
        <f>'Population Definitions'!$A$15</f>
        <v>Prisoners_PWID_females</v>
      </c>
      <c r="C1167" t="s">
        <v>34</v>
      </c>
      <c r="D1167" s="3"/>
      <c r="E1167" s="3">
        <v>0</v>
      </c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</row>
    <row r="1169" spans="1:55">
      <c r="A1169" s="1" t="s">
        <v>200</v>
      </c>
      <c r="B1169" s="1" t="s">
        <v>31</v>
      </c>
      <c r="C1169" s="1" t="s">
        <v>32</v>
      </c>
      <c r="D1169" s="1" t="s">
        <v>33</v>
      </c>
      <c r="E1169" s="1">
        <v>2000</v>
      </c>
      <c r="F1169" s="1">
        <v>2001</v>
      </c>
      <c r="G1169" s="1">
        <v>2002</v>
      </c>
      <c r="H1169" s="1">
        <v>2003</v>
      </c>
      <c r="I1169" s="1">
        <v>2004</v>
      </c>
      <c r="J1169" s="1">
        <v>2005</v>
      </c>
      <c r="K1169" s="1">
        <v>2006</v>
      </c>
      <c r="L1169" s="1">
        <v>2007</v>
      </c>
      <c r="M1169" s="1">
        <v>2008</v>
      </c>
      <c r="N1169" s="1">
        <v>2009</v>
      </c>
      <c r="O1169" s="1">
        <v>2010</v>
      </c>
      <c r="P1169" s="1">
        <v>2011</v>
      </c>
      <c r="Q1169" s="1">
        <v>2012</v>
      </c>
      <c r="R1169" s="1">
        <v>2013</v>
      </c>
      <c r="S1169" s="1">
        <v>2014</v>
      </c>
      <c r="T1169" s="1">
        <v>2015</v>
      </c>
      <c r="U1169" s="1">
        <v>2016</v>
      </c>
      <c r="V1169" s="1">
        <v>2017</v>
      </c>
      <c r="W1169" s="1">
        <v>2018</v>
      </c>
      <c r="X1169" s="1">
        <v>2019</v>
      </c>
      <c r="Y1169" s="1">
        <v>2020</v>
      </c>
      <c r="Z1169" s="1">
        <v>2021</v>
      </c>
      <c r="AA1169" s="1">
        <v>2022</v>
      </c>
      <c r="AB1169" s="1">
        <v>2023</v>
      </c>
      <c r="AC1169" s="1">
        <v>2024</v>
      </c>
      <c r="AD1169" s="1">
        <v>2025</v>
      </c>
      <c r="AE1169" s="1">
        <v>2026</v>
      </c>
      <c r="AF1169" s="1">
        <v>2027</v>
      </c>
      <c r="AG1169" s="1">
        <v>2028</v>
      </c>
      <c r="AH1169" s="1">
        <v>2029</v>
      </c>
      <c r="AI1169" s="1">
        <v>2030</v>
      </c>
      <c r="AJ1169" s="1">
        <v>2031</v>
      </c>
      <c r="AK1169" s="1">
        <v>2032</v>
      </c>
      <c r="AL1169" s="1">
        <v>2033</v>
      </c>
      <c r="AM1169" s="1">
        <v>2034</v>
      </c>
      <c r="AN1169" s="1">
        <v>2035</v>
      </c>
      <c r="AO1169" s="1">
        <v>2036</v>
      </c>
      <c r="AP1169" s="1">
        <v>2037</v>
      </c>
      <c r="AQ1169" s="1">
        <v>2038</v>
      </c>
      <c r="AR1169" s="1">
        <v>2039</v>
      </c>
      <c r="AS1169" s="1">
        <v>2040</v>
      </c>
      <c r="AT1169" s="1">
        <v>2041</v>
      </c>
      <c r="AU1169" s="1">
        <v>2042</v>
      </c>
      <c r="AV1169" s="1">
        <v>2043</v>
      </c>
      <c r="AW1169" s="1">
        <v>2044</v>
      </c>
      <c r="AX1169" s="1">
        <v>2045</v>
      </c>
      <c r="AY1169" s="1">
        <v>2046</v>
      </c>
      <c r="AZ1169" s="1">
        <v>2047</v>
      </c>
      <c r="BA1169" s="1">
        <v>2048</v>
      </c>
      <c r="BB1169" s="1">
        <v>2049</v>
      </c>
      <c r="BC1169" s="1">
        <v>2050</v>
      </c>
    </row>
    <row r="1170" spans="1:55">
      <c r="A1170" s="1" t="str">
        <f>'Population Definitions'!$A$2</f>
        <v>PWID_males</v>
      </c>
      <c r="C1170" t="s">
        <v>34</v>
      </c>
      <c r="D1170" s="3"/>
      <c r="E1170" s="3">
        <v>0</v>
      </c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</row>
    <row r="1171" spans="1:55">
      <c r="A1171" s="1" t="str">
        <f>'Population Definitions'!$A$3</f>
        <v>PWID_females</v>
      </c>
      <c r="C1171" t="s">
        <v>34</v>
      </c>
      <c r="D1171" s="3"/>
      <c r="E1171" s="3">
        <v>0</v>
      </c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</row>
    <row r="1172" spans="1:55">
      <c r="A1172" s="1" t="str">
        <f>'Population Definitions'!$A$4</f>
        <v>0-9_males</v>
      </c>
      <c r="C1172" t="s">
        <v>34</v>
      </c>
      <c r="D1172" s="3"/>
      <c r="E1172" s="3">
        <v>0</v>
      </c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</row>
    <row r="1173" spans="1:55">
      <c r="A1173" s="1" t="str">
        <f>'Population Definitions'!$A$5</f>
        <v>0-9_females</v>
      </c>
      <c r="C1173" t="s">
        <v>34</v>
      </c>
      <c r="D1173" s="3"/>
      <c r="E1173" s="3">
        <v>0</v>
      </c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</row>
    <row r="1174" spans="1:55">
      <c r="A1174" s="1" t="str">
        <f>'Population Definitions'!$A$6</f>
        <v>10-17_males</v>
      </c>
      <c r="C1174" t="s">
        <v>34</v>
      </c>
      <c r="D1174" s="3"/>
      <c r="E1174" s="3">
        <v>0</v>
      </c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</row>
    <row r="1175" spans="1:55">
      <c r="A1175" s="1" t="str">
        <f>'Population Definitions'!$A$7</f>
        <v>10-17_females</v>
      </c>
      <c r="C1175" t="s">
        <v>34</v>
      </c>
      <c r="D1175" s="3"/>
      <c r="E1175" s="3">
        <v>0</v>
      </c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</row>
    <row r="1176" spans="1:55">
      <c r="A1176" s="1" t="str">
        <f>'Population Definitions'!$A$8</f>
        <v>18-64_males</v>
      </c>
      <c r="C1176" t="s">
        <v>34</v>
      </c>
      <c r="D1176" s="3"/>
      <c r="E1176" s="3">
        <v>0</v>
      </c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</row>
    <row r="1177" spans="1:55">
      <c r="A1177" s="1" t="str">
        <f>'Population Definitions'!$A$9</f>
        <v>18-64_females</v>
      </c>
      <c r="C1177" t="s">
        <v>34</v>
      </c>
      <c r="D1177" s="3"/>
      <c r="E1177" s="3">
        <v>0</v>
      </c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</row>
    <row r="1178" spans="1:55">
      <c r="A1178" s="1" t="str">
        <f>'Population Definitions'!$A$10</f>
        <v>65+_males</v>
      </c>
      <c r="C1178" t="s">
        <v>34</v>
      </c>
      <c r="D1178" s="3"/>
      <c r="E1178" s="3">
        <v>0</v>
      </c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</row>
    <row r="1179" spans="1:55">
      <c r="A1179" s="1" t="str">
        <f>'Population Definitions'!$A$11</f>
        <v>65+_females</v>
      </c>
      <c r="C1179" t="s">
        <v>34</v>
      </c>
      <c r="D1179" s="3"/>
      <c r="E1179" s="3">
        <v>0</v>
      </c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</row>
    <row r="1180" spans="1:55">
      <c r="A1180" s="1" t="str">
        <f>'Population Definitions'!$A$12</f>
        <v>Prisoners_males</v>
      </c>
      <c r="C1180" t="s">
        <v>34</v>
      </c>
      <c r="D1180" s="3"/>
      <c r="E1180" s="3">
        <v>0</v>
      </c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</row>
    <row r="1181" spans="1:55">
      <c r="A1181" s="1" t="str">
        <f>'Population Definitions'!$A$13</f>
        <v>Prisoners_females</v>
      </c>
      <c r="C1181" t="s">
        <v>34</v>
      </c>
      <c r="D1181" s="3"/>
      <c r="E1181" s="3">
        <v>0</v>
      </c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</row>
    <row r="1182" spans="1:55">
      <c r="A1182" s="1" t="str">
        <f>'Population Definitions'!$A$14</f>
        <v>Prisoners_PWID_males</v>
      </c>
      <c r="C1182" t="s">
        <v>34</v>
      </c>
      <c r="D1182" s="3"/>
      <c r="E1182" s="3">
        <v>0</v>
      </c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</row>
    <row r="1183" spans="1:55">
      <c r="A1183" s="1" t="str">
        <f>'Population Definitions'!$A$15</f>
        <v>Prisoners_PWID_females</v>
      </c>
      <c r="C1183" t="s">
        <v>34</v>
      </c>
      <c r="D1183" s="3"/>
      <c r="E1183" s="3">
        <v>0</v>
      </c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</row>
    <row r="1185" spans="1:55">
      <c r="A1185" s="1" t="s">
        <v>201</v>
      </c>
      <c r="B1185" s="1" t="s">
        <v>31</v>
      </c>
      <c r="C1185" s="1" t="s">
        <v>32</v>
      </c>
      <c r="D1185" s="1" t="s">
        <v>33</v>
      </c>
      <c r="E1185" s="1">
        <v>2000</v>
      </c>
      <c r="F1185" s="1">
        <v>2001</v>
      </c>
      <c r="G1185" s="1">
        <v>2002</v>
      </c>
      <c r="H1185" s="1">
        <v>2003</v>
      </c>
      <c r="I1185" s="1">
        <v>2004</v>
      </c>
      <c r="J1185" s="1">
        <v>2005</v>
      </c>
      <c r="K1185" s="1">
        <v>2006</v>
      </c>
      <c r="L1185" s="1">
        <v>2007</v>
      </c>
      <c r="M1185" s="1">
        <v>2008</v>
      </c>
      <c r="N1185" s="1">
        <v>2009</v>
      </c>
      <c r="O1185" s="1">
        <v>2010</v>
      </c>
      <c r="P1185" s="1">
        <v>2011</v>
      </c>
      <c r="Q1185" s="1">
        <v>2012</v>
      </c>
      <c r="R1185" s="1">
        <v>2013</v>
      </c>
      <c r="S1185" s="1">
        <v>2014</v>
      </c>
      <c r="T1185" s="1">
        <v>2015</v>
      </c>
      <c r="U1185" s="1">
        <v>2016</v>
      </c>
      <c r="V1185" s="1">
        <v>2017</v>
      </c>
      <c r="W1185" s="1">
        <v>2018</v>
      </c>
      <c r="X1185" s="1">
        <v>2019</v>
      </c>
      <c r="Y1185" s="1">
        <v>2020</v>
      </c>
      <c r="Z1185" s="1">
        <v>2021</v>
      </c>
      <c r="AA1185" s="1">
        <v>2022</v>
      </c>
      <c r="AB1185" s="1">
        <v>2023</v>
      </c>
      <c r="AC1185" s="1">
        <v>2024</v>
      </c>
      <c r="AD1185" s="1">
        <v>2025</v>
      </c>
      <c r="AE1185" s="1">
        <v>2026</v>
      </c>
      <c r="AF1185" s="1">
        <v>2027</v>
      </c>
      <c r="AG1185" s="1">
        <v>2028</v>
      </c>
      <c r="AH1185" s="1">
        <v>2029</v>
      </c>
      <c r="AI1185" s="1">
        <v>2030</v>
      </c>
      <c r="AJ1185" s="1">
        <v>2031</v>
      </c>
      <c r="AK1185" s="1">
        <v>2032</v>
      </c>
      <c r="AL1185" s="1">
        <v>2033</v>
      </c>
      <c r="AM1185" s="1">
        <v>2034</v>
      </c>
      <c r="AN1185" s="1">
        <v>2035</v>
      </c>
      <c r="AO1185" s="1">
        <v>2036</v>
      </c>
      <c r="AP1185" s="1">
        <v>2037</v>
      </c>
      <c r="AQ1185" s="1">
        <v>2038</v>
      </c>
      <c r="AR1185" s="1">
        <v>2039</v>
      </c>
      <c r="AS1185" s="1">
        <v>2040</v>
      </c>
      <c r="AT1185" s="1">
        <v>2041</v>
      </c>
      <c r="AU1185" s="1">
        <v>2042</v>
      </c>
      <c r="AV1185" s="1">
        <v>2043</v>
      </c>
      <c r="AW1185" s="1">
        <v>2044</v>
      </c>
      <c r="AX1185" s="1">
        <v>2045</v>
      </c>
      <c r="AY1185" s="1">
        <v>2046</v>
      </c>
      <c r="AZ1185" s="1">
        <v>2047</v>
      </c>
      <c r="BA1185" s="1">
        <v>2048</v>
      </c>
      <c r="BB1185" s="1">
        <v>2049</v>
      </c>
      <c r="BC1185" s="1">
        <v>2050</v>
      </c>
    </row>
    <row r="1186" spans="1:55">
      <c r="A1186" s="1" t="str">
        <f>'Population Definitions'!$A$2</f>
        <v>PWID_males</v>
      </c>
      <c r="C1186" t="s">
        <v>34</v>
      </c>
      <c r="D1186" s="3"/>
      <c r="E1186" s="3">
        <v>0</v>
      </c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</row>
    <row r="1187" spans="1:55">
      <c r="A1187" s="1" t="str">
        <f>'Population Definitions'!$A$3</f>
        <v>PWID_females</v>
      </c>
      <c r="C1187" t="s">
        <v>34</v>
      </c>
      <c r="D1187" s="3"/>
      <c r="E1187" s="3">
        <v>0</v>
      </c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</row>
    <row r="1188" spans="1:55">
      <c r="A1188" s="1" t="str">
        <f>'Population Definitions'!$A$4</f>
        <v>0-9_males</v>
      </c>
      <c r="C1188" t="s">
        <v>34</v>
      </c>
      <c r="D1188" s="3"/>
      <c r="E1188" s="3">
        <v>0</v>
      </c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</row>
    <row r="1189" spans="1:55">
      <c r="A1189" s="1" t="str">
        <f>'Population Definitions'!$A$5</f>
        <v>0-9_females</v>
      </c>
      <c r="C1189" t="s">
        <v>34</v>
      </c>
      <c r="D1189" s="3"/>
      <c r="E1189" s="3">
        <v>0</v>
      </c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</row>
    <row r="1190" spans="1:55">
      <c r="A1190" s="1" t="str">
        <f>'Population Definitions'!$A$6</f>
        <v>10-17_males</v>
      </c>
      <c r="C1190" t="s">
        <v>34</v>
      </c>
      <c r="D1190" s="3"/>
      <c r="E1190" s="3">
        <v>0</v>
      </c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</row>
    <row r="1191" spans="1:55">
      <c r="A1191" s="1" t="str">
        <f>'Population Definitions'!$A$7</f>
        <v>10-17_females</v>
      </c>
      <c r="C1191" t="s">
        <v>34</v>
      </c>
      <c r="D1191" s="3"/>
      <c r="E1191" s="3">
        <v>0</v>
      </c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</row>
    <row r="1192" spans="1:55">
      <c r="A1192" s="1" t="str">
        <f>'Population Definitions'!$A$8</f>
        <v>18-64_males</v>
      </c>
      <c r="C1192" t="s">
        <v>34</v>
      </c>
      <c r="D1192" s="3"/>
      <c r="E1192" s="3">
        <v>0</v>
      </c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</row>
    <row r="1193" spans="1:55">
      <c r="A1193" s="1" t="str">
        <f>'Population Definitions'!$A$9</f>
        <v>18-64_females</v>
      </c>
      <c r="C1193" t="s">
        <v>34</v>
      </c>
      <c r="D1193" s="3"/>
      <c r="E1193" s="3">
        <v>0</v>
      </c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</row>
    <row r="1194" spans="1:55">
      <c r="A1194" s="1" t="str">
        <f>'Population Definitions'!$A$10</f>
        <v>65+_males</v>
      </c>
      <c r="C1194" t="s">
        <v>34</v>
      </c>
      <c r="D1194" s="3"/>
      <c r="E1194" s="3">
        <v>0</v>
      </c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</row>
    <row r="1195" spans="1:55">
      <c r="A1195" s="1" t="str">
        <f>'Population Definitions'!$A$11</f>
        <v>65+_females</v>
      </c>
      <c r="C1195" t="s">
        <v>34</v>
      </c>
      <c r="D1195" s="3"/>
      <c r="E1195" s="3">
        <v>0</v>
      </c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</row>
    <row r="1196" spans="1:55">
      <c r="A1196" s="1" t="str">
        <f>'Population Definitions'!$A$12</f>
        <v>Prisoners_males</v>
      </c>
      <c r="C1196" t="s">
        <v>34</v>
      </c>
      <c r="D1196" s="3"/>
      <c r="E1196" s="3">
        <v>0</v>
      </c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</row>
    <row r="1197" spans="1:55">
      <c r="A1197" s="1" t="str">
        <f>'Population Definitions'!$A$13</f>
        <v>Prisoners_females</v>
      </c>
      <c r="C1197" t="s">
        <v>34</v>
      </c>
      <c r="D1197" s="3"/>
      <c r="E1197" s="3">
        <v>0</v>
      </c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</row>
    <row r="1198" spans="1:55">
      <c r="A1198" s="1" t="str">
        <f>'Population Definitions'!$A$14</f>
        <v>Prisoners_PWID_males</v>
      </c>
      <c r="C1198" t="s">
        <v>34</v>
      </c>
      <c r="D1198" s="3"/>
      <c r="E1198" s="3">
        <v>0</v>
      </c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</row>
    <row r="1199" spans="1:55">
      <c r="A1199" s="1" t="str">
        <f>'Population Definitions'!$A$15</f>
        <v>Prisoners_PWID_females</v>
      </c>
      <c r="C1199" t="s">
        <v>34</v>
      </c>
      <c r="D1199" s="3"/>
      <c r="E1199" s="3">
        <v>0</v>
      </c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</row>
    <row r="1201" spans="1:55">
      <c r="A1201" s="1" t="s">
        <v>202</v>
      </c>
      <c r="B1201" s="1" t="s">
        <v>31</v>
      </c>
      <c r="C1201" s="1" t="s">
        <v>32</v>
      </c>
      <c r="D1201" s="1" t="s">
        <v>33</v>
      </c>
      <c r="E1201" s="1">
        <v>2000</v>
      </c>
      <c r="F1201" s="1">
        <v>2001</v>
      </c>
      <c r="G1201" s="1">
        <v>2002</v>
      </c>
      <c r="H1201" s="1">
        <v>2003</v>
      </c>
      <c r="I1201" s="1">
        <v>2004</v>
      </c>
      <c r="J1201" s="1">
        <v>2005</v>
      </c>
      <c r="K1201" s="1">
        <v>2006</v>
      </c>
      <c r="L1201" s="1">
        <v>2007</v>
      </c>
      <c r="M1201" s="1">
        <v>2008</v>
      </c>
      <c r="N1201" s="1">
        <v>2009</v>
      </c>
      <c r="O1201" s="1">
        <v>2010</v>
      </c>
      <c r="P1201" s="1">
        <v>2011</v>
      </c>
      <c r="Q1201" s="1">
        <v>2012</v>
      </c>
      <c r="R1201" s="1">
        <v>2013</v>
      </c>
      <c r="S1201" s="1">
        <v>2014</v>
      </c>
      <c r="T1201" s="1">
        <v>2015</v>
      </c>
      <c r="U1201" s="1">
        <v>2016</v>
      </c>
      <c r="V1201" s="1">
        <v>2017</v>
      </c>
      <c r="W1201" s="1">
        <v>2018</v>
      </c>
      <c r="X1201" s="1">
        <v>2019</v>
      </c>
      <c r="Y1201" s="1">
        <v>2020</v>
      </c>
      <c r="Z1201" s="1">
        <v>2021</v>
      </c>
      <c r="AA1201" s="1">
        <v>2022</v>
      </c>
      <c r="AB1201" s="1">
        <v>2023</v>
      </c>
      <c r="AC1201" s="1">
        <v>2024</v>
      </c>
      <c r="AD1201" s="1">
        <v>2025</v>
      </c>
      <c r="AE1201" s="1">
        <v>2026</v>
      </c>
      <c r="AF1201" s="1">
        <v>2027</v>
      </c>
      <c r="AG1201" s="1">
        <v>2028</v>
      </c>
      <c r="AH1201" s="1">
        <v>2029</v>
      </c>
      <c r="AI1201" s="1">
        <v>2030</v>
      </c>
      <c r="AJ1201" s="1">
        <v>2031</v>
      </c>
      <c r="AK1201" s="1">
        <v>2032</v>
      </c>
      <c r="AL1201" s="1">
        <v>2033</v>
      </c>
      <c r="AM1201" s="1">
        <v>2034</v>
      </c>
      <c r="AN1201" s="1">
        <v>2035</v>
      </c>
      <c r="AO1201" s="1">
        <v>2036</v>
      </c>
      <c r="AP1201" s="1">
        <v>2037</v>
      </c>
      <c r="AQ1201" s="1">
        <v>2038</v>
      </c>
      <c r="AR1201" s="1">
        <v>2039</v>
      </c>
      <c r="AS1201" s="1">
        <v>2040</v>
      </c>
      <c r="AT1201" s="1">
        <v>2041</v>
      </c>
      <c r="AU1201" s="1">
        <v>2042</v>
      </c>
      <c r="AV1201" s="1">
        <v>2043</v>
      </c>
      <c r="AW1201" s="1">
        <v>2044</v>
      </c>
      <c r="AX1201" s="1">
        <v>2045</v>
      </c>
      <c r="AY1201" s="1">
        <v>2046</v>
      </c>
      <c r="AZ1201" s="1">
        <v>2047</v>
      </c>
      <c r="BA1201" s="1">
        <v>2048</v>
      </c>
      <c r="BB1201" s="1">
        <v>2049</v>
      </c>
      <c r="BC1201" s="1">
        <v>2050</v>
      </c>
    </row>
    <row r="1202" spans="1:55">
      <c r="A1202" s="1" t="str">
        <f>'Population Definitions'!$A$2</f>
        <v>PWID_males</v>
      </c>
      <c r="C1202" t="s">
        <v>34</v>
      </c>
      <c r="D1202" s="3"/>
      <c r="E1202" s="3">
        <v>0</v>
      </c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</row>
    <row r="1203" spans="1:55">
      <c r="A1203" s="1" t="str">
        <f>'Population Definitions'!$A$3</f>
        <v>PWID_females</v>
      </c>
      <c r="C1203" t="s">
        <v>34</v>
      </c>
      <c r="D1203" s="3"/>
      <c r="E1203" s="3">
        <v>0</v>
      </c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</row>
    <row r="1204" spans="1:55">
      <c r="A1204" s="1" t="str">
        <f>'Population Definitions'!$A$4</f>
        <v>0-9_males</v>
      </c>
      <c r="C1204" t="s">
        <v>34</v>
      </c>
      <c r="D1204" s="3"/>
      <c r="E1204" s="3">
        <v>0</v>
      </c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</row>
    <row r="1205" spans="1:55">
      <c r="A1205" s="1" t="str">
        <f>'Population Definitions'!$A$5</f>
        <v>0-9_females</v>
      </c>
      <c r="C1205" t="s">
        <v>34</v>
      </c>
      <c r="D1205" s="3"/>
      <c r="E1205" s="3">
        <v>0</v>
      </c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</row>
    <row r="1206" spans="1:55">
      <c r="A1206" s="1" t="str">
        <f>'Population Definitions'!$A$6</f>
        <v>10-17_males</v>
      </c>
      <c r="C1206" t="s">
        <v>34</v>
      </c>
      <c r="D1206" s="3"/>
      <c r="E1206" s="3">
        <v>0</v>
      </c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</row>
    <row r="1207" spans="1:55">
      <c r="A1207" s="1" t="str">
        <f>'Population Definitions'!$A$7</f>
        <v>10-17_females</v>
      </c>
      <c r="C1207" t="s">
        <v>34</v>
      </c>
      <c r="D1207" s="3"/>
      <c r="E1207" s="3">
        <v>0</v>
      </c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</row>
    <row r="1208" spans="1:55">
      <c r="A1208" s="1" t="str">
        <f>'Population Definitions'!$A$8</f>
        <v>18-64_males</v>
      </c>
      <c r="C1208" t="s">
        <v>34</v>
      </c>
      <c r="D1208" s="3"/>
      <c r="E1208" s="3">
        <v>0</v>
      </c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</row>
    <row r="1209" spans="1:55">
      <c r="A1209" s="1" t="str">
        <f>'Population Definitions'!$A$9</f>
        <v>18-64_females</v>
      </c>
      <c r="C1209" t="s">
        <v>34</v>
      </c>
      <c r="D1209" s="3"/>
      <c r="E1209" s="3">
        <v>0</v>
      </c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</row>
    <row r="1210" spans="1:55">
      <c r="A1210" s="1" t="str">
        <f>'Population Definitions'!$A$10</f>
        <v>65+_males</v>
      </c>
      <c r="C1210" t="s">
        <v>34</v>
      </c>
      <c r="D1210" s="3"/>
      <c r="E1210" s="3">
        <v>0</v>
      </c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</row>
    <row r="1211" spans="1:55">
      <c r="A1211" s="1" t="str">
        <f>'Population Definitions'!$A$11</f>
        <v>65+_females</v>
      </c>
      <c r="C1211" t="s">
        <v>34</v>
      </c>
      <c r="D1211" s="3"/>
      <c r="E1211" s="3">
        <v>0</v>
      </c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</row>
    <row r="1212" spans="1:55">
      <c r="A1212" s="1" t="str">
        <f>'Population Definitions'!$A$12</f>
        <v>Prisoners_males</v>
      </c>
      <c r="C1212" t="s">
        <v>34</v>
      </c>
      <c r="D1212" s="3"/>
      <c r="E1212" s="3">
        <v>0</v>
      </c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</row>
    <row r="1213" spans="1:55">
      <c r="A1213" s="1" t="str">
        <f>'Population Definitions'!$A$13</f>
        <v>Prisoners_females</v>
      </c>
      <c r="C1213" t="s">
        <v>34</v>
      </c>
      <c r="D1213" s="3"/>
      <c r="E1213" s="3">
        <v>0</v>
      </c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</row>
    <row r="1214" spans="1:55">
      <c r="A1214" s="1" t="str">
        <f>'Population Definitions'!$A$14</f>
        <v>Prisoners_PWID_males</v>
      </c>
      <c r="C1214" t="s">
        <v>34</v>
      </c>
      <c r="D1214" s="3"/>
      <c r="E1214" s="3">
        <v>0</v>
      </c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</row>
    <row r="1215" spans="1:55">
      <c r="A1215" s="1" t="str">
        <f>'Population Definitions'!$A$15</f>
        <v>Prisoners_PWID_females</v>
      </c>
      <c r="C1215" t="s">
        <v>34</v>
      </c>
      <c r="D1215" s="3"/>
      <c r="E1215" s="3">
        <v>0</v>
      </c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</row>
    <row r="1217" spans="1:55">
      <c r="A1217" s="1" t="s">
        <v>203</v>
      </c>
      <c r="B1217" s="1" t="s">
        <v>31</v>
      </c>
      <c r="C1217" s="1" t="s">
        <v>32</v>
      </c>
      <c r="D1217" s="1" t="s">
        <v>33</v>
      </c>
      <c r="E1217" s="1">
        <v>2000</v>
      </c>
      <c r="F1217" s="1">
        <v>2001</v>
      </c>
      <c r="G1217" s="1">
        <v>2002</v>
      </c>
      <c r="H1217" s="1">
        <v>2003</v>
      </c>
      <c r="I1217" s="1">
        <v>2004</v>
      </c>
      <c r="J1217" s="1">
        <v>2005</v>
      </c>
      <c r="K1217" s="1">
        <v>2006</v>
      </c>
      <c r="L1217" s="1">
        <v>2007</v>
      </c>
      <c r="M1217" s="1">
        <v>2008</v>
      </c>
      <c r="N1217" s="1">
        <v>2009</v>
      </c>
      <c r="O1217" s="1">
        <v>2010</v>
      </c>
      <c r="P1217" s="1">
        <v>2011</v>
      </c>
      <c r="Q1217" s="1">
        <v>2012</v>
      </c>
      <c r="R1217" s="1">
        <v>2013</v>
      </c>
      <c r="S1217" s="1">
        <v>2014</v>
      </c>
      <c r="T1217" s="1">
        <v>2015</v>
      </c>
      <c r="U1217" s="1">
        <v>2016</v>
      </c>
      <c r="V1217" s="1">
        <v>2017</v>
      </c>
      <c r="W1217" s="1">
        <v>2018</v>
      </c>
      <c r="X1217" s="1">
        <v>2019</v>
      </c>
      <c r="Y1217" s="1">
        <v>2020</v>
      </c>
      <c r="Z1217" s="1">
        <v>2021</v>
      </c>
      <c r="AA1217" s="1">
        <v>2022</v>
      </c>
      <c r="AB1217" s="1">
        <v>2023</v>
      </c>
      <c r="AC1217" s="1">
        <v>2024</v>
      </c>
      <c r="AD1217" s="1">
        <v>2025</v>
      </c>
      <c r="AE1217" s="1">
        <v>2026</v>
      </c>
      <c r="AF1217" s="1">
        <v>2027</v>
      </c>
      <c r="AG1217" s="1">
        <v>2028</v>
      </c>
      <c r="AH1217" s="1">
        <v>2029</v>
      </c>
      <c r="AI1217" s="1">
        <v>2030</v>
      </c>
      <c r="AJ1217" s="1">
        <v>2031</v>
      </c>
      <c r="AK1217" s="1">
        <v>2032</v>
      </c>
      <c r="AL1217" s="1">
        <v>2033</v>
      </c>
      <c r="AM1217" s="1">
        <v>2034</v>
      </c>
      <c r="AN1217" s="1">
        <v>2035</v>
      </c>
      <c r="AO1217" s="1">
        <v>2036</v>
      </c>
      <c r="AP1217" s="1">
        <v>2037</v>
      </c>
      <c r="AQ1217" s="1">
        <v>2038</v>
      </c>
      <c r="AR1217" s="1">
        <v>2039</v>
      </c>
      <c r="AS1217" s="1">
        <v>2040</v>
      </c>
      <c r="AT1217" s="1">
        <v>2041</v>
      </c>
      <c r="AU1217" s="1">
        <v>2042</v>
      </c>
      <c r="AV1217" s="1">
        <v>2043</v>
      </c>
      <c r="AW1217" s="1">
        <v>2044</v>
      </c>
      <c r="AX1217" s="1">
        <v>2045</v>
      </c>
      <c r="AY1217" s="1">
        <v>2046</v>
      </c>
      <c r="AZ1217" s="1">
        <v>2047</v>
      </c>
      <c r="BA1217" s="1">
        <v>2048</v>
      </c>
      <c r="BB1217" s="1">
        <v>2049</v>
      </c>
      <c r="BC1217" s="1">
        <v>2050</v>
      </c>
    </row>
    <row r="1218" spans="1:55">
      <c r="A1218" s="1" t="str">
        <f>'Population Definitions'!$A$2</f>
        <v>PWID_males</v>
      </c>
      <c r="C1218" t="s">
        <v>34</v>
      </c>
      <c r="D1218" s="3"/>
      <c r="E1218" s="3">
        <v>0</v>
      </c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</row>
    <row r="1219" spans="1:55">
      <c r="A1219" s="1" t="str">
        <f>'Population Definitions'!$A$3</f>
        <v>PWID_females</v>
      </c>
      <c r="C1219" t="s">
        <v>34</v>
      </c>
      <c r="D1219" s="3"/>
      <c r="E1219" s="3">
        <v>0</v>
      </c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</row>
    <row r="1220" spans="1:55">
      <c r="A1220" s="1" t="str">
        <f>'Population Definitions'!$A$4</f>
        <v>0-9_males</v>
      </c>
      <c r="C1220" t="s">
        <v>34</v>
      </c>
      <c r="D1220" s="3"/>
      <c r="E1220" s="3">
        <v>0</v>
      </c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</row>
    <row r="1221" spans="1:55">
      <c r="A1221" s="1" t="str">
        <f>'Population Definitions'!$A$5</f>
        <v>0-9_females</v>
      </c>
      <c r="C1221" t="s">
        <v>34</v>
      </c>
      <c r="D1221" s="3"/>
      <c r="E1221" s="3">
        <v>0</v>
      </c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</row>
    <row r="1222" spans="1:55">
      <c r="A1222" s="1" t="str">
        <f>'Population Definitions'!$A$6</f>
        <v>10-17_males</v>
      </c>
      <c r="C1222" t="s">
        <v>34</v>
      </c>
      <c r="D1222" s="3"/>
      <c r="E1222" s="3">
        <v>0</v>
      </c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</row>
    <row r="1223" spans="1:55">
      <c r="A1223" s="1" t="str">
        <f>'Population Definitions'!$A$7</f>
        <v>10-17_females</v>
      </c>
      <c r="C1223" t="s">
        <v>34</v>
      </c>
      <c r="D1223" s="3"/>
      <c r="E1223" s="3">
        <v>0</v>
      </c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</row>
    <row r="1224" spans="1:55">
      <c r="A1224" s="1" t="str">
        <f>'Population Definitions'!$A$8</f>
        <v>18-64_males</v>
      </c>
      <c r="C1224" t="s">
        <v>34</v>
      </c>
      <c r="D1224" s="3"/>
      <c r="E1224" s="3">
        <v>0</v>
      </c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</row>
    <row r="1225" spans="1:55">
      <c r="A1225" s="1" t="str">
        <f>'Population Definitions'!$A$9</f>
        <v>18-64_females</v>
      </c>
      <c r="C1225" t="s">
        <v>34</v>
      </c>
      <c r="D1225" s="3"/>
      <c r="E1225" s="3">
        <v>0</v>
      </c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</row>
    <row r="1226" spans="1:55">
      <c r="A1226" s="1" t="str">
        <f>'Population Definitions'!$A$10</f>
        <v>65+_males</v>
      </c>
      <c r="C1226" t="s">
        <v>34</v>
      </c>
      <c r="D1226" s="3"/>
      <c r="E1226" s="3">
        <v>0</v>
      </c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</row>
    <row r="1227" spans="1:55">
      <c r="A1227" s="1" t="str">
        <f>'Population Definitions'!$A$11</f>
        <v>65+_females</v>
      </c>
      <c r="C1227" t="s">
        <v>34</v>
      </c>
      <c r="D1227" s="3"/>
      <c r="E1227" s="3">
        <v>0</v>
      </c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</row>
    <row r="1228" spans="1:55">
      <c r="A1228" s="1" t="str">
        <f>'Population Definitions'!$A$12</f>
        <v>Prisoners_males</v>
      </c>
      <c r="C1228" t="s">
        <v>34</v>
      </c>
      <c r="D1228" s="3"/>
      <c r="E1228" s="3">
        <v>0</v>
      </c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</row>
    <row r="1229" spans="1:55">
      <c r="A1229" s="1" t="str">
        <f>'Population Definitions'!$A$13</f>
        <v>Prisoners_females</v>
      </c>
      <c r="C1229" t="s">
        <v>34</v>
      </c>
      <c r="D1229" s="3"/>
      <c r="E1229" s="3">
        <v>0</v>
      </c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</row>
    <row r="1230" spans="1:55">
      <c r="A1230" s="1" t="str">
        <f>'Population Definitions'!$A$14</f>
        <v>Prisoners_PWID_males</v>
      </c>
      <c r="C1230" t="s">
        <v>34</v>
      </c>
      <c r="D1230" s="3"/>
      <c r="E1230" s="3">
        <v>0</v>
      </c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</row>
    <row r="1231" spans="1:55">
      <c r="A1231" s="1" t="str">
        <f>'Population Definitions'!$A$15</f>
        <v>Prisoners_PWID_females</v>
      </c>
      <c r="C1231" t="s">
        <v>34</v>
      </c>
      <c r="D1231" s="3"/>
      <c r="E1231" s="3">
        <v>0</v>
      </c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</row>
    <row r="1233" spans="1:55">
      <c r="A1233" s="1" t="s">
        <v>204</v>
      </c>
      <c r="B1233" s="1" t="s">
        <v>31</v>
      </c>
      <c r="C1233" s="1" t="s">
        <v>32</v>
      </c>
      <c r="D1233" s="1" t="s">
        <v>33</v>
      </c>
      <c r="E1233" s="1">
        <v>2000</v>
      </c>
      <c r="F1233" s="1">
        <v>2001</v>
      </c>
      <c r="G1233" s="1">
        <v>2002</v>
      </c>
      <c r="H1233" s="1">
        <v>2003</v>
      </c>
      <c r="I1233" s="1">
        <v>2004</v>
      </c>
      <c r="J1233" s="1">
        <v>2005</v>
      </c>
      <c r="K1233" s="1">
        <v>2006</v>
      </c>
      <c r="L1233" s="1">
        <v>2007</v>
      </c>
      <c r="M1233" s="1">
        <v>2008</v>
      </c>
      <c r="N1233" s="1">
        <v>2009</v>
      </c>
      <c r="O1233" s="1">
        <v>2010</v>
      </c>
      <c r="P1233" s="1">
        <v>2011</v>
      </c>
      <c r="Q1233" s="1">
        <v>2012</v>
      </c>
      <c r="R1233" s="1">
        <v>2013</v>
      </c>
      <c r="S1233" s="1">
        <v>2014</v>
      </c>
      <c r="T1233" s="1">
        <v>2015</v>
      </c>
      <c r="U1233" s="1">
        <v>2016</v>
      </c>
      <c r="V1233" s="1">
        <v>2017</v>
      </c>
      <c r="W1233" s="1">
        <v>2018</v>
      </c>
      <c r="X1233" s="1">
        <v>2019</v>
      </c>
      <c r="Y1233" s="1">
        <v>2020</v>
      </c>
      <c r="Z1233" s="1">
        <v>2021</v>
      </c>
      <c r="AA1233" s="1">
        <v>2022</v>
      </c>
      <c r="AB1233" s="1">
        <v>2023</v>
      </c>
      <c r="AC1233" s="1">
        <v>2024</v>
      </c>
      <c r="AD1233" s="1">
        <v>2025</v>
      </c>
      <c r="AE1233" s="1">
        <v>2026</v>
      </c>
      <c r="AF1233" s="1">
        <v>2027</v>
      </c>
      <c r="AG1233" s="1">
        <v>2028</v>
      </c>
      <c r="AH1233" s="1">
        <v>2029</v>
      </c>
      <c r="AI1233" s="1">
        <v>2030</v>
      </c>
      <c r="AJ1233" s="1">
        <v>2031</v>
      </c>
      <c r="AK1233" s="1">
        <v>2032</v>
      </c>
      <c r="AL1233" s="1">
        <v>2033</v>
      </c>
      <c r="AM1233" s="1">
        <v>2034</v>
      </c>
      <c r="AN1233" s="1">
        <v>2035</v>
      </c>
      <c r="AO1233" s="1">
        <v>2036</v>
      </c>
      <c r="AP1233" s="1">
        <v>2037</v>
      </c>
      <c r="AQ1233" s="1">
        <v>2038</v>
      </c>
      <c r="AR1233" s="1">
        <v>2039</v>
      </c>
      <c r="AS1233" s="1">
        <v>2040</v>
      </c>
      <c r="AT1233" s="1">
        <v>2041</v>
      </c>
      <c r="AU1233" s="1">
        <v>2042</v>
      </c>
      <c r="AV1233" s="1">
        <v>2043</v>
      </c>
      <c r="AW1233" s="1">
        <v>2044</v>
      </c>
      <c r="AX1233" s="1">
        <v>2045</v>
      </c>
      <c r="AY1233" s="1">
        <v>2046</v>
      </c>
      <c r="AZ1233" s="1">
        <v>2047</v>
      </c>
      <c r="BA1233" s="1">
        <v>2048</v>
      </c>
      <c r="BB1233" s="1">
        <v>2049</v>
      </c>
      <c r="BC1233" s="1">
        <v>2050</v>
      </c>
    </row>
    <row r="1234" spans="1:55">
      <c r="A1234" s="1" t="str">
        <f>'Population Definitions'!$A$2</f>
        <v>PWID_males</v>
      </c>
      <c r="C1234" t="s">
        <v>34</v>
      </c>
      <c r="D1234" s="3"/>
      <c r="E1234" s="3">
        <v>0</v>
      </c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</row>
    <row r="1235" spans="1:55">
      <c r="A1235" s="1" t="str">
        <f>'Population Definitions'!$A$3</f>
        <v>PWID_females</v>
      </c>
      <c r="C1235" t="s">
        <v>34</v>
      </c>
      <c r="D1235" s="3"/>
      <c r="E1235" s="3">
        <v>0</v>
      </c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</row>
    <row r="1236" spans="1:55">
      <c r="A1236" s="1" t="str">
        <f>'Population Definitions'!$A$4</f>
        <v>0-9_males</v>
      </c>
      <c r="C1236" t="s">
        <v>34</v>
      </c>
      <c r="D1236" s="3"/>
      <c r="E1236" s="3">
        <v>0</v>
      </c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</row>
    <row r="1237" spans="1:55">
      <c r="A1237" s="1" t="str">
        <f>'Population Definitions'!$A$5</f>
        <v>0-9_females</v>
      </c>
      <c r="C1237" t="s">
        <v>34</v>
      </c>
      <c r="D1237" s="3"/>
      <c r="E1237" s="3">
        <v>0</v>
      </c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</row>
    <row r="1238" spans="1:55">
      <c r="A1238" s="1" t="str">
        <f>'Population Definitions'!$A$6</f>
        <v>10-17_males</v>
      </c>
      <c r="C1238" t="s">
        <v>34</v>
      </c>
      <c r="D1238" s="3"/>
      <c r="E1238" s="3">
        <v>0</v>
      </c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</row>
    <row r="1239" spans="1:55">
      <c r="A1239" s="1" t="str">
        <f>'Population Definitions'!$A$7</f>
        <v>10-17_females</v>
      </c>
      <c r="C1239" t="s">
        <v>34</v>
      </c>
      <c r="D1239" s="3"/>
      <c r="E1239" s="3">
        <v>0</v>
      </c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</row>
    <row r="1240" spans="1:55">
      <c r="A1240" s="1" t="str">
        <f>'Population Definitions'!$A$8</f>
        <v>18-64_males</v>
      </c>
      <c r="C1240" t="s">
        <v>34</v>
      </c>
      <c r="D1240" s="3"/>
      <c r="E1240" s="3">
        <v>0</v>
      </c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</row>
    <row r="1241" spans="1:55">
      <c r="A1241" s="1" t="str">
        <f>'Population Definitions'!$A$9</f>
        <v>18-64_females</v>
      </c>
      <c r="C1241" t="s">
        <v>34</v>
      </c>
      <c r="D1241" s="3"/>
      <c r="E1241" s="3">
        <v>0</v>
      </c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</row>
    <row r="1242" spans="1:55">
      <c r="A1242" s="1" t="str">
        <f>'Population Definitions'!$A$10</f>
        <v>65+_males</v>
      </c>
      <c r="C1242" t="s">
        <v>34</v>
      </c>
      <c r="D1242" s="3"/>
      <c r="E1242" s="3">
        <v>0</v>
      </c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</row>
    <row r="1243" spans="1:55">
      <c r="A1243" s="1" t="str">
        <f>'Population Definitions'!$A$11</f>
        <v>65+_females</v>
      </c>
      <c r="C1243" t="s">
        <v>34</v>
      </c>
      <c r="D1243" s="3"/>
      <c r="E1243" s="3">
        <v>0</v>
      </c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</row>
    <row r="1244" spans="1:55">
      <c r="A1244" s="1" t="str">
        <f>'Population Definitions'!$A$12</f>
        <v>Prisoners_males</v>
      </c>
      <c r="C1244" t="s">
        <v>34</v>
      </c>
      <c r="D1244" s="3"/>
      <c r="E1244" s="3">
        <v>0</v>
      </c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</row>
    <row r="1245" spans="1:55">
      <c r="A1245" s="1" t="str">
        <f>'Population Definitions'!$A$13</f>
        <v>Prisoners_females</v>
      </c>
      <c r="C1245" t="s">
        <v>34</v>
      </c>
      <c r="D1245" s="3"/>
      <c r="E1245" s="3">
        <v>0</v>
      </c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</row>
    <row r="1246" spans="1:55">
      <c r="A1246" s="1" t="str">
        <f>'Population Definitions'!$A$14</f>
        <v>Prisoners_PWID_males</v>
      </c>
      <c r="C1246" t="s">
        <v>34</v>
      </c>
      <c r="D1246" s="3"/>
      <c r="E1246" s="3">
        <v>0</v>
      </c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</row>
    <row r="1247" spans="1:55">
      <c r="A1247" s="1" t="str">
        <f>'Population Definitions'!$A$15</f>
        <v>Prisoners_PWID_females</v>
      </c>
      <c r="C1247" t="s">
        <v>34</v>
      </c>
      <c r="D1247" s="3"/>
      <c r="E1247" s="3">
        <v>0</v>
      </c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</row>
    <row r="1249" spans="1:55">
      <c r="A1249" s="1" t="s">
        <v>205</v>
      </c>
      <c r="B1249" s="1" t="s">
        <v>31</v>
      </c>
      <c r="C1249" s="1" t="s">
        <v>32</v>
      </c>
      <c r="D1249" s="1" t="s">
        <v>33</v>
      </c>
      <c r="E1249" s="1">
        <v>2000</v>
      </c>
      <c r="F1249" s="1">
        <v>2001</v>
      </c>
      <c r="G1249" s="1">
        <v>2002</v>
      </c>
      <c r="H1249" s="1">
        <v>2003</v>
      </c>
      <c r="I1249" s="1">
        <v>2004</v>
      </c>
      <c r="J1249" s="1">
        <v>2005</v>
      </c>
      <c r="K1249" s="1">
        <v>2006</v>
      </c>
      <c r="L1249" s="1">
        <v>2007</v>
      </c>
      <c r="M1249" s="1">
        <v>2008</v>
      </c>
      <c r="N1249" s="1">
        <v>2009</v>
      </c>
      <c r="O1249" s="1">
        <v>2010</v>
      </c>
      <c r="P1249" s="1">
        <v>2011</v>
      </c>
      <c r="Q1249" s="1">
        <v>2012</v>
      </c>
      <c r="R1249" s="1">
        <v>2013</v>
      </c>
      <c r="S1249" s="1">
        <v>2014</v>
      </c>
      <c r="T1249" s="1">
        <v>2015</v>
      </c>
      <c r="U1249" s="1">
        <v>2016</v>
      </c>
      <c r="V1249" s="1">
        <v>2017</v>
      </c>
      <c r="W1249" s="1">
        <v>2018</v>
      </c>
      <c r="X1249" s="1">
        <v>2019</v>
      </c>
      <c r="Y1249" s="1">
        <v>2020</v>
      </c>
      <c r="Z1249" s="1">
        <v>2021</v>
      </c>
      <c r="AA1249" s="1">
        <v>2022</v>
      </c>
      <c r="AB1249" s="1">
        <v>2023</v>
      </c>
      <c r="AC1249" s="1">
        <v>2024</v>
      </c>
      <c r="AD1249" s="1">
        <v>2025</v>
      </c>
      <c r="AE1249" s="1">
        <v>2026</v>
      </c>
      <c r="AF1249" s="1">
        <v>2027</v>
      </c>
      <c r="AG1249" s="1">
        <v>2028</v>
      </c>
      <c r="AH1249" s="1">
        <v>2029</v>
      </c>
      <c r="AI1249" s="1">
        <v>2030</v>
      </c>
      <c r="AJ1249" s="1">
        <v>2031</v>
      </c>
      <c r="AK1249" s="1">
        <v>2032</v>
      </c>
      <c r="AL1249" s="1">
        <v>2033</v>
      </c>
      <c r="AM1249" s="1">
        <v>2034</v>
      </c>
      <c r="AN1249" s="1">
        <v>2035</v>
      </c>
      <c r="AO1249" s="1">
        <v>2036</v>
      </c>
      <c r="AP1249" s="1">
        <v>2037</v>
      </c>
      <c r="AQ1249" s="1">
        <v>2038</v>
      </c>
      <c r="AR1249" s="1">
        <v>2039</v>
      </c>
      <c r="AS1249" s="1">
        <v>2040</v>
      </c>
      <c r="AT1249" s="1">
        <v>2041</v>
      </c>
      <c r="AU1249" s="1">
        <v>2042</v>
      </c>
      <c r="AV1249" s="1">
        <v>2043</v>
      </c>
      <c r="AW1249" s="1">
        <v>2044</v>
      </c>
      <c r="AX1249" s="1">
        <v>2045</v>
      </c>
      <c r="AY1249" s="1">
        <v>2046</v>
      </c>
      <c r="AZ1249" s="1">
        <v>2047</v>
      </c>
      <c r="BA1249" s="1">
        <v>2048</v>
      </c>
      <c r="BB1249" s="1">
        <v>2049</v>
      </c>
      <c r="BC1249" s="1">
        <v>2050</v>
      </c>
    </row>
    <row r="1250" spans="1:55">
      <c r="A1250" s="1" t="str">
        <f>'Population Definitions'!$A$2</f>
        <v>PWID_males</v>
      </c>
      <c r="C1250" t="s">
        <v>34</v>
      </c>
      <c r="D1250" s="3"/>
      <c r="E1250" s="3">
        <v>0</v>
      </c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</row>
    <row r="1251" spans="1:55">
      <c r="A1251" s="1" t="str">
        <f>'Population Definitions'!$A$3</f>
        <v>PWID_females</v>
      </c>
      <c r="C1251" t="s">
        <v>34</v>
      </c>
      <c r="D1251" s="3"/>
      <c r="E1251" s="3">
        <v>0</v>
      </c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</row>
    <row r="1252" spans="1:55">
      <c r="A1252" s="1" t="str">
        <f>'Population Definitions'!$A$4</f>
        <v>0-9_males</v>
      </c>
      <c r="C1252" t="s">
        <v>34</v>
      </c>
      <c r="D1252" s="3"/>
      <c r="E1252" s="3">
        <v>0</v>
      </c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</row>
    <row r="1253" spans="1:55">
      <c r="A1253" s="1" t="str">
        <f>'Population Definitions'!$A$5</f>
        <v>0-9_females</v>
      </c>
      <c r="C1253" t="s">
        <v>34</v>
      </c>
      <c r="D1253" s="3"/>
      <c r="E1253" s="3">
        <v>0</v>
      </c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</row>
    <row r="1254" spans="1:55">
      <c r="A1254" s="1" t="str">
        <f>'Population Definitions'!$A$6</f>
        <v>10-17_males</v>
      </c>
      <c r="C1254" t="s">
        <v>34</v>
      </c>
      <c r="D1254" s="3"/>
      <c r="E1254" s="3">
        <v>0</v>
      </c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</row>
    <row r="1255" spans="1:55">
      <c r="A1255" s="1" t="str">
        <f>'Population Definitions'!$A$7</f>
        <v>10-17_females</v>
      </c>
      <c r="C1255" t="s">
        <v>34</v>
      </c>
      <c r="D1255" s="3"/>
      <c r="E1255" s="3">
        <v>0</v>
      </c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</row>
    <row r="1256" spans="1:55">
      <c r="A1256" s="1" t="str">
        <f>'Population Definitions'!$A$8</f>
        <v>18-64_males</v>
      </c>
      <c r="C1256" t="s">
        <v>34</v>
      </c>
      <c r="D1256" s="3"/>
      <c r="E1256" s="3">
        <v>0</v>
      </c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</row>
    <row r="1257" spans="1:55">
      <c r="A1257" s="1" t="str">
        <f>'Population Definitions'!$A$9</f>
        <v>18-64_females</v>
      </c>
      <c r="C1257" t="s">
        <v>34</v>
      </c>
      <c r="D1257" s="3"/>
      <c r="E1257" s="3">
        <v>0</v>
      </c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</row>
    <row r="1258" spans="1:55">
      <c r="A1258" s="1" t="str">
        <f>'Population Definitions'!$A$10</f>
        <v>65+_males</v>
      </c>
      <c r="C1258" t="s">
        <v>34</v>
      </c>
      <c r="D1258" s="3"/>
      <c r="E1258" s="3">
        <v>0</v>
      </c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</row>
    <row r="1259" spans="1:55">
      <c r="A1259" s="1" t="str">
        <f>'Population Definitions'!$A$11</f>
        <v>65+_females</v>
      </c>
      <c r="C1259" t="s">
        <v>34</v>
      </c>
      <c r="D1259" s="3"/>
      <c r="E1259" s="3">
        <v>0</v>
      </c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</row>
    <row r="1260" spans="1:55">
      <c r="A1260" s="1" t="str">
        <f>'Population Definitions'!$A$12</f>
        <v>Prisoners_males</v>
      </c>
      <c r="C1260" t="s">
        <v>34</v>
      </c>
      <c r="D1260" s="3"/>
      <c r="E1260" s="3">
        <v>0</v>
      </c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</row>
    <row r="1261" spans="1:55">
      <c r="A1261" s="1" t="str">
        <f>'Population Definitions'!$A$13</f>
        <v>Prisoners_females</v>
      </c>
      <c r="C1261" t="s">
        <v>34</v>
      </c>
      <c r="D1261" s="3"/>
      <c r="E1261" s="3">
        <v>0</v>
      </c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</row>
    <row r="1262" spans="1:55">
      <c r="A1262" s="1" t="str">
        <f>'Population Definitions'!$A$14</f>
        <v>Prisoners_PWID_males</v>
      </c>
      <c r="C1262" t="s">
        <v>34</v>
      </c>
      <c r="D1262" s="3"/>
      <c r="E1262" s="3">
        <v>0</v>
      </c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</row>
    <row r="1263" spans="1:55">
      <c r="A1263" s="1" t="str">
        <f>'Population Definitions'!$A$15</f>
        <v>Prisoners_PWID_females</v>
      </c>
      <c r="C1263" t="s">
        <v>34</v>
      </c>
      <c r="D1263" s="3"/>
      <c r="E1263" s="3">
        <v>0</v>
      </c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</row>
    <row r="1265" spans="1:55">
      <c r="A1265" s="1" t="s">
        <v>206</v>
      </c>
      <c r="B1265" s="1" t="s">
        <v>31</v>
      </c>
      <c r="C1265" s="1" t="s">
        <v>32</v>
      </c>
      <c r="D1265" s="1" t="s">
        <v>33</v>
      </c>
      <c r="E1265" s="1">
        <v>2000</v>
      </c>
      <c r="F1265" s="1">
        <v>2001</v>
      </c>
      <c r="G1265" s="1">
        <v>2002</v>
      </c>
      <c r="H1265" s="1">
        <v>2003</v>
      </c>
      <c r="I1265" s="1">
        <v>2004</v>
      </c>
      <c r="J1265" s="1">
        <v>2005</v>
      </c>
      <c r="K1265" s="1">
        <v>2006</v>
      </c>
      <c r="L1265" s="1">
        <v>2007</v>
      </c>
      <c r="M1265" s="1">
        <v>2008</v>
      </c>
      <c r="N1265" s="1">
        <v>2009</v>
      </c>
      <c r="O1265" s="1">
        <v>2010</v>
      </c>
      <c r="P1265" s="1">
        <v>2011</v>
      </c>
      <c r="Q1265" s="1">
        <v>2012</v>
      </c>
      <c r="R1265" s="1">
        <v>2013</v>
      </c>
      <c r="S1265" s="1">
        <v>2014</v>
      </c>
      <c r="T1265" s="1">
        <v>2015</v>
      </c>
      <c r="U1265" s="1">
        <v>2016</v>
      </c>
      <c r="V1265" s="1">
        <v>2017</v>
      </c>
      <c r="W1265" s="1">
        <v>2018</v>
      </c>
      <c r="X1265" s="1">
        <v>2019</v>
      </c>
      <c r="Y1265" s="1">
        <v>2020</v>
      </c>
      <c r="Z1265" s="1">
        <v>2021</v>
      </c>
      <c r="AA1265" s="1">
        <v>2022</v>
      </c>
      <c r="AB1265" s="1">
        <v>2023</v>
      </c>
      <c r="AC1265" s="1">
        <v>2024</v>
      </c>
      <c r="AD1265" s="1">
        <v>2025</v>
      </c>
      <c r="AE1265" s="1">
        <v>2026</v>
      </c>
      <c r="AF1265" s="1">
        <v>2027</v>
      </c>
      <c r="AG1265" s="1">
        <v>2028</v>
      </c>
      <c r="AH1265" s="1">
        <v>2029</v>
      </c>
      <c r="AI1265" s="1">
        <v>2030</v>
      </c>
      <c r="AJ1265" s="1">
        <v>2031</v>
      </c>
      <c r="AK1265" s="1">
        <v>2032</v>
      </c>
      <c r="AL1265" s="1">
        <v>2033</v>
      </c>
      <c r="AM1265" s="1">
        <v>2034</v>
      </c>
      <c r="AN1265" s="1">
        <v>2035</v>
      </c>
      <c r="AO1265" s="1">
        <v>2036</v>
      </c>
      <c r="AP1265" s="1">
        <v>2037</v>
      </c>
      <c r="AQ1265" s="1">
        <v>2038</v>
      </c>
      <c r="AR1265" s="1">
        <v>2039</v>
      </c>
      <c r="AS1265" s="1">
        <v>2040</v>
      </c>
      <c r="AT1265" s="1">
        <v>2041</v>
      </c>
      <c r="AU1265" s="1">
        <v>2042</v>
      </c>
      <c r="AV1265" s="1">
        <v>2043</v>
      </c>
      <c r="AW1265" s="1">
        <v>2044</v>
      </c>
      <c r="AX1265" s="1">
        <v>2045</v>
      </c>
      <c r="AY1265" s="1">
        <v>2046</v>
      </c>
      <c r="AZ1265" s="1">
        <v>2047</v>
      </c>
      <c r="BA1265" s="1">
        <v>2048</v>
      </c>
      <c r="BB1265" s="1">
        <v>2049</v>
      </c>
      <c r="BC1265" s="1">
        <v>2050</v>
      </c>
    </row>
    <row r="1266" spans="1:55">
      <c r="A1266" s="1" t="str">
        <f>'Population Definitions'!$A$2</f>
        <v>PWID_males</v>
      </c>
      <c r="C1266" t="s">
        <v>34</v>
      </c>
      <c r="D1266" s="3"/>
      <c r="E1266" s="3">
        <v>0</v>
      </c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</row>
    <row r="1267" spans="1:55">
      <c r="A1267" s="1" t="str">
        <f>'Population Definitions'!$A$3</f>
        <v>PWID_females</v>
      </c>
      <c r="C1267" t="s">
        <v>34</v>
      </c>
      <c r="D1267" s="3"/>
      <c r="E1267" s="3">
        <v>0</v>
      </c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</row>
    <row r="1268" spans="1:55">
      <c r="A1268" s="1" t="str">
        <f>'Population Definitions'!$A$4</f>
        <v>0-9_males</v>
      </c>
      <c r="C1268" t="s">
        <v>34</v>
      </c>
      <c r="D1268" s="3"/>
      <c r="E1268" s="3">
        <v>0</v>
      </c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</row>
    <row r="1269" spans="1:55">
      <c r="A1269" s="1" t="str">
        <f>'Population Definitions'!$A$5</f>
        <v>0-9_females</v>
      </c>
      <c r="C1269" t="s">
        <v>34</v>
      </c>
      <c r="D1269" s="3"/>
      <c r="E1269" s="3">
        <v>0</v>
      </c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</row>
    <row r="1270" spans="1:55">
      <c r="A1270" s="1" t="str">
        <f>'Population Definitions'!$A$6</f>
        <v>10-17_males</v>
      </c>
      <c r="C1270" t="s">
        <v>34</v>
      </c>
      <c r="D1270" s="3"/>
      <c r="E1270" s="3">
        <v>0</v>
      </c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</row>
    <row r="1271" spans="1:55">
      <c r="A1271" s="1" t="str">
        <f>'Population Definitions'!$A$7</f>
        <v>10-17_females</v>
      </c>
      <c r="C1271" t="s">
        <v>34</v>
      </c>
      <c r="D1271" s="3"/>
      <c r="E1271" s="3">
        <v>0</v>
      </c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</row>
    <row r="1272" spans="1:55">
      <c r="A1272" s="1" t="str">
        <f>'Population Definitions'!$A$8</f>
        <v>18-64_males</v>
      </c>
      <c r="C1272" t="s">
        <v>34</v>
      </c>
      <c r="D1272" s="3"/>
      <c r="E1272" s="3">
        <v>0</v>
      </c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</row>
    <row r="1273" spans="1:55">
      <c r="A1273" s="1" t="str">
        <f>'Population Definitions'!$A$9</f>
        <v>18-64_females</v>
      </c>
      <c r="C1273" t="s">
        <v>34</v>
      </c>
      <c r="D1273" s="3"/>
      <c r="E1273" s="3">
        <v>0</v>
      </c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</row>
    <row r="1274" spans="1:55">
      <c r="A1274" s="1" t="str">
        <f>'Population Definitions'!$A$10</f>
        <v>65+_males</v>
      </c>
      <c r="C1274" t="s">
        <v>34</v>
      </c>
      <c r="D1274" s="3"/>
      <c r="E1274" s="3">
        <v>0</v>
      </c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</row>
    <row r="1275" spans="1:55">
      <c r="A1275" s="1" t="str">
        <f>'Population Definitions'!$A$11</f>
        <v>65+_females</v>
      </c>
      <c r="C1275" t="s">
        <v>34</v>
      </c>
      <c r="D1275" s="3"/>
      <c r="E1275" s="3">
        <v>0</v>
      </c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</row>
    <row r="1276" spans="1:55">
      <c r="A1276" s="1" t="str">
        <f>'Population Definitions'!$A$12</f>
        <v>Prisoners_males</v>
      </c>
      <c r="C1276" t="s">
        <v>34</v>
      </c>
      <c r="D1276" s="3"/>
      <c r="E1276" s="3">
        <v>0</v>
      </c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</row>
    <row r="1277" spans="1:55">
      <c r="A1277" s="1" t="str">
        <f>'Population Definitions'!$A$13</f>
        <v>Prisoners_females</v>
      </c>
      <c r="C1277" t="s">
        <v>34</v>
      </c>
      <c r="D1277" s="3"/>
      <c r="E1277" s="3">
        <v>0</v>
      </c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</row>
    <row r="1278" spans="1:55">
      <c r="A1278" s="1" t="str">
        <f>'Population Definitions'!$A$14</f>
        <v>Prisoners_PWID_males</v>
      </c>
      <c r="C1278" t="s">
        <v>34</v>
      </c>
      <c r="D1278" s="3"/>
      <c r="E1278" s="3">
        <v>0</v>
      </c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</row>
    <row r="1279" spans="1:55">
      <c r="A1279" s="1" t="str">
        <f>'Population Definitions'!$A$15</f>
        <v>Prisoners_PWID_females</v>
      </c>
      <c r="C1279" t="s">
        <v>34</v>
      </c>
      <c r="D1279" s="3"/>
      <c r="E1279" s="3">
        <v>0</v>
      </c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</row>
    <row r="1281" spans="1:55">
      <c r="A1281" s="1" t="s">
        <v>207</v>
      </c>
      <c r="B1281" s="1" t="s">
        <v>31</v>
      </c>
      <c r="C1281" s="1" t="s">
        <v>32</v>
      </c>
      <c r="D1281" s="1" t="s">
        <v>33</v>
      </c>
      <c r="E1281" s="1">
        <v>2000</v>
      </c>
      <c r="F1281" s="1">
        <v>2001</v>
      </c>
      <c r="G1281" s="1">
        <v>2002</v>
      </c>
      <c r="H1281" s="1">
        <v>2003</v>
      </c>
      <c r="I1281" s="1">
        <v>2004</v>
      </c>
      <c r="J1281" s="1">
        <v>2005</v>
      </c>
      <c r="K1281" s="1">
        <v>2006</v>
      </c>
      <c r="L1281" s="1">
        <v>2007</v>
      </c>
      <c r="M1281" s="1">
        <v>2008</v>
      </c>
      <c r="N1281" s="1">
        <v>2009</v>
      </c>
      <c r="O1281" s="1">
        <v>2010</v>
      </c>
      <c r="P1281" s="1">
        <v>2011</v>
      </c>
      <c r="Q1281" s="1">
        <v>2012</v>
      </c>
      <c r="R1281" s="1">
        <v>2013</v>
      </c>
      <c r="S1281" s="1">
        <v>2014</v>
      </c>
      <c r="T1281" s="1">
        <v>2015</v>
      </c>
      <c r="U1281" s="1">
        <v>2016</v>
      </c>
      <c r="V1281" s="1">
        <v>2017</v>
      </c>
      <c r="W1281" s="1">
        <v>2018</v>
      </c>
      <c r="X1281" s="1">
        <v>2019</v>
      </c>
      <c r="Y1281" s="1">
        <v>2020</v>
      </c>
      <c r="Z1281" s="1">
        <v>2021</v>
      </c>
      <c r="AA1281" s="1">
        <v>2022</v>
      </c>
      <c r="AB1281" s="1">
        <v>2023</v>
      </c>
      <c r="AC1281" s="1">
        <v>2024</v>
      </c>
      <c r="AD1281" s="1">
        <v>2025</v>
      </c>
      <c r="AE1281" s="1">
        <v>2026</v>
      </c>
      <c r="AF1281" s="1">
        <v>2027</v>
      </c>
      <c r="AG1281" s="1">
        <v>2028</v>
      </c>
      <c r="AH1281" s="1">
        <v>2029</v>
      </c>
      <c r="AI1281" s="1">
        <v>2030</v>
      </c>
      <c r="AJ1281" s="1">
        <v>2031</v>
      </c>
      <c r="AK1281" s="1">
        <v>2032</v>
      </c>
      <c r="AL1281" s="1">
        <v>2033</v>
      </c>
      <c r="AM1281" s="1">
        <v>2034</v>
      </c>
      <c r="AN1281" s="1">
        <v>2035</v>
      </c>
      <c r="AO1281" s="1">
        <v>2036</v>
      </c>
      <c r="AP1281" s="1">
        <v>2037</v>
      </c>
      <c r="AQ1281" s="1">
        <v>2038</v>
      </c>
      <c r="AR1281" s="1">
        <v>2039</v>
      </c>
      <c r="AS1281" s="1">
        <v>2040</v>
      </c>
      <c r="AT1281" s="1">
        <v>2041</v>
      </c>
      <c r="AU1281" s="1">
        <v>2042</v>
      </c>
      <c r="AV1281" s="1">
        <v>2043</v>
      </c>
      <c r="AW1281" s="1">
        <v>2044</v>
      </c>
      <c r="AX1281" s="1">
        <v>2045</v>
      </c>
      <c r="AY1281" s="1">
        <v>2046</v>
      </c>
      <c r="AZ1281" s="1">
        <v>2047</v>
      </c>
      <c r="BA1281" s="1">
        <v>2048</v>
      </c>
      <c r="BB1281" s="1">
        <v>2049</v>
      </c>
      <c r="BC1281" s="1">
        <v>2050</v>
      </c>
    </row>
    <row r="1282" spans="1:55">
      <c r="A1282" s="1" t="str">
        <f>'Population Definitions'!$A$2</f>
        <v>PWID_males</v>
      </c>
      <c r="C1282" t="s">
        <v>34</v>
      </c>
      <c r="D1282" s="3"/>
      <c r="E1282" s="3">
        <v>0</v>
      </c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</row>
    <row r="1283" spans="1:55">
      <c r="A1283" s="1" t="str">
        <f>'Population Definitions'!$A$3</f>
        <v>PWID_females</v>
      </c>
      <c r="C1283" t="s">
        <v>34</v>
      </c>
      <c r="D1283" s="3"/>
      <c r="E1283" s="3">
        <v>0</v>
      </c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</row>
    <row r="1284" spans="1:55">
      <c r="A1284" s="1" t="str">
        <f>'Population Definitions'!$A$4</f>
        <v>0-9_males</v>
      </c>
      <c r="C1284" t="s">
        <v>34</v>
      </c>
      <c r="D1284" s="3"/>
      <c r="E1284" s="3">
        <v>0</v>
      </c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</row>
    <row r="1285" spans="1:55">
      <c r="A1285" s="1" t="str">
        <f>'Population Definitions'!$A$5</f>
        <v>0-9_females</v>
      </c>
      <c r="C1285" t="s">
        <v>34</v>
      </c>
      <c r="D1285" s="3"/>
      <c r="E1285" s="3">
        <v>0</v>
      </c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</row>
    <row r="1286" spans="1:55">
      <c r="A1286" s="1" t="str">
        <f>'Population Definitions'!$A$6</f>
        <v>10-17_males</v>
      </c>
      <c r="C1286" t="s">
        <v>34</v>
      </c>
      <c r="D1286" s="3"/>
      <c r="E1286" s="3">
        <v>0</v>
      </c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</row>
    <row r="1287" spans="1:55">
      <c r="A1287" s="1" t="str">
        <f>'Population Definitions'!$A$7</f>
        <v>10-17_females</v>
      </c>
      <c r="C1287" t="s">
        <v>34</v>
      </c>
      <c r="D1287" s="3"/>
      <c r="E1287" s="3">
        <v>0</v>
      </c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</row>
    <row r="1288" spans="1:55">
      <c r="A1288" s="1" t="str">
        <f>'Population Definitions'!$A$8</f>
        <v>18-64_males</v>
      </c>
      <c r="C1288" t="s">
        <v>34</v>
      </c>
      <c r="D1288" s="3"/>
      <c r="E1288" s="3">
        <v>0</v>
      </c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</row>
    <row r="1289" spans="1:55">
      <c r="A1289" s="1" t="str">
        <f>'Population Definitions'!$A$9</f>
        <v>18-64_females</v>
      </c>
      <c r="C1289" t="s">
        <v>34</v>
      </c>
      <c r="D1289" s="3"/>
      <c r="E1289" s="3">
        <v>0</v>
      </c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</row>
    <row r="1290" spans="1:55">
      <c r="A1290" s="1" t="str">
        <f>'Population Definitions'!$A$10</f>
        <v>65+_males</v>
      </c>
      <c r="C1290" t="s">
        <v>34</v>
      </c>
      <c r="D1290" s="3"/>
      <c r="E1290" s="3">
        <v>0</v>
      </c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</row>
    <row r="1291" spans="1:55">
      <c r="A1291" s="1" t="str">
        <f>'Population Definitions'!$A$11</f>
        <v>65+_females</v>
      </c>
      <c r="C1291" t="s">
        <v>34</v>
      </c>
      <c r="D1291" s="3"/>
      <c r="E1291" s="3">
        <v>0</v>
      </c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</row>
    <row r="1292" spans="1:55">
      <c r="A1292" s="1" t="str">
        <f>'Population Definitions'!$A$12</f>
        <v>Prisoners_males</v>
      </c>
      <c r="C1292" t="s">
        <v>34</v>
      </c>
      <c r="D1292" s="3"/>
      <c r="E1292" s="3">
        <v>0</v>
      </c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</row>
    <row r="1293" spans="1:55">
      <c r="A1293" s="1" t="str">
        <f>'Population Definitions'!$A$13</f>
        <v>Prisoners_females</v>
      </c>
      <c r="C1293" t="s">
        <v>34</v>
      </c>
      <c r="D1293" s="3"/>
      <c r="E1293" s="3">
        <v>0</v>
      </c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</row>
    <row r="1294" spans="1:55">
      <c r="A1294" s="1" t="str">
        <f>'Population Definitions'!$A$14</f>
        <v>Prisoners_PWID_males</v>
      </c>
      <c r="C1294" t="s">
        <v>34</v>
      </c>
      <c r="D1294" s="3"/>
      <c r="E1294" s="3">
        <v>0</v>
      </c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</row>
    <row r="1295" spans="1:55">
      <c r="A1295" s="1" t="str">
        <f>'Population Definitions'!$A$15</f>
        <v>Prisoners_PWID_females</v>
      </c>
      <c r="C1295" t="s">
        <v>34</v>
      </c>
      <c r="D1295" s="3"/>
      <c r="E1295" s="3">
        <v>0</v>
      </c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</row>
    <row r="1297" spans="1:55">
      <c r="A1297" s="1" t="s">
        <v>208</v>
      </c>
      <c r="B1297" s="1" t="s">
        <v>31</v>
      </c>
      <c r="C1297" s="1" t="s">
        <v>32</v>
      </c>
      <c r="D1297" s="1" t="s">
        <v>33</v>
      </c>
      <c r="E1297" s="1">
        <v>2000</v>
      </c>
      <c r="F1297" s="1">
        <v>2001</v>
      </c>
      <c r="G1297" s="1">
        <v>2002</v>
      </c>
      <c r="H1297" s="1">
        <v>2003</v>
      </c>
      <c r="I1297" s="1">
        <v>2004</v>
      </c>
      <c r="J1297" s="1">
        <v>2005</v>
      </c>
      <c r="K1297" s="1">
        <v>2006</v>
      </c>
      <c r="L1297" s="1">
        <v>2007</v>
      </c>
      <c r="M1297" s="1">
        <v>2008</v>
      </c>
      <c r="N1297" s="1">
        <v>2009</v>
      </c>
      <c r="O1297" s="1">
        <v>2010</v>
      </c>
      <c r="P1297" s="1">
        <v>2011</v>
      </c>
      <c r="Q1297" s="1">
        <v>2012</v>
      </c>
      <c r="R1297" s="1">
        <v>2013</v>
      </c>
      <c r="S1297" s="1">
        <v>2014</v>
      </c>
      <c r="T1297" s="1">
        <v>2015</v>
      </c>
      <c r="U1297" s="1">
        <v>2016</v>
      </c>
      <c r="V1297" s="1">
        <v>2017</v>
      </c>
      <c r="W1297" s="1">
        <v>2018</v>
      </c>
      <c r="X1297" s="1">
        <v>2019</v>
      </c>
      <c r="Y1297" s="1">
        <v>2020</v>
      </c>
      <c r="Z1297" s="1">
        <v>2021</v>
      </c>
      <c r="AA1297" s="1">
        <v>2022</v>
      </c>
      <c r="AB1297" s="1">
        <v>2023</v>
      </c>
      <c r="AC1297" s="1">
        <v>2024</v>
      </c>
      <c r="AD1297" s="1">
        <v>2025</v>
      </c>
      <c r="AE1297" s="1">
        <v>2026</v>
      </c>
      <c r="AF1297" s="1">
        <v>2027</v>
      </c>
      <c r="AG1297" s="1">
        <v>2028</v>
      </c>
      <c r="AH1297" s="1">
        <v>2029</v>
      </c>
      <c r="AI1297" s="1">
        <v>2030</v>
      </c>
      <c r="AJ1297" s="1">
        <v>2031</v>
      </c>
      <c r="AK1297" s="1">
        <v>2032</v>
      </c>
      <c r="AL1297" s="1">
        <v>2033</v>
      </c>
      <c r="AM1297" s="1">
        <v>2034</v>
      </c>
      <c r="AN1297" s="1">
        <v>2035</v>
      </c>
      <c r="AO1297" s="1">
        <v>2036</v>
      </c>
      <c r="AP1297" s="1">
        <v>2037</v>
      </c>
      <c r="AQ1297" s="1">
        <v>2038</v>
      </c>
      <c r="AR1297" s="1">
        <v>2039</v>
      </c>
      <c r="AS1297" s="1">
        <v>2040</v>
      </c>
      <c r="AT1297" s="1">
        <v>2041</v>
      </c>
      <c r="AU1297" s="1">
        <v>2042</v>
      </c>
      <c r="AV1297" s="1">
        <v>2043</v>
      </c>
      <c r="AW1297" s="1">
        <v>2044</v>
      </c>
      <c r="AX1297" s="1">
        <v>2045</v>
      </c>
      <c r="AY1297" s="1">
        <v>2046</v>
      </c>
      <c r="AZ1297" s="1">
        <v>2047</v>
      </c>
      <c r="BA1297" s="1">
        <v>2048</v>
      </c>
      <c r="BB1297" s="1">
        <v>2049</v>
      </c>
      <c r="BC1297" s="1">
        <v>2050</v>
      </c>
    </row>
    <row r="1298" spans="1:55">
      <c r="A1298" s="1" t="str">
        <f>'Population Definitions'!$A$2</f>
        <v>PWID_males</v>
      </c>
      <c r="C1298" t="s">
        <v>34</v>
      </c>
      <c r="D1298" s="3"/>
      <c r="E1298" s="3">
        <v>0</v>
      </c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</row>
    <row r="1299" spans="1:55">
      <c r="A1299" s="1" t="str">
        <f>'Population Definitions'!$A$3</f>
        <v>PWID_females</v>
      </c>
      <c r="C1299" t="s">
        <v>34</v>
      </c>
      <c r="D1299" s="3"/>
      <c r="E1299" s="3">
        <v>0</v>
      </c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</row>
    <row r="1300" spans="1:55">
      <c r="A1300" s="1" t="str">
        <f>'Population Definitions'!$A$4</f>
        <v>0-9_males</v>
      </c>
      <c r="C1300" t="s">
        <v>34</v>
      </c>
      <c r="D1300" s="3"/>
      <c r="E1300" s="3">
        <v>0</v>
      </c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</row>
    <row r="1301" spans="1:55">
      <c r="A1301" s="1" t="str">
        <f>'Population Definitions'!$A$5</f>
        <v>0-9_females</v>
      </c>
      <c r="C1301" t="s">
        <v>34</v>
      </c>
      <c r="D1301" s="3"/>
      <c r="E1301" s="3">
        <v>0</v>
      </c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</row>
    <row r="1302" spans="1:55">
      <c r="A1302" s="1" t="str">
        <f>'Population Definitions'!$A$6</f>
        <v>10-17_males</v>
      </c>
      <c r="C1302" t="s">
        <v>34</v>
      </c>
      <c r="D1302" s="3"/>
      <c r="E1302" s="3">
        <v>0</v>
      </c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</row>
    <row r="1303" spans="1:55">
      <c r="A1303" s="1" t="str">
        <f>'Population Definitions'!$A$7</f>
        <v>10-17_females</v>
      </c>
      <c r="C1303" t="s">
        <v>34</v>
      </c>
      <c r="D1303" s="3"/>
      <c r="E1303" s="3">
        <v>0</v>
      </c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</row>
    <row r="1304" spans="1:55">
      <c r="A1304" s="1" t="str">
        <f>'Population Definitions'!$A$8</f>
        <v>18-64_males</v>
      </c>
      <c r="C1304" t="s">
        <v>34</v>
      </c>
      <c r="D1304" s="3"/>
      <c r="E1304" s="3">
        <v>0</v>
      </c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</row>
    <row r="1305" spans="1:55">
      <c r="A1305" s="1" t="str">
        <f>'Population Definitions'!$A$9</f>
        <v>18-64_females</v>
      </c>
      <c r="C1305" t="s">
        <v>34</v>
      </c>
      <c r="D1305" s="3"/>
      <c r="E1305" s="3">
        <v>0</v>
      </c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</row>
    <row r="1306" spans="1:55">
      <c r="A1306" s="1" t="str">
        <f>'Population Definitions'!$A$10</f>
        <v>65+_males</v>
      </c>
      <c r="C1306" t="s">
        <v>34</v>
      </c>
      <c r="D1306" s="3"/>
      <c r="E1306" s="3">
        <v>0</v>
      </c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</row>
    <row r="1307" spans="1:55">
      <c r="A1307" s="1" t="str">
        <f>'Population Definitions'!$A$11</f>
        <v>65+_females</v>
      </c>
      <c r="C1307" t="s">
        <v>34</v>
      </c>
      <c r="D1307" s="3"/>
      <c r="E1307" s="3">
        <v>0</v>
      </c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</row>
    <row r="1308" spans="1:55">
      <c r="A1308" s="1" t="str">
        <f>'Population Definitions'!$A$12</f>
        <v>Prisoners_males</v>
      </c>
      <c r="C1308" t="s">
        <v>34</v>
      </c>
      <c r="D1308" s="3"/>
      <c r="E1308" s="3">
        <v>0</v>
      </c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</row>
    <row r="1309" spans="1:55">
      <c r="A1309" s="1" t="str">
        <f>'Population Definitions'!$A$13</f>
        <v>Prisoners_females</v>
      </c>
      <c r="C1309" t="s">
        <v>34</v>
      </c>
      <c r="D1309" s="3"/>
      <c r="E1309" s="3">
        <v>0</v>
      </c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</row>
    <row r="1310" spans="1:55">
      <c r="A1310" s="1" t="str">
        <f>'Population Definitions'!$A$14</f>
        <v>Prisoners_PWID_males</v>
      </c>
      <c r="C1310" t="s">
        <v>34</v>
      </c>
      <c r="D1310" s="3"/>
      <c r="E1310" s="3">
        <v>0</v>
      </c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</row>
    <row r="1311" spans="1:55">
      <c r="A1311" s="1" t="str">
        <f>'Population Definitions'!$A$15</f>
        <v>Prisoners_PWID_females</v>
      </c>
      <c r="C1311" t="s">
        <v>34</v>
      </c>
      <c r="D1311" s="3"/>
      <c r="E1311" s="3">
        <v>0</v>
      </c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</row>
    <row r="1313" spans="1:55">
      <c r="A1313" s="1" t="s">
        <v>209</v>
      </c>
      <c r="B1313" s="1" t="s">
        <v>31</v>
      </c>
      <c r="C1313" s="1" t="s">
        <v>32</v>
      </c>
      <c r="D1313" s="1" t="s">
        <v>33</v>
      </c>
      <c r="E1313" s="1">
        <v>2000</v>
      </c>
      <c r="F1313" s="1">
        <v>2001</v>
      </c>
      <c r="G1313" s="1">
        <v>2002</v>
      </c>
      <c r="H1313" s="1">
        <v>2003</v>
      </c>
      <c r="I1313" s="1">
        <v>2004</v>
      </c>
      <c r="J1313" s="1">
        <v>2005</v>
      </c>
      <c r="K1313" s="1">
        <v>2006</v>
      </c>
      <c r="L1313" s="1">
        <v>2007</v>
      </c>
      <c r="M1313" s="1">
        <v>2008</v>
      </c>
      <c r="N1313" s="1">
        <v>2009</v>
      </c>
      <c r="O1313" s="1">
        <v>2010</v>
      </c>
      <c r="P1313" s="1">
        <v>2011</v>
      </c>
      <c r="Q1313" s="1">
        <v>2012</v>
      </c>
      <c r="R1313" s="1">
        <v>2013</v>
      </c>
      <c r="S1313" s="1">
        <v>2014</v>
      </c>
      <c r="T1313" s="1">
        <v>2015</v>
      </c>
      <c r="U1313" s="1">
        <v>2016</v>
      </c>
      <c r="V1313" s="1">
        <v>2017</v>
      </c>
      <c r="W1313" s="1">
        <v>2018</v>
      </c>
      <c r="X1313" s="1">
        <v>2019</v>
      </c>
      <c r="Y1313" s="1">
        <v>2020</v>
      </c>
      <c r="Z1313" s="1">
        <v>2021</v>
      </c>
      <c r="AA1313" s="1">
        <v>2022</v>
      </c>
      <c r="AB1313" s="1">
        <v>2023</v>
      </c>
      <c r="AC1313" s="1">
        <v>2024</v>
      </c>
      <c r="AD1313" s="1">
        <v>2025</v>
      </c>
      <c r="AE1313" s="1">
        <v>2026</v>
      </c>
      <c r="AF1313" s="1">
        <v>2027</v>
      </c>
      <c r="AG1313" s="1">
        <v>2028</v>
      </c>
      <c r="AH1313" s="1">
        <v>2029</v>
      </c>
      <c r="AI1313" s="1">
        <v>2030</v>
      </c>
      <c r="AJ1313" s="1">
        <v>2031</v>
      </c>
      <c r="AK1313" s="1">
        <v>2032</v>
      </c>
      <c r="AL1313" s="1">
        <v>2033</v>
      </c>
      <c r="AM1313" s="1">
        <v>2034</v>
      </c>
      <c r="AN1313" s="1">
        <v>2035</v>
      </c>
      <c r="AO1313" s="1">
        <v>2036</v>
      </c>
      <c r="AP1313" s="1">
        <v>2037</v>
      </c>
      <c r="AQ1313" s="1">
        <v>2038</v>
      </c>
      <c r="AR1313" s="1">
        <v>2039</v>
      </c>
      <c r="AS1313" s="1">
        <v>2040</v>
      </c>
      <c r="AT1313" s="1">
        <v>2041</v>
      </c>
      <c r="AU1313" s="1">
        <v>2042</v>
      </c>
      <c r="AV1313" s="1">
        <v>2043</v>
      </c>
      <c r="AW1313" s="1">
        <v>2044</v>
      </c>
      <c r="AX1313" s="1">
        <v>2045</v>
      </c>
      <c r="AY1313" s="1">
        <v>2046</v>
      </c>
      <c r="AZ1313" s="1">
        <v>2047</v>
      </c>
      <c r="BA1313" s="1">
        <v>2048</v>
      </c>
      <c r="BB1313" s="1">
        <v>2049</v>
      </c>
      <c r="BC1313" s="1">
        <v>2050</v>
      </c>
    </row>
    <row r="1314" spans="1:55">
      <c r="A1314" s="1" t="str">
        <f>'Population Definitions'!$A$2</f>
        <v>PWID_males</v>
      </c>
      <c r="C1314" t="s">
        <v>34</v>
      </c>
      <c r="D1314" s="3"/>
      <c r="E1314" s="3">
        <v>0</v>
      </c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</row>
    <row r="1315" spans="1:55">
      <c r="A1315" s="1" t="str">
        <f>'Population Definitions'!$A$3</f>
        <v>PWID_females</v>
      </c>
      <c r="C1315" t="s">
        <v>34</v>
      </c>
      <c r="D1315" s="3"/>
      <c r="E1315" s="3">
        <v>0</v>
      </c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</row>
    <row r="1316" spans="1:55">
      <c r="A1316" s="1" t="str">
        <f>'Population Definitions'!$A$4</f>
        <v>0-9_males</v>
      </c>
      <c r="C1316" t="s">
        <v>34</v>
      </c>
      <c r="D1316" s="3"/>
      <c r="E1316" s="3">
        <v>0</v>
      </c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</row>
    <row r="1317" spans="1:55">
      <c r="A1317" s="1" t="str">
        <f>'Population Definitions'!$A$5</f>
        <v>0-9_females</v>
      </c>
      <c r="C1317" t="s">
        <v>34</v>
      </c>
      <c r="D1317" s="3"/>
      <c r="E1317" s="3">
        <v>0</v>
      </c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</row>
    <row r="1318" spans="1:55">
      <c r="A1318" s="1" t="str">
        <f>'Population Definitions'!$A$6</f>
        <v>10-17_males</v>
      </c>
      <c r="C1318" t="s">
        <v>34</v>
      </c>
      <c r="D1318" s="3"/>
      <c r="E1318" s="3">
        <v>0</v>
      </c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</row>
    <row r="1319" spans="1:55">
      <c r="A1319" s="1" t="str">
        <f>'Population Definitions'!$A$7</f>
        <v>10-17_females</v>
      </c>
      <c r="C1319" t="s">
        <v>34</v>
      </c>
      <c r="D1319" s="3"/>
      <c r="E1319" s="3">
        <v>0</v>
      </c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</row>
    <row r="1320" spans="1:55">
      <c r="A1320" s="1" t="str">
        <f>'Population Definitions'!$A$8</f>
        <v>18-64_males</v>
      </c>
      <c r="C1320" t="s">
        <v>34</v>
      </c>
      <c r="D1320" s="3"/>
      <c r="E1320" s="3">
        <v>0</v>
      </c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</row>
    <row r="1321" spans="1:55">
      <c r="A1321" s="1" t="str">
        <f>'Population Definitions'!$A$9</f>
        <v>18-64_females</v>
      </c>
      <c r="C1321" t="s">
        <v>34</v>
      </c>
      <c r="D1321" s="3"/>
      <c r="E1321" s="3">
        <v>0</v>
      </c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</row>
    <row r="1322" spans="1:55">
      <c r="A1322" s="1" t="str">
        <f>'Population Definitions'!$A$10</f>
        <v>65+_males</v>
      </c>
      <c r="C1322" t="s">
        <v>34</v>
      </c>
      <c r="D1322" s="3"/>
      <c r="E1322" s="3">
        <v>0</v>
      </c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</row>
    <row r="1323" spans="1:55">
      <c r="A1323" s="1" t="str">
        <f>'Population Definitions'!$A$11</f>
        <v>65+_females</v>
      </c>
      <c r="C1323" t="s">
        <v>34</v>
      </c>
      <c r="D1323" s="3"/>
      <c r="E1323" s="3">
        <v>0</v>
      </c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</row>
    <row r="1324" spans="1:55">
      <c r="A1324" s="1" t="str">
        <f>'Population Definitions'!$A$12</f>
        <v>Prisoners_males</v>
      </c>
      <c r="C1324" t="s">
        <v>34</v>
      </c>
      <c r="D1324" s="3"/>
      <c r="E1324" s="3">
        <v>0</v>
      </c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</row>
    <row r="1325" spans="1:55">
      <c r="A1325" s="1" t="str">
        <f>'Population Definitions'!$A$13</f>
        <v>Prisoners_females</v>
      </c>
      <c r="C1325" t="s">
        <v>34</v>
      </c>
      <c r="D1325" s="3"/>
      <c r="E1325" s="3">
        <v>0</v>
      </c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</row>
    <row r="1326" spans="1:55">
      <c r="A1326" s="1" t="str">
        <f>'Population Definitions'!$A$14</f>
        <v>Prisoners_PWID_males</v>
      </c>
      <c r="C1326" t="s">
        <v>34</v>
      </c>
      <c r="D1326" s="3"/>
      <c r="E1326" s="3">
        <v>0</v>
      </c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</row>
    <row r="1327" spans="1:55">
      <c r="A1327" s="1" t="str">
        <f>'Population Definitions'!$A$15</f>
        <v>Prisoners_PWID_females</v>
      </c>
      <c r="C1327" t="s">
        <v>34</v>
      </c>
      <c r="D1327" s="3"/>
      <c r="E1327" s="3">
        <v>0</v>
      </c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</row>
  </sheetData>
  <conditionalFormatting sqref="E100">
    <cfRule type="expression" dxfId="0" priority="145">
      <formula>COUNTIF(G100:BE100,"&lt;&gt;" &amp; "")&gt;0</formula>
    </cfRule>
    <cfRule type="expression" dxfId="1" priority="146">
      <formula>AND(COUNTIF(G100:BE100,"&lt;&gt;" &amp; "")&gt;0,NOT(ISBLANK(E100)))</formula>
    </cfRule>
  </conditionalFormatting>
  <conditionalFormatting sqref="E101">
    <cfRule type="expression" dxfId="0" priority="147">
      <formula>COUNTIF(G101:BE101,"&lt;&gt;" &amp; "")&gt;0</formula>
    </cfRule>
    <cfRule type="expression" dxfId="1" priority="148">
      <formula>AND(COUNTIF(G101:BE101,"&lt;&gt;" &amp; "")&gt;0,NOT(ISBLANK(E101)))</formula>
    </cfRule>
  </conditionalFormatting>
  <conditionalFormatting sqref="E102">
    <cfRule type="expression" dxfId="0" priority="149">
      <formula>COUNTIF(G102:BE102,"&lt;&gt;" &amp; "")&gt;0</formula>
    </cfRule>
    <cfRule type="expression" dxfId="1" priority="150">
      <formula>AND(COUNTIF(G102:BE102,"&lt;&gt;" &amp; "")&gt;0,NOT(ISBLANK(E102)))</formula>
    </cfRule>
  </conditionalFormatting>
  <conditionalFormatting sqref="E103">
    <cfRule type="expression" dxfId="0" priority="151">
      <formula>COUNTIF(G103:BE103,"&lt;&gt;" &amp; "")&gt;0</formula>
    </cfRule>
    <cfRule type="expression" dxfId="1" priority="152">
      <formula>AND(COUNTIF(G103:BE103,"&lt;&gt;" &amp; "")&gt;0,NOT(ISBLANK(E103)))</formula>
    </cfRule>
  </conditionalFormatting>
  <conditionalFormatting sqref="E104">
    <cfRule type="expression" dxfId="0" priority="153">
      <formula>COUNTIF(G104:BE104,"&lt;&gt;" &amp; "")&gt;0</formula>
    </cfRule>
    <cfRule type="expression" dxfId="1" priority="154">
      <formula>AND(COUNTIF(G104:BE104,"&lt;&gt;" &amp; "")&gt;0,NOT(ISBLANK(E104)))</formula>
    </cfRule>
  </conditionalFormatting>
  <conditionalFormatting sqref="E105">
    <cfRule type="expression" dxfId="0" priority="155">
      <formula>COUNTIF(G105:BE105,"&lt;&gt;" &amp; "")&gt;0</formula>
    </cfRule>
    <cfRule type="expression" dxfId="1" priority="156">
      <formula>AND(COUNTIF(G105:BE105,"&lt;&gt;" &amp; "")&gt;0,NOT(ISBLANK(E105)))</formula>
    </cfRule>
  </conditionalFormatting>
  <conditionalFormatting sqref="E106">
    <cfRule type="expression" dxfId="0" priority="157">
      <formula>COUNTIF(G106:BE106,"&lt;&gt;" &amp; "")&gt;0</formula>
    </cfRule>
    <cfRule type="expression" dxfId="1" priority="158">
      <formula>AND(COUNTIF(G106:BE106,"&lt;&gt;" &amp; "")&gt;0,NOT(ISBLANK(E106)))</formula>
    </cfRule>
  </conditionalFormatting>
  <conditionalFormatting sqref="E107">
    <cfRule type="expression" dxfId="0" priority="159">
      <formula>COUNTIF(G107:BE107,"&lt;&gt;" &amp; "")&gt;0</formula>
    </cfRule>
    <cfRule type="expression" dxfId="1" priority="160">
      <formula>AND(COUNTIF(G107:BE107,"&lt;&gt;" &amp; "")&gt;0,NOT(ISBLANK(E107)))</formula>
    </cfRule>
  </conditionalFormatting>
  <conditionalFormatting sqref="E108">
    <cfRule type="expression" dxfId="0" priority="161">
      <formula>COUNTIF(G108:BE108,"&lt;&gt;" &amp; "")&gt;0</formula>
    </cfRule>
    <cfRule type="expression" dxfId="1" priority="162">
      <formula>AND(COUNTIF(G108:BE108,"&lt;&gt;" &amp; "")&gt;0,NOT(ISBLANK(E108)))</formula>
    </cfRule>
  </conditionalFormatting>
  <conditionalFormatting sqref="E109">
    <cfRule type="expression" dxfId="0" priority="163">
      <formula>COUNTIF(G109:BE109,"&lt;&gt;" &amp; "")&gt;0</formula>
    </cfRule>
    <cfRule type="expression" dxfId="1" priority="164">
      <formula>AND(COUNTIF(G109:BE109,"&lt;&gt;" &amp; "")&gt;0,NOT(ISBLANK(E109)))</formula>
    </cfRule>
  </conditionalFormatting>
  <conditionalFormatting sqref="E110">
    <cfRule type="expression" dxfId="0" priority="165">
      <formula>COUNTIF(G110:BE110,"&lt;&gt;" &amp; "")&gt;0</formula>
    </cfRule>
    <cfRule type="expression" dxfId="1" priority="166">
      <formula>AND(COUNTIF(G110:BE110,"&lt;&gt;" &amp; "")&gt;0,NOT(ISBLANK(E110)))</formula>
    </cfRule>
  </conditionalFormatting>
  <conditionalFormatting sqref="E111">
    <cfRule type="expression" dxfId="0" priority="167">
      <formula>COUNTIF(G111:BE111,"&lt;&gt;" &amp; "")&gt;0</formula>
    </cfRule>
    <cfRule type="expression" dxfId="1" priority="168">
      <formula>AND(COUNTIF(G111:BE111,"&lt;&gt;" &amp; "")&gt;0,NOT(ISBLANK(E111)))</formula>
    </cfRule>
  </conditionalFormatting>
  <conditionalFormatting sqref="E114">
    <cfRule type="expression" dxfId="0" priority="169">
      <formula>COUNTIF(G114:BE114,"&lt;&gt;" &amp; "")&gt;0</formula>
    </cfRule>
    <cfRule type="expression" dxfId="1" priority="170">
      <formula>AND(COUNTIF(G114:BE114,"&lt;&gt;" &amp; "")&gt;0,NOT(ISBLANK(E114)))</formula>
    </cfRule>
  </conditionalFormatting>
  <conditionalFormatting sqref="E115">
    <cfRule type="expression" dxfId="0" priority="171">
      <formula>COUNTIF(G115:BE115,"&lt;&gt;" &amp; "")&gt;0</formula>
    </cfRule>
    <cfRule type="expression" dxfId="1" priority="172">
      <formula>AND(COUNTIF(G115:BE115,"&lt;&gt;" &amp; "")&gt;0,NOT(ISBLANK(E115)))</formula>
    </cfRule>
  </conditionalFormatting>
  <conditionalFormatting sqref="E116">
    <cfRule type="expression" dxfId="0" priority="173">
      <formula>COUNTIF(G116:BE116,"&lt;&gt;" &amp; "")&gt;0</formula>
    </cfRule>
    <cfRule type="expression" dxfId="1" priority="174">
      <formula>AND(COUNTIF(G116:BE116,"&lt;&gt;" &amp; "")&gt;0,NOT(ISBLANK(E116)))</formula>
    </cfRule>
  </conditionalFormatting>
  <conditionalFormatting sqref="E117">
    <cfRule type="expression" dxfId="0" priority="175">
      <formula>COUNTIF(G117:BE117,"&lt;&gt;" &amp; "")&gt;0</formula>
    </cfRule>
    <cfRule type="expression" dxfId="1" priority="176">
      <formula>AND(COUNTIF(G117:BE117,"&lt;&gt;" &amp; "")&gt;0,NOT(ISBLANK(E117)))</formula>
    </cfRule>
  </conditionalFormatting>
  <conditionalFormatting sqref="E118">
    <cfRule type="expression" dxfId="0" priority="177">
      <formula>COUNTIF(G118:BE118,"&lt;&gt;" &amp; "")&gt;0</formula>
    </cfRule>
    <cfRule type="expression" dxfId="1" priority="178">
      <formula>AND(COUNTIF(G118:BE118,"&lt;&gt;" &amp; "")&gt;0,NOT(ISBLANK(E118)))</formula>
    </cfRule>
  </conditionalFormatting>
  <conditionalFormatting sqref="E119">
    <cfRule type="expression" dxfId="0" priority="179">
      <formula>COUNTIF(G119:BE119,"&lt;&gt;" &amp; "")&gt;0</formula>
    </cfRule>
    <cfRule type="expression" dxfId="1" priority="180">
      <formula>AND(COUNTIF(G119:BE119,"&lt;&gt;" &amp; "")&gt;0,NOT(ISBLANK(E119)))</formula>
    </cfRule>
  </conditionalFormatting>
  <conditionalFormatting sqref="E120">
    <cfRule type="expression" dxfId="0" priority="181">
      <formula>COUNTIF(G120:BE120,"&lt;&gt;" &amp; "")&gt;0</formula>
    </cfRule>
    <cfRule type="expression" dxfId="1" priority="182">
      <formula>AND(COUNTIF(G120:BE120,"&lt;&gt;" &amp; "")&gt;0,NOT(ISBLANK(E120)))</formula>
    </cfRule>
  </conditionalFormatting>
  <conditionalFormatting sqref="E121">
    <cfRule type="expression" dxfId="0" priority="183">
      <formula>COUNTIF(G121:BE121,"&lt;&gt;" &amp; "")&gt;0</formula>
    </cfRule>
    <cfRule type="expression" dxfId="1" priority="184">
      <formula>AND(COUNTIF(G121:BE121,"&lt;&gt;" &amp; "")&gt;0,NOT(ISBLANK(E121)))</formula>
    </cfRule>
  </conditionalFormatting>
  <conditionalFormatting sqref="E122">
    <cfRule type="expression" dxfId="0" priority="185">
      <formula>COUNTIF(G122:BE122,"&lt;&gt;" &amp; "")&gt;0</formula>
    </cfRule>
    <cfRule type="expression" dxfId="1" priority="186">
      <formula>AND(COUNTIF(G122:BE122,"&lt;&gt;" &amp; "")&gt;0,NOT(ISBLANK(E122)))</formula>
    </cfRule>
  </conditionalFormatting>
  <conditionalFormatting sqref="E123">
    <cfRule type="expression" dxfId="0" priority="187">
      <formula>COUNTIF(G123:BE123,"&lt;&gt;" &amp; "")&gt;0</formula>
    </cfRule>
    <cfRule type="expression" dxfId="1" priority="188">
      <formula>AND(COUNTIF(G123:BE123,"&lt;&gt;" &amp; "")&gt;0,NOT(ISBLANK(E123)))</formula>
    </cfRule>
  </conditionalFormatting>
  <conditionalFormatting sqref="E124">
    <cfRule type="expression" dxfId="0" priority="189">
      <formula>COUNTIF(G124:BE124,"&lt;&gt;" &amp; "")&gt;0</formula>
    </cfRule>
    <cfRule type="expression" dxfId="1" priority="190">
      <formula>AND(COUNTIF(G124:BE124,"&lt;&gt;" &amp; "")&gt;0,NOT(ISBLANK(E124)))</formula>
    </cfRule>
  </conditionalFormatting>
  <conditionalFormatting sqref="E125">
    <cfRule type="expression" dxfId="0" priority="191">
      <formula>COUNTIF(G125:BE125,"&lt;&gt;" &amp; "")&gt;0</formula>
    </cfRule>
    <cfRule type="expression" dxfId="1" priority="192">
      <formula>AND(COUNTIF(G125:BE125,"&lt;&gt;" &amp; "")&gt;0,NOT(ISBLANK(E125)))</formula>
    </cfRule>
  </conditionalFormatting>
  <conditionalFormatting sqref="E126">
    <cfRule type="expression" dxfId="0" priority="193">
      <formula>COUNTIF(G126:BE126,"&lt;&gt;" &amp; "")&gt;0</formula>
    </cfRule>
    <cfRule type="expression" dxfId="1" priority="194">
      <formula>AND(COUNTIF(G126:BE126,"&lt;&gt;" &amp; "")&gt;0,NOT(ISBLANK(E126)))</formula>
    </cfRule>
  </conditionalFormatting>
  <conditionalFormatting sqref="E127">
    <cfRule type="expression" dxfId="0" priority="195">
      <formula>COUNTIF(G127:BE127,"&lt;&gt;" &amp; "")&gt;0</formula>
    </cfRule>
    <cfRule type="expression" dxfId="1" priority="196">
      <formula>AND(COUNTIF(G127:BE127,"&lt;&gt;" &amp; "")&gt;0,NOT(ISBLANK(E127)))</formula>
    </cfRule>
  </conditionalFormatting>
  <conditionalFormatting sqref="E130">
    <cfRule type="expression" dxfId="0" priority="197">
      <formula>COUNTIF(G130:BE130,"&lt;&gt;" &amp; "")&gt;0</formula>
    </cfRule>
    <cfRule type="expression" dxfId="1" priority="198">
      <formula>AND(COUNTIF(G130:BE130,"&lt;&gt;" &amp; "")&gt;0,NOT(ISBLANK(E130)))</formula>
    </cfRule>
  </conditionalFormatting>
  <conditionalFormatting sqref="E131">
    <cfRule type="expression" dxfId="0" priority="199">
      <formula>COUNTIF(G131:BE131,"&lt;&gt;" &amp; "")&gt;0</formula>
    </cfRule>
    <cfRule type="expression" dxfId="1" priority="200">
      <formula>AND(COUNTIF(G131:BE131,"&lt;&gt;" &amp; "")&gt;0,NOT(ISBLANK(E131)))</formula>
    </cfRule>
  </conditionalFormatting>
  <conditionalFormatting sqref="E132">
    <cfRule type="expression" dxfId="0" priority="201">
      <formula>COUNTIF(G132:BE132,"&lt;&gt;" &amp; "")&gt;0</formula>
    </cfRule>
    <cfRule type="expression" dxfId="1" priority="202">
      <formula>AND(COUNTIF(G132:BE132,"&lt;&gt;" &amp; "")&gt;0,NOT(ISBLANK(E132)))</formula>
    </cfRule>
  </conditionalFormatting>
  <conditionalFormatting sqref="E133">
    <cfRule type="expression" dxfId="0" priority="203">
      <formula>COUNTIF(G133:BE133,"&lt;&gt;" &amp; "")&gt;0</formula>
    </cfRule>
    <cfRule type="expression" dxfId="1" priority="204">
      <formula>AND(COUNTIF(G133:BE133,"&lt;&gt;" &amp; "")&gt;0,NOT(ISBLANK(E133)))</formula>
    </cfRule>
  </conditionalFormatting>
  <conditionalFormatting sqref="E134">
    <cfRule type="expression" dxfId="0" priority="205">
      <formula>COUNTIF(G134:BE134,"&lt;&gt;" &amp; "")&gt;0</formula>
    </cfRule>
    <cfRule type="expression" dxfId="1" priority="206">
      <formula>AND(COUNTIF(G134:BE134,"&lt;&gt;" &amp; "")&gt;0,NOT(ISBLANK(E134)))</formula>
    </cfRule>
  </conditionalFormatting>
  <conditionalFormatting sqref="E135">
    <cfRule type="expression" dxfId="0" priority="207">
      <formula>COUNTIF(G135:BE135,"&lt;&gt;" &amp; "")&gt;0</formula>
    </cfRule>
    <cfRule type="expression" dxfId="1" priority="208">
      <formula>AND(COUNTIF(G135:BE135,"&lt;&gt;" &amp; "")&gt;0,NOT(ISBLANK(E135)))</formula>
    </cfRule>
  </conditionalFormatting>
  <conditionalFormatting sqref="E136">
    <cfRule type="expression" dxfId="0" priority="209">
      <formula>COUNTIF(G136:BE136,"&lt;&gt;" &amp; "")&gt;0</formula>
    </cfRule>
    <cfRule type="expression" dxfId="1" priority="210">
      <formula>AND(COUNTIF(G136:BE136,"&lt;&gt;" &amp; "")&gt;0,NOT(ISBLANK(E136)))</formula>
    </cfRule>
  </conditionalFormatting>
  <conditionalFormatting sqref="E137">
    <cfRule type="expression" dxfId="0" priority="211">
      <formula>COUNTIF(G137:BE137,"&lt;&gt;" &amp; "")&gt;0</formula>
    </cfRule>
    <cfRule type="expression" dxfId="1" priority="212">
      <formula>AND(COUNTIF(G137:BE137,"&lt;&gt;" &amp; "")&gt;0,NOT(ISBLANK(E137)))</formula>
    </cfRule>
  </conditionalFormatting>
  <conditionalFormatting sqref="E138">
    <cfRule type="expression" dxfId="0" priority="213">
      <formula>COUNTIF(G138:BE138,"&lt;&gt;" &amp; "")&gt;0</formula>
    </cfRule>
    <cfRule type="expression" dxfId="1" priority="214">
      <formula>AND(COUNTIF(G138:BE138,"&lt;&gt;" &amp; "")&gt;0,NOT(ISBLANK(E138)))</formula>
    </cfRule>
  </conditionalFormatting>
  <conditionalFormatting sqref="E139">
    <cfRule type="expression" dxfId="0" priority="215">
      <formula>COUNTIF(G139:BE139,"&lt;&gt;" &amp; "")&gt;0</formula>
    </cfRule>
    <cfRule type="expression" dxfId="1" priority="216">
      <formula>AND(COUNTIF(G139:BE139,"&lt;&gt;" &amp; "")&gt;0,NOT(ISBLANK(E139)))</formula>
    </cfRule>
  </conditionalFormatting>
  <conditionalFormatting sqref="E140">
    <cfRule type="expression" dxfId="0" priority="217">
      <formula>COUNTIF(G140:BE140,"&lt;&gt;" &amp; "")&gt;0</formula>
    </cfRule>
    <cfRule type="expression" dxfId="1" priority="218">
      <formula>AND(COUNTIF(G140:BE140,"&lt;&gt;" &amp; "")&gt;0,NOT(ISBLANK(E140)))</formula>
    </cfRule>
  </conditionalFormatting>
  <conditionalFormatting sqref="E141">
    <cfRule type="expression" dxfId="0" priority="219">
      <formula>COUNTIF(G141:BE141,"&lt;&gt;" &amp; "")&gt;0</formula>
    </cfRule>
    <cfRule type="expression" dxfId="1" priority="220">
      <formula>AND(COUNTIF(G141:BE141,"&lt;&gt;" &amp; "")&gt;0,NOT(ISBLANK(E141)))</formula>
    </cfRule>
  </conditionalFormatting>
  <conditionalFormatting sqref="E142">
    <cfRule type="expression" dxfId="0" priority="221">
      <formula>COUNTIF(G142:BE142,"&lt;&gt;" &amp; "")&gt;0</formula>
    </cfRule>
    <cfRule type="expression" dxfId="1" priority="222">
      <formula>AND(COUNTIF(G142:BE142,"&lt;&gt;" &amp; "")&gt;0,NOT(ISBLANK(E142)))</formula>
    </cfRule>
  </conditionalFormatting>
  <conditionalFormatting sqref="E143">
    <cfRule type="expression" dxfId="0" priority="223">
      <formula>COUNTIF(G143:BE143,"&lt;&gt;" &amp; "")&gt;0</formula>
    </cfRule>
    <cfRule type="expression" dxfId="1" priority="224">
      <formula>AND(COUNTIF(G143:BE143,"&lt;&gt;" &amp; "")&gt;0,NOT(ISBLANK(E143)))</formula>
    </cfRule>
  </conditionalFormatting>
  <conditionalFormatting sqref="E146">
    <cfRule type="expression" dxfId="0" priority="225">
      <formula>COUNTIF(G146:BE146,"&lt;&gt;" &amp; "")&gt;0</formula>
    </cfRule>
    <cfRule type="expression" dxfId="1" priority="226">
      <formula>AND(COUNTIF(G146:BE146,"&lt;&gt;" &amp; "")&gt;0,NOT(ISBLANK(E146)))</formula>
    </cfRule>
  </conditionalFormatting>
  <conditionalFormatting sqref="E147">
    <cfRule type="expression" dxfId="0" priority="227">
      <formula>COUNTIF(G147:BE147,"&lt;&gt;" &amp; "")&gt;0</formula>
    </cfRule>
    <cfRule type="expression" dxfId="1" priority="228">
      <formula>AND(COUNTIF(G147:BE147,"&lt;&gt;" &amp; "")&gt;0,NOT(ISBLANK(E147)))</formula>
    </cfRule>
  </conditionalFormatting>
  <conditionalFormatting sqref="E148">
    <cfRule type="expression" dxfId="0" priority="229">
      <formula>COUNTIF(G148:BE148,"&lt;&gt;" &amp; "")&gt;0</formula>
    </cfRule>
    <cfRule type="expression" dxfId="1" priority="230">
      <formula>AND(COUNTIF(G148:BE148,"&lt;&gt;" &amp; "")&gt;0,NOT(ISBLANK(E148)))</formula>
    </cfRule>
  </conditionalFormatting>
  <conditionalFormatting sqref="E149">
    <cfRule type="expression" dxfId="0" priority="231">
      <formula>COUNTIF(G149:BE149,"&lt;&gt;" &amp; "")&gt;0</formula>
    </cfRule>
    <cfRule type="expression" dxfId="1" priority="232">
      <formula>AND(COUNTIF(G149:BE149,"&lt;&gt;" &amp; "")&gt;0,NOT(ISBLANK(E149)))</formula>
    </cfRule>
  </conditionalFormatting>
  <conditionalFormatting sqref="E150">
    <cfRule type="expression" dxfId="0" priority="233">
      <formula>COUNTIF(G150:BE150,"&lt;&gt;" &amp; "")&gt;0</formula>
    </cfRule>
    <cfRule type="expression" dxfId="1" priority="234">
      <formula>AND(COUNTIF(G150:BE150,"&lt;&gt;" &amp; "")&gt;0,NOT(ISBLANK(E150)))</formula>
    </cfRule>
  </conditionalFormatting>
  <conditionalFormatting sqref="E151">
    <cfRule type="expression" dxfId="0" priority="235">
      <formula>COUNTIF(G151:BE151,"&lt;&gt;" &amp; "")&gt;0</formula>
    </cfRule>
    <cfRule type="expression" dxfId="1" priority="236">
      <formula>AND(COUNTIF(G151:BE151,"&lt;&gt;" &amp; "")&gt;0,NOT(ISBLANK(E151)))</formula>
    </cfRule>
  </conditionalFormatting>
  <conditionalFormatting sqref="E152">
    <cfRule type="expression" dxfId="0" priority="237">
      <formula>COUNTIF(G152:BE152,"&lt;&gt;" &amp; "")&gt;0</formula>
    </cfRule>
    <cfRule type="expression" dxfId="1" priority="238">
      <formula>AND(COUNTIF(G152:BE152,"&lt;&gt;" &amp; "")&gt;0,NOT(ISBLANK(E152)))</formula>
    </cfRule>
  </conditionalFormatting>
  <conditionalFormatting sqref="E153">
    <cfRule type="expression" dxfId="0" priority="239">
      <formula>COUNTIF(G153:BE153,"&lt;&gt;" &amp; "")&gt;0</formula>
    </cfRule>
    <cfRule type="expression" dxfId="1" priority="240">
      <formula>AND(COUNTIF(G153:BE153,"&lt;&gt;" &amp; "")&gt;0,NOT(ISBLANK(E153)))</formula>
    </cfRule>
  </conditionalFormatting>
  <conditionalFormatting sqref="E154">
    <cfRule type="expression" dxfId="0" priority="241">
      <formula>COUNTIF(G154:BE154,"&lt;&gt;" &amp; "")&gt;0</formula>
    </cfRule>
    <cfRule type="expression" dxfId="1" priority="242">
      <formula>AND(COUNTIF(G154:BE154,"&lt;&gt;" &amp; "")&gt;0,NOT(ISBLANK(E154)))</formula>
    </cfRule>
  </conditionalFormatting>
  <conditionalFormatting sqref="E155">
    <cfRule type="expression" dxfId="0" priority="243">
      <formula>COUNTIF(G155:BE155,"&lt;&gt;" &amp; "")&gt;0</formula>
    </cfRule>
    <cfRule type="expression" dxfId="1" priority="244">
      <formula>AND(COUNTIF(G155:BE155,"&lt;&gt;" &amp; "")&gt;0,NOT(ISBLANK(E155)))</formula>
    </cfRule>
  </conditionalFormatting>
  <conditionalFormatting sqref="E156">
    <cfRule type="expression" dxfId="0" priority="245">
      <formula>COUNTIF(G156:BE156,"&lt;&gt;" &amp; "")&gt;0</formula>
    </cfRule>
    <cfRule type="expression" dxfId="1" priority="246">
      <formula>AND(COUNTIF(G156:BE156,"&lt;&gt;" &amp; "")&gt;0,NOT(ISBLANK(E156)))</formula>
    </cfRule>
  </conditionalFormatting>
  <conditionalFormatting sqref="E157">
    <cfRule type="expression" dxfId="0" priority="247">
      <formula>COUNTIF(G157:BE157,"&lt;&gt;" &amp; "")&gt;0</formula>
    </cfRule>
    <cfRule type="expression" dxfId="1" priority="248">
      <formula>AND(COUNTIF(G157:BE157,"&lt;&gt;" &amp; "")&gt;0,NOT(ISBLANK(E157)))</formula>
    </cfRule>
  </conditionalFormatting>
  <conditionalFormatting sqref="E158">
    <cfRule type="expression" dxfId="0" priority="249">
      <formula>COUNTIF(G158:BE158,"&lt;&gt;" &amp; "")&gt;0</formula>
    </cfRule>
    <cfRule type="expression" dxfId="1" priority="250">
      <formula>AND(COUNTIF(G158:BE158,"&lt;&gt;" &amp; "")&gt;0,NOT(ISBLANK(E158)))</formula>
    </cfRule>
  </conditionalFormatting>
  <conditionalFormatting sqref="E159">
    <cfRule type="expression" dxfId="0" priority="251">
      <formula>COUNTIF(G159:BE159,"&lt;&gt;" &amp; "")&gt;0</formula>
    </cfRule>
    <cfRule type="expression" dxfId="1" priority="252">
      <formula>AND(COUNTIF(G159:BE159,"&lt;&gt;" &amp; "")&gt;0,NOT(ISBLANK(E159)))</formula>
    </cfRule>
  </conditionalFormatting>
  <conditionalFormatting sqref="E162">
    <cfRule type="expression" dxfId="0" priority="253">
      <formula>COUNTIF(G162:BE162,"&lt;&gt;" &amp; "")&gt;0</formula>
    </cfRule>
    <cfRule type="expression" dxfId="1" priority="254">
      <formula>AND(COUNTIF(G162:BE162,"&lt;&gt;" &amp; "")&gt;0,NOT(ISBLANK(E162)))</formula>
    </cfRule>
  </conditionalFormatting>
  <conditionalFormatting sqref="E163">
    <cfRule type="expression" dxfId="0" priority="255">
      <formula>COUNTIF(G163:BE163,"&lt;&gt;" &amp; "")&gt;0</formula>
    </cfRule>
    <cfRule type="expression" dxfId="1" priority="256">
      <formula>AND(COUNTIF(G163:BE163,"&lt;&gt;" &amp; "")&gt;0,NOT(ISBLANK(E163)))</formula>
    </cfRule>
  </conditionalFormatting>
  <conditionalFormatting sqref="E164">
    <cfRule type="expression" dxfId="0" priority="257">
      <formula>COUNTIF(G164:BE164,"&lt;&gt;" &amp; "")&gt;0</formula>
    </cfRule>
    <cfRule type="expression" dxfId="1" priority="258">
      <formula>AND(COUNTIF(G164:BE164,"&lt;&gt;" &amp; "")&gt;0,NOT(ISBLANK(E164)))</formula>
    </cfRule>
  </conditionalFormatting>
  <conditionalFormatting sqref="E165">
    <cfRule type="expression" dxfId="0" priority="259">
      <formula>COUNTIF(G165:BE165,"&lt;&gt;" &amp; "")&gt;0</formula>
    </cfRule>
    <cfRule type="expression" dxfId="1" priority="260">
      <formula>AND(COUNTIF(G165:BE165,"&lt;&gt;" &amp; "")&gt;0,NOT(ISBLANK(E165)))</formula>
    </cfRule>
  </conditionalFormatting>
  <conditionalFormatting sqref="E166">
    <cfRule type="expression" dxfId="0" priority="261">
      <formula>COUNTIF(G166:BE166,"&lt;&gt;" &amp; "")&gt;0</formula>
    </cfRule>
    <cfRule type="expression" dxfId="1" priority="262">
      <formula>AND(COUNTIF(G166:BE166,"&lt;&gt;" &amp; "")&gt;0,NOT(ISBLANK(E166)))</formula>
    </cfRule>
  </conditionalFormatting>
  <conditionalFormatting sqref="E167">
    <cfRule type="expression" dxfId="0" priority="263">
      <formula>COUNTIF(G167:BE167,"&lt;&gt;" &amp; "")&gt;0</formula>
    </cfRule>
    <cfRule type="expression" dxfId="1" priority="264">
      <formula>AND(COUNTIF(G167:BE167,"&lt;&gt;" &amp; "")&gt;0,NOT(ISBLANK(E167)))</formula>
    </cfRule>
  </conditionalFormatting>
  <conditionalFormatting sqref="E168">
    <cfRule type="expression" dxfId="0" priority="265">
      <formula>COUNTIF(G168:BE168,"&lt;&gt;" &amp; "")&gt;0</formula>
    </cfRule>
    <cfRule type="expression" dxfId="1" priority="266">
      <formula>AND(COUNTIF(G168:BE168,"&lt;&gt;" &amp; "")&gt;0,NOT(ISBLANK(E168)))</formula>
    </cfRule>
  </conditionalFormatting>
  <conditionalFormatting sqref="E169">
    <cfRule type="expression" dxfId="0" priority="267">
      <formula>COUNTIF(G169:BE169,"&lt;&gt;" &amp; "")&gt;0</formula>
    </cfRule>
    <cfRule type="expression" dxfId="1" priority="268">
      <formula>AND(COUNTIF(G169:BE169,"&lt;&gt;" &amp; "")&gt;0,NOT(ISBLANK(E169)))</formula>
    </cfRule>
  </conditionalFormatting>
  <conditionalFormatting sqref="E170">
    <cfRule type="expression" dxfId="0" priority="269">
      <formula>COUNTIF(G170:BE170,"&lt;&gt;" &amp; "")&gt;0</formula>
    </cfRule>
    <cfRule type="expression" dxfId="1" priority="270">
      <formula>AND(COUNTIF(G170:BE170,"&lt;&gt;" &amp; "")&gt;0,NOT(ISBLANK(E170)))</formula>
    </cfRule>
  </conditionalFormatting>
  <conditionalFormatting sqref="E171">
    <cfRule type="expression" dxfId="0" priority="271">
      <formula>COUNTIF(G171:BE171,"&lt;&gt;" &amp; "")&gt;0</formula>
    </cfRule>
    <cfRule type="expression" dxfId="1" priority="272">
      <formula>AND(COUNTIF(G171:BE171,"&lt;&gt;" &amp; "")&gt;0,NOT(ISBLANK(E171)))</formula>
    </cfRule>
  </conditionalFormatting>
  <conditionalFormatting sqref="E172">
    <cfRule type="expression" dxfId="0" priority="273">
      <formula>COUNTIF(G172:BE172,"&lt;&gt;" &amp; "")&gt;0</formula>
    </cfRule>
    <cfRule type="expression" dxfId="1" priority="274">
      <formula>AND(COUNTIF(G172:BE172,"&lt;&gt;" &amp; "")&gt;0,NOT(ISBLANK(E172)))</formula>
    </cfRule>
  </conditionalFormatting>
  <conditionalFormatting sqref="E173">
    <cfRule type="expression" dxfId="0" priority="275">
      <formula>COUNTIF(G173:BE173,"&lt;&gt;" &amp; "")&gt;0</formula>
    </cfRule>
    <cfRule type="expression" dxfId="1" priority="276">
      <formula>AND(COUNTIF(G173:BE173,"&lt;&gt;" &amp; "")&gt;0,NOT(ISBLANK(E173)))</formula>
    </cfRule>
  </conditionalFormatting>
  <conditionalFormatting sqref="E174">
    <cfRule type="expression" dxfId="0" priority="277">
      <formula>COUNTIF(G174:BE174,"&lt;&gt;" &amp; "")&gt;0</formula>
    </cfRule>
    <cfRule type="expression" dxfId="1" priority="278">
      <formula>AND(COUNTIF(G174:BE174,"&lt;&gt;" &amp; "")&gt;0,NOT(ISBLANK(E174)))</formula>
    </cfRule>
  </conditionalFormatting>
  <conditionalFormatting sqref="E175">
    <cfRule type="expression" dxfId="0" priority="279">
      <formula>COUNTIF(G175:BE175,"&lt;&gt;" &amp; "")&gt;0</formula>
    </cfRule>
    <cfRule type="expression" dxfId="1" priority="280">
      <formula>AND(COUNTIF(G175:BE175,"&lt;&gt;" &amp; "")&gt;0,NOT(ISBLANK(E175)))</formula>
    </cfRule>
  </conditionalFormatting>
  <conditionalFormatting sqref="E178">
    <cfRule type="expression" dxfId="0" priority="281">
      <formula>COUNTIF(G178:BE178,"&lt;&gt;" &amp; "")&gt;0</formula>
    </cfRule>
    <cfRule type="expression" dxfId="1" priority="282">
      <formula>AND(COUNTIF(G178:BE178,"&lt;&gt;" &amp; "")&gt;0,NOT(ISBLANK(E178)))</formula>
    </cfRule>
  </conditionalFormatting>
  <conditionalFormatting sqref="E179">
    <cfRule type="expression" dxfId="0" priority="283">
      <formula>COUNTIF(G179:BE179,"&lt;&gt;" &amp; "")&gt;0</formula>
    </cfRule>
    <cfRule type="expression" dxfId="1" priority="284">
      <formula>AND(COUNTIF(G179:BE179,"&lt;&gt;" &amp; "")&gt;0,NOT(ISBLANK(E179)))</formula>
    </cfRule>
  </conditionalFormatting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80">
    <cfRule type="expression" dxfId="0" priority="285">
      <formula>COUNTIF(G180:BE180,"&lt;&gt;" &amp; "")&gt;0</formula>
    </cfRule>
    <cfRule type="expression" dxfId="1" priority="286">
      <formula>AND(COUNTIF(G180:BE180,"&lt;&gt;" &amp; "")&gt;0,NOT(ISBLANK(E180)))</formula>
    </cfRule>
  </conditionalFormatting>
  <conditionalFormatting sqref="E181">
    <cfRule type="expression" dxfId="0" priority="287">
      <formula>COUNTIF(G181:BE181,"&lt;&gt;" &amp; "")&gt;0</formula>
    </cfRule>
    <cfRule type="expression" dxfId="1" priority="288">
      <formula>AND(COUNTIF(G181:BE181,"&lt;&gt;" &amp; "")&gt;0,NOT(ISBLANK(E181)))</formula>
    </cfRule>
  </conditionalFormatting>
  <conditionalFormatting sqref="E182">
    <cfRule type="expression" dxfId="0" priority="289">
      <formula>COUNTIF(G182:BE182,"&lt;&gt;" &amp; "")&gt;0</formula>
    </cfRule>
    <cfRule type="expression" dxfId="1" priority="290">
      <formula>AND(COUNTIF(G182:BE182,"&lt;&gt;" &amp; "")&gt;0,NOT(ISBLANK(E182)))</formula>
    </cfRule>
  </conditionalFormatting>
  <conditionalFormatting sqref="E183">
    <cfRule type="expression" dxfId="0" priority="291">
      <formula>COUNTIF(G183:BE183,"&lt;&gt;" &amp; "")&gt;0</formula>
    </cfRule>
    <cfRule type="expression" dxfId="1" priority="292">
      <formula>AND(COUNTIF(G183:BE183,"&lt;&gt;" &amp; "")&gt;0,NOT(ISBLANK(E183)))</formula>
    </cfRule>
  </conditionalFormatting>
  <conditionalFormatting sqref="E184">
    <cfRule type="expression" dxfId="0" priority="293">
      <formula>COUNTIF(G184:BE184,"&lt;&gt;" &amp; "")&gt;0</formula>
    </cfRule>
    <cfRule type="expression" dxfId="1" priority="294">
      <formula>AND(COUNTIF(G184:BE184,"&lt;&gt;" &amp; "")&gt;0,NOT(ISBLANK(E184)))</formula>
    </cfRule>
  </conditionalFormatting>
  <conditionalFormatting sqref="E185">
    <cfRule type="expression" dxfId="0" priority="295">
      <formula>COUNTIF(G185:BE185,"&lt;&gt;" &amp; "")&gt;0</formula>
    </cfRule>
    <cfRule type="expression" dxfId="1" priority="296">
      <formula>AND(COUNTIF(G185:BE185,"&lt;&gt;" &amp; "")&gt;0,NOT(ISBLANK(E185)))</formula>
    </cfRule>
  </conditionalFormatting>
  <conditionalFormatting sqref="E186">
    <cfRule type="expression" dxfId="0" priority="297">
      <formula>COUNTIF(G186:BE186,"&lt;&gt;" &amp; "")&gt;0</formula>
    </cfRule>
    <cfRule type="expression" dxfId="1" priority="298">
      <formula>AND(COUNTIF(G186:BE186,"&lt;&gt;" &amp; "")&gt;0,NOT(ISBLANK(E186)))</formula>
    </cfRule>
  </conditionalFormatting>
  <conditionalFormatting sqref="E187">
    <cfRule type="expression" dxfId="0" priority="299">
      <formula>COUNTIF(G187:BE187,"&lt;&gt;" &amp; "")&gt;0</formula>
    </cfRule>
    <cfRule type="expression" dxfId="1" priority="300">
      <formula>AND(COUNTIF(G187:BE187,"&lt;&gt;" &amp; "")&gt;0,NOT(ISBLANK(E187)))</formula>
    </cfRule>
  </conditionalFormatting>
  <conditionalFormatting sqref="E188">
    <cfRule type="expression" dxfId="0" priority="301">
      <formula>COUNTIF(G188:BE188,"&lt;&gt;" &amp; "")&gt;0</formula>
    </cfRule>
    <cfRule type="expression" dxfId="1" priority="302">
      <formula>AND(COUNTIF(G188:BE188,"&lt;&gt;" &amp; "")&gt;0,NOT(ISBLANK(E188)))</formula>
    </cfRule>
  </conditionalFormatting>
  <conditionalFormatting sqref="E189">
    <cfRule type="expression" dxfId="0" priority="303">
      <formula>COUNTIF(G189:BE189,"&lt;&gt;" &amp; "")&gt;0</formula>
    </cfRule>
    <cfRule type="expression" dxfId="1" priority="304">
      <formula>AND(COUNTIF(G189:BE189,"&lt;&gt;" &amp; "")&gt;0,NOT(ISBLANK(E189)))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190">
    <cfRule type="expression" dxfId="0" priority="305">
      <formula>COUNTIF(G190:BE190,"&lt;&gt;" &amp; "")&gt;0</formula>
    </cfRule>
    <cfRule type="expression" dxfId="1" priority="306">
      <formula>AND(COUNTIF(G190:BE190,"&lt;&gt;" &amp; "")&gt;0,NOT(ISBLANK(E190)))</formula>
    </cfRule>
  </conditionalFormatting>
  <conditionalFormatting sqref="E191">
    <cfRule type="expression" dxfId="0" priority="307">
      <formula>COUNTIF(G191:BE191,"&lt;&gt;" &amp; "")&gt;0</formula>
    </cfRule>
    <cfRule type="expression" dxfId="1" priority="308">
      <formula>AND(COUNTIF(G191:BE191,"&lt;&gt;" &amp; "")&gt;0,NOT(ISBLANK(E191)))</formula>
    </cfRule>
  </conditionalFormatting>
  <conditionalFormatting sqref="E194">
    <cfRule type="expression" dxfId="0" priority="309">
      <formula>COUNTIF(G194:BE194,"&lt;&gt;" &amp; "")&gt;0</formula>
    </cfRule>
    <cfRule type="expression" dxfId="1" priority="310">
      <formula>AND(COUNTIF(G194:BE194,"&lt;&gt;" &amp; "")&gt;0,NOT(ISBLANK(E194)))</formula>
    </cfRule>
  </conditionalFormatting>
  <conditionalFormatting sqref="E195">
    <cfRule type="expression" dxfId="0" priority="311">
      <formula>COUNTIF(G195:BE195,"&lt;&gt;" &amp; "")&gt;0</formula>
    </cfRule>
    <cfRule type="expression" dxfId="1" priority="312">
      <formula>AND(COUNTIF(G195:BE195,"&lt;&gt;" &amp; "")&gt;0,NOT(ISBLANK(E195)))</formula>
    </cfRule>
  </conditionalFormatting>
  <conditionalFormatting sqref="E196">
    <cfRule type="expression" dxfId="0" priority="313">
      <formula>COUNTIF(G196:BE196,"&lt;&gt;" &amp; "")&gt;0</formula>
    </cfRule>
    <cfRule type="expression" dxfId="1" priority="314">
      <formula>AND(COUNTIF(G196:BE196,"&lt;&gt;" &amp; "")&gt;0,NOT(ISBLANK(E196)))</formula>
    </cfRule>
  </conditionalFormatting>
  <conditionalFormatting sqref="E197">
    <cfRule type="expression" dxfId="0" priority="315">
      <formula>COUNTIF(G197:BE197,"&lt;&gt;" &amp; "")&gt;0</formula>
    </cfRule>
    <cfRule type="expression" dxfId="1" priority="316">
      <formula>AND(COUNTIF(G197:BE197,"&lt;&gt;" &amp; "")&gt;0,NOT(ISBLANK(E197)))</formula>
    </cfRule>
  </conditionalFormatting>
  <conditionalFormatting sqref="E198">
    <cfRule type="expression" dxfId="0" priority="317">
      <formula>COUNTIF(G198:BE198,"&lt;&gt;" &amp; "")&gt;0</formula>
    </cfRule>
    <cfRule type="expression" dxfId="1" priority="318">
      <formula>AND(COUNTIF(G198:BE198,"&lt;&gt;" &amp; "")&gt;0,NOT(ISBLANK(E198)))</formula>
    </cfRule>
  </conditionalFormatting>
  <conditionalFormatting sqref="E199">
    <cfRule type="expression" dxfId="0" priority="319">
      <formula>COUNTIF(G199:BE199,"&lt;&gt;" &amp; "")&gt;0</formula>
    </cfRule>
    <cfRule type="expression" dxfId="1" priority="320">
      <formula>AND(COUNTIF(G199:BE199,"&lt;&gt;" &amp; "")&gt;0,NOT(ISBLANK(E199)))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00">
    <cfRule type="expression" dxfId="0" priority="321">
      <formula>COUNTIF(G200:BE200,"&lt;&gt;" &amp; "")&gt;0</formula>
    </cfRule>
    <cfRule type="expression" dxfId="1" priority="322">
      <formula>AND(COUNTIF(G200:BE200,"&lt;&gt;" &amp; "")&gt;0,NOT(ISBLANK(E200)))</formula>
    </cfRule>
  </conditionalFormatting>
  <conditionalFormatting sqref="E201">
    <cfRule type="expression" dxfId="0" priority="323">
      <formula>COUNTIF(G201:BE201,"&lt;&gt;" &amp; "")&gt;0</formula>
    </cfRule>
    <cfRule type="expression" dxfId="1" priority="324">
      <formula>AND(COUNTIF(G201:BE201,"&lt;&gt;" &amp; "")&gt;0,NOT(ISBLANK(E201)))</formula>
    </cfRule>
  </conditionalFormatting>
  <conditionalFormatting sqref="E202">
    <cfRule type="expression" dxfId="0" priority="325">
      <formula>COUNTIF(G202:BE202,"&lt;&gt;" &amp; "")&gt;0</formula>
    </cfRule>
    <cfRule type="expression" dxfId="1" priority="326">
      <formula>AND(COUNTIF(G202:BE202,"&lt;&gt;" &amp; "")&gt;0,NOT(ISBLANK(E202)))</formula>
    </cfRule>
  </conditionalFormatting>
  <conditionalFormatting sqref="E203">
    <cfRule type="expression" dxfId="0" priority="327">
      <formula>COUNTIF(G203:BE203,"&lt;&gt;" &amp; "")&gt;0</formula>
    </cfRule>
    <cfRule type="expression" dxfId="1" priority="328">
      <formula>AND(COUNTIF(G203:BE203,"&lt;&gt;" &amp; "")&gt;0,NOT(ISBLANK(E203)))</formula>
    </cfRule>
  </conditionalFormatting>
  <conditionalFormatting sqref="E204">
    <cfRule type="expression" dxfId="0" priority="329">
      <formula>COUNTIF(G204:BE204,"&lt;&gt;" &amp; "")&gt;0</formula>
    </cfRule>
    <cfRule type="expression" dxfId="1" priority="330">
      <formula>AND(COUNTIF(G204:BE204,"&lt;&gt;" &amp; "")&gt;0,NOT(ISBLANK(E204)))</formula>
    </cfRule>
  </conditionalFormatting>
  <conditionalFormatting sqref="E205">
    <cfRule type="expression" dxfId="0" priority="331">
      <formula>COUNTIF(G205:BE205,"&lt;&gt;" &amp; "")&gt;0</formula>
    </cfRule>
    <cfRule type="expression" dxfId="1" priority="332">
      <formula>AND(COUNTIF(G205:BE205,"&lt;&gt;" &amp; "")&gt;0,NOT(ISBLANK(E205)))</formula>
    </cfRule>
  </conditionalFormatting>
  <conditionalFormatting sqref="E206">
    <cfRule type="expression" dxfId="0" priority="333">
      <formula>COUNTIF(G206:BE206,"&lt;&gt;" &amp; "")&gt;0</formula>
    </cfRule>
    <cfRule type="expression" dxfId="1" priority="334">
      <formula>AND(COUNTIF(G206:BE206,"&lt;&gt;" &amp; "")&gt;0,NOT(ISBLANK(E206)))</formula>
    </cfRule>
  </conditionalFormatting>
  <conditionalFormatting sqref="E207">
    <cfRule type="expression" dxfId="0" priority="335">
      <formula>COUNTIF(G207:BE207,"&lt;&gt;" &amp; "")&gt;0</formula>
    </cfRule>
    <cfRule type="expression" dxfId="1" priority="336">
      <formula>AND(COUNTIF(G207:BE207,"&lt;&gt;" &amp; "")&gt;0,NOT(ISBLANK(E207)))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10">
    <cfRule type="expression" dxfId="0" priority="337">
      <formula>COUNTIF(G210:BE210,"&lt;&gt;" &amp; "")&gt;0</formula>
    </cfRule>
    <cfRule type="expression" dxfId="1" priority="338">
      <formula>AND(COUNTIF(G210:BE210,"&lt;&gt;" &amp; "")&gt;0,NOT(ISBLANK(E210)))</formula>
    </cfRule>
  </conditionalFormatting>
  <conditionalFormatting sqref="E211">
    <cfRule type="expression" dxfId="0" priority="339">
      <formula>COUNTIF(G211:BE211,"&lt;&gt;" &amp; "")&gt;0</formula>
    </cfRule>
    <cfRule type="expression" dxfId="1" priority="340">
      <formula>AND(COUNTIF(G211:BE211,"&lt;&gt;" &amp; "")&gt;0,NOT(ISBLANK(E211)))</formula>
    </cfRule>
  </conditionalFormatting>
  <conditionalFormatting sqref="E212">
    <cfRule type="expression" dxfId="0" priority="341">
      <formula>COUNTIF(G212:BE212,"&lt;&gt;" &amp; "")&gt;0</formula>
    </cfRule>
    <cfRule type="expression" dxfId="1" priority="342">
      <formula>AND(COUNTIF(G212:BE212,"&lt;&gt;" &amp; "")&gt;0,NOT(ISBLANK(E212)))</formula>
    </cfRule>
  </conditionalFormatting>
  <conditionalFormatting sqref="E213">
    <cfRule type="expression" dxfId="0" priority="343">
      <formula>COUNTIF(G213:BE213,"&lt;&gt;" &amp; "")&gt;0</formula>
    </cfRule>
    <cfRule type="expression" dxfId="1" priority="344">
      <formula>AND(COUNTIF(G213:BE213,"&lt;&gt;" &amp; "")&gt;0,NOT(ISBLANK(E213)))</formula>
    </cfRule>
  </conditionalFormatting>
  <conditionalFormatting sqref="E214">
    <cfRule type="expression" dxfId="0" priority="345">
      <formula>COUNTIF(G214:BE214,"&lt;&gt;" &amp; "")&gt;0</formula>
    </cfRule>
    <cfRule type="expression" dxfId="1" priority="346">
      <formula>AND(COUNTIF(G214:BE214,"&lt;&gt;" &amp; "")&gt;0,NOT(ISBLANK(E214)))</formula>
    </cfRule>
  </conditionalFormatting>
  <conditionalFormatting sqref="E215">
    <cfRule type="expression" dxfId="0" priority="347">
      <formula>COUNTIF(G215:BE215,"&lt;&gt;" &amp; "")&gt;0</formula>
    </cfRule>
    <cfRule type="expression" dxfId="1" priority="348">
      <formula>AND(COUNTIF(G215:BE215,"&lt;&gt;" &amp; "")&gt;0,NOT(ISBLANK(E215)))</formula>
    </cfRule>
  </conditionalFormatting>
  <conditionalFormatting sqref="E216">
    <cfRule type="expression" dxfId="0" priority="349">
      <formula>COUNTIF(G216:BE216,"&lt;&gt;" &amp; "")&gt;0</formula>
    </cfRule>
    <cfRule type="expression" dxfId="1" priority="350">
      <formula>AND(COUNTIF(G216:BE216,"&lt;&gt;" &amp; "")&gt;0,NOT(ISBLANK(E216)))</formula>
    </cfRule>
  </conditionalFormatting>
  <conditionalFormatting sqref="E217">
    <cfRule type="expression" dxfId="0" priority="351">
      <formula>COUNTIF(G217:BE217,"&lt;&gt;" &amp; "")&gt;0</formula>
    </cfRule>
    <cfRule type="expression" dxfId="1" priority="352">
      <formula>AND(COUNTIF(G217:BE217,"&lt;&gt;" &amp; "")&gt;0,NOT(ISBLANK(E217)))</formula>
    </cfRule>
  </conditionalFormatting>
  <conditionalFormatting sqref="E218">
    <cfRule type="expression" dxfId="0" priority="353">
      <formula>COUNTIF(G218:BE218,"&lt;&gt;" &amp; "")&gt;0</formula>
    </cfRule>
    <cfRule type="expression" dxfId="1" priority="354">
      <formula>AND(COUNTIF(G218:BE218,"&lt;&gt;" &amp; "")&gt;0,NOT(ISBLANK(E218)))</formula>
    </cfRule>
  </conditionalFormatting>
  <conditionalFormatting sqref="E219">
    <cfRule type="expression" dxfId="0" priority="355">
      <formula>COUNTIF(G219:BE219,"&lt;&gt;" &amp; "")&gt;0</formula>
    </cfRule>
    <cfRule type="expression" dxfId="1" priority="356">
      <formula>AND(COUNTIF(G219:BE219,"&lt;&gt;" &amp; "")&gt;0,NOT(ISBLANK(E219)))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20">
    <cfRule type="expression" dxfId="0" priority="357">
      <formula>COUNTIF(G220:BE220,"&lt;&gt;" &amp; "")&gt;0</formula>
    </cfRule>
    <cfRule type="expression" dxfId="1" priority="358">
      <formula>AND(COUNTIF(G220:BE220,"&lt;&gt;" &amp; "")&gt;0,NOT(ISBLANK(E220)))</formula>
    </cfRule>
  </conditionalFormatting>
  <conditionalFormatting sqref="E221">
    <cfRule type="expression" dxfId="0" priority="359">
      <formula>COUNTIF(G221:BE221,"&lt;&gt;" &amp; "")&gt;0</formula>
    </cfRule>
    <cfRule type="expression" dxfId="1" priority="360">
      <formula>AND(COUNTIF(G221:BE221,"&lt;&gt;" &amp; "")&gt;0,NOT(ISBLANK(E221)))</formula>
    </cfRule>
  </conditionalFormatting>
  <conditionalFormatting sqref="E222">
    <cfRule type="expression" dxfId="0" priority="361">
      <formula>COUNTIF(G222:BE222,"&lt;&gt;" &amp; "")&gt;0</formula>
    </cfRule>
    <cfRule type="expression" dxfId="1" priority="362">
      <formula>AND(COUNTIF(G222:BE222,"&lt;&gt;" &amp; "")&gt;0,NOT(ISBLANK(E222)))</formula>
    </cfRule>
  </conditionalFormatting>
  <conditionalFormatting sqref="E223">
    <cfRule type="expression" dxfId="0" priority="363">
      <formula>COUNTIF(G223:BE223,"&lt;&gt;" &amp; "")&gt;0</formula>
    </cfRule>
    <cfRule type="expression" dxfId="1" priority="364">
      <formula>AND(COUNTIF(G223:BE223,"&lt;&gt;" &amp; "")&gt;0,NOT(ISBLANK(E223)))</formula>
    </cfRule>
  </conditionalFormatting>
  <conditionalFormatting sqref="E226">
    <cfRule type="expression" dxfId="0" priority="365">
      <formula>COUNTIF(G226:BE226,"&lt;&gt;" &amp; "")&gt;0</formula>
    </cfRule>
    <cfRule type="expression" dxfId="1" priority="366">
      <formula>AND(COUNTIF(G226:BE226,"&lt;&gt;" &amp; "")&gt;0,NOT(ISBLANK(E226)))</formula>
    </cfRule>
  </conditionalFormatting>
  <conditionalFormatting sqref="E227">
    <cfRule type="expression" dxfId="0" priority="367">
      <formula>COUNTIF(G227:BE227,"&lt;&gt;" &amp; "")&gt;0</formula>
    </cfRule>
    <cfRule type="expression" dxfId="1" priority="368">
      <formula>AND(COUNTIF(G227:BE227,"&lt;&gt;" &amp; "")&gt;0,NOT(ISBLANK(E227)))</formula>
    </cfRule>
  </conditionalFormatting>
  <conditionalFormatting sqref="E228">
    <cfRule type="expression" dxfId="0" priority="369">
      <formula>COUNTIF(G228:BE228,"&lt;&gt;" &amp; "")&gt;0</formula>
    </cfRule>
    <cfRule type="expression" dxfId="1" priority="370">
      <formula>AND(COUNTIF(G228:BE228,"&lt;&gt;" &amp; "")&gt;0,NOT(ISBLANK(E228)))</formula>
    </cfRule>
  </conditionalFormatting>
  <conditionalFormatting sqref="E229">
    <cfRule type="expression" dxfId="0" priority="371">
      <formula>COUNTIF(G229:BE229,"&lt;&gt;" &amp; "")&gt;0</formula>
    </cfRule>
    <cfRule type="expression" dxfId="1" priority="372">
      <formula>AND(COUNTIF(G229:BE229,"&lt;&gt;" &amp; "")&gt;0,NOT(ISBLANK(E229)))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30">
    <cfRule type="expression" dxfId="0" priority="373">
      <formula>COUNTIF(G230:BE230,"&lt;&gt;" &amp; "")&gt;0</formula>
    </cfRule>
    <cfRule type="expression" dxfId="1" priority="374">
      <formula>AND(COUNTIF(G230:BE230,"&lt;&gt;" &amp; "")&gt;0,NOT(ISBLANK(E230)))</formula>
    </cfRule>
  </conditionalFormatting>
  <conditionalFormatting sqref="E231">
    <cfRule type="expression" dxfId="0" priority="375">
      <formula>COUNTIF(G231:BE231,"&lt;&gt;" &amp; "")&gt;0</formula>
    </cfRule>
    <cfRule type="expression" dxfId="1" priority="376">
      <formula>AND(COUNTIF(G231:BE231,"&lt;&gt;" &amp; "")&gt;0,NOT(ISBLANK(E231)))</formula>
    </cfRule>
  </conditionalFormatting>
  <conditionalFormatting sqref="E232">
    <cfRule type="expression" dxfId="0" priority="377">
      <formula>COUNTIF(G232:BE232,"&lt;&gt;" &amp; "")&gt;0</formula>
    </cfRule>
    <cfRule type="expression" dxfId="1" priority="378">
      <formula>AND(COUNTIF(G232:BE232,"&lt;&gt;" &amp; "")&gt;0,NOT(ISBLANK(E232)))</formula>
    </cfRule>
  </conditionalFormatting>
  <conditionalFormatting sqref="E233">
    <cfRule type="expression" dxfId="0" priority="379">
      <formula>COUNTIF(G233:BE233,"&lt;&gt;" &amp; "")&gt;0</formula>
    </cfRule>
    <cfRule type="expression" dxfId="1" priority="380">
      <formula>AND(COUNTIF(G233:BE233,"&lt;&gt;" &amp; "")&gt;0,NOT(ISBLANK(E233)))</formula>
    </cfRule>
  </conditionalFormatting>
  <conditionalFormatting sqref="E234">
    <cfRule type="expression" dxfId="0" priority="381">
      <formula>COUNTIF(G234:BE234,"&lt;&gt;" &amp; "")&gt;0</formula>
    </cfRule>
    <cfRule type="expression" dxfId="1" priority="382">
      <formula>AND(COUNTIF(G234:BE234,"&lt;&gt;" &amp; "")&gt;0,NOT(ISBLANK(E234)))</formula>
    </cfRule>
  </conditionalFormatting>
  <conditionalFormatting sqref="E235">
    <cfRule type="expression" dxfId="0" priority="383">
      <formula>COUNTIF(G235:BE235,"&lt;&gt;" &amp; "")&gt;0</formula>
    </cfRule>
    <cfRule type="expression" dxfId="1" priority="384">
      <formula>AND(COUNTIF(G235:BE235,"&lt;&gt;" &amp; "")&gt;0,NOT(ISBLANK(E235)))</formula>
    </cfRule>
  </conditionalFormatting>
  <conditionalFormatting sqref="E236">
    <cfRule type="expression" dxfId="0" priority="385">
      <formula>COUNTIF(G236:BE236,"&lt;&gt;" &amp; "")&gt;0</formula>
    </cfRule>
    <cfRule type="expression" dxfId="1" priority="386">
      <formula>AND(COUNTIF(G236:BE236,"&lt;&gt;" &amp; "")&gt;0,NOT(ISBLANK(E236)))</formula>
    </cfRule>
  </conditionalFormatting>
  <conditionalFormatting sqref="E237">
    <cfRule type="expression" dxfId="0" priority="387">
      <formula>COUNTIF(G237:BE237,"&lt;&gt;" &amp; "")&gt;0</formula>
    </cfRule>
    <cfRule type="expression" dxfId="1" priority="388">
      <formula>AND(COUNTIF(G237:BE237,"&lt;&gt;" &amp; "")&gt;0,NOT(ISBLANK(E237)))</formula>
    </cfRule>
  </conditionalFormatting>
  <conditionalFormatting sqref="E238">
    <cfRule type="expression" dxfId="0" priority="389">
      <formula>COUNTIF(G238:BE238,"&lt;&gt;" &amp; "")&gt;0</formula>
    </cfRule>
    <cfRule type="expression" dxfId="1" priority="390">
      <formula>AND(COUNTIF(G238:BE238,"&lt;&gt;" &amp; "")&gt;0,NOT(ISBLANK(E238)))</formula>
    </cfRule>
  </conditionalFormatting>
  <conditionalFormatting sqref="E239">
    <cfRule type="expression" dxfId="0" priority="391">
      <formula>COUNTIF(G239:BE239,"&lt;&gt;" &amp; "")&gt;0</formula>
    </cfRule>
    <cfRule type="expression" dxfId="1" priority="392">
      <formula>AND(COUNTIF(G239:BE239,"&lt;&gt;" &amp; "")&gt;0,NOT(ISBLANK(E239)))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42">
    <cfRule type="expression" dxfId="0" priority="393">
      <formula>COUNTIF(G242:BE242,"&lt;&gt;" &amp; "")&gt;0</formula>
    </cfRule>
    <cfRule type="expression" dxfId="1" priority="394">
      <formula>AND(COUNTIF(G242:BE242,"&lt;&gt;" &amp; "")&gt;0,NOT(ISBLANK(E242)))</formula>
    </cfRule>
  </conditionalFormatting>
  <conditionalFormatting sqref="E243">
    <cfRule type="expression" dxfId="0" priority="395">
      <formula>COUNTIF(G243:BE243,"&lt;&gt;" &amp; "")&gt;0</formula>
    </cfRule>
    <cfRule type="expression" dxfId="1" priority="396">
      <formula>AND(COUNTIF(G243:BE243,"&lt;&gt;" &amp; "")&gt;0,NOT(ISBLANK(E243)))</formula>
    </cfRule>
  </conditionalFormatting>
  <conditionalFormatting sqref="E244">
    <cfRule type="expression" dxfId="0" priority="397">
      <formula>COUNTIF(G244:BE244,"&lt;&gt;" &amp; "")&gt;0</formula>
    </cfRule>
    <cfRule type="expression" dxfId="1" priority="398">
      <formula>AND(COUNTIF(G244:BE244,"&lt;&gt;" &amp; "")&gt;0,NOT(ISBLANK(E244)))</formula>
    </cfRule>
  </conditionalFormatting>
  <conditionalFormatting sqref="E245">
    <cfRule type="expression" dxfId="0" priority="399">
      <formula>COUNTIF(G245:BE245,"&lt;&gt;" &amp; "")&gt;0</formula>
    </cfRule>
    <cfRule type="expression" dxfId="1" priority="400">
      <formula>AND(COUNTIF(G245:BE245,"&lt;&gt;" &amp; "")&gt;0,NOT(ISBLANK(E245)))</formula>
    </cfRule>
  </conditionalFormatting>
  <conditionalFormatting sqref="E246">
    <cfRule type="expression" dxfId="0" priority="401">
      <formula>COUNTIF(G246:BE246,"&lt;&gt;" &amp; "")&gt;0</formula>
    </cfRule>
    <cfRule type="expression" dxfId="1" priority="402">
      <formula>AND(COUNTIF(G246:BE246,"&lt;&gt;" &amp; "")&gt;0,NOT(ISBLANK(E246)))</formula>
    </cfRule>
  </conditionalFormatting>
  <conditionalFormatting sqref="E247">
    <cfRule type="expression" dxfId="0" priority="403">
      <formula>COUNTIF(G247:BE247,"&lt;&gt;" &amp; "")&gt;0</formula>
    </cfRule>
    <cfRule type="expression" dxfId="1" priority="404">
      <formula>AND(COUNTIF(G247:BE247,"&lt;&gt;" &amp; "")&gt;0,NOT(ISBLANK(E247)))</formula>
    </cfRule>
  </conditionalFormatting>
  <conditionalFormatting sqref="E248">
    <cfRule type="expression" dxfId="0" priority="405">
      <formula>COUNTIF(G248:BE248,"&lt;&gt;" &amp; "")&gt;0</formula>
    </cfRule>
    <cfRule type="expression" dxfId="1" priority="406">
      <formula>AND(COUNTIF(G248:BE248,"&lt;&gt;" &amp; "")&gt;0,NOT(ISBLANK(E248)))</formula>
    </cfRule>
  </conditionalFormatting>
  <conditionalFormatting sqref="E249">
    <cfRule type="expression" dxfId="0" priority="407">
      <formula>COUNTIF(G249:BE249,"&lt;&gt;" &amp; "")&gt;0</formula>
    </cfRule>
    <cfRule type="expression" dxfId="1" priority="408">
      <formula>AND(COUNTIF(G249:BE249,"&lt;&gt;" &amp; "")&gt;0,NOT(ISBLANK(E249)))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50">
    <cfRule type="expression" dxfId="0" priority="409">
      <formula>COUNTIF(G250:BE250,"&lt;&gt;" &amp; "")&gt;0</formula>
    </cfRule>
    <cfRule type="expression" dxfId="1" priority="410">
      <formula>AND(COUNTIF(G250:BE250,"&lt;&gt;" &amp; "")&gt;0,NOT(ISBLANK(E250)))</formula>
    </cfRule>
  </conditionalFormatting>
  <conditionalFormatting sqref="E251">
    <cfRule type="expression" dxfId="0" priority="411">
      <formula>COUNTIF(G251:BE251,"&lt;&gt;" &amp; "")&gt;0</formula>
    </cfRule>
    <cfRule type="expression" dxfId="1" priority="412">
      <formula>AND(COUNTIF(G251:BE251,"&lt;&gt;" &amp; "")&gt;0,NOT(ISBLANK(E251)))</formula>
    </cfRule>
  </conditionalFormatting>
  <conditionalFormatting sqref="E252">
    <cfRule type="expression" dxfId="0" priority="413">
      <formula>COUNTIF(G252:BE252,"&lt;&gt;" &amp; "")&gt;0</formula>
    </cfRule>
    <cfRule type="expression" dxfId="1" priority="414">
      <formula>AND(COUNTIF(G252:BE252,"&lt;&gt;" &amp; "")&gt;0,NOT(ISBLANK(E252)))</formula>
    </cfRule>
  </conditionalFormatting>
  <conditionalFormatting sqref="E253">
    <cfRule type="expression" dxfId="0" priority="415">
      <formula>COUNTIF(G253:BE253,"&lt;&gt;" &amp; "")&gt;0</formula>
    </cfRule>
    <cfRule type="expression" dxfId="1" priority="416">
      <formula>AND(COUNTIF(G253:BE253,"&lt;&gt;" &amp; "")&gt;0,NOT(ISBLANK(E253)))</formula>
    </cfRule>
  </conditionalFormatting>
  <conditionalFormatting sqref="E254">
    <cfRule type="expression" dxfId="0" priority="417">
      <formula>COUNTIF(G254:BE254,"&lt;&gt;" &amp; "")&gt;0</formula>
    </cfRule>
    <cfRule type="expression" dxfId="1" priority="418">
      <formula>AND(COUNTIF(G254:BE254,"&lt;&gt;" &amp; "")&gt;0,NOT(ISBLANK(E254)))</formula>
    </cfRule>
  </conditionalFormatting>
  <conditionalFormatting sqref="E255">
    <cfRule type="expression" dxfId="0" priority="419">
      <formula>COUNTIF(G255:BE255,"&lt;&gt;" &amp; "")&gt;0</formula>
    </cfRule>
    <cfRule type="expression" dxfId="1" priority="420">
      <formula>AND(COUNTIF(G255:BE255,"&lt;&gt;" &amp; "")&gt;0,NOT(ISBLANK(E255)))</formula>
    </cfRule>
  </conditionalFormatting>
  <conditionalFormatting sqref="E258">
    <cfRule type="expression" dxfId="0" priority="421">
      <formula>COUNTIF(G258:BE258,"&lt;&gt;" &amp; "")&gt;0</formula>
    </cfRule>
    <cfRule type="expression" dxfId="1" priority="422">
      <formula>AND(COUNTIF(G258:BE258,"&lt;&gt;" &amp; "")&gt;0,NOT(ISBLANK(E258)))</formula>
    </cfRule>
  </conditionalFormatting>
  <conditionalFormatting sqref="E259">
    <cfRule type="expression" dxfId="0" priority="423">
      <formula>COUNTIF(G259:BE259,"&lt;&gt;" &amp; "")&gt;0</formula>
    </cfRule>
    <cfRule type="expression" dxfId="1" priority="424">
      <formula>AND(COUNTIF(G259:BE259,"&lt;&gt;" &amp; "")&gt;0,NOT(ISBLANK(E259)))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60">
    <cfRule type="expression" dxfId="0" priority="425">
      <formula>COUNTIF(G260:BE260,"&lt;&gt;" &amp; "")&gt;0</formula>
    </cfRule>
    <cfRule type="expression" dxfId="1" priority="426">
      <formula>AND(COUNTIF(G260:BE260,"&lt;&gt;" &amp; "")&gt;0,NOT(ISBLANK(E260)))</formula>
    </cfRule>
  </conditionalFormatting>
  <conditionalFormatting sqref="E261">
    <cfRule type="expression" dxfId="0" priority="427">
      <formula>COUNTIF(G261:BE261,"&lt;&gt;" &amp; "")&gt;0</formula>
    </cfRule>
    <cfRule type="expression" dxfId="1" priority="428">
      <formula>AND(COUNTIF(G261:BE261,"&lt;&gt;" &amp; "")&gt;0,NOT(ISBLANK(E261)))</formula>
    </cfRule>
  </conditionalFormatting>
  <conditionalFormatting sqref="E262">
    <cfRule type="expression" dxfId="0" priority="429">
      <formula>COUNTIF(G262:BE262,"&lt;&gt;" &amp; "")&gt;0</formula>
    </cfRule>
    <cfRule type="expression" dxfId="1" priority="430">
      <formula>AND(COUNTIF(G262:BE262,"&lt;&gt;" &amp; "")&gt;0,NOT(ISBLANK(E262)))</formula>
    </cfRule>
  </conditionalFormatting>
  <conditionalFormatting sqref="E263">
    <cfRule type="expression" dxfId="0" priority="431">
      <formula>COUNTIF(G263:BE263,"&lt;&gt;" &amp; "")&gt;0</formula>
    </cfRule>
    <cfRule type="expression" dxfId="1" priority="432">
      <formula>AND(COUNTIF(G263:BE263,"&lt;&gt;" &amp; "")&gt;0,NOT(ISBLANK(E263)))</formula>
    </cfRule>
  </conditionalFormatting>
  <conditionalFormatting sqref="E264">
    <cfRule type="expression" dxfId="0" priority="433">
      <formula>COUNTIF(G264:BE264,"&lt;&gt;" &amp; "")&gt;0</formula>
    </cfRule>
    <cfRule type="expression" dxfId="1" priority="434">
      <formula>AND(COUNTIF(G264:BE264,"&lt;&gt;" &amp; "")&gt;0,NOT(ISBLANK(E264)))</formula>
    </cfRule>
  </conditionalFormatting>
  <conditionalFormatting sqref="E265">
    <cfRule type="expression" dxfId="0" priority="435">
      <formula>COUNTIF(G265:BE265,"&lt;&gt;" &amp; "")&gt;0</formula>
    </cfRule>
    <cfRule type="expression" dxfId="1" priority="436">
      <formula>AND(COUNTIF(G265:BE265,"&lt;&gt;" &amp; "")&gt;0,NOT(ISBLANK(E265)))</formula>
    </cfRule>
  </conditionalFormatting>
  <conditionalFormatting sqref="E266">
    <cfRule type="expression" dxfId="0" priority="437">
      <formula>COUNTIF(G266:BE266,"&lt;&gt;" &amp; "")&gt;0</formula>
    </cfRule>
    <cfRule type="expression" dxfId="1" priority="438">
      <formula>AND(COUNTIF(G266:BE266,"&lt;&gt;" &amp; "")&gt;0,NOT(ISBLANK(E266)))</formula>
    </cfRule>
  </conditionalFormatting>
  <conditionalFormatting sqref="E267">
    <cfRule type="expression" dxfId="0" priority="439">
      <formula>COUNTIF(G267:BE267,"&lt;&gt;" &amp; "")&gt;0</formula>
    </cfRule>
    <cfRule type="expression" dxfId="1" priority="440">
      <formula>AND(COUNTIF(G267:BE267,"&lt;&gt;" &amp; "")&gt;0,NOT(ISBLANK(E267)))</formula>
    </cfRule>
  </conditionalFormatting>
  <conditionalFormatting sqref="E268">
    <cfRule type="expression" dxfId="0" priority="441">
      <formula>COUNTIF(G268:BE268,"&lt;&gt;" &amp; "")&gt;0</formula>
    </cfRule>
    <cfRule type="expression" dxfId="1" priority="442">
      <formula>AND(COUNTIF(G268:BE268,"&lt;&gt;" &amp; "")&gt;0,NOT(ISBLANK(E268)))</formula>
    </cfRule>
  </conditionalFormatting>
  <conditionalFormatting sqref="E269">
    <cfRule type="expression" dxfId="0" priority="443">
      <formula>COUNTIF(G269:BE269,"&lt;&gt;" &amp; "")&gt;0</formula>
    </cfRule>
    <cfRule type="expression" dxfId="1" priority="444">
      <formula>AND(COUNTIF(G269:BE269,"&lt;&gt;" &amp; "")&gt;0,NOT(ISBLANK(E269)))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70">
    <cfRule type="expression" dxfId="0" priority="445">
      <formula>COUNTIF(G270:BE270,"&lt;&gt;" &amp; "")&gt;0</formula>
    </cfRule>
    <cfRule type="expression" dxfId="1" priority="446">
      <formula>AND(COUNTIF(G270:BE270,"&lt;&gt;" &amp; "")&gt;0,NOT(ISBLANK(E270)))</formula>
    </cfRule>
  </conditionalFormatting>
  <conditionalFormatting sqref="E271">
    <cfRule type="expression" dxfId="0" priority="447">
      <formula>COUNTIF(G271:BE271,"&lt;&gt;" &amp; "")&gt;0</formula>
    </cfRule>
    <cfRule type="expression" dxfId="1" priority="448">
      <formula>AND(COUNTIF(G271:BE271,"&lt;&gt;" &amp; "")&gt;0,NOT(ISBLANK(E271)))</formula>
    </cfRule>
  </conditionalFormatting>
  <conditionalFormatting sqref="E274">
    <cfRule type="expression" dxfId="0" priority="449">
      <formula>COUNTIF(G274:BE274,"&lt;&gt;" &amp; "")&gt;0</formula>
    </cfRule>
    <cfRule type="expression" dxfId="1" priority="450">
      <formula>AND(COUNTIF(G274:BE274,"&lt;&gt;" &amp; "")&gt;0,NOT(ISBLANK(E274)))</formula>
    </cfRule>
  </conditionalFormatting>
  <conditionalFormatting sqref="E275">
    <cfRule type="expression" dxfId="0" priority="451">
      <formula>COUNTIF(G275:BE275,"&lt;&gt;" &amp; "")&gt;0</formula>
    </cfRule>
    <cfRule type="expression" dxfId="1" priority="452">
      <formula>AND(COUNTIF(G275:BE275,"&lt;&gt;" &amp; "")&gt;0,NOT(ISBLANK(E275)))</formula>
    </cfRule>
  </conditionalFormatting>
  <conditionalFormatting sqref="E276">
    <cfRule type="expression" dxfId="0" priority="453">
      <formula>COUNTIF(G276:BE276,"&lt;&gt;" &amp; "")&gt;0</formula>
    </cfRule>
    <cfRule type="expression" dxfId="1" priority="454">
      <formula>AND(COUNTIF(G276:BE276,"&lt;&gt;" &amp; "")&gt;0,NOT(ISBLANK(E276)))</formula>
    </cfRule>
  </conditionalFormatting>
  <conditionalFormatting sqref="E277">
    <cfRule type="expression" dxfId="0" priority="455">
      <formula>COUNTIF(G277:BE277,"&lt;&gt;" &amp; "")&gt;0</formula>
    </cfRule>
    <cfRule type="expression" dxfId="1" priority="456">
      <formula>AND(COUNTIF(G277:BE277,"&lt;&gt;" &amp; "")&gt;0,NOT(ISBLANK(E277)))</formula>
    </cfRule>
  </conditionalFormatting>
  <conditionalFormatting sqref="E278">
    <cfRule type="expression" dxfId="0" priority="457">
      <formula>COUNTIF(G278:BE278,"&lt;&gt;" &amp; "")&gt;0</formula>
    </cfRule>
    <cfRule type="expression" dxfId="1" priority="458">
      <formula>AND(COUNTIF(G278:BE278,"&lt;&gt;" &amp; "")&gt;0,NOT(ISBLANK(E278)))</formula>
    </cfRule>
  </conditionalFormatting>
  <conditionalFormatting sqref="E279">
    <cfRule type="expression" dxfId="0" priority="459">
      <formula>COUNTIF(G279:BE279,"&lt;&gt;" &amp; "")&gt;0</formula>
    </cfRule>
    <cfRule type="expression" dxfId="1" priority="460">
      <formula>AND(COUNTIF(G279:BE279,"&lt;&gt;" &amp; "")&gt;0,NOT(ISBLANK(E279)))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80">
    <cfRule type="expression" dxfId="0" priority="461">
      <formula>COUNTIF(G280:BE280,"&lt;&gt;" &amp; "")&gt;0</formula>
    </cfRule>
    <cfRule type="expression" dxfId="1" priority="462">
      <formula>AND(COUNTIF(G280:BE280,"&lt;&gt;" &amp; "")&gt;0,NOT(ISBLANK(E280)))</formula>
    </cfRule>
  </conditionalFormatting>
  <conditionalFormatting sqref="E281">
    <cfRule type="expression" dxfId="0" priority="463">
      <formula>COUNTIF(G281:BE281,"&lt;&gt;" &amp; "")&gt;0</formula>
    </cfRule>
    <cfRule type="expression" dxfId="1" priority="464">
      <formula>AND(COUNTIF(G281:BE281,"&lt;&gt;" &amp; "")&gt;0,NOT(ISBLANK(E281)))</formula>
    </cfRule>
  </conditionalFormatting>
  <conditionalFormatting sqref="E282">
    <cfRule type="expression" dxfId="0" priority="465">
      <formula>COUNTIF(G282:BE282,"&lt;&gt;" &amp; "")&gt;0</formula>
    </cfRule>
    <cfRule type="expression" dxfId="1" priority="466">
      <formula>AND(COUNTIF(G282:BE282,"&lt;&gt;" &amp; "")&gt;0,NOT(ISBLANK(E282)))</formula>
    </cfRule>
  </conditionalFormatting>
  <conditionalFormatting sqref="E283">
    <cfRule type="expression" dxfId="0" priority="467">
      <formula>COUNTIF(G283:BE283,"&lt;&gt;" &amp; "")&gt;0</formula>
    </cfRule>
    <cfRule type="expression" dxfId="1" priority="468">
      <formula>AND(COUNTIF(G283:BE283,"&lt;&gt;" &amp; "")&gt;0,NOT(ISBLANK(E283)))</formula>
    </cfRule>
  </conditionalFormatting>
  <conditionalFormatting sqref="E284">
    <cfRule type="expression" dxfId="0" priority="469">
      <formula>COUNTIF(G284:BE284,"&lt;&gt;" &amp; "")&gt;0</formula>
    </cfRule>
    <cfRule type="expression" dxfId="1" priority="470">
      <formula>AND(COUNTIF(G284:BE284,"&lt;&gt;" &amp; "")&gt;0,NOT(ISBLANK(E284)))</formula>
    </cfRule>
  </conditionalFormatting>
  <conditionalFormatting sqref="E285">
    <cfRule type="expression" dxfId="0" priority="471">
      <formula>COUNTIF(G285:BE285,"&lt;&gt;" &amp; "")&gt;0</formula>
    </cfRule>
    <cfRule type="expression" dxfId="1" priority="472">
      <formula>AND(COUNTIF(G285:BE285,"&lt;&gt;" &amp; "")&gt;0,NOT(ISBLANK(E285)))</formula>
    </cfRule>
  </conditionalFormatting>
  <conditionalFormatting sqref="E286">
    <cfRule type="expression" dxfId="0" priority="473">
      <formula>COUNTIF(G286:BE286,"&lt;&gt;" &amp; "")&gt;0</formula>
    </cfRule>
    <cfRule type="expression" dxfId="1" priority="474">
      <formula>AND(COUNTIF(G286:BE286,"&lt;&gt;" &amp; "")&gt;0,NOT(ISBLANK(E286)))</formula>
    </cfRule>
  </conditionalFormatting>
  <conditionalFormatting sqref="E287">
    <cfRule type="expression" dxfId="0" priority="475">
      <formula>COUNTIF(G287:BE287,"&lt;&gt;" &amp; "")&gt;0</formula>
    </cfRule>
    <cfRule type="expression" dxfId="1" priority="476">
      <formula>AND(COUNTIF(G287:BE287,"&lt;&gt;" &amp; "")&gt;0,NOT(ISBLANK(E287)))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conditionalFormatting sqref="E642">
    <cfRule type="expression" dxfId="0" priority="477">
      <formula>COUNTIF(G642:BE642,"&lt;&gt;" &amp; "")&gt;0</formula>
    </cfRule>
    <cfRule type="expression" dxfId="1" priority="478">
      <formula>AND(COUNTIF(G642:BE642,"&lt;&gt;" &amp; "")&gt;0,NOT(ISBLANK(E642)))</formula>
    </cfRule>
  </conditionalFormatting>
  <conditionalFormatting sqref="E643">
    <cfRule type="expression" dxfId="0" priority="479">
      <formula>COUNTIF(G643:BE643,"&lt;&gt;" &amp; "")&gt;0</formula>
    </cfRule>
    <cfRule type="expression" dxfId="1" priority="480">
      <formula>AND(COUNTIF(G643:BE643,"&lt;&gt;" &amp; "")&gt;0,NOT(ISBLANK(E643)))</formula>
    </cfRule>
  </conditionalFormatting>
  <conditionalFormatting sqref="E644">
    <cfRule type="expression" dxfId="0" priority="481">
      <formula>COUNTIF(G644:BE644,"&lt;&gt;" &amp; "")&gt;0</formula>
    </cfRule>
    <cfRule type="expression" dxfId="1" priority="482">
      <formula>AND(COUNTIF(G644:BE644,"&lt;&gt;" &amp; "")&gt;0,NOT(ISBLANK(E644)))</formula>
    </cfRule>
  </conditionalFormatting>
  <conditionalFormatting sqref="E645">
    <cfRule type="expression" dxfId="0" priority="483">
      <formula>COUNTIF(G645:BE645,"&lt;&gt;" &amp; "")&gt;0</formula>
    </cfRule>
    <cfRule type="expression" dxfId="1" priority="484">
      <formula>AND(COUNTIF(G645:BE645,"&lt;&gt;" &amp; "")&gt;0,NOT(ISBLANK(E645)))</formula>
    </cfRule>
  </conditionalFormatting>
  <conditionalFormatting sqref="E646">
    <cfRule type="expression" dxfId="0" priority="485">
      <formula>COUNTIF(G646:BE646,"&lt;&gt;" &amp; "")&gt;0</formula>
    </cfRule>
    <cfRule type="expression" dxfId="1" priority="486">
      <formula>AND(COUNTIF(G646:BE646,"&lt;&gt;" &amp; "")&gt;0,NOT(ISBLANK(E646)))</formula>
    </cfRule>
  </conditionalFormatting>
  <conditionalFormatting sqref="E647">
    <cfRule type="expression" dxfId="0" priority="487">
      <formula>COUNTIF(G647:BE647,"&lt;&gt;" &amp; "")&gt;0</formula>
    </cfRule>
    <cfRule type="expression" dxfId="1" priority="488">
      <formula>AND(COUNTIF(G647:BE647,"&lt;&gt;" &amp; "")&gt;0,NOT(ISBLANK(E647)))</formula>
    </cfRule>
  </conditionalFormatting>
  <conditionalFormatting sqref="E648">
    <cfRule type="expression" dxfId="0" priority="489">
      <formula>COUNTIF(G648:BE648,"&lt;&gt;" &amp; "")&gt;0</formula>
    </cfRule>
    <cfRule type="expression" dxfId="1" priority="490">
      <formula>AND(COUNTIF(G648:BE648,"&lt;&gt;" &amp; "")&gt;0,NOT(ISBLANK(E648)))</formula>
    </cfRule>
  </conditionalFormatting>
  <conditionalFormatting sqref="E649">
    <cfRule type="expression" dxfId="0" priority="491">
      <formula>COUNTIF(G649:BE649,"&lt;&gt;" &amp; "")&gt;0</formula>
    </cfRule>
    <cfRule type="expression" dxfId="1" priority="492">
      <formula>AND(COUNTIF(G649:BE649,"&lt;&gt;" &amp; "")&gt;0,NOT(ISBLANK(E649)))</formula>
    </cfRule>
  </conditionalFormatting>
  <conditionalFormatting sqref="E650">
    <cfRule type="expression" dxfId="0" priority="493">
      <formula>COUNTIF(G650:BE650,"&lt;&gt;" &amp; "")&gt;0</formula>
    </cfRule>
    <cfRule type="expression" dxfId="1" priority="494">
      <formula>AND(COUNTIF(G650:BE650,"&lt;&gt;" &amp; "")&gt;0,NOT(ISBLANK(E650)))</formula>
    </cfRule>
  </conditionalFormatting>
  <conditionalFormatting sqref="E651">
    <cfRule type="expression" dxfId="0" priority="495">
      <formula>COUNTIF(G651:BE651,"&lt;&gt;" &amp; "")&gt;0</formula>
    </cfRule>
    <cfRule type="expression" dxfId="1" priority="496">
      <formula>AND(COUNTIF(G651:BE651,"&lt;&gt;" &amp; "")&gt;0,NOT(ISBLANK(E651)))</formula>
    </cfRule>
  </conditionalFormatting>
  <conditionalFormatting sqref="E652">
    <cfRule type="expression" dxfId="0" priority="497">
      <formula>COUNTIF(G652:BE652,"&lt;&gt;" &amp; "")&gt;0</formula>
    </cfRule>
    <cfRule type="expression" dxfId="1" priority="498">
      <formula>AND(COUNTIF(G652:BE652,"&lt;&gt;" &amp; "")&gt;0,NOT(ISBLANK(E652)))</formula>
    </cfRule>
  </conditionalFormatting>
  <conditionalFormatting sqref="E653">
    <cfRule type="expression" dxfId="0" priority="499">
      <formula>COUNTIF(G653:BE653,"&lt;&gt;" &amp; "")&gt;0</formula>
    </cfRule>
    <cfRule type="expression" dxfId="1" priority="500">
      <formula>AND(COUNTIF(G653:BE653,"&lt;&gt;" &amp; "")&gt;0,NOT(ISBLANK(E653)))</formula>
    </cfRule>
  </conditionalFormatting>
  <conditionalFormatting sqref="E654">
    <cfRule type="expression" dxfId="0" priority="501">
      <formula>COUNTIF(G654:BE654,"&lt;&gt;" &amp; "")&gt;0</formula>
    </cfRule>
    <cfRule type="expression" dxfId="1" priority="502">
      <formula>AND(COUNTIF(G654:BE654,"&lt;&gt;" &amp; "")&gt;0,NOT(ISBLANK(E654)))</formula>
    </cfRule>
  </conditionalFormatting>
  <conditionalFormatting sqref="E655">
    <cfRule type="expression" dxfId="0" priority="503">
      <formula>COUNTIF(G655:BE655,"&lt;&gt;" &amp; "")&gt;0</formula>
    </cfRule>
    <cfRule type="expression" dxfId="1" priority="504">
      <formula>AND(COUNTIF(G655:BE655,"&lt;&gt;" &amp; "")&gt;0,NOT(ISBLANK(E655)))</formula>
    </cfRule>
  </conditionalFormatting>
  <conditionalFormatting sqref="E66">
    <cfRule type="expression" dxfId="0" priority="85">
      <formula>COUNTIF(G66:BE66,"&lt;&gt;" &amp; "")&gt;0</formula>
    </cfRule>
    <cfRule type="expression" dxfId="1" priority="86">
      <formula>AND(COUNTIF(G66:BE66,"&lt;&gt;" &amp; "")&gt;0,NOT(ISBLANK(E66)))</formula>
    </cfRule>
  </conditionalFormatting>
  <conditionalFormatting sqref="E67">
    <cfRule type="expression" dxfId="0" priority="87">
      <formula>COUNTIF(G67:BE67,"&lt;&gt;" &amp; "")&gt;0</formula>
    </cfRule>
    <cfRule type="expression" dxfId="1" priority="88">
      <formula>AND(COUNTIF(G67:BE67,"&lt;&gt;" &amp; "")&gt;0,NOT(ISBLANK(E67)))</formula>
    </cfRule>
  </conditionalFormatting>
  <conditionalFormatting sqref="E68">
    <cfRule type="expression" dxfId="0" priority="89">
      <formula>COUNTIF(G68:BE68,"&lt;&gt;" &amp; "")&gt;0</formula>
    </cfRule>
    <cfRule type="expression" dxfId="1" priority="90">
      <formula>AND(COUNTIF(G68:BE68,"&lt;&gt;" &amp; "")&gt;0,NOT(ISBLANK(E68)))</formula>
    </cfRule>
  </conditionalFormatting>
  <conditionalFormatting sqref="E69">
    <cfRule type="expression" dxfId="0" priority="91">
      <formula>COUNTIF(G69:BE69,"&lt;&gt;" &amp; "")&gt;0</formula>
    </cfRule>
    <cfRule type="expression" dxfId="1" priority="92">
      <formula>AND(COUNTIF(G69:BE69,"&lt;&gt;" &amp; "")&gt;0,NOT(ISBLANK(E69)))</formula>
    </cfRule>
  </conditionalFormatting>
  <conditionalFormatting sqref="E70">
    <cfRule type="expression" dxfId="0" priority="93">
      <formula>COUNTIF(G70:BE70,"&lt;&gt;" &amp; "")&gt;0</formula>
    </cfRule>
    <cfRule type="expression" dxfId="1" priority="94">
      <formula>AND(COUNTIF(G70:BE70,"&lt;&gt;" &amp; "")&gt;0,NOT(ISBLANK(E70)))</formula>
    </cfRule>
  </conditionalFormatting>
  <conditionalFormatting sqref="E71">
    <cfRule type="expression" dxfId="0" priority="95">
      <formula>COUNTIF(G71:BE71,"&lt;&gt;" &amp; "")&gt;0</formula>
    </cfRule>
    <cfRule type="expression" dxfId="1" priority="96">
      <formula>AND(COUNTIF(G71:BE71,"&lt;&gt;" &amp; "")&gt;0,NOT(ISBLANK(E71)))</formula>
    </cfRule>
  </conditionalFormatting>
  <conditionalFormatting sqref="E72">
    <cfRule type="expression" dxfId="0" priority="97">
      <formula>COUNTIF(G72:BE72,"&lt;&gt;" &amp; "")&gt;0</formula>
    </cfRule>
    <cfRule type="expression" dxfId="1" priority="98">
      <formula>AND(COUNTIF(G72:BE72,"&lt;&gt;" &amp; "")&gt;0,NOT(ISBLANK(E72)))</formula>
    </cfRule>
  </conditionalFormatting>
  <conditionalFormatting sqref="E73">
    <cfRule type="expression" dxfId="0" priority="99">
      <formula>COUNTIF(G73:BE73,"&lt;&gt;" &amp; "")&gt;0</formula>
    </cfRule>
    <cfRule type="expression" dxfId="1" priority="100">
      <formula>AND(COUNTIF(G73:BE73,"&lt;&gt;" &amp; "")&gt;0,NOT(ISBLANK(E73)))</formula>
    </cfRule>
  </conditionalFormatting>
  <conditionalFormatting sqref="E74">
    <cfRule type="expression" dxfId="0" priority="101">
      <formula>COUNTIF(G74:BE74,"&lt;&gt;" &amp; "")&gt;0</formula>
    </cfRule>
    <cfRule type="expression" dxfId="1" priority="102">
      <formula>AND(COUNTIF(G74:BE74,"&lt;&gt;" &amp; "")&gt;0,NOT(ISBLANK(E74)))</formula>
    </cfRule>
  </conditionalFormatting>
  <conditionalFormatting sqref="E75">
    <cfRule type="expression" dxfId="0" priority="103">
      <formula>COUNTIF(G75:BE75,"&lt;&gt;" &amp; "")&gt;0</formula>
    </cfRule>
    <cfRule type="expression" dxfId="1" priority="104">
      <formula>AND(COUNTIF(G75:BE75,"&lt;&gt;" &amp; "")&gt;0,NOT(ISBLANK(E75)))</formula>
    </cfRule>
  </conditionalFormatting>
  <conditionalFormatting sqref="E76">
    <cfRule type="expression" dxfId="0" priority="105">
      <formula>COUNTIF(G76:BE76,"&lt;&gt;" &amp; "")&gt;0</formula>
    </cfRule>
    <cfRule type="expression" dxfId="1" priority="106">
      <formula>AND(COUNTIF(G76:BE76,"&lt;&gt;" &amp; "")&gt;0,NOT(ISBLANK(E76)))</formula>
    </cfRule>
  </conditionalFormatting>
  <conditionalFormatting sqref="E77">
    <cfRule type="expression" dxfId="0" priority="107">
      <formula>COUNTIF(G77:BE77,"&lt;&gt;" &amp; "")&gt;0</formula>
    </cfRule>
    <cfRule type="expression" dxfId="1" priority="108">
      <formula>AND(COUNTIF(G77:BE77,"&lt;&gt;" &amp; "")&gt;0,NOT(ISBLANK(E77)))</formula>
    </cfRule>
  </conditionalFormatting>
  <conditionalFormatting sqref="E78">
    <cfRule type="expression" dxfId="0" priority="109">
      <formula>COUNTIF(G78:BE78,"&lt;&gt;" &amp; "")&gt;0</formula>
    </cfRule>
    <cfRule type="expression" dxfId="1" priority="110">
      <formula>AND(COUNTIF(G78:BE78,"&lt;&gt;" &amp; "")&gt;0,NOT(ISBLANK(E78)))</formula>
    </cfRule>
  </conditionalFormatting>
  <conditionalFormatting sqref="E79">
    <cfRule type="expression" dxfId="0" priority="111">
      <formula>COUNTIF(G79:BE79,"&lt;&gt;" &amp; "")&gt;0</formula>
    </cfRule>
    <cfRule type="expression" dxfId="1" priority="112">
      <formula>AND(COUNTIF(G79:BE79,"&lt;&gt;" &amp; "")&gt;0,NOT(ISBLANK(E79)))</formula>
    </cfRule>
  </conditionalFormatting>
  <conditionalFormatting sqref="E82">
    <cfRule type="expression" dxfId="0" priority="113">
      <formula>COUNTIF(G82:BE82,"&lt;&gt;" &amp; "")&gt;0</formula>
    </cfRule>
    <cfRule type="expression" dxfId="1" priority="114">
      <formula>AND(COUNTIF(G82:BE82,"&lt;&gt;" &amp; "")&gt;0,NOT(ISBLANK(E82)))</formula>
    </cfRule>
  </conditionalFormatting>
  <conditionalFormatting sqref="E83">
    <cfRule type="expression" dxfId="0" priority="115">
      <formula>COUNTIF(G83:BE83,"&lt;&gt;" &amp; "")&gt;0</formula>
    </cfRule>
    <cfRule type="expression" dxfId="1" priority="116">
      <formula>AND(COUNTIF(G83:BE83,"&lt;&gt;" &amp; "")&gt;0,NOT(ISBLANK(E83)))</formula>
    </cfRule>
  </conditionalFormatting>
  <conditionalFormatting sqref="E84">
    <cfRule type="expression" dxfId="0" priority="117">
      <formula>COUNTIF(G84:BE84,"&lt;&gt;" &amp; "")&gt;0</formula>
    </cfRule>
    <cfRule type="expression" dxfId="1" priority="118">
      <formula>AND(COUNTIF(G84:BE84,"&lt;&gt;" &amp; "")&gt;0,NOT(ISBLANK(E84)))</formula>
    </cfRule>
  </conditionalFormatting>
  <conditionalFormatting sqref="E85">
    <cfRule type="expression" dxfId="0" priority="119">
      <formula>COUNTIF(G85:BE85,"&lt;&gt;" &amp; "")&gt;0</formula>
    </cfRule>
    <cfRule type="expression" dxfId="1" priority="120">
      <formula>AND(COUNTIF(G85:BE85,"&lt;&gt;" &amp; "")&gt;0,NOT(ISBLANK(E85)))</formula>
    </cfRule>
  </conditionalFormatting>
  <conditionalFormatting sqref="E86">
    <cfRule type="expression" dxfId="0" priority="121">
      <formula>COUNTIF(G86:BE86,"&lt;&gt;" &amp; "")&gt;0</formula>
    </cfRule>
    <cfRule type="expression" dxfId="1" priority="122">
      <formula>AND(COUNTIF(G86:BE86,"&lt;&gt;" &amp; "")&gt;0,NOT(ISBLANK(E86)))</formula>
    </cfRule>
  </conditionalFormatting>
  <conditionalFormatting sqref="E87">
    <cfRule type="expression" dxfId="0" priority="123">
      <formula>COUNTIF(G87:BE87,"&lt;&gt;" &amp; "")&gt;0</formula>
    </cfRule>
    <cfRule type="expression" dxfId="1" priority="124">
      <formula>AND(COUNTIF(G87:BE87,"&lt;&gt;" &amp; "")&gt;0,NOT(ISBLANK(E87)))</formula>
    </cfRule>
  </conditionalFormatting>
  <conditionalFormatting sqref="E88">
    <cfRule type="expression" dxfId="0" priority="125">
      <formula>COUNTIF(G88:BE88,"&lt;&gt;" &amp; "")&gt;0</formula>
    </cfRule>
    <cfRule type="expression" dxfId="1" priority="126">
      <formula>AND(COUNTIF(G88:BE88,"&lt;&gt;" &amp; "")&gt;0,NOT(ISBLANK(E88)))</formula>
    </cfRule>
  </conditionalFormatting>
  <conditionalFormatting sqref="E89">
    <cfRule type="expression" dxfId="0" priority="127">
      <formula>COUNTIF(G89:BE89,"&lt;&gt;" &amp; "")&gt;0</formula>
    </cfRule>
    <cfRule type="expression" dxfId="1" priority="128">
      <formula>AND(COUNTIF(G89:BE89,"&lt;&gt;" &amp; "")&gt;0,NOT(ISBLANK(E89)))</formula>
    </cfRule>
  </conditionalFormatting>
  <conditionalFormatting sqref="E90">
    <cfRule type="expression" dxfId="0" priority="129">
      <formula>COUNTIF(G90:BE90,"&lt;&gt;" &amp; "")&gt;0</formula>
    </cfRule>
    <cfRule type="expression" dxfId="1" priority="130">
      <formula>AND(COUNTIF(G90:BE90,"&lt;&gt;" &amp; "")&gt;0,NOT(ISBLANK(E90)))</formula>
    </cfRule>
  </conditionalFormatting>
  <conditionalFormatting sqref="E91">
    <cfRule type="expression" dxfId="0" priority="131">
      <formula>COUNTIF(G91:BE91,"&lt;&gt;" &amp; "")&gt;0</formula>
    </cfRule>
    <cfRule type="expression" dxfId="1" priority="132">
      <formula>AND(COUNTIF(G91:BE91,"&lt;&gt;" &amp; "")&gt;0,NOT(ISBLANK(E91)))</formula>
    </cfRule>
  </conditionalFormatting>
  <conditionalFormatting sqref="E92">
    <cfRule type="expression" dxfId="0" priority="133">
      <formula>COUNTIF(G92:BE92,"&lt;&gt;" &amp; "")&gt;0</formula>
    </cfRule>
    <cfRule type="expression" dxfId="1" priority="134">
      <formula>AND(COUNTIF(G92:BE92,"&lt;&gt;" &amp; "")&gt;0,NOT(ISBLANK(E92)))</formula>
    </cfRule>
  </conditionalFormatting>
  <conditionalFormatting sqref="E93">
    <cfRule type="expression" dxfId="0" priority="135">
      <formula>COUNTIF(G93:BE93,"&lt;&gt;" &amp; "")&gt;0</formula>
    </cfRule>
    <cfRule type="expression" dxfId="1" priority="136">
      <formula>AND(COUNTIF(G93:BE93,"&lt;&gt;" &amp; "")&gt;0,NOT(ISBLANK(E93)))</formula>
    </cfRule>
  </conditionalFormatting>
  <conditionalFormatting sqref="E94">
    <cfRule type="expression" dxfId="0" priority="137">
      <formula>COUNTIF(G94:BE94,"&lt;&gt;" &amp; "")&gt;0</formula>
    </cfRule>
    <cfRule type="expression" dxfId="1" priority="138">
      <formula>AND(COUNTIF(G94:BE94,"&lt;&gt;" &amp; "")&gt;0,NOT(ISBLANK(E94)))</formula>
    </cfRule>
  </conditionalFormatting>
  <conditionalFormatting sqref="E95">
    <cfRule type="expression" dxfId="0" priority="139">
      <formula>COUNTIF(G95:BE95,"&lt;&gt;" &amp; "")&gt;0</formula>
    </cfRule>
    <cfRule type="expression" dxfId="1" priority="140">
      <formula>AND(COUNTIF(G95:BE95,"&lt;&gt;" &amp; "")&gt;0,NOT(ISBLANK(E95)))</formula>
    </cfRule>
  </conditionalFormatting>
  <conditionalFormatting sqref="E98">
    <cfRule type="expression" dxfId="0" priority="141">
      <formula>COUNTIF(G98:BE98,"&lt;&gt;" &amp; "")&gt;0</formula>
    </cfRule>
    <cfRule type="expression" dxfId="1" priority="142">
      <formula>AND(COUNTIF(G98:BE98,"&lt;&gt;" &amp; "")&gt;0,NOT(ISBLANK(E98)))</formula>
    </cfRule>
  </conditionalFormatting>
  <conditionalFormatting sqref="E99">
    <cfRule type="expression" dxfId="0" priority="143">
      <formula>COUNTIF(G99:BE99,"&lt;&gt;" &amp; "")&gt;0</formula>
    </cfRule>
    <cfRule type="expression" dxfId="1" priority="144">
      <formula>AND(COUNTIF(G99:BE99,"&lt;&gt;" &amp; "")&gt;0,NOT(ISBLANK(E99)))</formula>
    </cfRule>
  </conditionalFormatting>
  <dataValidations count="116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6">
      <formula1>"Number"</formula1>
    </dataValidation>
    <dataValidation type="list" allowBlank="1" showInputMessage="1" showErrorMessage="1" sqref="C27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2">
      <formula1>"Number"</formula1>
    </dataValidation>
    <dataValidation type="list" allowBlank="1" showInputMessage="1" showErrorMessage="1" sqref="C53">
      <formula1>"Number"</formula1>
    </dataValidation>
    <dataValidation type="list" allowBlank="1" showInputMessage="1" showErrorMessage="1" sqref="C54">
      <formula1>"Number"</formula1>
    </dataValidation>
    <dataValidation type="list" allowBlank="1" showInputMessage="1" showErrorMessage="1" sqref="C55">
      <formula1>"Number"</formula1>
    </dataValidation>
    <dataValidation type="list" allowBlank="1" showInputMessage="1" showErrorMessage="1" sqref="C56">
      <formula1>"Number"</formula1>
    </dataValidation>
    <dataValidation type="list" allowBlank="1" showInputMessage="1" showErrorMessage="1" sqref="C57">
      <formula1>"Number"</formula1>
    </dataValidation>
    <dataValidation type="list" allowBlank="1" showInputMessage="1" showErrorMessage="1" sqref="C58">
      <formula1>"Number"</formula1>
    </dataValidation>
    <dataValidation type="list" allowBlank="1" showInputMessage="1" showErrorMessage="1" sqref="C59">
      <formula1>"Number"</formula1>
    </dataValidation>
    <dataValidation type="list" allowBlank="1" showInputMessage="1" showErrorMessage="1" sqref="C60">
      <formula1>"Number"</formula1>
    </dataValidation>
    <dataValidation type="list" allowBlank="1" showInputMessage="1" showErrorMessage="1" sqref="C61">
      <formula1>"Number"</formula1>
    </dataValidation>
    <dataValidation type="list" allowBlank="1" showInputMessage="1" showErrorMessage="1" sqref="C62">
      <formula1>"Number"</formula1>
    </dataValidation>
    <dataValidation type="list" allowBlank="1" showInputMessage="1" showErrorMessage="1" sqref="C63">
      <formula1>"Number"</formula1>
    </dataValidation>
    <dataValidation type="list" allowBlank="1" showInputMessage="1" showErrorMessage="1" sqref="C66">
      <formula1>"Number"</formula1>
    </dataValidation>
    <dataValidation type="list" allowBlank="1" showInputMessage="1" showErrorMessage="1" sqref="C67">
      <formula1>"Number"</formula1>
    </dataValidation>
    <dataValidation type="list" allowBlank="1" showInputMessage="1" showErrorMessage="1" sqref="C68">
      <formula1>"Number"</formula1>
    </dataValidation>
    <dataValidation type="list" allowBlank="1" showInputMessage="1" showErrorMessage="1" sqref="C69">
      <formula1>"Number"</formula1>
    </dataValidation>
    <dataValidation type="list" allowBlank="1" showInputMessage="1" showErrorMessage="1" sqref="C70">
      <formula1>"Number"</formula1>
    </dataValidation>
    <dataValidation type="list" allowBlank="1" showInputMessage="1" showErrorMessage="1" sqref="C71">
      <formula1>"Number"</formula1>
    </dataValidation>
    <dataValidation type="list" allowBlank="1" showInputMessage="1" showErrorMessage="1" sqref="C72">
      <formula1>"Number"</formula1>
    </dataValidation>
    <dataValidation type="list" allowBlank="1" showInputMessage="1" showErrorMessage="1" sqref="C73">
      <formula1>"Number"</formula1>
    </dataValidation>
    <dataValidation type="list" allowBlank="1" showInputMessage="1" showErrorMessage="1" sqref="C74">
      <formula1>"Number"</formula1>
    </dataValidation>
    <dataValidation type="list" allowBlank="1" showInputMessage="1" showErrorMessage="1" sqref="C75">
      <formula1>"Number"</formula1>
    </dataValidation>
    <dataValidation type="list" allowBlank="1" showInputMessage="1" showErrorMessage="1" sqref="C76">
      <formula1>"Number"</formula1>
    </dataValidation>
    <dataValidation type="list" allowBlank="1" showInputMessage="1" showErrorMessage="1" sqref="C77">
      <formula1>"Number"</formula1>
    </dataValidation>
    <dataValidation type="list" allowBlank="1" showInputMessage="1" showErrorMessage="1" sqref="C78">
      <formula1>"Number"</formula1>
    </dataValidation>
    <dataValidation type="list" allowBlank="1" showInputMessage="1" showErrorMessage="1" sqref="C79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  <dataValidation type="list" allowBlank="1" showInputMessage="1" showErrorMessage="1" sqref="C210">
      <formula1>"Number"</formula1>
    </dataValidation>
    <dataValidation type="list" allowBlank="1" showInputMessage="1" showErrorMessage="1" sqref="C211">
      <formula1>"Number"</formula1>
    </dataValidation>
    <dataValidation type="list" allowBlank="1" showInputMessage="1" showErrorMessage="1" sqref="C212">
      <formula1>"Number"</formula1>
    </dataValidation>
    <dataValidation type="list" allowBlank="1" showInputMessage="1" showErrorMessage="1" sqref="C213">
      <formula1>"Number"</formula1>
    </dataValidation>
    <dataValidation type="list" allowBlank="1" showInputMessage="1" showErrorMessage="1" sqref="C214">
      <formula1>"Number"</formula1>
    </dataValidation>
    <dataValidation type="list" allowBlank="1" showInputMessage="1" showErrorMessage="1" sqref="C215">
      <formula1>"Number"</formula1>
    </dataValidation>
    <dataValidation type="list" allowBlank="1" showInputMessage="1" showErrorMessage="1" sqref="C216">
      <formula1>"Number"</formula1>
    </dataValidation>
    <dataValidation type="list" allowBlank="1" showInputMessage="1" showErrorMessage="1" sqref="C217">
      <formula1>"Number"</formula1>
    </dataValidation>
    <dataValidation type="list" allowBlank="1" showInputMessage="1" showErrorMessage="1" sqref="C218">
      <formula1>"Number"</formula1>
    </dataValidation>
    <dataValidation type="list" allowBlank="1" showInputMessage="1" showErrorMessage="1" sqref="C219">
      <formula1>"Number"</formula1>
    </dataValidation>
    <dataValidation type="list" allowBlank="1" showInputMessage="1" showErrorMessage="1" sqref="C220">
      <formula1>"Number"</formula1>
    </dataValidation>
    <dataValidation type="list" allowBlank="1" showInputMessage="1" showErrorMessage="1" sqref="C221">
      <formula1>"Number"</formula1>
    </dataValidation>
    <dataValidation type="list" allowBlank="1" showInputMessage="1" showErrorMessage="1" sqref="C222">
      <formula1>"Number"</formula1>
    </dataValidation>
    <dataValidation type="list" allowBlank="1" showInputMessage="1" showErrorMessage="1" sqref="C223">
      <formula1>"Number"</formula1>
    </dataValidation>
    <dataValidation type="list" allowBlank="1" showInputMessage="1" showErrorMessage="1" sqref="C226">
      <formula1>"Number"</formula1>
    </dataValidation>
    <dataValidation type="list" allowBlank="1" showInputMessage="1" showErrorMessage="1" sqref="C227">
      <formula1>"Number"</formula1>
    </dataValidation>
    <dataValidation type="list" allowBlank="1" showInputMessage="1" showErrorMessage="1" sqref="C228">
      <formula1>"Number"</formula1>
    </dataValidation>
    <dataValidation type="list" allowBlank="1" showInputMessage="1" showErrorMessage="1" sqref="C229">
      <formula1>"Number"</formula1>
    </dataValidation>
    <dataValidation type="list" allowBlank="1" showInputMessage="1" showErrorMessage="1" sqref="C230">
      <formula1>"Number"</formula1>
    </dataValidation>
    <dataValidation type="list" allowBlank="1" showInputMessage="1" showErrorMessage="1" sqref="C231">
      <formula1>"Number"</formula1>
    </dataValidation>
    <dataValidation type="list" allowBlank="1" showInputMessage="1" showErrorMessage="1" sqref="C232">
      <formula1>"Number"</formula1>
    </dataValidation>
    <dataValidation type="list" allowBlank="1" showInputMessage="1" showErrorMessage="1" sqref="C233">
      <formula1>"Number"</formula1>
    </dataValidation>
    <dataValidation type="list" allowBlank="1" showInputMessage="1" showErrorMessage="1" sqref="C234">
      <formula1>"Number"</formula1>
    </dataValidation>
    <dataValidation type="list" allowBlank="1" showInputMessage="1" showErrorMessage="1" sqref="C235">
      <formula1>"Number"</formula1>
    </dataValidation>
    <dataValidation type="list" allowBlank="1" showInputMessage="1" showErrorMessage="1" sqref="C236">
      <formula1>"Number"</formula1>
    </dataValidation>
    <dataValidation type="list" allowBlank="1" showInputMessage="1" showErrorMessage="1" sqref="C237">
      <formula1>"Number"</formula1>
    </dataValidation>
    <dataValidation type="list" allowBlank="1" showInputMessage="1" showErrorMessage="1" sqref="C238">
      <formula1>"Number"</formula1>
    </dataValidation>
    <dataValidation type="list" allowBlank="1" showInputMessage="1" showErrorMessage="1" sqref="C239">
      <formula1>"Number"</formula1>
    </dataValidation>
    <dataValidation type="list" allowBlank="1" showInputMessage="1" showErrorMessage="1" sqref="C242">
      <formula1>"Number"</formula1>
    </dataValidation>
    <dataValidation type="list" allowBlank="1" showInputMessage="1" showErrorMessage="1" sqref="C243">
      <formula1>"Number"</formula1>
    </dataValidation>
    <dataValidation type="list" allowBlank="1" showInputMessage="1" showErrorMessage="1" sqref="C244">
      <formula1>"Number"</formula1>
    </dataValidation>
    <dataValidation type="list" allowBlank="1" showInputMessage="1" showErrorMessage="1" sqref="C245">
      <formula1>"Number"</formula1>
    </dataValidation>
    <dataValidation type="list" allowBlank="1" showInputMessage="1" showErrorMessage="1" sqref="C246">
      <formula1>"Number"</formula1>
    </dataValidation>
    <dataValidation type="list" allowBlank="1" showInputMessage="1" showErrorMessage="1" sqref="C247">
      <formula1>"Number"</formula1>
    </dataValidation>
    <dataValidation type="list" allowBlank="1" showInputMessage="1" showErrorMessage="1" sqref="C248">
      <formula1>"Number"</formula1>
    </dataValidation>
    <dataValidation type="list" allowBlank="1" showInputMessage="1" showErrorMessage="1" sqref="C249">
      <formula1>"Number"</formula1>
    </dataValidation>
    <dataValidation type="list" allowBlank="1" showInputMessage="1" showErrorMessage="1" sqref="C250">
      <formula1>"Number"</formula1>
    </dataValidation>
    <dataValidation type="list" allowBlank="1" showInputMessage="1" showErrorMessage="1" sqref="C251">
      <formula1>"Number"</formula1>
    </dataValidation>
    <dataValidation type="list" allowBlank="1" showInputMessage="1" showErrorMessage="1" sqref="C252">
      <formula1>"Number"</formula1>
    </dataValidation>
    <dataValidation type="list" allowBlank="1" showInputMessage="1" showErrorMessage="1" sqref="C253">
      <formula1>"Number"</formula1>
    </dataValidation>
    <dataValidation type="list" allowBlank="1" showInputMessage="1" showErrorMessage="1" sqref="C254">
      <formula1>"Number"</formula1>
    </dataValidation>
    <dataValidation type="list" allowBlank="1" showInputMessage="1" showErrorMessage="1" sqref="C255">
      <formula1>"Number"</formula1>
    </dataValidation>
    <dataValidation type="list" allowBlank="1" showInputMessage="1" showErrorMessage="1" sqref="C258">
      <formula1>"Number"</formula1>
    </dataValidation>
    <dataValidation type="list" allowBlank="1" showInputMessage="1" showErrorMessage="1" sqref="C259">
      <formula1>"Number"</formula1>
    </dataValidation>
    <dataValidation type="list" allowBlank="1" showInputMessage="1" showErrorMessage="1" sqref="C260">
      <formula1>"Number"</formula1>
    </dataValidation>
    <dataValidation type="list" allowBlank="1" showInputMessage="1" showErrorMessage="1" sqref="C261">
      <formula1>"Number"</formula1>
    </dataValidation>
    <dataValidation type="list" allowBlank="1" showInputMessage="1" showErrorMessage="1" sqref="C262">
      <formula1>"Number"</formula1>
    </dataValidation>
    <dataValidation type="list" allowBlank="1" showInputMessage="1" showErrorMessage="1" sqref="C263">
      <formula1>"Number"</formula1>
    </dataValidation>
    <dataValidation type="list" allowBlank="1" showInputMessage="1" showErrorMessage="1" sqref="C264">
      <formula1>"Number"</formula1>
    </dataValidation>
    <dataValidation type="list" allowBlank="1" showInputMessage="1" showErrorMessage="1" sqref="C265">
      <formula1>"Number"</formula1>
    </dataValidation>
    <dataValidation type="list" allowBlank="1" showInputMessage="1" showErrorMessage="1" sqref="C266">
      <formula1>"Number"</formula1>
    </dataValidation>
    <dataValidation type="list" allowBlank="1" showInputMessage="1" showErrorMessage="1" sqref="C267">
      <formula1>"Number"</formula1>
    </dataValidation>
    <dataValidation type="list" allowBlank="1" showInputMessage="1" showErrorMessage="1" sqref="C268">
      <formula1>"Number"</formula1>
    </dataValidation>
    <dataValidation type="list" allowBlank="1" showInputMessage="1" showErrorMessage="1" sqref="C269">
      <formula1>"Number"</formula1>
    </dataValidation>
    <dataValidation type="list" allowBlank="1" showInputMessage="1" showErrorMessage="1" sqref="C270">
      <formula1>"Number"</formula1>
    </dataValidation>
    <dataValidation type="list" allowBlank="1" showInputMessage="1" showErrorMessage="1" sqref="C271">
      <formula1>"Number"</formula1>
    </dataValidation>
    <dataValidation type="list" allowBlank="1" showInputMessage="1" showErrorMessage="1" sqref="C274">
      <formula1>"Number"</formula1>
    </dataValidation>
    <dataValidation type="list" allowBlank="1" showInputMessage="1" showErrorMessage="1" sqref="C275">
      <formula1>"Number"</formula1>
    </dataValidation>
    <dataValidation type="list" allowBlank="1" showInputMessage="1" showErrorMessage="1" sqref="C276">
      <formula1>"Number"</formula1>
    </dataValidation>
    <dataValidation type="list" allowBlank="1" showInputMessage="1" showErrorMessage="1" sqref="C277">
      <formula1>"Number"</formula1>
    </dataValidation>
    <dataValidation type="list" allowBlank="1" showInputMessage="1" showErrorMessage="1" sqref="C278">
      <formula1>"Number"</formula1>
    </dataValidation>
    <dataValidation type="list" allowBlank="1" showInputMessage="1" showErrorMessage="1" sqref="C279">
      <formula1>"Number"</formula1>
    </dataValidation>
    <dataValidation type="list" allowBlank="1" showInputMessage="1" showErrorMessage="1" sqref="C280">
      <formula1>"Number"</formula1>
    </dataValidation>
    <dataValidation type="list" allowBlank="1" showInputMessage="1" showErrorMessage="1" sqref="C281">
      <formula1>"Number"</formula1>
    </dataValidation>
    <dataValidation type="list" allowBlank="1" showInputMessage="1" showErrorMessage="1" sqref="C282">
      <formula1>"Number"</formula1>
    </dataValidation>
    <dataValidation type="list" allowBlank="1" showInputMessage="1" showErrorMessage="1" sqref="C283">
      <formula1>"Number"</formula1>
    </dataValidation>
    <dataValidation type="list" allowBlank="1" showInputMessage="1" showErrorMessage="1" sqref="C284">
      <formula1>"Number"</formula1>
    </dataValidation>
    <dataValidation type="list" allowBlank="1" showInputMessage="1" showErrorMessage="1" sqref="C285">
      <formula1>"Number"</formula1>
    </dataValidation>
    <dataValidation type="list" allowBlank="1" showInputMessage="1" showErrorMessage="1" sqref="C286">
      <formula1>"Number"</formula1>
    </dataValidation>
    <dataValidation type="list" allowBlank="1" showInputMessage="1" showErrorMessage="1" sqref="C287">
      <formula1>"Number"</formula1>
    </dataValidation>
    <dataValidation type="list" allowBlank="1" showInputMessage="1" showErrorMessage="1" sqref="C290">
      <formula1>"Number"</formula1>
    </dataValidation>
    <dataValidation type="list" allowBlank="1" showInputMessage="1" showErrorMessage="1" sqref="C291">
      <formula1>"Number"</formula1>
    </dataValidation>
    <dataValidation type="list" allowBlank="1" showInputMessage="1" showErrorMessage="1" sqref="C292">
      <formula1>"Number"</formula1>
    </dataValidation>
    <dataValidation type="list" allowBlank="1" showInputMessage="1" showErrorMessage="1" sqref="C293">
      <formula1>"Number"</formula1>
    </dataValidation>
    <dataValidation type="list" allowBlank="1" showInputMessage="1" showErrorMessage="1" sqref="C294">
      <formula1>"Number"</formula1>
    </dataValidation>
    <dataValidation type="list" allowBlank="1" showInputMessage="1" showErrorMessage="1" sqref="C295">
      <formula1>"Number"</formula1>
    </dataValidation>
    <dataValidation type="list" allowBlank="1" showInputMessage="1" showErrorMessage="1" sqref="C296">
      <formula1>"Number"</formula1>
    </dataValidation>
    <dataValidation type="list" allowBlank="1" showInputMessage="1" showErrorMessage="1" sqref="C297">
      <formula1>"Number"</formula1>
    </dataValidation>
    <dataValidation type="list" allowBlank="1" showInputMessage="1" showErrorMessage="1" sqref="C298">
      <formula1>"Number"</formula1>
    </dataValidation>
    <dataValidation type="list" allowBlank="1" showInputMessage="1" showErrorMessage="1" sqref="C299">
      <formula1>"Number"</formula1>
    </dataValidation>
    <dataValidation type="list" allowBlank="1" showInputMessage="1" showErrorMessage="1" sqref="C300">
      <formula1>"Number"</formula1>
    </dataValidation>
    <dataValidation type="list" allowBlank="1" showInputMessage="1" showErrorMessage="1" sqref="C301">
      <formula1>"Number"</formula1>
    </dataValidation>
    <dataValidation type="list" allowBlank="1" showInputMessage="1" showErrorMessage="1" sqref="C302">
      <formula1>"Number"</formula1>
    </dataValidation>
    <dataValidation type="list" allowBlank="1" showInputMessage="1" showErrorMessage="1" sqref="C303">
      <formula1>"Number"</formula1>
    </dataValidation>
    <dataValidation type="list" allowBlank="1" showInputMessage="1" showErrorMessage="1" sqref="C306">
      <formula1>"Number"</formula1>
    </dataValidation>
    <dataValidation type="list" allowBlank="1" showInputMessage="1" showErrorMessage="1" sqref="C307">
      <formula1>"Number"</formula1>
    </dataValidation>
    <dataValidation type="list" allowBlank="1" showInputMessage="1" showErrorMessage="1" sqref="C308">
      <formula1>"Number"</formula1>
    </dataValidation>
    <dataValidation type="list" allowBlank="1" showInputMessage="1" showErrorMessage="1" sqref="C309">
      <formula1>"Number"</formula1>
    </dataValidation>
    <dataValidation type="list" allowBlank="1" showInputMessage="1" showErrorMessage="1" sqref="C310">
      <formula1>"Number"</formula1>
    </dataValidation>
    <dataValidation type="list" allowBlank="1" showInputMessage="1" showErrorMessage="1" sqref="C311">
      <formula1>"Number"</formula1>
    </dataValidation>
    <dataValidation type="list" allowBlank="1" showInputMessage="1" showErrorMessage="1" sqref="C312">
      <formula1>"Number"</formula1>
    </dataValidation>
    <dataValidation type="list" allowBlank="1" showInputMessage="1" showErrorMessage="1" sqref="C313">
      <formula1>"Number"</formula1>
    </dataValidation>
    <dataValidation type="list" allowBlank="1" showInputMessage="1" showErrorMessage="1" sqref="C314">
      <formula1>"Number"</formula1>
    </dataValidation>
    <dataValidation type="list" allowBlank="1" showInputMessage="1" showErrorMessage="1" sqref="C315">
      <formula1>"Number"</formula1>
    </dataValidation>
    <dataValidation type="list" allowBlank="1" showInputMessage="1" showErrorMessage="1" sqref="C316">
      <formula1>"Number"</formula1>
    </dataValidation>
    <dataValidation type="list" allowBlank="1" showInputMessage="1" showErrorMessage="1" sqref="C317">
      <formula1>"Number"</formula1>
    </dataValidation>
    <dataValidation type="list" allowBlank="1" showInputMessage="1" showErrorMessage="1" sqref="C318">
      <formula1>"Number"</formula1>
    </dataValidation>
    <dataValidation type="list" allowBlank="1" showInputMessage="1" showErrorMessage="1" sqref="C319">
      <formula1>"Number"</formula1>
    </dataValidation>
    <dataValidation type="list" allowBlank="1" showInputMessage="1" showErrorMessage="1" sqref="C322">
      <formula1>"Number"</formula1>
    </dataValidation>
    <dataValidation type="list" allowBlank="1" showInputMessage="1" showErrorMessage="1" sqref="C323">
      <formula1>"Number"</formula1>
    </dataValidation>
    <dataValidation type="list" allowBlank="1" showInputMessage="1" showErrorMessage="1" sqref="C324">
      <formula1>"Number"</formula1>
    </dataValidation>
    <dataValidation type="list" allowBlank="1" showInputMessage="1" showErrorMessage="1" sqref="C325">
      <formula1>"Number"</formula1>
    </dataValidation>
    <dataValidation type="list" allowBlank="1" showInputMessage="1" showErrorMessage="1" sqref="C326">
      <formula1>"Number"</formula1>
    </dataValidation>
    <dataValidation type="list" allowBlank="1" showInputMessage="1" showErrorMessage="1" sqref="C327">
      <formula1>"Number"</formula1>
    </dataValidation>
    <dataValidation type="list" allowBlank="1" showInputMessage="1" showErrorMessage="1" sqref="C328">
      <formula1>"Number"</formula1>
    </dataValidation>
    <dataValidation type="list" allowBlank="1" showInputMessage="1" showErrorMessage="1" sqref="C329">
      <formula1>"Number"</formula1>
    </dataValidation>
    <dataValidation type="list" allowBlank="1" showInputMessage="1" showErrorMessage="1" sqref="C330">
      <formula1>"Number"</formula1>
    </dataValidation>
    <dataValidation type="list" allowBlank="1" showInputMessage="1" showErrorMessage="1" sqref="C331">
      <formula1>"Number"</formula1>
    </dataValidation>
    <dataValidation type="list" allowBlank="1" showInputMessage="1" showErrorMessage="1" sqref="C332">
      <formula1>"Number"</formula1>
    </dataValidation>
    <dataValidation type="list" allowBlank="1" showInputMessage="1" showErrorMessage="1" sqref="C333">
      <formula1>"Number"</formula1>
    </dataValidation>
    <dataValidation type="list" allowBlank="1" showInputMessage="1" showErrorMessage="1" sqref="C334">
      <formula1>"Number"</formula1>
    </dataValidation>
    <dataValidation type="list" allowBlank="1" showInputMessage="1" showErrorMessage="1" sqref="C335">
      <formula1>"Number"</formula1>
    </dataValidation>
    <dataValidation type="list" allowBlank="1" showInputMessage="1" showErrorMessage="1" sqref="C338">
      <formula1>"Number"</formula1>
    </dataValidation>
    <dataValidation type="list" allowBlank="1" showInputMessage="1" showErrorMessage="1" sqref="C339">
      <formula1>"Number"</formula1>
    </dataValidation>
    <dataValidation type="list" allowBlank="1" showInputMessage="1" showErrorMessage="1" sqref="C340">
      <formula1>"Number"</formula1>
    </dataValidation>
    <dataValidation type="list" allowBlank="1" showInputMessage="1" showErrorMessage="1" sqref="C341">
      <formula1>"Number"</formula1>
    </dataValidation>
    <dataValidation type="list" allowBlank="1" showInputMessage="1" showErrorMessage="1" sqref="C342">
      <formula1>"Number"</formula1>
    </dataValidation>
    <dataValidation type="list" allowBlank="1" showInputMessage="1" showErrorMessage="1" sqref="C343">
      <formula1>"Number"</formula1>
    </dataValidation>
    <dataValidation type="list" allowBlank="1" showInputMessage="1" showErrorMessage="1" sqref="C344">
      <formula1>"Number"</formula1>
    </dataValidation>
    <dataValidation type="list" allowBlank="1" showInputMessage="1" showErrorMessage="1" sqref="C345">
      <formula1>"Number"</formula1>
    </dataValidation>
    <dataValidation type="list" allowBlank="1" showInputMessage="1" showErrorMessage="1" sqref="C346">
      <formula1>"Number"</formula1>
    </dataValidation>
    <dataValidation type="list" allowBlank="1" showInputMessage="1" showErrorMessage="1" sqref="C347">
      <formula1>"Number"</formula1>
    </dataValidation>
    <dataValidation type="list" allowBlank="1" showInputMessage="1" showErrorMessage="1" sqref="C348">
      <formula1>"Number"</formula1>
    </dataValidation>
    <dataValidation type="list" allowBlank="1" showInputMessage="1" showErrorMessage="1" sqref="C349">
      <formula1>"Number"</formula1>
    </dataValidation>
    <dataValidation type="list" allowBlank="1" showInputMessage="1" showErrorMessage="1" sqref="C350">
      <formula1>"Number"</formula1>
    </dataValidation>
    <dataValidation type="list" allowBlank="1" showInputMessage="1" showErrorMessage="1" sqref="C351">
      <formula1>"Number"</formula1>
    </dataValidation>
    <dataValidation type="list" allowBlank="1" showInputMessage="1" showErrorMessage="1" sqref="C354">
      <formula1>"Number"</formula1>
    </dataValidation>
    <dataValidation type="list" allowBlank="1" showInputMessage="1" showErrorMessage="1" sqref="C355">
      <formula1>"Number"</formula1>
    </dataValidation>
    <dataValidation type="list" allowBlank="1" showInputMessage="1" showErrorMessage="1" sqref="C356">
      <formula1>"Number"</formula1>
    </dataValidation>
    <dataValidation type="list" allowBlank="1" showInputMessage="1" showErrorMessage="1" sqref="C357">
      <formula1>"Number"</formula1>
    </dataValidation>
    <dataValidation type="list" allowBlank="1" showInputMessage="1" showErrorMessage="1" sqref="C358">
      <formula1>"Number"</formula1>
    </dataValidation>
    <dataValidation type="list" allowBlank="1" showInputMessage="1" showErrorMessage="1" sqref="C359">
      <formula1>"Number"</formula1>
    </dataValidation>
    <dataValidation type="list" allowBlank="1" showInputMessage="1" showErrorMessage="1" sqref="C360">
      <formula1>"Number"</formula1>
    </dataValidation>
    <dataValidation type="list" allowBlank="1" showInputMessage="1" showErrorMessage="1" sqref="C361">
      <formula1>"Number"</formula1>
    </dataValidation>
    <dataValidation type="list" allowBlank="1" showInputMessage="1" showErrorMessage="1" sqref="C362">
      <formula1>"Number"</formula1>
    </dataValidation>
    <dataValidation type="list" allowBlank="1" showInputMessage="1" showErrorMessage="1" sqref="C363">
      <formula1>"Number"</formula1>
    </dataValidation>
    <dataValidation type="list" allowBlank="1" showInputMessage="1" showErrorMessage="1" sqref="C364">
      <formula1>"Number"</formula1>
    </dataValidation>
    <dataValidation type="list" allowBlank="1" showInputMessage="1" showErrorMessage="1" sqref="C365">
      <formula1>"Number"</formula1>
    </dataValidation>
    <dataValidation type="list" allowBlank="1" showInputMessage="1" showErrorMessage="1" sqref="C366">
      <formula1>"Number"</formula1>
    </dataValidation>
    <dataValidation type="list" allowBlank="1" showInputMessage="1" showErrorMessage="1" sqref="C367">
      <formula1>"Number"</formula1>
    </dataValidation>
    <dataValidation type="list" allowBlank="1" showInputMessage="1" showErrorMessage="1" sqref="C370">
      <formula1>"Number"</formula1>
    </dataValidation>
    <dataValidation type="list" allowBlank="1" showInputMessage="1" showErrorMessage="1" sqref="C371">
      <formula1>"Number"</formula1>
    </dataValidation>
    <dataValidation type="list" allowBlank="1" showInputMessage="1" showErrorMessage="1" sqref="C372">
      <formula1>"Number"</formula1>
    </dataValidation>
    <dataValidation type="list" allowBlank="1" showInputMessage="1" showErrorMessage="1" sqref="C373">
      <formula1>"Number"</formula1>
    </dataValidation>
    <dataValidation type="list" allowBlank="1" showInputMessage="1" showErrorMessage="1" sqref="C374">
      <formula1>"Number"</formula1>
    </dataValidation>
    <dataValidation type="list" allowBlank="1" showInputMessage="1" showErrorMessage="1" sqref="C375">
      <formula1>"Number"</formula1>
    </dataValidation>
    <dataValidation type="list" allowBlank="1" showInputMessage="1" showErrorMessage="1" sqref="C376">
      <formula1>"Number"</formula1>
    </dataValidation>
    <dataValidation type="list" allowBlank="1" showInputMessage="1" showErrorMessage="1" sqref="C377">
      <formula1>"Number"</formula1>
    </dataValidation>
    <dataValidation type="list" allowBlank="1" showInputMessage="1" showErrorMessage="1" sqref="C378">
      <formula1>"Number"</formula1>
    </dataValidation>
    <dataValidation type="list" allowBlank="1" showInputMessage="1" showErrorMessage="1" sqref="C379">
      <formula1>"Number"</formula1>
    </dataValidation>
    <dataValidation type="list" allowBlank="1" showInputMessage="1" showErrorMessage="1" sqref="C380">
      <formula1>"Number"</formula1>
    </dataValidation>
    <dataValidation type="list" allowBlank="1" showInputMessage="1" showErrorMessage="1" sqref="C381">
      <formula1>"Number"</formula1>
    </dataValidation>
    <dataValidation type="list" allowBlank="1" showInputMessage="1" showErrorMessage="1" sqref="C382">
      <formula1>"Number"</formula1>
    </dataValidation>
    <dataValidation type="list" allowBlank="1" showInputMessage="1" showErrorMessage="1" sqref="C383">
      <formula1>"Number"</formula1>
    </dataValidation>
    <dataValidation type="list" allowBlank="1" showInputMessage="1" showErrorMessage="1" sqref="C386">
      <formula1>"Number"</formula1>
    </dataValidation>
    <dataValidation type="list" allowBlank="1" showInputMessage="1" showErrorMessage="1" sqref="C387">
      <formula1>"Number"</formula1>
    </dataValidation>
    <dataValidation type="list" allowBlank="1" showInputMessage="1" showErrorMessage="1" sqref="C388">
      <formula1>"Number"</formula1>
    </dataValidation>
    <dataValidation type="list" allowBlank="1" showInputMessage="1" showErrorMessage="1" sqref="C389">
      <formula1>"Number"</formula1>
    </dataValidation>
    <dataValidation type="list" allowBlank="1" showInputMessage="1" showErrorMessage="1" sqref="C390">
      <formula1>"Number"</formula1>
    </dataValidation>
    <dataValidation type="list" allowBlank="1" showInputMessage="1" showErrorMessage="1" sqref="C391">
      <formula1>"Number"</formula1>
    </dataValidation>
    <dataValidation type="list" allowBlank="1" showInputMessage="1" showErrorMessage="1" sqref="C392">
      <formula1>"Number"</formula1>
    </dataValidation>
    <dataValidation type="list" allowBlank="1" showInputMessage="1" showErrorMessage="1" sqref="C393">
      <formula1>"Number"</formula1>
    </dataValidation>
    <dataValidation type="list" allowBlank="1" showInputMessage="1" showErrorMessage="1" sqref="C394">
      <formula1>"Number"</formula1>
    </dataValidation>
    <dataValidation type="list" allowBlank="1" showInputMessage="1" showErrorMessage="1" sqref="C395">
      <formula1>"Number"</formula1>
    </dataValidation>
    <dataValidation type="list" allowBlank="1" showInputMessage="1" showErrorMessage="1" sqref="C396">
      <formula1>"Number"</formula1>
    </dataValidation>
    <dataValidation type="list" allowBlank="1" showInputMessage="1" showErrorMessage="1" sqref="C397">
      <formula1>"Number"</formula1>
    </dataValidation>
    <dataValidation type="list" allowBlank="1" showInputMessage="1" showErrorMessage="1" sqref="C398">
      <formula1>"Number"</formula1>
    </dataValidation>
    <dataValidation type="list" allowBlank="1" showInputMessage="1" showErrorMessage="1" sqref="C399">
      <formula1>"Number"</formula1>
    </dataValidation>
    <dataValidation type="list" allowBlank="1" showInputMessage="1" showErrorMessage="1" sqref="C402">
      <formula1>"Number"</formula1>
    </dataValidation>
    <dataValidation type="list" allowBlank="1" showInputMessage="1" showErrorMessage="1" sqref="C403">
      <formula1>"Number"</formula1>
    </dataValidation>
    <dataValidation type="list" allowBlank="1" showInputMessage="1" showErrorMessage="1" sqref="C404">
      <formula1>"Number"</formula1>
    </dataValidation>
    <dataValidation type="list" allowBlank="1" showInputMessage="1" showErrorMessage="1" sqref="C405">
      <formula1>"Number"</formula1>
    </dataValidation>
    <dataValidation type="list" allowBlank="1" showInputMessage="1" showErrorMessage="1" sqref="C406">
      <formula1>"Number"</formula1>
    </dataValidation>
    <dataValidation type="list" allowBlank="1" showInputMessage="1" showErrorMessage="1" sqref="C407">
      <formula1>"Number"</formula1>
    </dataValidation>
    <dataValidation type="list" allowBlank="1" showInputMessage="1" showErrorMessage="1" sqref="C408">
      <formula1>"Number"</formula1>
    </dataValidation>
    <dataValidation type="list" allowBlank="1" showInputMessage="1" showErrorMessage="1" sqref="C409">
      <formula1>"Number"</formula1>
    </dataValidation>
    <dataValidation type="list" allowBlank="1" showInputMessage="1" showErrorMessage="1" sqref="C410">
      <formula1>"Number"</formula1>
    </dataValidation>
    <dataValidation type="list" allowBlank="1" showInputMessage="1" showErrorMessage="1" sqref="C411">
      <formula1>"Number"</formula1>
    </dataValidation>
    <dataValidation type="list" allowBlank="1" showInputMessage="1" showErrorMessage="1" sqref="C412">
      <formula1>"Number"</formula1>
    </dataValidation>
    <dataValidation type="list" allowBlank="1" showInputMessage="1" showErrorMessage="1" sqref="C413">
      <formula1>"Number"</formula1>
    </dataValidation>
    <dataValidation type="list" allowBlank="1" showInputMessage="1" showErrorMessage="1" sqref="C414">
      <formula1>"Number"</formula1>
    </dataValidation>
    <dataValidation type="list" allowBlank="1" showInputMessage="1" showErrorMessage="1" sqref="C415">
      <formula1>"Number"</formula1>
    </dataValidation>
    <dataValidation type="list" allowBlank="1" showInputMessage="1" showErrorMessage="1" sqref="C418">
      <formula1>"Number"</formula1>
    </dataValidation>
    <dataValidation type="list" allowBlank="1" showInputMessage="1" showErrorMessage="1" sqref="C419">
      <formula1>"Number"</formula1>
    </dataValidation>
    <dataValidation type="list" allowBlank="1" showInputMessage="1" showErrorMessage="1" sqref="C420">
      <formula1>"Number"</formula1>
    </dataValidation>
    <dataValidation type="list" allowBlank="1" showInputMessage="1" showErrorMessage="1" sqref="C421">
      <formula1>"Number"</formula1>
    </dataValidation>
    <dataValidation type="list" allowBlank="1" showInputMessage="1" showErrorMessage="1" sqref="C422">
      <formula1>"Number"</formula1>
    </dataValidation>
    <dataValidation type="list" allowBlank="1" showInputMessage="1" showErrorMessage="1" sqref="C423">
      <formula1>"Number"</formula1>
    </dataValidation>
    <dataValidation type="list" allowBlank="1" showInputMessage="1" showErrorMessage="1" sqref="C424">
      <formula1>"Number"</formula1>
    </dataValidation>
    <dataValidation type="list" allowBlank="1" showInputMessage="1" showErrorMessage="1" sqref="C425">
      <formula1>"Number"</formula1>
    </dataValidation>
    <dataValidation type="list" allowBlank="1" showInputMessage="1" showErrorMessage="1" sqref="C426">
      <formula1>"Number"</formula1>
    </dataValidation>
    <dataValidation type="list" allowBlank="1" showInputMessage="1" showErrorMessage="1" sqref="C427">
      <formula1>"Number"</formula1>
    </dataValidation>
    <dataValidation type="list" allowBlank="1" showInputMessage="1" showErrorMessage="1" sqref="C428">
      <formula1>"Number"</formula1>
    </dataValidation>
    <dataValidation type="list" allowBlank="1" showInputMessage="1" showErrorMessage="1" sqref="C429">
      <formula1>"Number"</formula1>
    </dataValidation>
    <dataValidation type="list" allowBlank="1" showInputMessage="1" showErrorMessage="1" sqref="C430">
      <formula1>"Number"</formula1>
    </dataValidation>
    <dataValidation type="list" allowBlank="1" showInputMessage="1" showErrorMessage="1" sqref="C431">
      <formula1>"Number"</formula1>
    </dataValidation>
    <dataValidation type="list" allowBlank="1" showInputMessage="1" showErrorMessage="1" sqref="C434">
      <formula1>"Number"</formula1>
    </dataValidation>
    <dataValidation type="list" allowBlank="1" showInputMessage="1" showErrorMessage="1" sqref="C435">
      <formula1>"Number"</formula1>
    </dataValidation>
    <dataValidation type="list" allowBlank="1" showInputMessage="1" showErrorMessage="1" sqref="C436">
      <formula1>"Number"</formula1>
    </dataValidation>
    <dataValidation type="list" allowBlank="1" showInputMessage="1" showErrorMessage="1" sqref="C437">
      <formula1>"Number"</formula1>
    </dataValidation>
    <dataValidation type="list" allowBlank="1" showInputMessage="1" showErrorMessage="1" sqref="C438">
      <formula1>"Number"</formula1>
    </dataValidation>
    <dataValidation type="list" allowBlank="1" showInputMessage="1" showErrorMessage="1" sqref="C439">
      <formula1>"Number"</formula1>
    </dataValidation>
    <dataValidation type="list" allowBlank="1" showInputMessage="1" showErrorMessage="1" sqref="C440">
      <formula1>"Number"</formula1>
    </dataValidation>
    <dataValidation type="list" allowBlank="1" showInputMessage="1" showErrorMessage="1" sqref="C441">
      <formula1>"Number"</formula1>
    </dataValidation>
    <dataValidation type="list" allowBlank="1" showInputMessage="1" showErrorMessage="1" sqref="C442">
      <formula1>"Number"</formula1>
    </dataValidation>
    <dataValidation type="list" allowBlank="1" showInputMessage="1" showErrorMessage="1" sqref="C443">
      <formula1>"Number"</formula1>
    </dataValidation>
    <dataValidation type="list" allowBlank="1" showInputMessage="1" showErrorMessage="1" sqref="C444">
      <formula1>"Number"</formula1>
    </dataValidation>
    <dataValidation type="list" allowBlank="1" showInputMessage="1" showErrorMessage="1" sqref="C445">
      <formula1>"Number"</formula1>
    </dataValidation>
    <dataValidation type="list" allowBlank="1" showInputMessage="1" showErrorMessage="1" sqref="C446">
      <formula1>"Number"</formula1>
    </dataValidation>
    <dataValidation type="list" allowBlank="1" showInputMessage="1" showErrorMessage="1" sqref="C447">
      <formula1>"Number"</formula1>
    </dataValidation>
    <dataValidation type="list" allowBlank="1" showInputMessage="1" showErrorMessage="1" sqref="C450">
      <formula1>"Number"</formula1>
    </dataValidation>
    <dataValidation type="list" allowBlank="1" showInputMessage="1" showErrorMessage="1" sqref="C451">
      <formula1>"Number"</formula1>
    </dataValidation>
    <dataValidation type="list" allowBlank="1" showInputMessage="1" showErrorMessage="1" sqref="C452">
      <formula1>"Number"</formula1>
    </dataValidation>
    <dataValidation type="list" allowBlank="1" showInputMessage="1" showErrorMessage="1" sqref="C453">
      <formula1>"Number"</formula1>
    </dataValidation>
    <dataValidation type="list" allowBlank="1" showInputMessage="1" showErrorMessage="1" sqref="C454">
      <formula1>"Number"</formula1>
    </dataValidation>
    <dataValidation type="list" allowBlank="1" showInputMessage="1" showErrorMessage="1" sqref="C455">
      <formula1>"Number"</formula1>
    </dataValidation>
    <dataValidation type="list" allowBlank="1" showInputMessage="1" showErrorMessage="1" sqref="C456">
      <formula1>"Number"</formula1>
    </dataValidation>
    <dataValidation type="list" allowBlank="1" showInputMessage="1" showErrorMessage="1" sqref="C457">
      <formula1>"Number"</formula1>
    </dataValidation>
    <dataValidation type="list" allowBlank="1" showInputMessage="1" showErrorMessage="1" sqref="C458">
      <formula1>"Number"</formula1>
    </dataValidation>
    <dataValidation type="list" allowBlank="1" showInputMessage="1" showErrorMessage="1" sqref="C459">
      <formula1>"Number"</formula1>
    </dataValidation>
    <dataValidation type="list" allowBlank="1" showInputMessage="1" showErrorMessage="1" sqref="C460">
      <formula1>"Number"</formula1>
    </dataValidation>
    <dataValidation type="list" allowBlank="1" showInputMessage="1" showErrorMessage="1" sqref="C461">
      <formula1>"Number"</formula1>
    </dataValidation>
    <dataValidation type="list" allowBlank="1" showInputMessage="1" showErrorMessage="1" sqref="C462">
      <formula1>"Number"</formula1>
    </dataValidation>
    <dataValidation type="list" allowBlank="1" showInputMessage="1" showErrorMessage="1" sqref="C463">
      <formula1>"Number"</formula1>
    </dataValidation>
    <dataValidation type="list" allowBlank="1" showInputMessage="1" showErrorMessage="1" sqref="C466">
      <formula1>"Number"</formula1>
    </dataValidation>
    <dataValidation type="list" allowBlank="1" showInputMessage="1" showErrorMessage="1" sqref="C467">
      <formula1>"Number"</formula1>
    </dataValidation>
    <dataValidation type="list" allowBlank="1" showInputMessage="1" showErrorMessage="1" sqref="C468">
      <formula1>"Number"</formula1>
    </dataValidation>
    <dataValidation type="list" allowBlank="1" showInputMessage="1" showErrorMessage="1" sqref="C469">
      <formula1>"Number"</formula1>
    </dataValidation>
    <dataValidation type="list" allowBlank="1" showInputMessage="1" showErrorMessage="1" sqref="C470">
      <formula1>"Number"</formula1>
    </dataValidation>
    <dataValidation type="list" allowBlank="1" showInputMessage="1" showErrorMessage="1" sqref="C471">
      <formula1>"Number"</formula1>
    </dataValidation>
    <dataValidation type="list" allowBlank="1" showInputMessage="1" showErrorMessage="1" sqref="C472">
      <formula1>"Number"</formula1>
    </dataValidation>
    <dataValidation type="list" allowBlank="1" showInputMessage="1" showErrorMessage="1" sqref="C473">
      <formula1>"Number"</formula1>
    </dataValidation>
    <dataValidation type="list" allowBlank="1" showInputMessage="1" showErrorMessage="1" sqref="C474">
      <formula1>"Number"</formula1>
    </dataValidation>
    <dataValidation type="list" allowBlank="1" showInputMessage="1" showErrorMessage="1" sqref="C475">
      <formula1>"Number"</formula1>
    </dataValidation>
    <dataValidation type="list" allowBlank="1" showInputMessage="1" showErrorMessage="1" sqref="C476">
      <formula1>"Number"</formula1>
    </dataValidation>
    <dataValidation type="list" allowBlank="1" showInputMessage="1" showErrorMessage="1" sqref="C477">
      <formula1>"Number"</formula1>
    </dataValidation>
    <dataValidation type="list" allowBlank="1" showInputMessage="1" showErrorMessage="1" sqref="C478">
      <formula1>"Number"</formula1>
    </dataValidation>
    <dataValidation type="list" allowBlank="1" showInputMessage="1" showErrorMessage="1" sqref="C479">
      <formula1>"Number"</formula1>
    </dataValidation>
    <dataValidation type="list" allowBlank="1" showInputMessage="1" showErrorMessage="1" sqref="C482">
      <formula1>"Number"</formula1>
    </dataValidation>
    <dataValidation type="list" allowBlank="1" showInputMessage="1" showErrorMessage="1" sqref="C483">
      <formula1>"Number"</formula1>
    </dataValidation>
    <dataValidation type="list" allowBlank="1" showInputMessage="1" showErrorMessage="1" sqref="C484">
      <formula1>"Number"</formula1>
    </dataValidation>
    <dataValidation type="list" allowBlank="1" showInputMessage="1" showErrorMessage="1" sqref="C485">
      <formula1>"Number"</formula1>
    </dataValidation>
    <dataValidation type="list" allowBlank="1" showInputMessage="1" showErrorMessage="1" sqref="C486">
      <formula1>"Number"</formula1>
    </dataValidation>
    <dataValidation type="list" allowBlank="1" showInputMessage="1" showErrorMessage="1" sqref="C487">
      <formula1>"Number"</formula1>
    </dataValidation>
    <dataValidation type="list" allowBlank="1" showInputMessage="1" showErrorMessage="1" sqref="C488">
      <formula1>"Number"</formula1>
    </dataValidation>
    <dataValidation type="list" allowBlank="1" showInputMessage="1" showErrorMessage="1" sqref="C489">
      <formula1>"Number"</formula1>
    </dataValidation>
    <dataValidation type="list" allowBlank="1" showInputMessage="1" showErrorMessage="1" sqref="C490">
      <formula1>"Number"</formula1>
    </dataValidation>
    <dataValidation type="list" allowBlank="1" showInputMessage="1" showErrorMessage="1" sqref="C491">
      <formula1>"Number"</formula1>
    </dataValidation>
    <dataValidation type="list" allowBlank="1" showInputMessage="1" showErrorMessage="1" sqref="C492">
      <formula1>"Number"</formula1>
    </dataValidation>
    <dataValidation type="list" allowBlank="1" showInputMessage="1" showErrorMessage="1" sqref="C493">
      <formula1>"Number"</formula1>
    </dataValidation>
    <dataValidation type="list" allowBlank="1" showInputMessage="1" showErrorMessage="1" sqref="C494">
      <formula1>"Number"</formula1>
    </dataValidation>
    <dataValidation type="list" allowBlank="1" showInputMessage="1" showErrorMessage="1" sqref="C495">
      <formula1>"Number"</formula1>
    </dataValidation>
    <dataValidation type="list" allowBlank="1" showInputMessage="1" showErrorMessage="1" sqref="C498">
      <formula1>"Number"</formula1>
    </dataValidation>
    <dataValidation type="list" allowBlank="1" showInputMessage="1" showErrorMessage="1" sqref="C499">
      <formula1>"Number"</formula1>
    </dataValidation>
    <dataValidation type="list" allowBlank="1" showInputMessage="1" showErrorMessage="1" sqref="C500">
      <formula1>"Number"</formula1>
    </dataValidation>
    <dataValidation type="list" allowBlank="1" showInputMessage="1" showErrorMessage="1" sqref="C501">
      <formula1>"Number"</formula1>
    </dataValidation>
    <dataValidation type="list" allowBlank="1" showInputMessage="1" showErrorMessage="1" sqref="C502">
      <formula1>"Number"</formula1>
    </dataValidation>
    <dataValidation type="list" allowBlank="1" showInputMessage="1" showErrorMessage="1" sqref="C503">
      <formula1>"Number"</formula1>
    </dataValidation>
    <dataValidation type="list" allowBlank="1" showInputMessage="1" showErrorMessage="1" sqref="C504">
      <formula1>"Number"</formula1>
    </dataValidation>
    <dataValidation type="list" allowBlank="1" showInputMessage="1" showErrorMessage="1" sqref="C505">
      <formula1>"Number"</formula1>
    </dataValidation>
    <dataValidation type="list" allowBlank="1" showInputMessage="1" showErrorMessage="1" sqref="C506">
      <formula1>"Number"</formula1>
    </dataValidation>
    <dataValidation type="list" allowBlank="1" showInputMessage="1" showErrorMessage="1" sqref="C507">
      <formula1>"Number"</formula1>
    </dataValidation>
    <dataValidation type="list" allowBlank="1" showInputMessage="1" showErrorMessage="1" sqref="C508">
      <formula1>"Number"</formula1>
    </dataValidation>
    <dataValidation type="list" allowBlank="1" showInputMessage="1" showErrorMessage="1" sqref="C509">
      <formula1>"Number"</formula1>
    </dataValidation>
    <dataValidation type="list" allowBlank="1" showInputMessage="1" showErrorMessage="1" sqref="C510">
      <formula1>"Number"</formula1>
    </dataValidation>
    <dataValidation type="list" allowBlank="1" showInputMessage="1" showErrorMessage="1" sqref="C511">
      <formula1>"Number"</formula1>
    </dataValidation>
    <dataValidation type="list" allowBlank="1" showInputMessage="1" showErrorMessage="1" sqref="C514">
      <formula1>"Number"</formula1>
    </dataValidation>
    <dataValidation type="list" allowBlank="1" showInputMessage="1" showErrorMessage="1" sqref="C515">
      <formula1>"Number"</formula1>
    </dataValidation>
    <dataValidation type="list" allowBlank="1" showInputMessage="1" showErrorMessage="1" sqref="C516">
      <formula1>"Number"</formula1>
    </dataValidation>
    <dataValidation type="list" allowBlank="1" showInputMessage="1" showErrorMessage="1" sqref="C517">
      <formula1>"Number"</formula1>
    </dataValidation>
    <dataValidation type="list" allowBlank="1" showInputMessage="1" showErrorMessage="1" sqref="C518">
      <formula1>"Number"</formula1>
    </dataValidation>
    <dataValidation type="list" allowBlank="1" showInputMessage="1" showErrorMessage="1" sqref="C519">
      <formula1>"Number"</formula1>
    </dataValidation>
    <dataValidation type="list" allowBlank="1" showInputMessage="1" showErrorMessage="1" sqref="C520">
      <formula1>"Number"</formula1>
    </dataValidation>
    <dataValidation type="list" allowBlank="1" showInputMessage="1" showErrorMessage="1" sqref="C521">
      <formula1>"Number"</formula1>
    </dataValidation>
    <dataValidation type="list" allowBlank="1" showInputMessage="1" showErrorMessage="1" sqref="C522">
      <formula1>"Number"</formula1>
    </dataValidation>
    <dataValidation type="list" allowBlank="1" showInputMessage="1" showErrorMessage="1" sqref="C523">
      <formula1>"Number"</formula1>
    </dataValidation>
    <dataValidation type="list" allowBlank="1" showInputMessage="1" showErrorMessage="1" sqref="C524">
      <formula1>"Number"</formula1>
    </dataValidation>
    <dataValidation type="list" allowBlank="1" showInputMessage="1" showErrorMessage="1" sqref="C525">
      <formula1>"Number"</formula1>
    </dataValidation>
    <dataValidation type="list" allowBlank="1" showInputMessage="1" showErrorMessage="1" sqref="C526">
      <formula1>"Number"</formula1>
    </dataValidation>
    <dataValidation type="list" allowBlank="1" showInputMessage="1" showErrorMessage="1" sqref="C527">
      <formula1>"Number"</formula1>
    </dataValidation>
    <dataValidation type="list" allowBlank="1" showInputMessage="1" showErrorMessage="1" sqref="C530">
      <formula1>"Number"</formula1>
    </dataValidation>
    <dataValidation type="list" allowBlank="1" showInputMessage="1" showErrorMessage="1" sqref="C531">
      <formula1>"Number"</formula1>
    </dataValidation>
    <dataValidation type="list" allowBlank="1" showInputMessage="1" showErrorMessage="1" sqref="C532">
      <formula1>"Number"</formula1>
    </dataValidation>
    <dataValidation type="list" allowBlank="1" showInputMessage="1" showErrorMessage="1" sqref="C533">
      <formula1>"Number"</formula1>
    </dataValidation>
    <dataValidation type="list" allowBlank="1" showInputMessage="1" showErrorMessage="1" sqref="C534">
      <formula1>"Number"</formula1>
    </dataValidation>
    <dataValidation type="list" allowBlank="1" showInputMessage="1" showErrorMessage="1" sqref="C535">
      <formula1>"Number"</formula1>
    </dataValidation>
    <dataValidation type="list" allowBlank="1" showInputMessage="1" showErrorMessage="1" sqref="C536">
      <formula1>"Number"</formula1>
    </dataValidation>
    <dataValidation type="list" allowBlank="1" showInputMessage="1" showErrorMessage="1" sqref="C537">
      <formula1>"Number"</formula1>
    </dataValidation>
    <dataValidation type="list" allowBlank="1" showInputMessage="1" showErrorMessage="1" sqref="C538">
      <formula1>"Number"</formula1>
    </dataValidation>
    <dataValidation type="list" allowBlank="1" showInputMessage="1" showErrorMessage="1" sqref="C539">
      <formula1>"Number"</formula1>
    </dataValidation>
    <dataValidation type="list" allowBlank="1" showInputMessage="1" showErrorMessage="1" sqref="C540">
      <formula1>"Number"</formula1>
    </dataValidation>
    <dataValidation type="list" allowBlank="1" showInputMessage="1" showErrorMessage="1" sqref="C541">
      <formula1>"Number"</formula1>
    </dataValidation>
    <dataValidation type="list" allowBlank="1" showInputMessage="1" showErrorMessage="1" sqref="C542">
      <formula1>"Number"</formula1>
    </dataValidation>
    <dataValidation type="list" allowBlank="1" showInputMessage="1" showErrorMessage="1" sqref="C543">
      <formula1>"Number"</formula1>
    </dataValidation>
    <dataValidation type="list" allowBlank="1" showInputMessage="1" showErrorMessage="1" sqref="C546">
      <formula1>"Number"</formula1>
    </dataValidation>
    <dataValidation type="list" allowBlank="1" showInputMessage="1" showErrorMessage="1" sqref="C547">
      <formula1>"Number"</formula1>
    </dataValidation>
    <dataValidation type="list" allowBlank="1" showInputMessage="1" showErrorMessage="1" sqref="C548">
      <formula1>"Number"</formula1>
    </dataValidation>
    <dataValidation type="list" allowBlank="1" showInputMessage="1" showErrorMessage="1" sqref="C549">
      <formula1>"Number"</formula1>
    </dataValidation>
    <dataValidation type="list" allowBlank="1" showInputMessage="1" showErrorMessage="1" sqref="C550">
      <formula1>"Number"</formula1>
    </dataValidation>
    <dataValidation type="list" allowBlank="1" showInputMessage="1" showErrorMessage="1" sqref="C551">
      <formula1>"Number"</formula1>
    </dataValidation>
    <dataValidation type="list" allowBlank="1" showInputMessage="1" showErrorMessage="1" sqref="C552">
      <formula1>"Number"</formula1>
    </dataValidation>
    <dataValidation type="list" allowBlank="1" showInputMessage="1" showErrorMessage="1" sqref="C553">
      <formula1>"Number"</formula1>
    </dataValidation>
    <dataValidation type="list" allowBlank="1" showInputMessage="1" showErrorMessage="1" sqref="C554">
      <formula1>"Number"</formula1>
    </dataValidation>
    <dataValidation type="list" allowBlank="1" showInputMessage="1" showErrorMessage="1" sqref="C555">
      <formula1>"Number"</formula1>
    </dataValidation>
    <dataValidation type="list" allowBlank="1" showInputMessage="1" showErrorMessage="1" sqref="C556">
      <formula1>"Number"</formula1>
    </dataValidation>
    <dataValidation type="list" allowBlank="1" showInputMessage="1" showErrorMessage="1" sqref="C557">
      <formula1>"Number"</formula1>
    </dataValidation>
    <dataValidation type="list" allowBlank="1" showInputMessage="1" showErrorMessage="1" sqref="C558">
      <formula1>"Number"</formula1>
    </dataValidation>
    <dataValidation type="list" allowBlank="1" showInputMessage="1" showErrorMessage="1" sqref="C559">
      <formula1>"Number"</formula1>
    </dataValidation>
    <dataValidation type="list" allowBlank="1" showInputMessage="1" showErrorMessage="1" sqref="C562">
      <formula1>"Number"</formula1>
    </dataValidation>
    <dataValidation type="list" allowBlank="1" showInputMessage="1" showErrorMessage="1" sqref="C563">
      <formula1>"Number"</formula1>
    </dataValidation>
    <dataValidation type="list" allowBlank="1" showInputMessage="1" showErrorMessage="1" sqref="C564">
      <formula1>"Number"</formula1>
    </dataValidation>
    <dataValidation type="list" allowBlank="1" showInputMessage="1" showErrorMessage="1" sqref="C565">
      <formula1>"Number"</formula1>
    </dataValidation>
    <dataValidation type="list" allowBlank="1" showInputMessage="1" showErrorMessage="1" sqref="C566">
      <formula1>"Number"</formula1>
    </dataValidation>
    <dataValidation type="list" allowBlank="1" showInputMessage="1" showErrorMessage="1" sqref="C567">
      <formula1>"Number"</formula1>
    </dataValidation>
    <dataValidation type="list" allowBlank="1" showInputMessage="1" showErrorMessage="1" sqref="C568">
      <formula1>"Number"</formula1>
    </dataValidation>
    <dataValidation type="list" allowBlank="1" showInputMessage="1" showErrorMessage="1" sqref="C569">
      <formula1>"Number"</formula1>
    </dataValidation>
    <dataValidation type="list" allowBlank="1" showInputMessage="1" showErrorMessage="1" sqref="C570">
      <formula1>"Number"</formula1>
    </dataValidation>
    <dataValidation type="list" allowBlank="1" showInputMessage="1" showErrorMessage="1" sqref="C571">
      <formula1>"Number"</formula1>
    </dataValidation>
    <dataValidation type="list" allowBlank="1" showInputMessage="1" showErrorMessage="1" sqref="C572">
      <formula1>"Number"</formula1>
    </dataValidation>
    <dataValidation type="list" allowBlank="1" showInputMessage="1" showErrorMessage="1" sqref="C573">
      <formula1>"Number"</formula1>
    </dataValidation>
    <dataValidation type="list" allowBlank="1" showInputMessage="1" showErrorMessage="1" sqref="C574">
      <formula1>"Number"</formula1>
    </dataValidation>
    <dataValidation type="list" allowBlank="1" showInputMessage="1" showErrorMessage="1" sqref="C575">
      <formula1>"Number"</formula1>
    </dataValidation>
    <dataValidation type="list" allowBlank="1" showInputMessage="1" showErrorMessage="1" sqref="C578">
      <formula1>"Number"</formula1>
    </dataValidation>
    <dataValidation type="list" allowBlank="1" showInputMessage="1" showErrorMessage="1" sqref="C579">
      <formula1>"Number"</formula1>
    </dataValidation>
    <dataValidation type="list" allowBlank="1" showInputMessage="1" showErrorMessage="1" sqref="C580">
      <formula1>"Number"</formula1>
    </dataValidation>
    <dataValidation type="list" allowBlank="1" showInputMessage="1" showErrorMessage="1" sqref="C581">
      <formula1>"Number"</formula1>
    </dataValidation>
    <dataValidation type="list" allowBlank="1" showInputMessage="1" showErrorMessage="1" sqref="C582">
      <formula1>"Number"</formula1>
    </dataValidation>
    <dataValidation type="list" allowBlank="1" showInputMessage="1" showErrorMessage="1" sqref="C583">
      <formula1>"Number"</formula1>
    </dataValidation>
    <dataValidation type="list" allowBlank="1" showInputMessage="1" showErrorMessage="1" sqref="C584">
      <formula1>"Number"</formula1>
    </dataValidation>
    <dataValidation type="list" allowBlank="1" showInputMessage="1" showErrorMessage="1" sqref="C585">
      <formula1>"Number"</formula1>
    </dataValidation>
    <dataValidation type="list" allowBlank="1" showInputMessage="1" showErrorMessage="1" sqref="C586">
      <formula1>"Number"</formula1>
    </dataValidation>
    <dataValidation type="list" allowBlank="1" showInputMessage="1" showErrorMessage="1" sqref="C587">
      <formula1>"Number"</formula1>
    </dataValidation>
    <dataValidation type="list" allowBlank="1" showInputMessage="1" showErrorMessage="1" sqref="C588">
      <formula1>"Number"</formula1>
    </dataValidation>
    <dataValidation type="list" allowBlank="1" showInputMessage="1" showErrorMessage="1" sqref="C589">
      <formula1>"Number"</formula1>
    </dataValidation>
    <dataValidation type="list" allowBlank="1" showInputMessage="1" showErrorMessage="1" sqref="C590">
      <formula1>"Number"</formula1>
    </dataValidation>
    <dataValidation type="list" allowBlank="1" showInputMessage="1" showErrorMessage="1" sqref="C591">
      <formula1>"Number"</formula1>
    </dataValidation>
    <dataValidation type="list" allowBlank="1" showInputMessage="1" showErrorMessage="1" sqref="C594">
      <formula1>"Number"</formula1>
    </dataValidation>
    <dataValidation type="list" allowBlank="1" showInputMessage="1" showErrorMessage="1" sqref="C595">
      <formula1>"Number"</formula1>
    </dataValidation>
    <dataValidation type="list" allowBlank="1" showInputMessage="1" showErrorMessage="1" sqref="C596">
      <formula1>"Number"</formula1>
    </dataValidation>
    <dataValidation type="list" allowBlank="1" showInputMessage="1" showErrorMessage="1" sqref="C597">
      <formula1>"Number"</formula1>
    </dataValidation>
    <dataValidation type="list" allowBlank="1" showInputMessage="1" showErrorMessage="1" sqref="C598">
      <formula1>"Number"</formula1>
    </dataValidation>
    <dataValidation type="list" allowBlank="1" showInputMessage="1" showErrorMessage="1" sqref="C599">
      <formula1>"Number"</formula1>
    </dataValidation>
    <dataValidation type="list" allowBlank="1" showInputMessage="1" showErrorMessage="1" sqref="C600">
      <formula1>"Number"</formula1>
    </dataValidation>
    <dataValidation type="list" allowBlank="1" showInputMessage="1" showErrorMessage="1" sqref="C601">
      <formula1>"Number"</formula1>
    </dataValidation>
    <dataValidation type="list" allowBlank="1" showInputMessage="1" showErrorMessage="1" sqref="C602">
      <formula1>"Number"</formula1>
    </dataValidation>
    <dataValidation type="list" allowBlank="1" showInputMessage="1" showErrorMessage="1" sqref="C603">
      <formula1>"Number"</formula1>
    </dataValidation>
    <dataValidation type="list" allowBlank="1" showInputMessage="1" showErrorMessage="1" sqref="C604">
      <formula1>"Number"</formula1>
    </dataValidation>
    <dataValidation type="list" allowBlank="1" showInputMessage="1" showErrorMessage="1" sqref="C605">
      <formula1>"Number"</formula1>
    </dataValidation>
    <dataValidation type="list" allowBlank="1" showInputMessage="1" showErrorMessage="1" sqref="C606">
      <formula1>"Number"</formula1>
    </dataValidation>
    <dataValidation type="list" allowBlank="1" showInputMessage="1" showErrorMessage="1" sqref="C607">
      <formula1>"Number"</formula1>
    </dataValidation>
    <dataValidation type="list" allowBlank="1" showInputMessage="1" showErrorMessage="1" sqref="C610">
      <formula1>"Number"</formula1>
    </dataValidation>
    <dataValidation type="list" allowBlank="1" showInputMessage="1" showErrorMessage="1" sqref="C611">
      <formula1>"Number"</formula1>
    </dataValidation>
    <dataValidation type="list" allowBlank="1" showInputMessage="1" showErrorMessage="1" sqref="C612">
      <formula1>"Number"</formula1>
    </dataValidation>
    <dataValidation type="list" allowBlank="1" showInputMessage="1" showErrorMessage="1" sqref="C613">
      <formula1>"Number"</formula1>
    </dataValidation>
    <dataValidation type="list" allowBlank="1" showInputMessage="1" showErrorMessage="1" sqref="C614">
      <formula1>"Number"</formula1>
    </dataValidation>
    <dataValidation type="list" allowBlank="1" showInputMessage="1" showErrorMessage="1" sqref="C615">
      <formula1>"Number"</formula1>
    </dataValidation>
    <dataValidation type="list" allowBlank="1" showInputMessage="1" showErrorMessage="1" sqref="C616">
      <formula1>"Number"</formula1>
    </dataValidation>
    <dataValidation type="list" allowBlank="1" showInputMessage="1" showErrorMessage="1" sqref="C617">
      <formula1>"Number"</formula1>
    </dataValidation>
    <dataValidation type="list" allowBlank="1" showInputMessage="1" showErrorMessage="1" sqref="C618">
      <formula1>"Number"</formula1>
    </dataValidation>
    <dataValidation type="list" allowBlank="1" showInputMessage="1" showErrorMessage="1" sqref="C619">
      <formula1>"Number"</formula1>
    </dataValidation>
    <dataValidation type="list" allowBlank="1" showInputMessage="1" showErrorMessage="1" sqref="C620">
      <formula1>"Number"</formula1>
    </dataValidation>
    <dataValidation type="list" allowBlank="1" showInputMessage="1" showErrorMessage="1" sqref="C621">
      <formula1>"Number"</formula1>
    </dataValidation>
    <dataValidation type="list" allowBlank="1" showInputMessage="1" showErrorMessage="1" sqref="C622">
      <formula1>"Number"</formula1>
    </dataValidation>
    <dataValidation type="list" allowBlank="1" showInputMessage="1" showErrorMessage="1" sqref="C623">
      <formula1>"Number"</formula1>
    </dataValidation>
    <dataValidation type="list" allowBlank="1" showInputMessage="1" showErrorMessage="1" sqref="C626">
      <formula1>"Number"</formula1>
    </dataValidation>
    <dataValidation type="list" allowBlank="1" showInputMessage="1" showErrorMessage="1" sqref="C627">
      <formula1>"Number"</formula1>
    </dataValidation>
    <dataValidation type="list" allowBlank="1" showInputMessage="1" showErrorMessage="1" sqref="C628">
      <formula1>"Number"</formula1>
    </dataValidation>
    <dataValidation type="list" allowBlank="1" showInputMessage="1" showErrorMessage="1" sqref="C629">
      <formula1>"Number"</formula1>
    </dataValidation>
    <dataValidation type="list" allowBlank="1" showInputMessage="1" showErrorMessage="1" sqref="C630">
      <formula1>"Number"</formula1>
    </dataValidation>
    <dataValidation type="list" allowBlank="1" showInputMessage="1" showErrorMessage="1" sqref="C631">
      <formula1>"Number"</formula1>
    </dataValidation>
    <dataValidation type="list" allowBlank="1" showInputMessage="1" showErrorMessage="1" sqref="C632">
      <formula1>"Number"</formula1>
    </dataValidation>
    <dataValidation type="list" allowBlank="1" showInputMessage="1" showErrorMessage="1" sqref="C633">
      <formula1>"Number"</formula1>
    </dataValidation>
    <dataValidation type="list" allowBlank="1" showInputMessage="1" showErrorMessage="1" sqref="C634">
      <formula1>"Number"</formula1>
    </dataValidation>
    <dataValidation type="list" allowBlank="1" showInputMessage="1" showErrorMessage="1" sqref="C635">
      <formula1>"Number"</formula1>
    </dataValidation>
    <dataValidation type="list" allowBlank="1" showInputMessage="1" showErrorMessage="1" sqref="C636">
      <formula1>"Number"</formula1>
    </dataValidation>
    <dataValidation type="list" allowBlank="1" showInputMessage="1" showErrorMessage="1" sqref="C637">
      <formula1>"Number"</formula1>
    </dataValidation>
    <dataValidation type="list" allowBlank="1" showInputMessage="1" showErrorMessage="1" sqref="C638">
      <formula1>"Number"</formula1>
    </dataValidation>
    <dataValidation type="list" allowBlank="1" showInputMessage="1" showErrorMessage="1" sqref="C639">
      <formula1>"Number"</formula1>
    </dataValidation>
    <dataValidation type="list" allowBlank="1" showInputMessage="1" showErrorMessage="1" sqref="C642">
      <formula1>"Number"</formula1>
    </dataValidation>
    <dataValidation type="list" allowBlank="1" showInputMessage="1" showErrorMessage="1" sqref="C643">
      <formula1>"Number"</formula1>
    </dataValidation>
    <dataValidation type="list" allowBlank="1" showInputMessage="1" showErrorMessage="1" sqref="C644">
      <formula1>"Number"</formula1>
    </dataValidation>
    <dataValidation type="list" allowBlank="1" showInputMessage="1" showErrorMessage="1" sqref="C645">
      <formula1>"Number"</formula1>
    </dataValidation>
    <dataValidation type="list" allowBlank="1" showInputMessage="1" showErrorMessage="1" sqref="C646">
      <formula1>"Number"</formula1>
    </dataValidation>
    <dataValidation type="list" allowBlank="1" showInputMessage="1" showErrorMessage="1" sqref="C647">
      <formula1>"Number"</formula1>
    </dataValidation>
    <dataValidation type="list" allowBlank="1" showInputMessage="1" showErrorMessage="1" sqref="C648">
      <formula1>"Number"</formula1>
    </dataValidation>
    <dataValidation type="list" allowBlank="1" showInputMessage="1" showErrorMessage="1" sqref="C649">
      <formula1>"Number"</formula1>
    </dataValidation>
    <dataValidation type="list" allowBlank="1" showInputMessage="1" showErrorMessage="1" sqref="C650">
      <formula1>"Number"</formula1>
    </dataValidation>
    <dataValidation type="list" allowBlank="1" showInputMessage="1" showErrorMessage="1" sqref="C651">
      <formula1>"Number"</formula1>
    </dataValidation>
    <dataValidation type="list" allowBlank="1" showInputMessage="1" showErrorMessage="1" sqref="C652">
      <formula1>"Number"</formula1>
    </dataValidation>
    <dataValidation type="list" allowBlank="1" showInputMessage="1" showErrorMessage="1" sqref="C653">
      <formula1>"Number"</formula1>
    </dataValidation>
    <dataValidation type="list" allowBlank="1" showInputMessage="1" showErrorMessage="1" sqref="C654">
      <formula1>"Number"</formula1>
    </dataValidation>
    <dataValidation type="list" allowBlank="1" showInputMessage="1" showErrorMessage="1" sqref="C655">
      <formula1>"Number"</formula1>
    </dataValidation>
    <dataValidation type="list" allowBlank="1" showInputMessage="1" showErrorMessage="1" sqref="C658">
      <formula1>"Number"</formula1>
    </dataValidation>
    <dataValidation type="list" allowBlank="1" showInputMessage="1" showErrorMessage="1" sqref="C659">
      <formula1>"Number"</formula1>
    </dataValidation>
    <dataValidation type="list" allowBlank="1" showInputMessage="1" showErrorMessage="1" sqref="C660">
      <formula1>"Number"</formula1>
    </dataValidation>
    <dataValidation type="list" allowBlank="1" showInputMessage="1" showErrorMessage="1" sqref="C661">
      <formula1>"Number"</formula1>
    </dataValidation>
    <dataValidation type="list" allowBlank="1" showInputMessage="1" showErrorMessage="1" sqref="C662">
      <formula1>"Number"</formula1>
    </dataValidation>
    <dataValidation type="list" allowBlank="1" showInputMessage="1" showErrorMessage="1" sqref="C663">
      <formula1>"Number"</formula1>
    </dataValidation>
    <dataValidation type="list" allowBlank="1" showInputMessage="1" showErrorMessage="1" sqref="C664">
      <formula1>"Number"</formula1>
    </dataValidation>
    <dataValidation type="list" allowBlank="1" showInputMessage="1" showErrorMessage="1" sqref="C665">
      <formula1>"Number"</formula1>
    </dataValidation>
    <dataValidation type="list" allowBlank="1" showInputMessage="1" showErrorMessage="1" sqref="C666">
      <formula1>"Number"</formula1>
    </dataValidation>
    <dataValidation type="list" allowBlank="1" showInputMessage="1" showErrorMessage="1" sqref="C667">
      <formula1>"Number"</formula1>
    </dataValidation>
    <dataValidation type="list" allowBlank="1" showInputMessage="1" showErrorMessage="1" sqref="C668">
      <formula1>"Number"</formula1>
    </dataValidation>
    <dataValidation type="list" allowBlank="1" showInputMessage="1" showErrorMessage="1" sqref="C669">
      <formula1>"Number"</formula1>
    </dataValidation>
    <dataValidation type="list" allowBlank="1" showInputMessage="1" showErrorMessage="1" sqref="C670">
      <formula1>"Number"</formula1>
    </dataValidation>
    <dataValidation type="list" allowBlank="1" showInputMessage="1" showErrorMessage="1" sqref="C671">
      <formula1>"Number"</formula1>
    </dataValidation>
    <dataValidation type="list" allowBlank="1" showInputMessage="1" showErrorMessage="1" sqref="C674">
      <formula1>"Number"</formula1>
    </dataValidation>
    <dataValidation type="list" allowBlank="1" showInputMessage="1" showErrorMessage="1" sqref="C675">
      <formula1>"Number"</formula1>
    </dataValidation>
    <dataValidation type="list" allowBlank="1" showInputMessage="1" showErrorMessage="1" sqref="C676">
      <formula1>"Number"</formula1>
    </dataValidation>
    <dataValidation type="list" allowBlank="1" showInputMessage="1" showErrorMessage="1" sqref="C677">
      <formula1>"Number"</formula1>
    </dataValidation>
    <dataValidation type="list" allowBlank="1" showInputMessage="1" showErrorMessage="1" sqref="C678">
      <formula1>"Number"</formula1>
    </dataValidation>
    <dataValidation type="list" allowBlank="1" showInputMessage="1" showErrorMessage="1" sqref="C679">
      <formula1>"Number"</formula1>
    </dataValidation>
    <dataValidation type="list" allowBlank="1" showInputMessage="1" showErrorMessage="1" sqref="C680">
      <formula1>"Number"</formula1>
    </dataValidation>
    <dataValidation type="list" allowBlank="1" showInputMessage="1" showErrorMessage="1" sqref="C681">
      <formula1>"Number"</formula1>
    </dataValidation>
    <dataValidation type="list" allowBlank="1" showInputMessage="1" showErrorMessage="1" sqref="C682">
      <formula1>"Number"</formula1>
    </dataValidation>
    <dataValidation type="list" allowBlank="1" showInputMessage="1" showErrorMessage="1" sqref="C683">
      <formula1>"Number"</formula1>
    </dataValidation>
    <dataValidation type="list" allowBlank="1" showInputMessage="1" showErrorMessage="1" sqref="C684">
      <formula1>"Number"</formula1>
    </dataValidation>
    <dataValidation type="list" allowBlank="1" showInputMessage="1" showErrorMessage="1" sqref="C685">
      <formula1>"Number"</formula1>
    </dataValidation>
    <dataValidation type="list" allowBlank="1" showInputMessage="1" showErrorMessage="1" sqref="C686">
      <formula1>"Number"</formula1>
    </dataValidation>
    <dataValidation type="list" allowBlank="1" showInputMessage="1" showErrorMessage="1" sqref="C687">
      <formula1>"Number"</formula1>
    </dataValidation>
    <dataValidation type="list" allowBlank="1" showInputMessage="1" showErrorMessage="1" sqref="C690">
      <formula1>"Number"</formula1>
    </dataValidation>
    <dataValidation type="list" allowBlank="1" showInputMessage="1" showErrorMessage="1" sqref="C691">
      <formula1>"Number"</formula1>
    </dataValidation>
    <dataValidation type="list" allowBlank="1" showInputMessage="1" showErrorMessage="1" sqref="C692">
      <formula1>"Number"</formula1>
    </dataValidation>
    <dataValidation type="list" allowBlank="1" showInputMessage="1" showErrorMessage="1" sqref="C693">
      <formula1>"Number"</formula1>
    </dataValidation>
    <dataValidation type="list" allowBlank="1" showInputMessage="1" showErrorMessage="1" sqref="C694">
      <formula1>"Number"</formula1>
    </dataValidation>
    <dataValidation type="list" allowBlank="1" showInputMessage="1" showErrorMessage="1" sqref="C695">
      <formula1>"Number"</formula1>
    </dataValidation>
    <dataValidation type="list" allowBlank="1" showInputMessage="1" showErrorMessage="1" sqref="C696">
      <formula1>"Number"</formula1>
    </dataValidation>
    <dataValidation type="list" allowBlank="1" showInputMessage="1" showErrorMessage="1" sqref="C697">
      <formula1>"Number"</formula1>
    </dataValidation>
    <dataValidation type="list" allowBlank="1" showInputMessage="1" showErrorMessage="1" sqref="C698">
      <formula1>"Number"</formula1>
    </dataValidation>
    <dataValidation type="list" allowBlank="1" showInputMessage="1" showErrorMessage="1" sqref="C699">
      <formula1>"Number"</formula1>
    </dataValidation>
    <dataValidation type="list" allowBlank="1" showInputMessage="1" showErrorMessage="1" sqref="C700">
      <formula1>"Number"</formula1>
    </dataValidation>
    <dataValidation type="list" allowBlank="1" showInputMessage="1" showErrorMessage="1" sqref="C701">
      <formula1>"Number"</formula1>
    </dataValidation>
    <dataValidation type="list" allowBlank="1" showInputMessage="1" showErrorMessage="1" sqref="C702">
      <formula1>"Number"</formula1>
    </dataValidation>
    <dataValidation type="list" allowBlank="1" showInputMessage="1" showErrorMessage="1" sqref="C703">
      <formula1>"Number"</formula1>
    </dataValidation>
    <dataValidation type="list" allowBlank="1" showInputMessage="1" showErrorMessage="1" sqref="C706">
      <formula1>"Number"</formula1>
    </dataValidation>
    <dataValidation type="list" allowBlank="1" showInputMessage="1" showErrorMessage="1" sqref="C707">
      <formula1>"Number"</formula1>
    </dataValidation>
    <dataValidation type="list" allowBlank="1" showInputMessage="1" showErrorMessage="1" sqref="C708">
      <formula1>"Number"</formula1>
    </dataValidation>
    <dataValidation type="list" allowBlank="1" showInputMessage="1" showErrorMessage="1" sqref="C709">
      <formula1>"Number"</formula1>
    </dataValidation>
    <dataValidation type="list" allowBlank="1" showInputMessage="1" showErrorMessage="1" sqref="C710">
      <formula1>"Number"</formula1>
    </dataValidation>
    <dataValidation type="list" allowBlank="1" showInputMessage="1" showErrorMessage="1" sqref="C711">
      <formula1>"Number"</formula1>
    </dataValidation>
    <dataValidation type="list" allowBlank="1" showInputMessage="1" showErrorMessage="1" sqref="C712">
      <formula1>"Number"</formula1>
    </dataValidation>
    <dataValidation type="list" allowBlank="1" showInputMessage="1" showErrorMessage="1" sqref="C713">
      <formula1>"Number"</formula1>
    </dataValidation>
    <dataValidation type="list" allowBlank="1" showInputMessage="1" showErrorMessage="1" sqref="C714">
      <formula1>"Number"</formula1>
    </dataValidation>
    <dataValidation type="list" allowBlank="1" showInputMessage="1" showErrorMessage="1" sqref="C715">
      <formula1>"Number"</formula1>
    </dataValidation>
    <dataValidation type="list" allowBlank="1" showInputMessage="1" showErrorMessage="1" sqref="C716">
      <formula1>"Number"</formula1>
    </dataValidation>
    <dataValidation type="list" allowBlank="1" showInputMessage="1" showErrorMessage="1" sqref="C717">
      <formula1>"Number"</formula1>
    </dataValidation>
    <dataValidation type="list" allowBlank="1" showInputMessage="1" showErrorMessage="1" sqref="C718">
      <formula1>"Number"</formula1>
    </dataValidation>
    <dataValidation type="list" allowBlank="1" showInputMessage="1" showErrorMessage="1" sqref="C719">
      <formula1>"Number"</formula1>
    </dataValidation>
    <dataValidation type="list" allowBlank="1" showInputMessage="1" showErrorMessage="1" sqref="C722">
      <formula1>"Number"</formula1>
    </dataValidation>
    <dataValidation type="list" allowBlank="1" showInputMessage="1" showErrorMessage="1" sqref="C723">
      <formula1>"Number"</formula1>
    </dataValidation>
    <dataValidation type="list" allowBlank="1" showInputMessage="1" showErrorMessage="1" sqref="C724">
      <formula1>"Number"</formula1>
    </dataValidation>
    <dataValidation type="list" allowBlank="1" showInputMessage="1" showErrorMessage="1" sqref="C725">
      <formula1>"Number"</formula1>
    </dataValidation>
    <dataValidation type="list" allowBlank="1" showInputMessage="1" showErrorMessage="1" sqref="C726">
      <formula1>"Number"</formula1>
    </dataValidation>
    <dataValidation type="list" allowBlank="1" showInputMessage="1" showErrorMessage="1" sqref="C727">
      <formula1>"Number"</formula1>
    </dataValidation>
    <dataValidation type="list" allowBlank="1" showInputMessage="1" showErrorMessage="1" sqref="C728">
      <formula1>"Number"</formula1>
    </dataValidation>
    <dataValidation type="list" allowBlank="1" showInputMessage="1" showErrorMessage="1" sqref="C729">
      <formula1>"Number"</formula1>
    </dataValidation>
    <dataValidation type="list" allowBlank="1" showInputMessage="1" showErrorMessage="1" sqref="C730">
      <formula1>"Number"</formula1>
    </dataValidation>
    <dataValidation type="list" allowBlank="1" showInputMessage="1" showErrorMessage="1" sqref="C731">
      <formula1>"Number"</formula1>
    </dataValidation>
    <dataValidation type="list" allowBlank="1" showInputMessage="1" showErrorMessage="1" sqref="C732">
      <formula1>"Number"</formula1>
    </dataValidation>
    <dataValidation type="list" allowBlank="1" showInputMessage="1" showErrorMessage="1" sqref="C733">
      <formula1>"Number"</formula1>
    </dataValidation>
    <dataValidation type="list" allowBlank="1" showInputMessage="1" showErrorMessage="1" sqref="C734">
      <formula1>"Number"</formula1>
    </dataValidation>
    <dataValidation type="list" allowBlank="1" showInputMessage="1" showErrorMessage="1" sqref="C735">
      <formula1>"Number"</formula1>
    </dataValidation>
    <dataValidation type="list" allowBlank="1" showInputMessage="1" showErrorMessage="1" sqref="C738">
      <formula1>"Number"</formula1>
    </dataValidation>
    <dataValidation type="list" allowBlank="1" showInputMessage="1" showErrorMessage="1" sqref="C739">
      <formula1>"Number"</formula1>
    </dataValidation>
    <dataValidation type="list" allowBlank="1" showInputMessage="1" showErrorMessage="1" sqref="C740">
      <formula1>"Number"</formula1>
    </dataValidation>
    <dataValidation type="list" allowBlank="1" showInputMessage="1" showErrorMessage="1" sqref="C741">
      <formula1>"Number"</formula1>
    </dataValidation>
    <dataValidation type="list" allowBlank="1" showInputMessage="1" showErrorMessage="1" sqref="C742">
      <formula1>"Number"</formula1>
    </dataValidation>
    <dataValidation type="list" allowBlank="1" showInputMessage="1" showErrorMessage="1" sqref="C743">
      <formula1>"Number"</formula1>
    </dataValidation>
    <dataValidation type="list" allowBlank="1" showInputMessage="1" showErrorMessage="1" sqref="C744">
      <formula1>"Number"</formula1>
    </dataValidation>
    <dataValidation type="list" allowBlank="1" showInputMessage="1" showErrorMessage="1" sqref="C745">
      <formula1>"Number"</formula1>
    </dataValidation>
    <dataValidation type="list" allowBlank="1" showInputMessage="1" showErrorMessage="1" sqref="C746">
      <formula1>"Number"</formula1>
    </dataValidation>
    <dataValidation type="list" allowBlank="1" showInputMessage="1" showErrorMessage="1" sqref="C747">
      <formula1>"Number"</formula1>
    </dataValidation>
    <dataValidation type="list" allowBlank="1" showInputMessage="1" showErrorMessage="1" sqref="C748">
      <formula1>"Number"</formula1>
    </dataValidation>
    <dataValidation type="list" allowBlank="1" showInputMessage="1" showErrorMessage="1" sqref="C749">
      <formula1>"Number"</formula1>
    </dataValidation>
    <dataValidation type="list" allowBlank="1" showInputMessage="1" showErrorMessage="1" sqref="C750">
      <formula1>"Number"</formula1>
    </dataValidation>
    <dataValidation type="list" allowBlank="1" showInputMessage="1" showErrorMessage="1" sqref="C751">
      <formula1>"Number"</formula1>
    </dataValidation>
    <dataValidation type="list" allowBlank="1" showInputMessage="1" showErrorMessage="1" sqref="C754">
      <formula1>"Number"</formula1>
    </dataValidation>
    <dataValidation type="list" allowBlank="1" showInputMessage="1" showErrorMessage="1" sqref="C755">
      <formula1>"Number"</formula1>
    </dataValidation>
    <dataValidation type="list" allowBlank="1" showInputMessage="1" showErrorMessage="1" sqref="C756">
      <formula1>"Number"</formula1>
    </dataValidation>
    <dataValidation type="list" allowBlank="1" showInputMessage="1" showErrorMessage="1" sqref="C757">
      <formula1>"Number"</formula1>
    </dataValidation>
    <dataValidation type="list" allowBlank="1" showInputMessage="1" showErrorMessage="1" sqref="C758">
      <formula1>"Number"</formula1>
    </dataValidation>
    <dataValidation type="list" allowBlank="1" showInputMessage="1" showErrorMessage="1" sqref="C759">
      <formula1>"Number"</formula1>
    </dataValidation>
    <dataValidation type="list" allowBlank="1" showInputMessage="1" showErrorMessage="1" sqref="C760">
      <formula1>"Number"</formula1>
    </dataValidation>
    <dataValidation type="list" allowBlank="1" showInputMessage="1" showErrorMessage="1" sqref="C761">
      <formula1>"Number"</formula1>
    </dataValidation>
    <dataValidation type="list" allowBlank="1" showInputMessage="1" showErrorMessage="1" sqref="C762">
      <formula1>"Number"</formula1>
    </dataValidation>
    <dataValidation type="list" allowBlank="1" showInputMessage="1" showErrorMessage="1" sqref="C763">
      <formula1>"Number"</formula1>
    </dataValidation>
    <dataValidation type="list" allowBlank="1" showInputMessage="1" showErrorMessage="1" sqref="C764">
      <formula1>"Number"</formula1>
    </dataValidation>
    <dataValidation type="list" allowBlank="1" showInputMessage="1" showErrorMessage="1" sqref="C765">
      <formula1>"Number"</formula1>
    </dataValidation>
    <dataValidation type="list" allowBlank="1" showInputMessage="1" showErrorMessage="1" sqref="C766">
      <formula1>"Number"</formula1>
    </dataValidation>
    <dataValidation type="list" allowBlank="1" showInputMessage="1" showErrorMessage="1" sqref="C767">
      <formula1>"Number"</formula1>
    </dataValidation>
    <dataValidation type="list" allowBlank="1" showInputMessage="1" showErrorMessage="1" sqref="C770">
      <formula1>"Number"</formula1>
    </dataValidation>
    <dataValidation type="list" allowBlank="1" showInputMessage="1" showErrorMessage="1" sqref="C771">
      <formula1>"Number"</formula1>
    </dataValidation>
    <dataValidation type="list" allowBlank="1" showInputMessage="1" showErrorMessage="1" sqref="C772">
      <formula1>"Number"</formula1>
    </dataValidation>
    <dataValidation type="list" allowBlank="1" showInputMessage="1" showErrorMessage="1" sqref="C773">
      <formula1>"Number"</formula1>
    </dataValidation>
    <dataValidation type="list" allowBlank="1" showInputMessage="1" showErrorMessage="1" sqref="C774">
      <formula1>"Number"</formula1>
    </dataValidation>
    <dataValidation type="list" allowBlank="1" showInputMessage="1" showErrorMessage="1" sqref="C775">
      <formula1>"Number"</formula1>
    </dataValidation>
    <dataValidation type="list" allowBlank="1" showInputMessage="1" showErrorMessage="1" sqref="C776">
      <formula1>"Number"</formula1>
    </dataValidation>
    <dataValidation type="list" allowBlank="1" showInputMessage="1" showErrorMessage="1" sqref="C777">
      <formula1>"Number"</formula1>
    </dataValidation>
    <dataValidation type="list" allowBlank="1" showInputMessage="1" showErrorMessage="1" sqref="C778">
      <formula1>"Number"</formula1>
    </dataValidation>
    <dataValidation type="list" allowBlank="1" showInputMessage="1" showErrorMessage="1" sqref="C779">
      <formula1>"Number"</formula1>
    </dataValidation>
    <dataValidation type="list" allowBlank="1" showInputMessage="1" showErrorMessage="1" sqref="C780">
      <formula1>"Number"</formula1>
    </dataValidation>
    <dataValidation type="list" allowBlank="1" showInputMessage="1" showErrorMessage="1" sqref="C781">
      <formula1>"Number"</formula1>
    </dataValidation>
    <dataValidation type="list" allowBlank="1" showInputMessage="1" showErrorMessage="1" sqref="C782">
      <formula1>"Number"</formula1>
    </dataValidation>
    <dataValidation type="list" allowBlank="1" showInputMessage="1" showErrorMessage="1" sqref="C783">
      <formula1>"Number"</formula1>
    </dataValidation>
    <dataValidation type="list" allowBlank="1" showInputMessage="1" showErrorMessage="1" sqref="C786">
      <formula1>"Number"</formula1>
    </dataValidation>
    <dataValidation type="list" allowBlank="1" showInputMessage="1" showErrorMessage="1" sqref="C787">
      <formula1>"Number"</formula1>
    </dataValidation>
    <dataValidation type="list" allowBlank="1" showInputMessage="1" showErrorMessage="1" sqref="C788">
      <formula1>"Number"</formula1>
    </dataValidation>
    <dataValidation type="list" allowBlank="1" showInputMessage="1" showErrorMessage="1" sqref="C789">
      <formula1>"Number"</formula1>
    </dataValidation>
    <dataValidation type="list" allowBlank="1" showInputMessage="1" showErrorMessage="1" sqref="C790">
      <formula1>"Number"</formula1>
    </dataValidation>
    <dataValidation type="list" allowBlank="1" showInputMessage="1" showErrorMessage="1" sqref="C791">
      <formula1>"Number"</formula1>
    </dataValidation>
    <dataValidation type="list" allowBlank="1" showInputMessage="1" showErrorMessage="1" sqref="C792">
      <formula1>"Number"</formula1>
    </dataValidation>
    <dataValidation type="list" allowBlank="1" showInputMessage="1" showErrorMessage="1" sqref="C793">
      <formula1>"Number"</formula1>
    </dataValidation>
    <dataValidation type="list" allowBlank="1" showInputMessage="1" showErrorMessage="1" sqref="C794">
      <formula1>"Number"</formula1>
    </dataValidation>
    <dataValidation type="list" allowBlank="1" showInputMessage="1" showErrorMessage="1" sqref="C795">
      <formula1>"Number"</formula1>
    </dataValidation>
    <dataValidation type="list" allowBlank="1" showInputMessage="1" showErrorMessage="1" sqref="C796">
      <formula1>"Number"</formula1>
    </dataValidation>
    <dataValidation type="list" allowBlank="1" showInputMessage="1" showErrorMessage="1" sqref="C797">
      <formula1>"Number"</formula1>
    </dataValidation>
    <dataValidation type="list" allowBlank="1" showInputMessage="1" showErrorMessage="1" sqref="C798">
      <formula1>"Number"</formula1>
    </dataValidation>
    <dataValidation type="list" allowBlank="1" showInputMessage="1" showErrorMessage="1" sqref="C799">
      <formula1>"Number"</formula1>
    </dataValidation>
    <dataValidation type="list" allowBlank="1" showInputMessage="1" showErrorMessage="1" sqref="C802">
      <formula1>"Number"</formula1>
    </dataValidation>
    <dataValidation type="list" allowBlank="1" showInputMessage="1" showErrorMessage="1" sqref="C803">
      <formula1>"Number"</formula1>
    </dataValidation>
    <dataValidation type="list" allowBlank="1" showInputMessage="1" showErrorMessage="1" sqref="C804">
      <formula1>"Number"</formula1>
    </dataValidation>
    <dataValidation type="list" allowBlank="1" showInputMessage="1" showErrorMessage="1" sqref="C805">
      <formula1>"Number"</formula1>
    </dataValidation>
    <dataValidation type="list" allowBlank="1" showInputMessage="1" showErrorMessage="1" sqref="C806">
      <formula1>"Number"</formula1>
    </dataValidation>
    <dataValidation type="list" allowBlank="1" showInputMessage="1" showErrorMessage="1" sqref="C807">
      <formula1>"Number"</formula1>
    </dataValidation>
    <dataValidation type="list" allowBlank="1" showInputMessage="1" showErrorMessage="1" sqref="C808">
      <formula1>"Number"</formula1>
    </dataValidation>
    <dataValidation type="list" allowBlank="1" showInputMessage="1" showErrorMessage="1" sqref="C809">
      <formula1>"Number"</formula1>
    </dataValidation>
    <dataValidation type="list" allowBlank="1" showInputMessage="1" showErrorMessage="1" sqref="C810">
      <formula1>"Number"</formula1>
    </dataValidation>
    <dataValidation type="list" allowBlank="1" showInputMessage="1" showErrorMessage="1" sqref="C811">
      <formula1>"Number"</formula1>
    </dataValidation>
    <dataValidation type="list" allowBlank="1" showInputMessage="1" showErrorMessage="1" sqref="C812">
      <formula1>"Number"</formula1>
    </dataValidation>
    <dataValidation type="list" allowBlank="1" showInputMessage="1" showErrorMessage="1" sqref="C813">
      <formula1>"Number"</formula1>
    </dataValidation>
    <dataValidation type="list" allowBlank="1" showInputMessage="1" showErrorMessage="1" sqref="C814">
      <formula1>"Number"</formula1>
    </dataValidation>
    <dataValidation type="list" allowBlank="1" showInputMessage="1" showErrorMessage="1" sqref="C815">
      <formula1>"Number"</formula1>
    </dataValidation>
    <dataValidation type="list" allowBlank="1" showInputMessage="1" showErrorMessage="1" sqref="C818">
      <formula1>"Number"</formula1>
    </dataValidation>
    <dataValidation type="list" allowBlank="1" showInputMessage="1" showErrorMessage="1" sqref="C819">
      <formula1>"Number"</formula1>
    </dataValidation>
    <dataValidation type="list" allowBlank="1" showInputMessage="1" showErrorMessage="1" sqref="C820">
      <formula1>"Number"</formula1>
    </dataValidation>
    <dataValidation type="list" allowBlank="1" showInputMessage="1" showErrorMessage="1" sqref="C821">
      <formula1>"Number"</formula1>
    </dataValidation>
    <dataValidation type="list" allowBlank="1" showInputMessage="1" showErrorMessage="1" sqref="C822">
      <formula1>"Number"</formula1>
    </dataValidation>
    <dataValidation type="list" allowBlank="1" showInputMessage="1" showErrorMessage="1" sqref="C823">
      <formula1>"Number"</formula1>
    </dataValidation>
    <dataValidation type="list" allowBlank="1" showInputMessage="1" showErrorMessage="1" sqref="C824">
      <formula1>"Number"</formula1>
    </dataValidation>
    <dataValidation type="list" allowBlank="1" showInputMessage="1" showErrorMessage="1" sqref="C825">
      <formula1>"Number"</formula1>
    </dataValidation>
    <dataValidation type="list" allowBlank="1" showInputMessage="1" showErrorMessage="1" sqref="C826">
      <formula1>"Number"</formula1>
    </dataValidation>
    <dataValidation type="list" allowBlank="1" showInputMessage="1" showErrorMessage="1" sqref="C827">
      <formula1>"Number"</formula1>
    </dataValidation>
    <dataValidation type="list" allowBlank="1" showInputMessage="1" showErrorMessage="1" sqref="C828">
      <formula1>"Number"</formula1>
    </dataValidation>
    <dataValidation type="list" allowBlank="1" showInputMessage="1" showErrorMessage="1" sqref="C829">
      <formula1>"Number"</formula1>
    </dataValidation>
    <dataValidation type="list" allowBlank="1" showInputMessage="1" showErrorMessage="1" sqref="C830">
      <formula1>"Number"</formula1>
    </dataValidation>
    <dataValidation type="list" allowBlank="1" showInputMessage="1" showErrorMessage="1" sqref="C831">
      <formula1>"Number"</formula1>
    </dataValidation>
    <dataValidation type="list" allowBlank="1" showInputMessage="1" showErrorMessage="1" sqref="C834">
      <formula1>"Number"</formula1>
    </dataValidation>
    <dataValidation type="list" allowBlank="1" showInputMessage="1" showErrorMessage="1" sqref="C835">
      <formula1>"Number"</formula1>
    </dataValidation>
    <dataValidation type="list" allowBlank="1" showInputMessage="1" showErrorMessage="1" sqref="C836">
      <formula1>"Number"</formula1>
    </dataValidation>
    <dataValidation type="list" allowBlank="1" showInputMessage="1" showErrorMessage="1" sqref="C837">
      <formula1>"Number"</formula1>
    </dataValidation>
    <dataValidation type="list" allowBlank="1" showInputMessage="1" showErrorMessage="1" sqref="C838">
      <formula1>"Number"</formula1>
    </dataValidation>
    <dataValidation type="list" allowBlank="1" showInputMessage="1" showErrorMessage="1" sqref="C839">
      <formula1>"Number"</formula1>
    </dataValidation>
    <dataValidation type="list" allowBlank="1" showInputMessage="1" showErrorMessage="1" sqref="C840">
      <formula1>"Number"</formula1>
    </dataValidation>
    <dataValidation type="list" allowBlank="1" showInputMessage="1" showErrorMessage="1" sqref="C841">
      <formula1>"Number"</formula1>
    </dataValidation>
    <dataValidation type="list" allowBlank="1" showInputMessage="1" showErrorMessage="1" sqref="C842">
      <formula1>"Number"</formula1>
    </dataValidation>
    <dataValidation type="list" allowBlank="1" showInputMessage="1" showErrorMessage="1" sqref="C843">
      <formula1>"Number"</formula1>
    </dataValidation>
    <dataValidation type="list" allowBlank="1" showInputMessage="1" showErrorMessage="1" sqref="C844">
      <formula1>"Number"</formula1>
    </dataValidation>
    <dataValidation type="list" allowBlank="1" showInputMessage="1" showErrorMessage="1" sqref="C845">
      <formula1>"Number"</formula1>
    </dataValidation>
    <dataValidation type="list" allowBlank="1" showInputMessage="1" showErrorMessage="1" sqref="C846">
      <formula1>"Number"</formula1>
    </dataValidation>
    <dataValidation type="list" allowBlank="1" showInputMessage="1" showErrorMessage="1" sqref="C847">
      <formula1>"Number"</formula1>
    </dataValidation>
    <dataValidation type="list" allowBlank="1" showInputMessage="1" showErrorMessage="1" sqref="C850">
      <formula1>"Number"</formula1>
    </dataValidation>
    <dataValidation type="list" allowBlank="1" showInputMessage="1" showErrorMessage="1" sqref="C851">
      <formula1>"Number"</formula1>
    </dataValidation>
    <dataValidation type="list" allowBlank="1" showInputMessage="1" showErrorMessage="1" sqref="C852">
      <formula1>"Number"</formula1>
    </dataValidation>
    <dataValidation type="list" allowBlank="1" showInputMessage="1" showErrorMessage="1" sqref="C853">
      <formula1>"Number"</formula1>
    </dataValidation>
    <dataValidation type="list" allowBlank="1" showInputMessage="1" showErrorMessage="1" sqref="C854">
      <formula1>"Number"</formula1>
    </dataValidation>
    <dataValidation type="list" allowBlank="1" showInputMessage="1" showErrorMessage="1" sqref="C855">
      <formula1>"Number"</formula1>
    </dataValidation>
    <dataValidation type="list" allowBlank="1" showInputMessage="1" showErrorMessage="1" sqref="C856">
      <formula1>"Number"</formula1>
    </dataValidation>
    <dataValidation type="list" allowBlank="1" showInputMessage="1" showErrorMessage="1" sqref="C857">
      <formula1>"Number"</formula1>
    </dataValidation>
    <dataValidation type="list" allowBlank="1" showInputMessage="1" showErrorMessage="1" sqref="C858">
      <formula1>"Number"</formula1>
    </dataValidation>
    <dataValidation type="list" allowBlank="1" showInputMessage="1" showErrorMessage="1" sqref="C859">
      <formula1>"Number"</formula1>
    </dataValidation>
    <dataValidation type="list" allowBlank="1" showInputMessage="1" showErrorMessage="1" sqref="C860">
      <formula1>"Number"</formula1>
    </dataValidation>
    <dataValidation type="list" allowBlank="1" showInputMessage="1" showErrorMessage="1" sqref="C861">
      <formula1>"Number"</formula1>
    </dataValidation>
    <dataValidation type="list" allowBlank="1" showInputMessage="1" showErrorMessage="1" sqref="C862">
      <formula1>"Number"</formula1>
    </dataValidation>
    <dataValidation type="list" allowBlank="1" showInputMessage="1" showErrorMessage="1" sqref="C863">
      <formula1>"Number"</formula1>
    </dataValidation>
    <dataValidation type="list" allowBlank="1" showInputMessage="1" showErrorMessage="1" sqref="C866">
      <formula1>"Number"</formula1>
    </dataValidation>
    <dataValidation type="list" allowBlank="1" showInputMessage="1" showErrorMessage="1" sqref="C867">
      <formula1>"Number"</formula1>
    </dataValidation>
    <dataValidation type="list" allowBlank="1" showInputMessage="1" showErrorMessage="1" sqref="C868">
      <formula1>"Number"</formula1>
    </dataValidation>
    <dataValidation type="list" allowBlank="1" showInputMessage="1" showErrorMessage="1" sqref="C869">
      <formula1>"Number"</formula1>
    </dataValidation>
    <dataValidation type="list" allowBlank="1" showInputMessage="1" showErrorMessage="1" sqref="C870">
      <formula1>"Number"</formula1>
    </dataValidation>
    <dataValidation type="list" allowBlank="1" showInputMessage="1" showErrorMessage="1" sqref="C871">
      <formula1>"Number"</formula1>
    </dataValidation>
    <dataValidation type="list" allowBlank="1" showInputMessage="1" showErrorMessage="1" sqref="C872">
      <formula1>"Number"</formula1>
    </dataValidation>
    <dataValidation type="list" allowBlank="1" showInputMessage="1" showErrorMessage="1" sqref="C873">
      <formula1>"Number"</formula1>
    </dataValidation>
    <dataValidation type="list" allowBlank="1" showInputMessage="1" showErrorMessage="1" sqref="C874">
      <formula1>"Number"</formula1>
    </dataValidation>
    <dataValidation type="list" allowBlank="1" showInputMessage="1" showErrorMessage="1" sqref="C875">
      <formula1>"Number"</formula1>
    </dataValidation>
    <dataValidation type="list" allowBlank="1" showInputMessage="1" showErrorMessage="1" sqref="C876">
      <formula1>"Number"</formula1>
    </dataValidation>
    <dataValidation type="list" allowBlank="1" showInputMessage="1" showErrorMessage="1" sqref="C877">
      <formula1>"Number"</formula1>
    </dataValidation>
    <dataValidation type="list" allowBlank="1" showInputMessage="1" showErrorMessage="1" sqref="C878">
      <formula1>"Number"</formula1>
    </dataValidation>
    <dataValidation type="list" allowBlank="1" showInputMessage="1" showErrorMessage="1" sqref="C879">
      <formula1>"Number"</formula1>
    </dataValidation>
    <dataValidation type="list" allowBlank="1" showInputMessage="1" showErrorMessage="1" sqref="C882">
      <formula1>"Number"</formula1>
    </dataValidation>
    <dataValidation type="list" allowBlank="1" showInputMessage="1" showErrorMessage="1" sqref="C883">
      <formula1>"Number"</formula1>
    </dataValidation>
    <dataValidation type="list" allowBlank="1" showInputMessage="1" showErrorMessage="1" sqref="C884">
      <formula1>"Number"</formula1>
    </dataValidation>
    <dataValidation type="list" allowBlank="1" showInputMessage="1" showErrorMessage="1" sqref="C885">
      <formula1>"Number"</formula1>
    </dataValidation>
    <dataValidation type="list" allowBlank="1" showInputMessage="1" showErrorMessage="1" sqref="C886">
      <formula1>"Number"</formula1>
    </dataValidation>
    <dataValidation type="list" allowBlank="1" showInputMessage="1" showErrorMessage="1" sqref="C887">
      <formula1>"Number"</formula1>
    </dataValidation>
    <dataValidation type="list" allowBlank="1" showInputMessage="1" showErrorMessage="1" sqref="C888">
      <formula1>"Number"</formula1>
    </dataValidation>
    <dataValidation type="list" allowBlank="1" showInputMessage="1" showErrorMessage="1" sqref="C889">
      <formula1>"Number"</formula1>
    </dataValidation>
    <dataValidation type="list" allowBlank="1" showInputMessage="1" showErrorMessage="1" sqref="C890">
      <formula1>"Number"</formula1>
    </dataValidation>
    <dataValidation type="list" allowBlank="1" showInputMessage="1" showErrorMessage="1" sqref="C891">
      <formula1>"Number"</formula1>
    </dataValidation>
    <dataValidation type="list" allowBlank="1" showInputMessage="1" showErrorMessage="1" sqref="C892">
      <formula1>"Number"</formula1>
    </dataValidation>
    <dataValidation type="list" allowBlank="1" showInputMessage="1" showErrorMessage="1" sqref="C893">
      <formula1>"Number"</formula1>
    </dataValidation>
    <dataValidation type="list" allowBlank="1" showInputMessage="1" showErrorMessage="1" sqref="C894">
      <formula1>"Number"</formula1>
    </dataValidation>
    <dataValidation type="list" allowBlank="1" showInputMessage="1" showErrorMessage="1" sqref="C895">
      <formula1>"Number"</formula1>
    </dataValidation>
    <dataValidation type="list" allowBlank="1" showInputMessage="1" showErrorMessage="1" sqref="C898">
      <formula1>"Number"</formula1>
    </dataValidation>
    <dataValidation type="list" allowBlank="1" showInputMessage="1" showErrorMessage="1" sqref="C899">
      <formula1>"Number"</formula1>
    </dataValidation>
    <dataValidation type="list" allowBlank="1" showInputMessage="1" showErrorMessage="1" sqref="C900">
      <formula1>"Number"</formula1>
    </dataValidation>
    <dataValidation type="list" allowBlank="1" showInputMessage="1" showErrorMessage="1" sqref="C901">
      <formula1>"Number"</formula1>
    </dataValidation>
    <dataValidation type="list" allowBlank="1" showInputMessage="1" showErrorMessage="1" sqref="C902">
      <formula1>"Number"</formula1>
    </dataValidation>
    <dataValidation type="list" allowBlank="1" showInputMessage="1" showErrorMessage="1" sqref="C903">
      <formula1>"Number"</formula1>
    </dataValidation>
    <dataValidation type="list" allowBlank="1" showInputMessage="1" showErrorMessage="1" sqref="C904">
      <formula1>"Number"</formula1>
    </dataValidation>
    <dataValidation type="list" allowBlank="1" showInputMessage="1" showErrorMessage="1" sqref="C905">
      <formula1>"Number"</formula1>
    </dataValidation>
    <dataValidation type="list" allowBlank="1" showInputMessage="1" showErrorMessage="1" sqref="C906">
      <formula1>"Number"</formula1>
    </dataValidation>
    <dataValidation type="list" allowBlank="1" showInputMessage="1" showErrorMessage="1" sqref="C907">
      <formula1>"Number"</formula1>
    </dataValidation>
    <dataValidation type="list" allowBlank="1" showInputMessage="1" showErrorMessage="1" sqref="C908">
      <formula1>"Number"</formula1>
    </dataValidation>
    <dataValidation type="list" allowBlank="1" showInputMessage="1" showErrorMessage="1" sqref="C909">
      <formula1>"Number"</formula1>
    </dataValidation>
    <dataValidation type="list" allowBlank="1" showInputMessage="1" showErrorMessage="1" sqref="C910">
      <formula1>"Number"</formula1>
    </dataValidation>
    <dataValidation type="list" allowBlank="1" showInputMessage="1" showErrorMessage="1" sqref="C911">
      <formula1>"Number"</formula1>
    </dataValidation>
    <dataValidation type="list" allowBlank="1" showInputMessage="1" showErrorMessage="1" sqref="C914">
      <formula1>"Number"</formula1>
    </dataValidation>
    <dataValidation type="list" allowBlank="1" showInputMessage="1" showErrorMessage="1" sqref="C915">
      <formula1>"Number"</formula1>
    </dataValidation>
    <dataValidation type="list" allowBlank="1" showInputMessage="1" showErrorMessage="1" sqref="C916">
      <formula1>"Number"</formula1>
    </dataValidation>
    <dataValidation type="list" allowBlank="1" showInputMessage="1" showErrorMessage="1" sqref="C917">
      <formula1>"Number"</formula1>
    </dataValidation>
    <dataValidation type="list" allowBlank="1" showInputMessage="1" showErrorMessage="1" sqref="C918">
      <formula1>"Number"</formula1>
    </dataValidation>
    <dataValidation type="list" allowBlank="1" showInputMessage="1" showErrorMessage="1" sqref="C919">
      <formula1>"Number"</formula1>
    </dataValidation>
    <dataValidation type="list" allowBlank="1" showInputMessage="1" showErrorMessage="1" sqref="C920">
      <formula1>"Number"</formula1>
    </dataValidation>
    <dataValidation type="list" allowBlank="1" showInputMessage="1" showErrorMessage="1" sqref="C921">
      <formula1>"Number"</formula1>
    </dataValidation>
    <dataValidation type="list" allowBlank="1" showInputMessage="1" showErrorMessage="1" sqref="C922">
      <formula1>"Number"</formula1>
    </dataValidation>
    <dataValidation type="list" allowBlank="1" showInputMessage="1" showErrorMessage="1" sqref="C923">
      <formula1>"Number"</formula1>
    </dataValidation>
    <dataValidation type="list" allowBlank="1" showInputMessage="1" showErrorMessage="1" sqref="C924">
      <formula1>"Number"</formula1>
    </dataValidation>
    <dataValidation type="list" allowBlank="1" showInputMessage="1" showErrorMessage="1" sqref="C925">
      <formula1>"Number"</formula1>
    </dataValidation>
    <dataValidation type="list" allowBlank="1" showInputMessage="1" showErrorMessage="1" sqref="C926">
      <formula1>"Number"</formula1>
    </dataValidation>
    <dataValidation type="list" allowBlank="1" showInputMessage="1" showErrorMessage="1" sqref="C927">
      <formula1>"Number"</formula1>
    </dataValidation>
    <dataValidation type="list" allowBlank="1" showInputMessage="1" showErrorMessage="1" sqref="C930">
      <formula1>"Number"</formula1>
    </dataValidation>
    <dataValidation type="list" allowBlank="1" showInputMessage="1" showErrorMessage="1" sqref="C931">
      <formula1>"Number"</formula1>
    </dataValidation>
    <dataValidation type="list" allowBlank="1" showInputMessage="1" showErrorMessage="1" sqref="C932">
      <formula1>"Number"</formula1>
    </dataValidation>
    <dataValidation type="list" allowBlank="1" showInputMessage="1" showErrorMessage="1" sqref="C933">
      <formula1>"Number"</formula1>
    </dataValidation>
    <dataValidation type="list" allowBlank="1" showInputMessage="1" showErrorMessage="1" sqref="C934">
      <formula1>"Number"</formula1>
    </dataValidation>
    <dataValidation type="list" allowBlank="1" showInputMessage="1" showErrorMessage="1" sqref="C935">
      <formula1>"Number"</formula1>
    </dataValidation>
    <dataValidation type="list" allowBlank="1" showInputMessage="1" showErrorMessage="1" sqref="C936">
      <formula1>"Number"</formula1>
    </dataValidation>
    <dataValidation type="list" allowBlank="1" showInputMessage="1" showErrorMessage="1" sqref="C937">
      <formula1>"Number"</formula1>
    </dataValidation>
    <dataValidation type="list" allowBlank="1" showInputMessage="1" showErrorMessage="1" sqref="C938">
      <formula1>"Number"</formula1>
    </dataValidation>
    <dataValidation type="list" allowBlank="1" showInputMessage="1" showErrorMessage="1" sqref="C939">
      <formula1>"Number"</formula1>
    </dataValidation>
    <dataValidation type="list" allowBlank="1" showInputMessage="1" showErrorMessage="1" sqref="C940">
      <formula1>"Number"</formula1>
    </dataValidation>
    <dataValidation type="list" allowBlank="1" showInputMessage="1" showErrorMessage="1" sqref="C941">
      <formula1>"Number"</formula1>
    </dataValidation>
    <dataValidation type="list" allowBlank="1" showInputMessage="1" showErrorMessage="1" sqref="C942">
      <formula1>"Number"</formula1>
    </dataValidation>
    <dataValidation type="list" allowBlank="1" showInputMessage="1" showErrorMessage="1" sqref="C943">
      <formula1>"Number"</formula1>
    </dataValidation>
    <dataValidation type="list" allowBlank="1" showInputMessage="1" showErrorMessage="1" sqref="C946">
      <formula1>"Number"</formula1>
    </dataValidation>
    <dataValidation type="list" allowBlank="1" showInputMessage="1" showErrorMessage="1" sqref="C947">
      <formula1>"Number"</formula1>
    </dataValidation>
    <dataValidation type="list" allowBlank="1" showInputMessage="1" showErrorMessage="1" sqref="C948">
      <formula1>"Number"</formula1>
    </dataValidation>
    <dataValidation type="list" allowBlank="1" showInputMessage="1" showErrorMessage="1" sqref="C949">
      <formula1>"Number"</formula1>
    </dataValidation>
    <dataValidation type="list" allowBlank="1" showInputMessage="1" showErrorMessage="1" sqref="C950">
      <formula1>"Number"</formula1>
    </dataValidation>
    <dataValidation type="list" allowBlank="1" showInputMessage="1" showErrorMessage="1" sqref="C951">
      <formula1>"Number"</formula1>
    </dataValidation>
    <dataValidation type="list" allowBlank="1" showInputMessage="1" showErrorMessage="1" sqref="C952">
      <formula1>"Number"</formula1>
    </dataValidation>
    <dataValidation type="list" allowBlank="1" showInputMessage="1" showErrorMessage="1" sqref="C953">
      <formula1>"Number"</formula1>
    </dataValidation>
    <dataValidation type="list" allowBlank="1" showInputMessage="1" showErrorMessage="1" sqref="C954">
      <formula1>"Number"</formula1>
    </dataValidation>
    <dataValidation type="list" allowBlank="1" showInputMessage="1" showErrorMessage="1" sqref="C955">
      <formula1>"Number"</formula1>
    </dataValidation>
    <dataValidation type="list" allowBlank="1" showInputMessage="1" showErrorMessage="1" sqref="C956">
      <formula1>"Number"</formula1>
    </dataValidation>
    <dataValidation type="list" allowBlank="1" showInputMessage="1" showErrorMessage="1" sqref="C957">
      <formula1>"Number"</formula1>
    </dataValidation>
    <dataValidation type="list" allowBlank="1" showInputMessage="1" showErrorMessage="1" sqref="C958">
      <formula1>"Number"</formula1>
    </dataValidation>
    <dataValidation type="list" allowBlank="1" showInputMessage="1" showErrorMessage="1" sqref="C959">
      <formula1>"Number"</formula1>
    </dataValidation>
    <dataValidation type="list" allowBlank="1" showInputMessage="1" showErrorMessage="1" sqref="C962">
      <formula1>"Number"</formula1>
    </dataValidation>
    <dataValidation type="list" allowBlank="1" showInputMessage="1" showErrorMessage="1" sqref="C963">
      <formula1>"Number"</formula1>
    </dataValidation>
    <dataValidation type="list" allowBlank="1" showInputMessage="1" showErrorMessage="1" sqref="C964">
      <formula1>"Number"</formula1>
    </dataValidation>
    <dataValidation type="list" allowBlank="1" showInputMessage="1" showErrorMessage="1" sqref="C965">
      <formula1>"Number"</formula1>
    </dataValidation>
    <dataValidation type="list" allowBlank="1" showInputMessage="1" showErrorMessage="1" sqref="C966">
      <formula1>"Number"</formula1>
    </dataValidation>
    <dataValidation type="list" allowBlank="1" showInputMessage="1" showErrorMessage="1" sqref="C967">
      <formula1>"Number"</formula1>
    </dataValidation>
    <dataValidation type="list" allowBlank="1" showInputMessage="1" showErrorMessage="1" sqref="C968">
      <formula1>"Number"</formula1>
    </dataValidation>
    <dataValidation type="list" allowBlank="1" showInputMessage="1" showErrorMessage="1" sqref="C969">
      <formula1>"Number"</formula1>
    </dataValidation>
    <dataValidation type="list" allowBlank="1" showInputMessage="1" showErrorMessage="1" sqref="C970">
      <formula1>"Number"</formula1>
    </dataValidation>
    <dataValidation type="list" allowBlank="1" showInputMessage="1" showErrorMessage="1" sqref="C971">
      <formula1>"Number"</formula1>
    </dataValidation>
    <dataValidation type="list" allowBlank="1" showInputMessage="1" showErrorMessage="1" sqref="C972">
      <formula1>"Number"</formula1>
    </dataValidation>
    <dataValidation type="list" allowBlank="1" showInputMessage="1" showErrorMessage="1" sqref="C973">
      <formula1>"Number"</formula1>
    </dataValidation>
    <dataValidation type="list" allowBlank="1" showInputMessage="1" showErrorMessage="1" sqref="C974">
      <formula1>"Number"</formula1>
    </dataValidation>
    <dataValidation type="list" allowBlank="1" showInputMessage="1" showErrorMessage="1" sqref="C975">
      <formula1>"Number"</formula1>
    </dataValidation>
    <dataValidation type="list" allowBlank="1" showInputMessage="1" showErrorMessage="1" sqref="C978">
      <formula1>"Number"</formula1>
    </dataValidation>
    <dataValidation type="list" allowBlank="1" showInputMessage="1" showErrorMessage="1" sqref="C979">
      <formula1>"Number"</formula1>
    </dataValidation>
    <dataValidation type="list" allowBlank="1" showInputMessage="1" showErrorMessage="1" sqref="C980">
      <formula1>"Number"</formula1>
    </dataValidation>
    <dataValidation type="list" allowBlank="1" showInputMessage="1" showErrorMessage="1" sqref="C981">
      <formula1>"Number"</formula1>
    </dataValidation>
    <dataValidation type="list" allowBlank="1" showInputMessage="1" showErrorMessage="1" sqref="C982">
      <formula1>"Number"</formula1>
    </dataValidation>
    <dataValidation type="list" allowBlank="1" showInputMessage="1" showErrorMessage="1" sqref="C983">
      <formula1>"Number"</formula1>
    </dataValidation>
    <dataValidation type="list" allowBlank="1" showInputMessage="1" showErrorMessage="1" sqref="C984">
      <formula1>"Number"</formula1>
    </dataValidation>
    <dataValidation type="list" allowBlank="1" showInputMessage="1" showErrorMessage="1" sqref="C985">
      <formula1>"Number"</formula1>
    </dataValidation>
    <dataValidation type="list" allowBlank="1" showInputMessage="1" showErrorMessage="1" sqref="C986">
      <formula1>"Number"</formula1>
    </dataValidation>
    <dataValidation type="list" allowBlank="1" showInputMessage="1" showErrorMessage="1" sqref="C987">
      <formula1>"Number"</formula1>
    </dataValidation>
    <dataValidation type="list" allowBlank="1" showInputMessage="1" showErrorMessage="1" sqref="C988">
      <formula1>"Number"</formula1>
    </dataValidation>
    <dataValidation type="list" allowBlank="1" showInputMessage="1" showErrorMessage="1" sqref="C989">
      <formula1>"Number"</formula1>
    </dataValidation>
    <dataValidation type="list" allowBlank="1" showInputMessage="1" showErrorMessage="1" sqref="C990">
      <formula1>"Number"</formula1>
    </dataValidation>
    <dataValidation type="list" allowBlank="1" showInputMessage="1" showErrorMessage="1" sqref="C991">
      <formula1>"Number"</formula1>
    </dataValidation>
    <dataValidation type="list" allowBlank="1" showInputMessage="1" showErrorMessage="1" sqref="C994">
      <formula1>"Number"</formula1>
    </dataValidation>
    <dataValidation type="list" allowBlank="1" showInputMessage="1" showErrorMessage="1" sqref="C995">
      <formula1>"Number"</formula1>
    </dataValidation>
    <dataValidation type="list" allowBlank="1" showInputMessage="1" showErrorMessage="1" sqref="C996">
      <formula1>"Number"</formula1>
    </dataValidation>
    <dataValidation type="list" allowBlank="1" showInputMessage="1" showErrorMessage="1" sqref="C997">
      <formula1>"Number"</formula1>
    </dataValidation>
    <dataValidation type="list" allowBlank="1" showInputMessage="1" showErrorMessage="1" sqref="C998">
      <formula1>"Number"</formula1>
    </dataValidation>
    <dataValidation type="list" allowBlank="1" showInputMessage="1" showErrorMessage="1" sqref="C999">
      <formula1>"Number"</formula1>
    </dataValidation>
    <dataValidation type="list" allowBlank="1" showInputMessage="1" showErrorMessage="1" sqref="C1000">
      <formula1>"Number"</formula1>
    </dataValidation>
    <dataValidation type="list" allowBlank="1" showInputMessage="1" showErrorMessage="1" sqref="C1001">
      <formula1>"Number"</formula1>
    </dataValidation>
    <dataValidation type="list" allowBlank="1" showInputMessage="1" showErrorMessage="1" sqref="C1002">
      <formula1>"Number"</formula1>
    </dataValidation>
    <dataValidation type="list" allowBlank="1" showInputMessage="1" showErrorMessage="1" sqref="C1003">
      <formula1>"Number"</formula1>
    </dataValidation>
    <dataValidation type="list" allowBlank="1" showInputMessage="1" showErrorMessage="1" sqref="C1004">
      <formula1>"Number"</formula1>
    </dataValidation>
    <dataValidation type="list" allowBlank="1" showInputMessage="1" showErrorMessage="1" sqref="C1005">
      <formula1>"Number"</formula1>
    </dataValidation>
    <dataValidation type="list" allowBlank="1" showInputMessage="1" showErrorMessage="1" sqref="C1006">
      <formula1>"Number"</formula1>
    </dataValidation>
    <dataValidation type="list" allowBlank="1" showInputMessage="1" showErrorMessage="1" sqref="C1007">
      <formula1>"Number"</formula1>
    </dataValidation>
    <dataValidation type="list" allowBlank="1" showInputMessage="1" showErrorMessage="1" sqref="C1010">
      <formula1>"Number"</formula1>
    </dataValidation>
    <dataValidation type="list" allowBlank="1" showInputMessage="1" showErrorMessage="1" sqref="C1011">
      <formula1>"Number"</formula1>
    </dataValidation>
    <dataValidation type="list" allowBlank="1" showInputMessage="1" showErrorMessage="1" sqref="C1012">
      <formula1>"Number"</formula1>
    </dataValidation>
    <dataValidation type="list" allowBlank="1" showInputMessage="1" showErrorMessage="1" sqref="C1013">
      <formula1>"Number"</formula1>
    </dataValidation>
    <dataValidation type="list" allowBlank="1" showInputMessage="1" showErrorMessage="1" sqref="C1014">
      <formula1>"Number"</formula1>
    </dataValidation>
    <dataValidation type="list" allowBlank="1" showInputMessage="1" showErrorMessage="1" sqref="C1015">
      <formula1>"Number"</formula1>
    </dataValidation>
    <dataValidation type="list" allowBlank="1" showInputMessage="1" showErrorMessage="1" sqref="C1016">
      <formula1>"Number"</formula1>
    </dataValidation>
    <dataValidation type="list" allowBlank="1" showInputMessage="1" showErrorMessage="1" sqref="C1017">
      <formula1>"Number"</formula1>
    </dataValidation>
    <dataValidation type="list" allowBlank="1" showInputMessage="1" showErrorMessage="1" sqref="C1018">
      <formula1>"Number"</formula1>
    </dataValidation>
    <dataValidation type="list" allowBlank="1" showInputMessage="1" showErrorMessage="1" sqref="C1019">
      <formula1>"Number"</formula1>
    </dataValidation>
    <dataValidation type="list" allowBlank="1" showInputMessage="1" showErrorMessage="1" sqref="C1020">
      <formula1>"Number"</formula1>
    </dataValidation>
    <dataValidation type="list" allowBlank="1" showInputMessage="1" showErrorMessage="1" sqref="C1021">
      <formula1>"Number"</formula1>
    </dataValidation>
    <dataValidation type="list" allowBlank="1" showInputMessage="1" showErrorMessage="1" sqref="C1022">
      <formula1>"Number"</formula1>
    </dataValidation>
    <dataValidation type="list" allowBlank="1" showInputMessage="1" showErrorMessage="1" sqref="C1023">
      <formula1>"Number"</formula1>
    </dataValidation>
    <dataValidation type="list" allowBlank="1" showInputMessage="1" showErrorMessage="1" sqref="C1026">
      <formula1>"Number"</formula1>
    </dataValidation>
    <dataValidation type="list" allowBlank="1" showInputMessage="1" showErrorMessage="1" sqref="C1027">
      <formula1>"Number"</formula1>
    </dataValidation>
    <dataValidation type="list" allowBlank="1" showInputMessage="1" showErrorMessage="1" sqref="C1028">
      <formula1>"Number"</formula1>
    </dataValidation>
    <dataValidation type="list" allowBlank="1" showInputMessage="1" showErrorMessage="1" sqref="C1029">
      <formula1>"Number"</formula1>
    </dataValidation>
    <dataValidation type="list" allowBlank="1" showInputMessage="1" showErrorMessage="1" sqref="C1030">
      <formula1>"Number"</formula1>
    </dataValidation>
    <dataValidation type="list" allowBlank="1" showInputMessage="1" showErrorMessage="1" sqref="C1031">
      <formula1>"Number"</formula1>
    </dataValidation>
    <dataValidation type="list" allowBlank="1" showInputMessage="1" showErrorMessage="1" sqref="C1032">
      <formula1>"Number"</formula1>
    </dataValidation>
    <dataValidation type="list" allowBlank="1" showInputMessage="1" showErrorMessage="1" sqref="C1033">
      <formula1>"Number"</formula1>
    </dataValidation>
    <dataValidation type="list" allowBlank="1" showInputMessage="1" showErrorMessage="1" sqref="C1034">
      <formula1>"Number"</formula1>
    </dataValidation>
    <dataValidation type="list" allowBlank="1" showInputMessage="1" showErrorMessage="1" sqref="C1035">
      <formula1>"Number"</formula1>
    </dataValidation>
    <dataValidation type="list" allowBlank="1" showInputMessage="1" showErrorMessage="1" sqref="C1036">
      <formula1>"Number"</formula1>
    </dataValidation>
    <dataValidation type="list" allowBlank="1" showInputMessage="1" showErrorMessage="1" sqref="C1037">
      <formula1>"Number"</formula1>
    </dataValidation>
    <dataValidation type="list" allowBlank="1" showInputMessage="1" showErrorMessage="1" sqref="C1038">
      <formula1>"Number"</formula1>
    </dataValidation>
    <dataValidation type="list" allowBlank="1" showInputMessage="1" showErrorMessage="1" sqref="C1039">
      <formula1>"Number"</formula1>
    </dataValidation>
    <dataValidation type="list" allowBlank="1" showInputMessage="1" showErrorMessage="1" sqref="C1042">
      <formula1>"Number"</formula1>
    </dataValidation>
    <dataValidation type="list" allowBlank="1" showInputMessage="1" showErrorMessage="1" sqref="C1043">
      <formula1>"Number"</formula1>
    </dataValidation>
    <dataValidation type="list" allowBlank="1" showInputMessage="1" showErrorMessage="1" sqref="C1044">
      <formula1>"Number"</formula1>
    </dataValidation>
    <dataValidation type="list" allowBlank="1" showInputMessage="1" showErrorMessage="1" sqref="C1045">
      <formula1>"Number"</formula1>
    </dataValidation>
    <dataValidation type="list" allowBlank="1" showInputMessage="1" showErrorMessage="1" sqref="C1046">
      <formula1>"Number"</formula1>
    </dataValidation>
    <dataValidation type="list" allowBlank="1" showInputMessage="1" showErrorMessage="1" sqref="C1047">
      <formula1>"Number"</formula1>
    </dataValidation>
    <dataValidation type="list" allowBlank="1" showInputMessage="1" showErrorMessage="1" sqref="C1048">
      <formula1>"Number"</formula1>
    </dataValidation>
    <dataValidation type="list" allowBlank="1" showInputMessage="1" showErrorMessage="1" sqref="C1049">
      <formula1>"Number"</formula1>
    </dataValidation>
    <dataValidation type="list" allowBlank="1" showInputMessage="1" showErrorMessage="1" sqref="C1050">
      <formula1>"Number"</formula1>
    </dataValidation>
    <dataValidation type="list" allowBlank="1" showInputMessage="1" showErrorMessage="1" sqref="C1051">
      <formula1>"Number"</formula1>
    </dataValidation>
    <dataValidation type="list" allowBlank="1" showInputMessage="1" showErrorMessage="1" sqref="C1052">
      <formula1>"Number"</formula1>
    </dataValidation>
    <dataValidation type="list" allowBlank="1" showInputMessage="1" showErrorMessage="1" sqref="C1053">
      <formula1>"Number"</formula1>
    </dataValidation>
    <dataValidation type="list" allowBlank="1" showInputMessage="1" showErrorMessage="1" sqref="C1054">
      <formula1>"Number"</formula1>
    </dataValidation>
    <dataValidation type="list" allowBlank="1" showInputMessage="1" showErrorMessage="1" sqref="C1055">
      <formula1>"Number"</formula1>
    </dataValidation>
    <dataValidation type="list" allowBlank="1" showInputMessage="1" showErrorMessage="1" sqref="C1058">
      <formula1>"Number"</formula1>
    </dataValidation>
    <dataValidation type="list" allowBlank="1" showInputMessage="1" showErrorMessage="1" sqref="C1059">
      <formula1>"Number"</formula1>
    </dataValidation>
    <dataValidation type="list" allowBlank="1" showInputMessage="1" showErrorMessage="1" sqref="C1060">
      <formula1>"Number"</formula1>
    </dataValidation>
    <dataValidation type="list" allowBlank="1" showInputMessage="1" showErrorMessage="1" sqref="C1061">
      <formula1>"Number"</formula1>
    </dataValidation>
    <dataValidation type="list" allowBlank="1" showInputMessage="1" showErrorMessage="1" sqref="C1062">
      <formula1>"Number"</formula1>
    </dataValidation>
    <dataValidation type="list" allowBlank="1" showInputMessage="1" showErrorMessage="1" sqref="C1063">
      <formula1>"Number"</formula1>
    </dataValidation>
    <dataValidation type="list" allowBlank="1" showInputMessage="1" showErrorMessage="1" sqref="C1064">
      <formula1>"Number"</formula1>
    </dataValidation>
    <dataValidation type="list" allowBlank="1" showInputMessage="1" showErrorMessage="1" sqref="C1065">
      <formula1>"Number"</formula1>
    </dataValidation>
    <dataValidation type="list" allowBlank="1" showInputMessage="1" showErrorMessage="1" sqref="C1066">
      <formula1>"Number"</formula1>
    </dataValidation>
    <dataValidation type="list" allowBlank="1" showInputMessage="1" showErrorMessage="1" sqref="C1067">
      <formula1>"Number"</formula1>
    </dataValidation>
    <dataValidation type="list" allowBlank="1" showInputMessage="1" showErrorMessage="1" sqref="C1068">
      <formula1>"Number"</formula1>
    </dataValidation>
    <dataValidation type="list" allowBlank="1" showInputMessage="1" showErrorMessage="1" sqref="C1069">
      <formula1>"Number"</formula1>
    </dataValidation>
    <dataValidation type="list" allowBlank="1" showInputMessage="1" showErrorMessage="1" sqref="C1070">
      <formula1>"Number"</formula1>
    </dataValidation>
    <dataValidation type="list" allowBlank="1" showInputMessage="1" showErrorMessage="1" sqref="C1071">
      <formula1>"Number"</formula1>
    </dataValidation>
    <dataValidation type="list" allowBlank="1" showInputMessage="1" showErrorMessage="1" sqref="C1074">
      <formula1>"Number"</formula1>
    </dataValidation>
    <dataValidation type="list" allowBlank="1" showInputMessage="1" showErrorMessage="1" sqref="C1075">
      <formula1>"Number"</formula1>
    </dataValidation>
    <dataValidation type="list" allowBlank="1" showInputMessage="1" showErrorMessage="1" sqref="C1076">
      <formula1>"Number"</formula1>
    </dataValidation>
    <dataValidation type="list" allowBlank="1" showInputMessage="1" showErrorMessage="1" sqref="C1077">
      <formula1>"Number"</formula1>
    </dataValidation>
    <dataValidation type="list" allowBlank="1" showInputMessage="1" showErrorMessage="1" sqref="C1078">
      <formula1>"Number"</formula1>
    </dataValidation>
    <dataValidation type="list" allowBlank="1" showInputMessage="1" showErrorMessage="1" sqref="C1079">
      <formula1>"Number"</formula1>
    </dataValidation>
    <dataValidation type="list" allowBlank="1" showInputMessage="1" showErrorMessage="1" sqref="C1080">
      <formula1>"Number"</formula1>
    </dataValidation>
    <dataValidation type="list" allowBlank="1" showInputMessage="1" showErrorMessage="1" sqref="C1081">
      <formula1>"Number"</formula1>
    </dataValidation>
    <dataValidation type="list" allowBlank="1" showInputMessage="1" showErrorMessage="1" sqref="C1082">
      <formula1>"Number"</formula1>
    </dataValidation>
    <dataValidation type="list" allowBlank="1" showInputMessage="1" showErrorMessage="1" sqref="C1083">
      <formula1>"Number"</formula1>
    </dataValidation>
    <dataValidation type="list" allowBlank="1" showInputMessage="1" showErrorMessage="1" sqref="C1084">
      <formula1>"Number"</formula1>
    </dataValidation>
    <dataValidation type="list" allowBlank="1" showInputMessage="1" showErrorMessage="1" sqref="C1085">
      <formula1>"Number"</formula1>
    </dataValidation>
    <dataValidation type="list" allowBlank="1" showInputMessage="1" showErrorMessage="1" sqref="C1086">
      <formula1>"Number"</formula1>
    </dataValidation>
    <dataValidation type="list" allowBlank="1" showInputMessage="1" showErrorMessage="1" sqref="C1087">
      <formula1>"Number"</formula1>
    </dataValidation>
    <dataValidation type="list" allowBlank="1" showInputMessage="1" showErrorMessage="1" sqref="C1090">
      <formula1>"Number"</formula1>
    </dataValidation>
    <dataValidation type="list" allowBlank="1" showInputMessage="1" showErrorMessage="1" sqref="C1091">
      <formula1>"Number"</formula1>
    </dataValidation>
    <dataValidation type="list" allowBlank="1" showInputMessage="1" showErrorMessage="1" sqref="C1092">
      <formula1>"Number"</formula1>
    </dataValidation>
    <dataValidation type="list" allowBlank="1" showInputMessage="1" showErrorMessage="1" sqref="C1093">
      <formula1>"Number"</formula1>
    </dataValidation>
    <dataValidation type="list" allowBlank="1" showInputMessage="1" showErrorMessage="1" sqref="C1094">
      <formula1>"Number"</formula1>
    </dataValidation>
    <dataValidation type="list" allowBlank="1" showInputMessage="1" showErrorMessage="1" sqref="C1095">
      <formula1>"Number"</formula1>
    </dataValidation>
    <dataValidation type="list" allowBlank="1" showInputMessage="1" showErrorMessage="1" sqref="C1096">
      <formula1>"Number"</formula1>
    </dataValidation>
    <dataValidation type="list" allowBlank="1" showInputMessage="1" showErrorMessage="1" sqref="C1097">
      <formula1>"Number"</formula1>
    </dataValidation>
    <dataValidation type="list" allowBlank="1" showInputMessage="1" showErrorMessage="1" sqref="C1098">
      <formula1>"Number"</formula1>
    </dataValidation>
    <dataValidation type="list" allowBlank="1" showInputMessage="1" showErrorMessage="1" sqref="C1099">
      <formula1>"Number"</formula1>
    </dataValidation>
    <dataValidation type="list" allowBlank="1" showInputMessage="1" showErrorMessage="1" sqref="C1100">
      <formula1>"Number"</formula1>
    </dataValidation>
    <dataValidation type="list" allowBlank="1" showInputMessage="1" showErrorMessage="1" sqref="C1101">
      <formula1>"Number"</formula1>
    </dataValidation>
    <dataValidation type="list" allowBlank="1" showInputMessage="1" showErrorMessage="1" sqref="C1102">
      <formula1>"Number"</formula1>
    </dataValidation>
    <dataValidation type="list" allowBlank="1" showInputMessage="1" showErrorMessage="1" sqref="C1103">
      <formula1>"Number"</formula1>
    </dataValidation>
    <dataValidation type="list" allowBlank="1" showInputMessage="1" showErrorMessage="1" sqref="C1106">
      <formula1>"Number"</formula1>
    </dataValidation>
    <dataValidation type="list" allowBlank="1" showInputMessage="1" showErrorMessage="1" sqref="C1107">
      <formula1>"Number"</formula1>
    </dataValidation>
    <dataValidation type="list" allowBlank="1" showInputMessage="1" showErrorMessage="1" sqref="C1108">
      <formula1>"Number"</formula1>
    </dataValidation>
    <dataValidation type="list" allowBlank="1" showInputMessage="1" showErrorMessage="1" sqref="C1109">
      <formula1>"Number"</formula1>
    </dataValidation>
    <dataValidation type="list" allowBlank="1" showInputMessage="1" showErrorMessage="1" sqref="C1110">
      <formula1>"Number"</formula1>
    </dataValidation>
    <dataValidation type="list" allowBlank="1" showInputMessage="1" showErrorMessage="1" sqref="C1111">
      <formula1>"Number"</formula1>
    </dataValidation>
    <dataValidation type="list" allowBlank="1" showInputMessage="1" showErrorMessage="1" sqref="C1112">
      <formula1>"Number"</formula1>
    </dataValidation>
    <dataValidation type="list" allowBlank="1" showInputMessage="1" showErrorMessage="1" sqref="C1113">
      <formula1>"Number"</formula1>
    </dataValidation>
    <dataValidation type="list" allowBlank="1" showInputMessage="1" showErrorMessage="1" sqref="C1114">
      <formula1>"Number"</formula1>
    </dataValidation>
    <dataValidation type="list" allowBlank="1" showInputMessage="1" showErrorMessage="1" sqref="C1115">
      <formula1>"Number"</formula1>
    </dataValidation>
    <dataValidation type="list" allowBlank="1" showInputMessage="1" showErrorMessage="1" sqref="C1116">
      <formula1>"Number"</formula1>
    </dataValidation>
    <dataValidation type="list" allowBlank="1" showInputMessage="1" showErrorMessage="1" sqref="C1117">
      <formula1>"Number"</formula1>
    </dataValidation>
    <dataValidation type="list" allowBlank="1" showInputMessage="1" showErrorMessage="1" sqref="C1118">
      <formula1>"Number"</formula1>
    </dataValidation>
    <dataValidation type="list" allowBlank="1" showInputMessage="1" showErrorMessage="1" sqref="C1119">
      <formula1>"Number"</formula1>
    </dataValidation>
    <dataValidation type="list" allowBlank="1" showInputMessage="1" showErrorMessage="1" sqref="C1122">
      <formula1>"Number"</formula1>
    </dataValidation>
    <dataValidation type="list" allowBlank="1" showInputMessage="1" showErrorMessage="1" sqref="C1123">
      <formula1>"Number"</formula1>
    </dataValidation>
    <dataValidation type="list" allowBlank="1" showInputMessage="1" showErrorMessage="1" sqref="C1124">
      <formula1>"Number"</formula1>
    </dataValidation>
    <dataValidation type="list" allowBlank="1" showInputMessage="1" showErrorMessage="1" sqref="C1125">
      <formula1>"Number"</formula1>
    </dataValidation>
    <dataValidation type="list" allowBlank="1" showInputMessage="1" showErrorMessage="1" sqref="C1126">
      <formula1>"Number"</formula1>
    </dataValidation>
    <dataValidation type="list" allowBlank="1" showInputMessage="1" showErrorMessage="1" sqref="C1127">
      <formula1>"Number"</formula1>
    </dataValidation>
    <dataValidation type="list" allowBlank="1" showInputMessage="1" showErrorMessage="1" sqref="C1128">
      <formula1>"Number"</formula1>
    </dataValidation>
    <dataValidation type="list" allowBlank="1" showInputMessage="1" showErrorMessage="1" sqref="C1129">
      <formula1>"Number"</formula1>
    </dataValidation>
    <dataValidation type="list" allowBlank="1" showInputMessage="1" showErrorMessage="1" sqref="C1130">
      <formula1>"Number"</formula1>
    </dataValidation>
    <dataValidation type="list" allowBlank="1" showInputMessage="1" showErrorMessage="1" sqref="C1131">
      <formula1>"Number"</formula1>
    </dataValidation>
    <dataValidation type="list" allowBlank="1" showInputMessage="1" showErrorMessage="1" sqref="C1132">
      <formula1>"Number"</formula1>
    </dataValidation>
    <dataValidation type="list" allowBlank="1" showInputMessage="1" showErrorMessage="1" sqref="C1133">
      <formula1>"Number"</formula1>
    </dataValidation>
    <dataValidation type="list" allowBlank="1" showInputMessage="1" showErrorMessage="1" sqref="C1134">
      <formula1>"Number"</formula1>
    </dataValidation>
    <dataValidation type="list" allowBlank="1" showInputMessage="1" showErrorMessage="1" sqref="C1135">
      <formula1>"Number"</formula1>
    </dataValidation>
    <dataValidation type="list" allowBlank="1" showInputMessage="1" showErrorMessage="1" sqref="C1138">
      <formula1>"Number"</formula1>
    </dataValidation>
    <dataValidation type="list" allowBlank="1" showInputMessage="1" showErrorMessage="1" sqref="C1139">
      <formula1>"Number"</formula1>
    </dataValidation>
    <dataValidation type="list" allowBlank="1" showInputMessage="1" showErrorMessage="1" sqref="C1140">
      <formula1>"Number"</formula1>
    </dataValidation>
    <dataValidation type="list" allowBlank="1" showInputMessage="1" showErrorMessage="1" sqref="C1141">
      <formula1>"Number"</formula1>
    </dataValidation>
    <dataValidation type="list" allowBlank="1" showInputMessage="1" showErrorMessage="1" sqref="C1142">
      <formula1>"Number"</formula1>
    </dataValidation>
    <dataValidation type="list" allowBlank="1" showInputMessage="1" showErrorMessage="1" sqref="C1143">
      <formula1>"Number"</formula1>
    </dataValidation>
    <dataValidation type="list" allowBlank="1" showInputMessage="1" showErrorMessage="1" sqref="C1144">
      <formula1>"Number"</formula1>
    </dataValidation>
    <dataValidation type="list" allowBlank="1" showInputMessage="1" showErrorMessage="1" sqref="C1145">
      <formula1>"Number"</formula1>
    </dataValidation>
    <dataValidation type="list" allowBlank="1" showInputMessage="1" showErrorMessage="1" sqref="C1146">
      <formula1>"Number"</formula1>
    </dataValidation>
    <dataValidation type="list" allowBlank="1" showInputMessage="1" showErrorMessage="1" sqref="C1147">
      <formula1>"Number"</formula1>
    </dataValidation>
    <dataValidation type="list" allowBlank="1" showInputMessage="1" showErrorMessage="1" sqref="C1148">
      <formula1>"Number"</formula1>
    </dataValidation>
    <dataValidation type="list" allowBlank="1" showInputMessage="1" showErrorMessage="1" sqref="C1149">
      <formula1>"Number"</formula1>
    </dataValidation>
    <dataValidation type="list" allowBlank="1" showInputMessage="1" showErrorMessage="1" sqref="C1150">
      <formula1>"Number"</formula1>
    </dataValidation>
    <dataValidation type="list" allowBlank="1" showInputMessage="1" showErrorMessage="1" sqref="C1151">
      <formula1>"Number"</formula1>
    </dataValidation>
    <dataValidation type="list" allowBlank="1" showInputMessage="1" showErrorMessage="1" sqref="C1154">
      <formula1>"Number"</formula1>
    </dataValidation>
    <dataValidation type="list" allowBlank="1" showInputMessage="1" showErrorMessage="1" sqref="C1155">
      <formula1>"Number"</formula1>
    </dataValidation>
    <dataValidation type="list" allowBlank="1" showInputMessage="1" showErrorMessage="1" sqref="C1156">
      <formula1>"Number"</formula1>
    </dataValidation>
    <dataValidation type="list" allowBlank="1" showInputMessage="1" showErrorMessage="1" sqref="C1157">
      <formula1>"Number"</formula1>
    </dataValidation>
    <dataValidation type="list" allowBlank="1" showInputMessage="1" showErrorMessage="1" sqref="C1158">
      <formula1>"Number"</formula1>
    </dataValidation>
    <dataValidation type="list" allowBlank="1" showInputMessage="1" showErrorMessage="1" sqref="C1159">
      <formula1>"Number"</formula1>
    </dataValidation>
    <dataValidation type="list" allowBlank="1" showInputMessage="1" showErrorMessage="1" sqref="C1160">
      <formula1>"Number"</formula1>
    </dataValidation>
    <dataValidation type="list" allowBlank="1" showInputMessage="1" showErrorMessage="1" sqref="C1161">
      <formula1>"Number"</formula1>
    </dataValidation>
    <dataValidation type="list" allowBlank="1" showInputMessage="1" showErrorMessage="1" sqref="C1162">
      <formula1>"Number"</formula1>
    </dataValidation>
    <dataValidation type="list" allowBlank="1" showInputMessage="1" showErrorMessage="1" sqref="C1163">
      <formula1>"Number"</formula1>
    </dataValidation>
    <dataValidation type="list" allowBlank="1" showInputMessage="1" showErrorMessage="1" sqref="C1164">
      <formula1>"Number"</formula1>
    </dataValidation>
    <dataValidation type="list" allowBlank="1" showInputMessage="1" showErrorMessage="1" sqref="C1165">
      <formula1>"Number"</formula1>
    </dataValidation>
    <dataValidation type="list" allowBlank="1" showInputMessage="1" showErrorMessage="1" sqref="C1166">
      <formula1>"Number"</formula1>
    </dataValidation>
    <dataValidation type="list" allowBlank="1" showInputMessage="1" showErrorMessage="1" sqref="C1167">
      <formula1>"Number"</formula1>
    </dataValidation>
    <dataValidation type="list" allowBlank="1" showInputMessage="1" showErrorMessage="1" sqref="C1170">
      <formula1>"Number"</formula1>
    </dataValidation>
    <dataValidation type="list" allowBlank="1" showInputMessage="1" showErrorMessage="1" sqref="C1171">
      <formula1>"Number"</formula1>
    </dataValidation>
    <dataValidation type="list" allowBlank="1" showInputMessage="1" showErrorMessage="1" sqref="C1172">
      <formula1>"Number"</formula1>
    </dataValidation>
    <dataValidation type="list" allowBlank="1" showInputMessage="1" showErrorMessage="1" sqref="C1173">
      <formula1>"Number"</formula1>
    </dataValidation>
    <dataValidation type="list" allowBlank="1" showInputMessage="1" showErrorMessage="1" sqref="C1174">
      <formula1>"Number"</formula1>
    </dataValidation>
    <dataValidation type="list" allowBlank="1" showInputMessage="1" showErrorMessage="1" sqref="C1175">
      <formula1>"Number"</formula1>
    </dataValidation>
    <dataValidation type="list" allowBlank="1" showInputMessage="1" showErrorMessage="1" sqref="C1176">
      <formula1>"Number"</formula1>
    </dataValidation>
    <dataValidation type="list" allowBlank="1" showInputMessage="1" showErrorMessage="1" sqref="C1177">
      <formula1>"Number"</formula1>
    </dataValidation>
    <dataValidation type="list" allowBlank="1" showInputMessage="1" showErrorMessage="1" sqref="C1178">
      <formula1>"Number"</formula1>
    </dataValidation>
    <dataValidation type="list" allowBlank="1" showInputMessage="1" showErrorMessage="1" sqref="C1179">
      <formula1>"Number"</formula1>
    </dataValidation>
    <dataValidation type="list" allowBlank="1" showInputMessage="1" showErrorMessage="1" sqref="C1180">
      <formula1>"Number"</formula1>
    </dataValidation>
    <dataValidation type="list" allowBlank="1" showInputMessage="1" showErrorMessage="1" sqref="C1181">
      <formula1>"Number"</formula1>
    </dataValidation>
    <dataValidation type="list" allowBlank="1" showInputMessage="1" showErrorMessage="1" sqref="C1182">
      <formula1>"Number"</formula1>
    </dataValidation>
    <dataValidation type="list" allowBlank="1" showInputMessage="1" showErrorMessage="1" sqref="C1183">
      <formula1>"Number"</formula1>
    </dataValidation>
    <dataValidation type="list" allowBlank="1" showInputMessage="1" showErrorMessage="1" sqref="C1186">
      <formula1>"Number"</formula1>
    </dataValidation>
    <dataValidation type="list" allowBlank="1" showInputMessage="1" showErrorMessage="1" sqref="C1187">
      <formula1>"Number"</formula1>
    </dataValidation>
    <dataValidation type="list" allowBlank="1" showInputMessage="1" showErrorMessage="1" sqref="C1188">
      <formula1>"Number"</formula1>
    </dataValidation>
    <dataValidation type="list" allowBlank="1" showInputMessage="1" showErrorMessage="1" sqref="C1189">
      <formula1>"Number"</formula1>
    </dataValidation>
    <dataValidation type="list" allowBlank="1" showInputMessage="1" showErrorMessage="1" sqref="C1190">
      <formula1>"Number"</formula1>
    </dataValidation>
    <dataValidation type="list" allowBlank="1" showInputMessage="1" showErrorMessage="1" sqref="C1191">
      <formula1>"Number"</formula1>
    </dataValidation>
    <dataValidation type="list" allowBlank="1" showInputMessage="1" showErrorMessage="1" sqref="C1192">
      <formula1>"Number"</formula1>
    </dataValidation>
    <dataValidation type="list" allowBlank="1" showInputMessage="1" showErrorMessage="1" sqref="C1193">
      <formula1>"Number"</formula1>
    </dataValidation>
    <dataValidation type="list" allowBlank="1" showInputMessage="1" showErrorMessage="1" sqref="C1194">
      <formula1>"Number"</formula1>
    </dataValidation>
    <dataValidation type="list" allowBlank="1" showInputMessage="1" showErrorMessage="1" sqref="C1195">
      <formula1>"Number"</formula1>
    </dataValidation>
    <dataValidation type="list" allowBlank="1" showInputMessage="1" showErrorMessage="1" sqref="C1196">
      <formula1>"Number"</formula1>
    </dataValidation>
    <dataValidation type="list" allowBlank="1" showInputMessage="1" showErrorMessage="1" sqref="C1197">
      <formula1>"Number"</formula1>
    </dataValidation>
    <dataValidation type="list" allowBlank="1" showInputMessage="1" showErrorMessage="1" sqref="C1198">
      <formula1>"Number"</formula1>
    </dataValidation>
    <dataValidation type="list" allowBlank="1" showInputMessage="1" showErrorMessage="1" sqref="C1199">
      <formula1>"Number"</formula1>
    </dataValidation>
    <dataValidation type="list" allowBlank="1" showInputMessage="1" showErrorMessage="1" sqref="C1202">
      <formula1>"Number"</formula1>
    </dataValidation>
    <dataValidation type="list" allowBlank="1" showInputMessage="1" showErrorMessage="1" sqref="C1203">
      <formula1>"Number"</formula1>
    </dataValidation>
    <dataValidation type="list" allowBlank="1" showInputMessage="1" showErrorMessage="1" sqref="C1204">
      <formula1>"Number"</formula1>
    </dataValidation>
    <dataValidation type="list" allowBlank="1" showInputMessage="1" showErrorMessage="1" sqref="C1205">
      <formula1>"Number"</formula1>
    </dataValidation>
    <dataValidation type="list" allowBlank="1" showInputMessage="1" showErrorMessage="1" sqref="C1206">
      <formula1>"Number"</formula1>
    </dataValidation>
    <dataValidation type="list" allowBlank="1" showInputMessage="1" showErrorMessage="1" sqref="C1207">
      <formula1>"Number"</formula1>
    </dataValidation>
    <dataValidation type="list" allowBlank="1" showInputMessage="1" showErrorMessage="1" sqref="C1208">
      <formula1>"Number"</formula1>
    </dataValidation>
    <dataValidation type="list" allowBlank="1" showInputMessage="1" showErrorMessage="1" sqref="C1209">
      <formula1>"Number"</formula1>
    </dataValidation>
    <dataValidation type="list" allowBlank="1" showInputMessage="1" showErrorMessage="1" sqref="C1210">
      <formula1>"Number"</formula1>
    </dataValidation>
    <dataValidation type="list" allowBlank="1" showInputMessage="1" showErrorMessage="1" sqref="C1211">
      <formula1>"Number"</formula1>
    </dataValidation>
    <dataValidation type="list" allowBlank="1" showInputMessage="1" showErrorMessage="1" sqref="C1212">
      <formula1>"Number"</formula1>
    </dataValidation>
    <dataValidation type="list" allowBlank="1" showInputMessage="1" showErrorMessage="1" sqref="C1213">
      <formula1>"Number"</formula1>
    </dataValidation>
    <dataValidation type="list" allowBlank="1" showInputMessage="1" showErrorMessage="1" sqref="C1214">
      <formula1>"Number"</formula1>
    </dataValidation>
    <dataValidation type="list" allowBlank="1" showInputMessage="1" showErrorMessage="1" sqref="C1215">
      <formula1>"Number"</formula1>
    </dataValidation>
    <dataValidation type="list" allowBlank="1" showInputMessage="1" showErrorMessage="1" sqref="C1218">
      <formula1>"Number"</formula1>
    </dataValidation>
    <dataValidation type="list" allowBlank="1" showInputMessage="1" showErrorMessage="1" sqref="C1219">
      <formula1>"Number"</formula1>
    </dataValidation>
    <dataValidation type="list" allowBlank="1" showInputMessage="1" showErrorMessage="1" sqref="C1220">
      <formula1>"Number"</formula1>
    </dataValidation>
    <dataValidation type="list" allowBlank="1" showInputMessage="1" showErrorMessage="1" sqref="C1221">
      <formula1>"Number"</formula1>
    </dataValidation>
    <dataValidation type="list" allowBlank="1" showInputMessage="1" showErrorMessage="1" sqref="C1222">
      <formula1>"Number"</formula1>
    </dataValidation>
    <dataValidation type="list" allowBlank="1" showInputMessage="1" showErrorMessage="1" sqref="C1223">
      <formula1>"Number"</formula1>
    </dataValidation>
    <dataValidation type="list" allowBlank="1" showInputMessage="1" showErrorMessage="1" sqref="C1224">
      <formula1>"Number"</formula1>
    </dataValidation>
    <dataValidation type="list" allowBlank="1" showInputMessage="1" showErrorMessage="1" sqref="C1225">
      <formula1>"Number"</formula1>
    </dataValidation>
    <dataValidation type="list" allowBlank="1" showInputMessage="1" showErrorMessage="1" sqref="C1226">
      <formula1>"Number"</formula1>
    </dataValidation>
    <dataValidation type="list" allowBlank="1" showInputMessage="1" showErrorMessage="1" sqref="C1227">
      <formula1>"Number"</formula1>
    </dataValidation>
    <dataValidation type="list" allowBlank="1" showInputMessage="1" showErrorMessage="1" sqref="C1228">
      <formula1>"Number"</formula1>
    </dataValidation>
    <dataValidation type="list" allowBlank="1" showInputMessage="1" showErrorMessage="1" sqref="C1229">
      <formula1>"Number"</formula1>
    </dataValidation>
    <dataValidation type="list" allowBlank="1" showInputMessage="1" showErrorMessage="1" sqref="C1230">
      <formula1>"Number"</formula1>
    </dataValidation>
    <dataValidation type="list" allowBlank="1" showInputMessage="1" showErrorMessage="1" sqref="C1231">
      <formula1>"Number"</formula1>
    </dataValidation>
    <dataValidation type="list" allowBlank="1" showInputMessage="1" showErrorMessage="1" sqref="C1234">
      <formula1>"Number"</formula1>
    </dataValidation>
    <dataValidation type="list" allowBlank="1" showInputMessage="1" showErrorMessage="1" sqref="C1235">
      <formula1>"Number"</formula1>
    </dataValidation>
    <dataValidation type="list" allowBlank="1" showInputMessage="1" showErrorMessage="1" sqref="C1236">
      <formula1>"Number"</formula1>
    </dataValidation>
    <dataValidation type="list" allowBlank="1" showInputMessage="1" showErrorMessage="1" sqref="C1237">
      <formula1>"Number"</formula1>
    </dataValidation>
    <dataValidation type="list" allowBlank="1" showInputMessage="1" showErrorMessage="1" sqref="C1238">
      <formula1>"Number"</formula1>
    </dataValidation>
    <dataValidation type="list" allowBlank="1" showInputMessage="1" showErrorMessage="1" sqref="C1239">
      <formula1>"Number"</formula1>
    </dataValidation>
    <dataValidation type="list" allowBlank="1" showInputMessage="1" showErrorMessage="1" sqref="C1240">
      <formula1>"Number"</formula1>
    </dataValidation>
    <dataValidation type="list" allowBlank="1" showInputMessage="1" showErrorMessage="1" sqref="C1241">
      <formula1>"Number"</formula1>
    </dataValidation>
    <dataValidation type="list" allowBlank="1" showInputMessage="1" showErrorMessage="1" sqref="C1242">
      <formula1>"Number"</formula1>
    </dataValidation>
    <dataValidation type="list" allowBlank="1" showInputMessage="1" showErrorMessage="1" sqref="C1243">
      <formula1>"Number"</formula1>
    </dataValidation>
    <dataValidation type="list" allowBlank="1" showInputMessage="1" showErrorMessage="1" sqref="C1244">
      <formula1>"Number"</formula1>
    </dataValidation>
    <dataValidation type="list" allowBlank="1" showInputMessage="1" showErrorMessage="1" sqref="C1245">
      <formula1>"Number"</formula1>
    </dataValidation>
    <dataValidation type="list" allowBlank="1" showInputMessage="1" showErrorMessage="1" sqref="C1246">
      <formula1>"Number"</formula1>
    </dataValidation>
    <dataValidation type="list" allowBlank="1" showInputMessage="1" showErrorMessage="1" sqref="C1247">
      <formula1>"Number"</formula1>
    </dataValidation>
    <dataValidation type="list" allowBlank="1" showInputMessage="1" showErrorMessage="1" sqref="C1250">
      <formula1>"Number"</formula1>
    </dataValidation>
    <dataValidation type="list" allowBlank="1" showInputMessage="1" showErrorMessage="1" sqref="C1251">
      <formula1>"Number"</formula1>
    </dataValidation>
    <dataValidation type="list" allowBlank="1" showInputMessage="1" showErrorMessage="1" sqref="C1252">
      <formula1>"Number"</formula1>
    </dataValidation>
    <dataValidation type="list" allowBlank="1" showInputMessage="1" showErrorMessage="1" sqref="C1253">
      <formula1>"Number"</formula1>
    </dataValidation>
    <dataValidation type="list" allowBlank="1" showInputMessage="1" showErrorMessage="1" sqref="C1254">
      <formula1>"Number"</formula1>
    </dataValidation>
    <dataValidation type="list" allowBlank="1" showInputMessage="1" showErrorMessage="1" sqref="C1255">
      <formula1>"Number"</formula1>
    </dataValidation>
    <dataValidation type="list" allowBlank="1" showInputMessage="1" showErrorMessage="1" sqref="C1256">
      <formula1>"Number"</formula1>
    </dataValidation>
    <dataValidation type="list" allowBlank="1" showInputMessage="1" showErrorMessage="1" sqref="C1257">
      <formula1>"Number"</formula1>
    </dataValidation>
    <dataValidation type="list" allowBlank="1" showInputMessage="1" showErrorMessage="1" sqref="C1258">
      <formula1>"Number"</formula1>
    </dataValidation>
    <dataValidation type="list" allowBlank="1" showInputMessage="1" showErrorMessage="1" sqref="C1259">
      <formula1>"Number"</formula1>
    </dataValidation>
    <dataValidation type="list" allowBlank="1" showInputMessage="1" showErrorMessage="1" sqref="C1260">
      <formula1>"Number"</formula1>
    </dataValidation>
    <dataValidation type="list" allowBlank="1" showInputMessage="1" showErrorMessage="1" sqref="C1261">
      <formula1>"Number"</formula1>
    </dataValidation>
    <dataValidation type="list" allowBlank="1" showInputMessage="1" showErrorMessage="1" sqref="C1262">
      <formula1>"Number"</formula1>
    </dataValidation>
    <dataValidation type="list" allowBlank="1" showInputMessage="1" showErrorMessage="1" sqref="C1263">
      <formula1>"Number"</formula1>
    </dataValidation>
    <dataValidation type="list" allowBlank="1" showInputMessage="1" showErrorMessage="1" sqref="C1266">
      <formula1>"Number"</formula1>
    </dataValidation>
    <dataValidation type="list" allowBlank="1" showInputMessage="1" showErrorMessage="1" sqref="C1267">
      <formula1>"Number"</formula1>
    </dataValidation>
    <dataValidation type="list" allowBlank="1" showInputMessage="1" showErrorMessage="1" sqref="C1268">
      <formula1>"Number"</formula1>
    </dataValidation>
    <dataValidation type="list" allowBlank="1" showInputMessage="1" showErrorMessage="1" sqref="C1269">
      <formula1>"Number"</formula1>
    </dataValidation>
    <dataValidation type="list" allowBlank="1" showInputMessage="1" showErrorMessage="1" sqref="C1270">
      <formula1>"Number"</formula1>
    </dataValidation>
    <dataValidation type="list" allowBlank="1" showInputMessage="1" showErrorMessage="1" sqref="C1271">
      <formula1>"Number"</formula1>
    </dataValidation>
    <dataValidation type="list" allowBlank="1" showInputMessage="1" showErrorMessage="1" sqref="C1272">
      <formula1>"Number"</formula1>
    </dataValidation>
    <dataValidation type="list" allowBlank="1" showInputMessage="1" showErrorMessage="1" sqref="C1273">
      <formula1>"Number"</formula1>
    </dataValidation>
    <dataValidation type="list" allowBlank="1" showInputMessage="1" showErrorMessage="1" sqref="C1274">
      <formula1>"Number"</formula1>
    </dataValidation>
    <dataValidation type="list" allowBlank="1" showInputMessage="1" showErrorMessage="1" sqref="C1275">
      <formula1>"Number"</formula1>
    </dataValidation>
    <dataValidation type="list" allowBlank="1" showInputMessage="1" showErrorMessage="1" sqref="C1276">
      <formula1>"Number"</formula1>
    </dataValidation>
    <dataValidation type="list" allowBlank="1" showInputMessage="1" showErrorMessage="1" sqref="C1277">
      <formula1>"Number"</formula1>
    </dataValidation>
    <dataValidation type="list" allowBlank="1" showInputMessage="1" showErrorMessage="1" sqref="C1278">
      <formula1>"Number"</formula1>
    </dataValidation>
    <dataValidation type="list" allowBlank="1" showInputMessage="1" showErrorMessage="1" sqref="C1279">
      <formula1>"Number"</formula1>
    </dataValidation>
    <dataValidation type="list" allowBlank="1" showInputMessage="1" showErrorMessage="1" sqref="C1282">
      <formula1>"Number"</formula1>
    </dataValidation>
    <dataValidation type="list" allowBlank="1" showInputMessage="1" showErrorMessage="1" sqref="C1283">
      <formula1>"Number"</formula1>
    </dataValidation>
    <dataValidation type="list" allowBlank="1" showInputMessage="1" showErrorMessage="1" sqref="C1284">
      <formula1>"Number"</formula1>
    </dataValidation>
    <dataValidation type="list" allowBlank="1" showInputMessage="1" showErrorMessage="1" sqref="C1285">
      <formula1>"Number"</formula1>
    </dataValidation>
    <dataValidation type="list" allowBlank="1" showInputMessage="1" showErrorMessage="1" sqref="C1286">
      <formula1>"Number"</formula1>
    </dataValidation>
    <dataValidation type="list" allowBlank="1" showInputMessage="1" showErrorMessage="1" sqref="C1287">
      <formula1>"Number"</formula1>
    </dataValidation>
    <dataValidation type="list" allowBlank="1" showInputMessage="1" showErrorMessage="1" sqref="C1288">
      <formula1>"Number"</formula1>
    </dataValidation>
    <dataValidation type="list" allowBlank="1" showInputMessage="1" showErrorMessage="1" sqref="C1289">
      <formula1>"Number"</formula1>
    </dataValidation>
    <dataValidation type="list" allowBlank="1" showInputMessage="1" showErrorMessage="1" sqref="C1290">
      <formula1>"Number"</formula1>
    </dataValidation>
    <dataValidation type="list" allowBlank="1" showInputMessage="1" showErrorMessage="1" sqref="C1291">
      <formula1>"Number"</formula1>
    </dataValidation>
    <dataValidation type="list" allowBlank="1" showInputMessage="1" showErrorMessage="1" sqref="C1292">
      <formula1>"Number"</formula1>
    </dataValidation>
    <dataValidation type="list" allowBlank="1" showInputMessage="1" showErrorMessage="1" sqref="C1293">
      <formula1>"Number"</formula1>
    </dataValidation>
    <dataValidation type="list" allowBlank="1" showInputMessage="1" showErrorMessage="1" sqref="C1294">
      <formula1>"Number"</formula1>
    </dataValidation>
    <dataValidation type="list" allowBlank="1" showInputMessage="1" showErrorMessage="1" sqref="C1295">
      <formula1>"Number"</formula1>
    </dataValidation>
    <dataValidation type="list" allowBlank="1" showInputMessage="1" showErrorMessage="1" sqref="C1298">
      <formula1>"Number"</formula1>
    </dataValidation>
    <dataValidation type="list" allowBlank="1" showInputMessage="1" showErrorMessage="1" sqref="C1299">
      <formula1>"Number"</formula1>
    </dataValidation>
    <dataValidation type="list" allowBlank="1" showInputMessage="1" showErrorMessage="1" sqref="C1300">
      <formula1>"Number"</formula1>
    </dataValidation>
    <dataValidation type="list" allowBlank="1" showInputMessage="1" showErrorMessage="1" sqref="C1301">
      <formula1>"Number"</formula1>
    </dataValidation>
    <dataValidation type="list" allowBlank="1" showInputMessage="1" showErrorMessage="1" sqref="C1302">
      <formula1>"Number"</formula1>
    </dataValidation>
    <dataValidation type="list" allowBlank="1" showInputMessage="1" showErrorMessage="1" sqref="C1303">
      <formula1>"Number"</formula1>
    </dataValidation>
    <dataValidation type="list" allowBlank="1" showInputMessage="1" showErrorMessage="1" sqref="C1304">
      <formula1>"Number"</formula1>
    </dataValidation>
    <dataValidation type="list" allowBlank="1" showInputMessage="1" showErrorMessage="1" sqref="C1305">
      <formula1>"Number"</formula1>
    </dataValidation>
    <dataValidation type="list" allowBlank="1" showInputMessage="1" showErrorMessage="1" sqref="C1306">
      <formula1>"Number"</formula1>
    </dataValidation>
    <dataValidation type="list" allowBlank="1" showInputMessage="1" showErrorMessage="1" sqref="C1307">
      <formula1>"Number"</formula1>
    </dataValidation>
    <dataValidation type="list" allowBlank="1" showInputMessage="1" showErrorMessage="1" sqref="C1308">
      <formula1>"Number"</formula1>
    </dataValidation>
    <dataValidation type="list" allowBlank="1" showInputMessage="1" showErrorMessage="1" sqref="C1309">
      <formula1>"Number"</formula1>
    </dataValidation>
    <dataValidation type="list" allowBlank="1" showInputMessage="1" showErrorMessage="1" sqref="C1310">
      <formula1>"Number"</formula1>
    </dataValidation>
    <dataValidation type="list" allowBlank="1" showInputMessage="1" showErrorMessage="1" sqref="C1311">
      <formula1>"Number"</formula1>
    </dataValidation>
    <dataValidation type="list" allowBlank="1" showInputMessage="1" showErrorMessage="1" sqref="C1314">
      <formula1>"Number"</formula1>
    </dataValidation>
    <dataValidation type="list" allowBlank="1" showInputMessage="1" showErrorMessage="1" sqref="C1315">
      <formula1>"Number"</formula1>
    </dataValidation>
    <dataValidation type="list" allowBlank="1" showInputMessage="1" showErrorMessage="1" sqref="C1316">
      <formula1>"Number"</formula1>
    </dataValidation>
    <dataValidation type="list" allowBlank="1" showInputMessage="1" showErrorMessage="1" sqref="C1317">
      <formula1>"Number"</formula1>
    </dataValidation>
    <dataValidation type="list" allowBlank="1" showInputMessage="1" showErrorMessage="1" sqref="C1318">
      <formula1>"Number"</formula1>
    </dataValidation>
    <dataValidation type="list" allowBlank="1" showInputMessage="1" showErrorMessage="1" sqref="C1319">
      <formula1>"Number"</formula1>
    </dataValidation>
    <dataValidation type="list" allowBlank="1" showInputMessage="1" showErrorMessage="1" sqref="C1320">
      <formula1>"Number"</formula1>
    </dataValidation>
    <dataValidation type="list" allowBlank="1" showInputMessage="1" showErrorMessage="1" sqref="C1321">
      <formula1>"Number"</formula1>
    </dataValidation>
    <dataValidation type="list" allowBlank="1" showInputMessage="1" showErrorMessage="1" sqref="C1322">
      <formula1>"Number"</formula1>
    </dataValidation>
    <dataValidation type="list" allowBlank="1" showInputMessage="1" showErrorMessage="1" sqref="C1323">
      <formula1>"Number"</formula1>
    </dataValidation>
    <dataValidation type="list" allowBlank="1" showInputMessage="1" showErrorMessage="1" sqref="C1324">
      <formula1>"Number"</formula1>
    </dataValidation>
    <dataValidation type="list" allowBlank="1" showInputMessage="1" showErrorMessage="1" sqref="C1325">
      <formula1>"Number"</formula1>
    </dataValidation>
    <dataValidation type="list" allowBlank="1" showInputMessage="1" showErrorMessage="1" sqref="C1326">
      <formula1>"Number"</formula1>
    </dataValidation>
    <dataValidation type="list" allowBlank="1" showInputMessage="1" showErrorMessage="1" sqref="C1327">
      <formula1>"Number"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808080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85.28515625" customWidth="1"/>
    <col min="2" max="2" width="30.28515625" customWidth="1"/>
    <col min="3" max="3" width="20.425781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58</v>
      </c>
      <c r="D2" s="3"/>
      <c r="E2" s="3">
        <v>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58</v>
      </c>
      <c r="D3" s="3"/>
      <c r="E3" s="3">
        <v>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58</v>
      </c>
      <c r="D4" s="3"/>
      <c r="E4" s="3">
        <v>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58</v>
      </c>
      <c r="D5" s="3"/>
      <c r="E5" s="3">
        <v>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58</v>
      </c>
      <c r="D6" s="3"/>
      <c r="E6" s="3">
        <v>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58</v>
      </c>
      <c r="D7" s="3"/>
      <c r="E7" s="3">
        <v>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58</v>
      </c>
      <c r="D8" s="3"/>
      <c r="E8" s="3">
        <v>1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58</v>
      </c>
      <c r="D9" s="3"/>
      <c r="E9" s="3">
        <v>1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58</v>
      </c>
      <c r="D10" s="3"/>
      <c r="E10" s="3">
        <v>1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58</v>
      </c>
      <c r="D11" s="3"/>
      <c r="E11" s="3">
        <v>1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58</v>
      </c>
      <c r="D12" s="3"/>
      <c r="E12" s="3">
        <v>1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58</v>
      </c>
      <c r="D13" s="3"/>
      <c r="E13" s="3">
        <v>1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58</v>
      </c>
      <c r="D14" s="3"/>
      <c r="E14" s="3">
        <v>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58</v>
      </c>
      <c r="D15" s="3"/>
      <c r="E15" s="3">
        <v>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58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58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58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58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58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58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58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58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58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58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58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58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58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58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213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214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53</v>
      </c>
      <c r="D66" s="3">
        <v>2.414023233854763</v>
      </c>
      <c r="E66" s="3"/>
      <c r="F66" s="4" t="s">
        <v>39</v>
      </c>
      <c r="G66" s="3">
        <v>8.666666666666666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>
        <v>8.666666666666666</v>
      </c>
      <c r="V66" s="3">
        <v>26</v>
      </c>
      <c r="W66" s="3">
        <v>482</v>
      </c>
      <c r="X66" s="3">
        <v>171</v>
      </c>
      <c r="Y66" s="3">
        <v>102</v>
      </c>
      <c r="Z66" s="3">
        <v>78</v>
      </c>
      <c r="AA66" s="3">
        <v>74.886</v>
      </c>
      <c r="AB66" s="3">
        <v>45</v>
      </c>
      <c r="AC66" s="3">
        <v>65</v>
      </c>
      <c r="AD66" s="3">
        <v>70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53</v>
      </c>
      <c r="D67" s="3">
        <v>1.83251871322863</v>
      </c>
      <c r="E67" s="3"/>
      <c r="F67" s="4" t="s">
        <v>39</v>
      </c>
      <c r="G67" s="3">
        <v>8.666666666666666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>
        <v>8.666666666666666</v>
      </c>
      <c r="V67" s="3">
        <v>26</v>
      </c>
      <c r="W67" s="3">
        <v>482</v>
      </c>
      <c r="X67" s="3">
        <v>171</v>
      </c>
      <c r="Y67" s="3">
        <v>102</v>
      </c>
      <c r="Z67" s="3">
        <v>78</v>
      </c>
      <c r="AA67" s="3">
        <v>74.886</v>
      </c>
      <c r="AB67" s="3">
        <v>45</v>
      </c>
      <c r="AC67" s="3">
        <v>65</v>
      </c>
      <c r="AD67" s="3">
        <v>70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53</v>
      </c>
      <c r="D68" s="3">
        <v>0</v>
      </c>
      <c r="E68" s="3"/>
      <c r="F68" s="4" t="s">
        <v>39</v>
      </c>
      <c r="G68" s="3">
        <v>8.666666666666666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>
        <v>8.666666666666666</v>
      </c>
      <c r="V68" s="3">
        <v>26</v>
      </c>
      <c r="W68" s="3">
        <v>482</v>
      </c>
      <c r="X68" s="3">
        <v>171</v>
      </c>
      <c r="Y68" s="3">
        <v>102</v>
      </c>
      <c r="Z68" s="3">
        <v>78</v>
      </c>
      <c r="AA68" s="3">
        <v>74.886</v>
      </c>
      <c r="AB68" s="3">
        <v>45</v>
      </c>
      <c r="AC68" s="3">
        <v>65</v>
      </c>
      <c r="AD68" s="3">
        <v>70</v>
      </c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53</v>
      </c>
      <c r="D69" s="3">
        <v>0</v>
      </c>
      <c r="E69" s="3"/>
      <c r="F69" s="4" t="s">
        <v>39</v>
      </c>
      <c r="G69" s="3">
        <v>8.666666666666666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>
        <v>8.666666666666666</v>
      </c>
      <c r="V69" s="3">
        <v>26</v>
      </c>
      <c r="W69" s="3">
        <v>482</v>
      </c>
      <c r="X69" s="3">
        <v>171</v>
      </c>
      <c r="Y69" s="3">
        <v>102</v>
      </c>
      <c r="Z69" s="3">
        <v>78</v>
      </c>
      <c r="AA69" s="3">
        <v>74.886</v>
      </c>
      <c r="AB69" s="3">
        <v>45</v>
      </c>
      <c r="AC69" s="3">
        <v>65</v>
      </c>
      <c r="AD69" s="3">
        <v>70</v>
      </c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53</v>
      </c>
      <c r="D70" s="3">
        <v>0</v>
      </c>
      <c r="E70" s="3"/>
      <c r="F70" s="4" t="s">
        <v>39</v>
      </c>
      <c r="G70" s="3">
        <v>8.666666666666666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>
        <v>8.666666666666666</v>
      </c>
      <c r="V70" s="3">
        <v>26</v>
      </c>
      <c r="W70" s="3">
        <v>482</v>
      </c>
      <c r="X70" s="3">
        <v>171</v>
      </c>
      <c r="Y70" s="3">
        <v>102</v>
      </c>
      <c r="Z70" s="3">
        <v>78</v>
      </c>
      <c r="AA70" s="3">
        <v>74.886</v>
      </c>
      <c r="AB70" s="3">
        <v>45</v>
      </c>
      <c r="AC70" s="3">
        <v>65</v>
      </c>
      <c r="AD70" s="3">
        <v>70</v>
      </c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53</v>
      </c>
      <c r="D71" s="3">
        <v>0</v>
      </c>
      <c r="E71" s="3"/>
      <c r="F71" s="4" t="s">
        <v>39</v>
      </c>
      <c r="G71" s="3">
        <v>8.666666666666666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>
        <v>8.666666666666666</v>
      </c>
      <c r="V71" s="3">
        <v>26</v>
      </c>
      <c r="W71" s="3">
        <v>482</v>
      </c>
      <c r="X71" s="3">
        <v>171</v>
      </c>
      <c r="Y71" s="3">
        <v>102</v>
      </c>
      <c r="Z71" s="3">
        <v>78</v>
      </c>
      <c r="AA71" s="3">
        <v>74.886</v>
      </c>
      <c r="AB71" s="3">
        <v>45</v>
      </c>
      <c r="AC71" s="3">
        <v>65</v>
      </c>
      <c r="AD71" s="3">
        <v>70</v>
      </c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53</v>
      </c>
      <c r="D72" s="3">
        <v>4.213407452365192</v>
      </c>
      <c r="E72" s="3"/>
      <c r="F72" s="4" t="s">
        <v>39</v>
      </c>
      <c r="G72" s="3">
        <v>8.666666666666666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>
        <v>8.666666666666666</v>
      </c>
      <c r="V72" s="3">
        <v>26</v>
      </c>
      <c r="W72" s="3">
        <v>482</v>
      </c>
      <c r="X72" s="3">
        <v>171</v>
      </c>
      <c r="Y72" s="3">
        <v>102</v>
      </c>
      <c r="Z72" s="3">
        <v>78</v>
      </c>
      <c r="AA72" s="3">
        <v>74.886</v>
      </c>
      <c r="AB72" s="3">
        <v>45</v>
      </c>
      <c r="AC72" s="3">
        <v>65</v>
      </c>
      <c r="AD72" s="3">
        <v>70</v>
      </c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53</v>
      </c>
      <c r="D73" s="3">
        <v>4.133105746457037</v>
      </c>
      <c r="E73" s="3"/>
      <c r="F73" s="4" t="s">
        <v>39</v>
      </c>
      <c r="G73" s="3">
        <v>8.666666666666666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>
        <v>8.666666666666666</v>
      </c>
      <c r="V73" s="3">
        <v>26</v>
      </c>
      <c r="W73" s="3">
        <v>482</v>
      </c>
      <c r="X73" s="3">
        <v>171</v>
      </c>
      <c r="Y73" s="3">
        <v>102</v>
      </c>
      <c r="Z73" s="3">
        <v>78</v>
      </c>
      <c r="AA73" s="3">
        <v>74.886</v>
      </c>
      <c r="AB73" s="3">
        <v>45</v>
      </c>
      <c r="AC73" s="3">
        <v>65</v>
      </c>
      <c r="AD73" s="3">
        <v>70</v>
      </c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53</v>
      </c>
      <c r="D74" s="3">
        <v>0.7194054281664582</v>
      </c>
      <c r="E74" s="3"/>
      <c r="F74" s="4" t="s">
        <v>39</v>
      </c>
      <c r="G74" s="3">
        <v>8.666666666666666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>
        <v>8.666666666666666</v>
      </c>
      <c r="V74" s="3">
        <v>26</v>
      </c>
      <c r="W74" s="3">
        <v>482</v>
      </c>
      <c r="X74" s="3">
        <v>171</v>
      </c>
      <c r="Y74" s="3">
        <v>102</v>
      </c>
      <c r="Z74" s="3">
        <v>78</v>
      </c>
      <c r="AA74" s="3">
        <v>74.886</v>
      </c>
      <c r="AB74" s="3">
        <v>45</v>
      </c>
      <c r="AC74" s="3">
        <v>65</v>
      </c>
      <c r="AD74" s="3">
        <v>70</v>
      </c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53</v>
      </c>
      <c r="D75" s="3">
        <v>0.8770090920320822</v>
      </c>
      <c r="E75" s="3"/>
      <c r="F75" s="4" t="s">
        <v>39</v>
      </c>
      <c r="G75" s="3">
        <v>8.666666666666666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>
        <v>8.666666666666666</v>
      </c>
      <c r="V75" s="3">
        <v>26</v>
      </c>
      <c r="W75" s="3">
        <v>482</v>
      </c>
      <c r="X75" s="3">
        <v>171</v>
      </c>
      <c r="Y75" s="3">
        <v>102</v>
      </c>
      <c r="Z75" s="3">
        <v>78</v>
      </c>
      <c r="AA75" s="3">
        <v>74.886</v>
      </c>
      <c r="AB75" s="3">
        <v>45</v>
      </c>
      <c r="AC75" s="3">
        <v>65</v>
      </c>
      <c r="AD75" s="3">
        <v>70</v>
      </c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53</v>
      </c>
      <c r="D76" s="3">
        <v>0.1117176331714972</v>
      </c>
      <c r="E76" s="3"/>
      <c r="F76" s="4" t="s">
        <v>39</v>
      </c>
      <c r="G76" s="3">
        <v>8.666666666666666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>
        <v>8.666666666666666</v>
      </c>
      <c r="V76" s="3">
        <v>26</v>
      </c>
      <c r="W76" s="3">
        <v>482</v>
      </c>
      <c r="X76" s="3">
        <v>171</v>
      </c>
      <c r="Y76" s="3">
        <v>102</v>
      </c>
      <c r="Z76" s="3">
        <v>78</v>
      </c>
      <c r="AA76" s="3">
        <v>74.886</v>
      </c>
      <c r="AB76" s="3">
        <v>45</v>
      </c>
      <c r="AC76" s="3">
        <v>65</v>
      </c>
      <c r="AD76" s="3">
        <v>70</v>
      </c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53</v>
      </c>
      <c r="D77" s="3">
        <v>0.01236677429524593</v>
      </c>
      <c r="E77" s="3"/>
      <c r="F77" s="4" t="s">
        <v>39</v>
      </c>
      <c r="G77" s="3">
        <v>8.666666666666666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>
        <v>8.666666666666666</v>
      </c>
      <c r="V77" s="3">
        <v>26</v>
      </c>
      <c r="W77" s="3">
        <v>482</v>
      </c>
      <c r="X77" s="3">
        <v>171</v>
      </c>
      <c r="Y77" s="3">
        <v>102</v>
      </c>
      <c r="Z77" s="3">
        <v>78</v>
      </c>
      <c r="AA77" s="3">
        <v>74.886</v>
      </c>
      <c r="AB77" s="3">
        <v>45</v>
      </c>
      <c r="AC77" s="3">
        <v>65</v>
      </c>
      <c r="AD77" s="3">
        <v>70</v>
      </c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53</v>
      </c>
      <c r="D78" s="3">
        <v>0.3351528995144917</v>
      </c>
      <c r="E78" s="3"/>
      <c r="F78" s="4" t="s">
        <v>39</v>
      </c>
      <c r="G78" s="3">
        <v>8.666666666666666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>
        <v>8.666666666666666</v>
      </c>
      <c r="V78" s="3">
        <v>26</v>
      </c>
      <c r="W78" s="3">
        <v>482</v>
      </c>
      <c r="X78" s="3">
        <v>171</v>
      </c>
      <c r="Y78" s="3">
        <v>102</v>
      </c>
      <c r="Z78" s="3">
        <v>78</v>
      </c>
      <c r="AA78" s="3">
        <v>74.886</v>
      </c>
      <c r="AB78" s="3">
        <v>45</v>
      </c>
      <c r="AC78" s="3">
        <v>65</v>
      </c>
      <c r="AD78" s="3">
        <v>70</v>
      </c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53</v>
      </c>
      <c r="D79" s="3">
        <v>0.004802706192170068</v>
      </c>
      <c r="E79" s="3"/>
      <c r="F79" s="4" t="s">
        <v>39</v>
      </c>
      <c r="G79" s="3">
        <v>8.666666666666666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>
        <v>8.666666666666666</v>
      </c>
      <c r="V79" s="3">
        <v>26</v>
      </c>
      <c r="W79" s="3">
        <v>482</v>
      </c>
      <c r="X79" s="3">
        <v>171</v>
      </c>
      <c r="Y79" s="3">
        <v>102</v>
      </c>
      <c r="Z79" s="3">
        <v>78</v>
      </c>
      <c r="AA79" s="3">
        <v>74.886</v>
      </c>
      <c r="AB79" s="3">
        <v>45</v>
      </c>
      <c r="AC79" s="3">
        <v>65</v>
      </c>
      <c r="AD79" s="3">
        <v>70</v>
      </c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215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53</v>
      </c>
      <c r="D82" s="3"/>
      <c r="E82" s="3"/>
      <c r="F82" s="4" t="s">
        <v>39</v>
      </c>
      <c r="G82" s="3">
        <v>0.4409999999999999</v>
      </c>
      <c r="H82" s="3"/>
      <c r="I82" s="3"/>
      <c r="J82" s="3"/>
      <c r="K82" s="3"/>
      <c r="L82" s="3"/>
      <c r="M82" s="3"/>
      <c r="N82" s="3"/>
      <c r="O82" s="3"/>
      <c r="P82" s="3"/>
      <c r="Q82" s="3">
        <v>0.4409999999999999</v>
      </c>
      <c r="R82" s="3"/>
      <c r="S82" s="3"/>
      <c r="T82" s="3"/>
      <c r="U82" s="3"/>
      <c r="V82" s="3">
        <v>0.473</v>
      </c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53</v>
      </c>
      <c r="D83" s="3"/>
      <c r="E83" s="3"/>
      <c r="F83" s="4" t="s">
        <v>39</v>
      </c>
      <c r="G83" s="3">
        <v>0.4409999999999999</v>
      </c>
      <c r="H83" s="3"/>
      <c r="I83" s="3"/>
      <c r="J83" s="3"/>
      <c r="K83" s="3"/>
      <c r="L83" s="3"/>
      <c r="M83" s="3"/>
      <c r="N83" s="3"/>
      <c r="O83" s="3"/>
      <c r="P83" s="3"/>
      <c r="Q83" s="3">
        <v>0.4409999999999999</v>
      </c>
      <c r="R83" s="3"/>
      <c r="S83" s="3"/>
      <c r="T83" s="3"/>
      <c r="U83" s="3"/>
      <c r="V83" s="3">
        <v>0.473</v>
      </c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53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>
        <v>0</v>
      </c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53</v>
      </c>
      <c r="D85" s="3"/>
      <c r="E85" s="3"/>
      <c r="F85" s="4" t="s">
        <v>39</v>
      </c>
      <c r="G85" s="3">
        <v>0</v>
      </c>
      <c r="H85" s="3"/>
      <c r="I85" s="3"/>
      <c r="J85" s="3"/>
      <c r="K85" s="3"/>
      <c r="L85" s="3"/>
      <c r="M85" s="3"/>
      <c r="N85" s="3"/>
      <c r="O85" s="3"/>
      <c r="P85" s="3"/>
      <c r="Q85" s="3">
        <v>0</v>
      </c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53</v>
      </c>
      <c r="D86" s="3"/>
      <c r="E86" s="3"/>
      <c r="F86" s="4" t="s">
        <v>39</v>
      </c>
      <c r="G86" s="3">
        <v>0</v>
      </c>
      <c r="H86" s="3"/>
      <c r="I86" s="3"/>
      <c r="J86" s="3"/>
      <c r="K86" s="3"/>
      <c r="L86" s="3"/>
      <c r="M86" s="3"/>
      <c r="N86" s="3"/>
      <c r="O86" s="3"/>
      <c r="P86" s="3"/>
      <c r="Q86" s="3">
        <v>0</v>
      </c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53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>
        <v>0</v>
      </c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53</v>
      </c>
      <c r="D88" s="3"/>
      <c r="E88" s="3"/>
      <c r="F88" s="4" t="s">
        <v>39</v>
      </c>
      <c r="G88" s="3">
        <v>0.003190348620166485</v>
      </c>
      <c r="H88" s="3"/>
      <c r="I88" s="3"/>
      <c r="J88" s="3"/>
      <c r="K88" s="3"/>
      <c r="L88" s="3"/>
      <c r="M88" s="3"/>
      <c r="N88" s="3"/>
      <c r="O88" s="3"/>
      <c r="P88" s="3"/>
      <c r="Q88" s="3">
        <v>0</v>
      </c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53</v>
      </c>
      <c r="D89" s="3"/>
      <c r="E89" s="3"/>
      <c r="F89" s="4" t="s">
        <v>39</v>
      </c>
      <c r="G89" s="3">
        <v>0.003190348620166485</v>
      </c>
      <c r="H89" s="3"/>
      <c r="I89" s="3"/>
      <c r="J89" s="3"/>
      <c r="K89" s="3"/>
      <c r="L89" s="3"/>
      <c r="M89" s="3"/>
      <c r="N89" s="3"/>
      <c r="O89" s="3"/>
      <c r="P89" s="3"/>
      <c r="Q89" s="3">
        <v>0</v>
      </c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53</v>
      </c>
      <c r="D90" s="3"/>
      <c r="E90" s="3"/>
      <c r="F90" s="4" t="s">
        <v>39</v>
      </c>
      <c r="G90" s="3">
        <v>0.003190348620166485</v>
      </c>
      <c r="H90" s="3"/>
      <c r="I90" s="3"/>
      <c r="J90" s="3"/>
      <c r="K90" s="3"/>
      <c r="L90" s="3"/>
      <c r="M90" s="3"/>
      <c r="N90" s="3"/>
      <c r="O90" s="3"/>
      <c r="P90" s="3"/>
      <c r="Q90" s="3">
        <v>0</v>
      </c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53</v>
      </c>
      <c r="D91" s="3"/>
      <c r="E91" s="3"/>
      <c r="F91" s="4" t="s">
        <v>39</v>
      </c>
      <c r="G91" s="3">
        <v>0.003190348620166485</v>
      </c>
      <c r="H91" s="3"/>
      <c r="I91" s="3"/>
      <c r="J91" s="3"/>
      <c r="K91" s="3"/>
      <c r="L91" s="3"/>
      <c r="M91" s="3"/>
      <c r="N91" s="3"/>
      <c r="O91" s="3"/>
      <c r="P91" s="3"/>
      <c r="Q91" s="3">
        <v>0</v>
      </c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53</v>
      </c>
      <c r="D92" s="3"/>
      <c r="E92" s="3"/>
      <c r="F92" s="4" t="s">
        <v>39</v>
      </c>
      <c r="G92" s="3">
        <v>0.129</v>
      </c>
      <c r="H92" s="3"/>
      <c r="I92" s="3"/>
      <c r="J92" s="3"/>
      <c r="K92" s="3"/>
      <c r="L92" s="3"/>
      <c r="M92" s="3"/>
      <c r="N92" s="3"/>
      <c r="O92" s="3"/>
      <c r="P92" s="3"/>
      <c r="Q92" s="3">
        <v>0.129</v>
      </c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53</v>
      </c>
      <c r="D93" s="3"/>
      <c r="E93" s="3"/>
      <c r="F93" s="4" t="s">
        <v>39</v>
      </c>
      <c r="G93" s="3">
        <v>0.129</v>
      </c>
      <c r="H93" s="3"/>
      <c r="I93" s="3"/>
      <c r="J93" s="3"/>
      <c r="K93" s="3"/>
      <c r="L93" s="3"/>
      <c r="M93" s="3"/>
      <c r="N93" s="3"/>
      <c r="O93" s="3"/>
      <c r="P93" s="3"/>
      <c r="Q93" s="3">
        <v>0.129</v>
      </c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53</v>
      </c>
      <c r="D94" s="3"/>
      <c r="E94" s="3"/>
      <c r="F94" s="4" t="s">
        <v>39</v>
      </c>
      <c r="G94" s="3">
        <v>0.129</v>
      </c>
      <c r="H94" s="3"/>
      <c r="I94" s="3"/>
      <c r="J94" s="3"/>
      <c r="K94" s="3"/>
      <c r="L94" s="3"/>
      <c r="M94" s="3"/>
      <c r="N94" s="3"/>
      <c r="O94" s="3"/>
      <c r="P94" s="3"/>
      <c r="Q94" s="3">
        <v>0.129</v>
      </c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53</v>
      </c>
      <c r="D95" s="3"/>
      <c r="E95" s="3"/>
      <c r="F95" s="4" t="s">
        <v>39</v>
      </c>
      <c r="G95" s="3">
        <v>0.129</v>
      </c>
      <c r="H95" s="3"/>
      <c r="I95" s="3"/>
      <c r="J95" s="3"/>
      <c r="K95" s="3"/>
      <c r="L95" s="3"/>
      <c r="M95" s="3"/>
      <c r="N95" s="3"/>
      <c r="O95" s="3"/>
      <c r="P95" s="3"/>
      <c r="Q95" s="3">
        <v>0.129</v>
      </c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68">
      <formula1>"Number (per year)"</formula1>
    </dataValidation>
    <dataValidation type="list" allowBlank="1" showInputMessage="1" showErrorMessage="1" sqref="C69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5">
      <formula1>"Number (per year)"</formula1>
    </dataValidation>
    <dataValidation type="list" allowBlank="1" showInputMessage="1" showErrorMessage="1" sqref="C86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76.5703125" customWidth="1"/>
    <col min="2" max="2" width="30.2851562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216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217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217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217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217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217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217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217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217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217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217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217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217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217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217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5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5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5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5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5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5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5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5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5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5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220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221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63</v>
      </c>
      <c r="D66" s="3"/>
      <c r="E66" s="3">
        <v>1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63</v>
      </c>
      <c r="D67" s="3"/>
      <c r="E67" s="3">
        <v>1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63</v>
      </c>
      <c r="D68" s="3"/>
      <c r="E68" s="3">
        <v>1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63</v>
      </c>
      <c r="D69" s="3"/>
      <c r="E69" s="3">
        <v>1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63</v>
      </c>
      <c r="D70" s="3"/>
      <c r="E70" s="3">
        <v>1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63</v>
      </c>
      <c r="D71" s="3"/>
      <c r="E71" s="3">
        <v>1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63</v>
      </c>
      <c r="D72" s="3"/>
      <c r="E72" s="3">
        <v>1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63</v>
      </c>
      <c r="D73" s="3"/>
      <c r="E73" s="3">
        <v>1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63</v>
      </c>
      <c r="D74" s="3"/>
      <c r="E74" s="3">
        <v>1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63</v>
      </c>
      <c r="D75" s="3"/>
      <c r="E75" s="3">
        <v>1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63</v>
      </c>
      <c r="D76" s="3"/>
      <c r="E76" s="3">
        <v>1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63</v>
      </c>
      <c r="D77" s="3"/>
      <c r="E77" s="3">
        <v>1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63</v>
      </c>
      <c r="D78" s="3"/>
      <c r="E78" s="3">
        <v>1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63</v>
      </c>
      <c r="D79" s="3"/>
      <c r="E79" s="3">
        <v>1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222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58</v>
      </c>
      <c r="D82" s="3"/>
      <c r="E82" s="3">
        <v>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58</v>
      </c>
      <c r="D83" s="3"/>
      <c r="E83" s="3">
        <v>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58</v>
      </c>
      <c r="D84" s="3"/>
      <c r="E84" s="3">
        <v>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58</v>
      </c>
      <c r="D85" s="3"/>
      <c r="E85" s="3">
        <v>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58</v>
      </c>
      <c r="D86" s="3"/>
      <c r="E86" s="3">
        <v>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58</v>
      </c>
      <c r="D87" s="3"/>
      <c r="E87" s="3">
        <v>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58</v>
      </c>
      <c r="D88" s="3"/>
      <c r="E88" s="3">
        <v>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58</v>
      </c>
      <c r="D89" s="3"/>
      <c r="E89" s="3">
        <v>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58</v>
      </c>
      <c r="D90" s="3"/>
      <c r="E90" s="3">
        <v>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58</v>
      </c>
      <c r="D91" s="3"/>
      <c r="E91" s="3">
        <v>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58</v>
      </c>
      <c r="D92" s="3"/>
      <c r="E92" s="3">
        <v>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58</v>
      </c>
      <c r="D93" s="3"/>
      <c r="E93" s="3">
        <v>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58</v>
      </c>
      <c r="D94" s="3"/>
      <c r="E94" s="3">
        <v>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58</v>
      </c>
      <c r="D95" s="3"/>
      <c r="E95" s="3">
        <v>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223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58</v>
      </c>
      <c r="D98" s="3"/>
      <c r="E98" s="3">
        <v>1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58</v>
      </c>
      <c r="D99" s="3"/>
      <c r="E99" s="3">
        <v>1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58</v>
      </c>
      <c r="D100" s="3"/>
      <c r="E100" s="3">
        <v>1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58</v>
      </c>
      <c r="D101" s="3"/>
      <c r="E101" s="3">
        <v>1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58</v>
      </c>
      <c r="D102" s="3"/>
      <c r="E102" s="3">
        <v>1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58</v>
      </c>
      <c r="D103" s="3"/>
      <c r="E103" s="3">
        <v>1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58</v>
      </c>
      <c r="D104" s="3"/>
      <c r="E104" s="3">
        <v>1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58</v>
      </c>
      <c r="D105" s="3"/>
      <c r="E105" s="3">
        <v>1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58</v>
      </c>
      <c r="D106" s="3"/>
      <c r="E106" s="3">
        <v>1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58</v>
      </c>
      <c r="D107" s="3"/>
      <c r="E107" s="3">
        <v>1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58</v>
      </c>
      <c r="D108" s="3"/>
      <c r="E108" s="3">
        <v>1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58</v>
      </c>
      <c r="D109" s="3"/>
      <c r="E109" s="3">
        <v>1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58</v>
      </c>
      <c r="D110" s="3"/>
      <c r="E110" s="3">
        <v>1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58</v>
      </c>
      <c r="D111" s="3"/>
      <c r="E111" s="3">
        <v>1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"Probability (per year)"</formula1>
    </dataValidation>
    <dataValidation type="list" allowBlank="1" showInputMessage="1" showErrorMessage="1" sqref="C3">
      <formula1>"Probability (per year)"</formula1>
    </dataValidation>
    <dataValidation type="list" allowBlank="1" showInputMessage="1" showErrorMessage="1" sqref="C4">
      <formula1>"Probability (per year)"</formula1>
    </dataValidation>
    <dataValidation type="list" allowBlank="1" showInputMessage="1" showErrorMessage="1" sqref="C5">
      <formula1>"Probability (per year)"</formula1>
    </dataValidation>
    <dataValidation type="list" allowBlank="1" showInputMessage="1" showErrorMessage="1" sqref="C6">
      <formula1>"Probability (per year)"</formula1>
    </dataValidation>
    <dataValidation type="list" allowBlank="1" showInputMessage="1" showErrorMessage="1" sqref="C7">
      <formula1>"Probability (per year)"</formula1>
    </dataValidation>
    <dataValidation type="list" allowBlank="1" showInputMessage="1" showErrorMessage="1" sqref="C8">
      <formula1>"Probability (per year)"</formula1>
    </dataValidation>
    <dataValidation type="list" allowBlank="1" showInputMessage="1" showErrorMessage="1" sqref="C9">
      <formula1>"Probability (per year)"</formula1>
    </dataValidation>
    <dataValidation type="list" allowBlank="1" showInputMessage="1" showErrorMessage="1" sqref="C10">
      <formula1>"Probability (per year)"</formula1>
    </dataValidation>
    <dataValidation type="list" allowBlank="1" showInputMessage="1" showErrorMessage="1" sqref="C11">
      <formula1>"Probability (per year)"</formula1>
    </dataValidation>
    <dataValidation type="list" allowBlank="1" showInputMessage="1" showErrorMessage="1" sqref="C12">
      <formula1>"Probability (per year)"</formula1>
    </dataValidation>
    <dataValidation type="list" allowBlank="1" showInputMessage="1" showErrorMessage="1" sqref="C13">
      <formula1>"Probability (per year)"</formula1>
    </dataValidation>
    <dataValidation type="list" allowBlank="1" showInputMessage="1" showErrorMessage="1" sqref="C14">
      <formula1>"Probability (per year)"</formula1>
    </dataValidation>
    <dataValidation type="list" allowBlank="1" showInputMessage="1" showErrorMessage="1" sqref="C15">
      <formula1>"Probability (per year)"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4">
      <formula1>"N.A."</formula1>
    </dataValidation>
    <dataValidation type="list" allowBlank="1" showInputMessage="1" showErrorMessage="1" sqref="C105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808080"/>
  </sheetPr>
  <dimension ref="A1:BG433"/>
  <sheetViews>
    <sheetView workbookViewId="0"/>
  </sheetViews>
  <sheetFormatPr defaultRowHeight="15"/>
  <cols>
    <col min="1" max="1" width="25.85546875" customWidth="1"/>
    <col min="2" max="2" width="35.85546875" customWidth="1"/>
    <col min="3" max="3" width="25.85546875" customWidth="1"/>
    <col min="4" max="4" width="30.28515625" customWidth="1"/>
    <col min="5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224</v>
      </c>
      <c r="B2" t="s">
        <v>225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5" t="s">
        <v>228</v>
      </c>
      <c r="C5" s="5" t="s">
        <v>228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228</v>
      </c>
      <c r="C6" s="5" t="s">
        <v>228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5" t="s">
        <v>229</v>
      </c>
      <c r="E7" s="5" t="s">
        <v>229</v>
      </c>
      <c r="F7" s="5" t="s">
        <v>229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5" t="s">
        <v>229</v>
      </c>
      <c r="F8" s="5" t="s">
        <v>229</v>
      </c>
      <c r="G8" s="5" t="s">
        <v>229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5" t="s">
        <v>229</v>
      </c>
      <c r="G9" s="5" t="s">
        <v>229</v>
      </c>
      <c r="H9" s="5" t="s">
        <v>229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5" t="s">
        <v>229</v>
      </c>
      <c r="H10" s="5" t="s">
        <v>229</v>
      </c>
      <c r="I10" s="5" t="s">
        <v>229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5" t="s">
        <v>229</v>
      </c>
      <c r="I11" s="5" t="s">
        <v>229</v>
      </c>
      <c r="J11" s="5" t="s">
        <v>229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5" t="s">
        <v>229</v>
      </c>
      <c r="J12" s="5" t="s">
        <v>229</v>
      </c>
      <c r="K12" s="5" t="s">
        <v>229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5" t="s">
        <v>229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5" t="s">
        <v>229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5" t="s">
        <v>229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5" t="s">
        <v>229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5" t="s">
        <v>228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5" t="s">
        <v>228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PWID_males</v>
      </c>
      <c r="B21" s="4" t="str">
        <f>IF($B$5="Y","---&gt;","...")</f>
        <v>---&gt;</v>
      </c>
      <c r="C21" s="1" t="str">
        <f>IF($B$5="Y",'Population Definitions'!$A$2,"...")</f>
        <v>PWID_males</v>
      </c>
      <c r="D21" t="s">
        <v>62</v>
      </c>
      <c r="E21" s="3" t="s">
        <v>58</v>
      </c>
      <c r="F21" s="3"/>
      <c r="G21" s="3">
        <v>1</v>
      </c>
      <c r="H21" s="4" t="str">
        <f>IF($B$5="Y","OR","...")</f>
        <v>OR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</row>
    <row r="22" spans="1:59">
      <c r="A22" s="1" t="str">
        <f>IF($C$5="Y",'Population Definitions'!$A$2,"...")</f>
        <v>PWID_males</v>
      </c>
      <c r="B22" s="4" t="str">
        <f>IF($C$5="Y","---&gt;","...")</f>
        <v>---&gt;</v>
      </c>
      <c r="C22" s="1" t="str">
        <f>IF($C$5="Y",'Population Definitions'!$A$3,"...")</f>
        <v>PWID_females</v>
      </c>
      <c r="D22" t="s">
        <v>62</v>
      </c>
      <c r="E22" s="3" t="s">
        <v>58</v>
      </c>
      <c r="F22" s="3"/>
      <c r="G22" s="3">
        <v>1</v>
      </c>
      <c r="H22" s="4" t="str">
        <f>IF($C$5="Y","OR","...")</f>
        <v>OR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PWID_females</v>
      </c>
      <c r="B35" s="4" t="str">
        <f>IF($B$6="Y","---&gt;","...")</f>
        <v>---&gt;</v>
      </c>
      <c r="C35" s="1" t="str">
        <f>IF($B$6="Y",'Population Definitions'!$A$2,"...")</f>
        <v>PWID_males</v>
      </c>
      <c r="D35" t="s">
        <v>62</v>
      </c>
      <c r="E35" s="3" t="s">
        <v>58</v>
      </c>
      <c r="F35" s="3"/>
      <c r="G35" s="3">
        <v>1</v>
      </c>
      <c r="H35" s="4" t="str">
        <f>IF($B$6="Y","OR","...")</f>
        <v>OR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</row>
    <row r="36" spans="1:59">
      <c r="A36" s="1" t="str">
        <f>IF($C$6="Y",'Population Definitions'!$A$3,"...")</f>
        <v>PWID_females</v>
      </c>
      <c r="B36" s="4" t="str">
        <f>IF($C$6="Y","---&gt;","...")</f>
        <v>---&gt;</v>
      </c>
      <c r="C36" s="1" t="str">
        <f>IF($C$6="Y",'Population Definitions'!$A$3,"...")</f>
        <v>PWID_females</v>
      </c>
      <c r="D36" t="s">
        <v>62</v>
      </c>
      <c r="E36" s="3" t="s">
        <v>58</v>
      </c>
      <c r="F36" s="3"/>
      <c r="G36" s="3">
        <v>1</v>
      </c>
      <c r="H36" s="4" t="str">
        <f>IF($C$6="Y","OR","...")</f>
        <v>OR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...</v>
      </c>
      <c r="B53" s="4" t="str">
        <f>IF($F$7="Y","---&gt;","...")</f>
        <v>...</v>
      </c>
      <c r="C53" s="1" t="str">
        <f>IF($F$7="Y",'Population Definitions'!$A$6,"...")</f>
        <v>...</v>
      </c>
      <c r="E53" s="2"/>
      <c r="F53" s="3"/>
      <c r="G53" s="2"/>
      <c r="H53" s="4" t="str">
        <f>IF($F$7="Y","OR","...")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...</v>
      </c>
      <c r="B68" s="4" t="str">
        <f>IF($G$8="Y","---&gt;","...")</f>
        <v>...</v>
      </c>
      <c r="C68" s="1" t="str">
        <f>IF($G$8="Y",'Population Definitions'!$A$7,"...")</f>
        <v>...</v>
      </c>
      <c r="E68" s="2"/>
      <c r="F68" s="3"/>
      <c r="G68" s="2"/>
      <c r="H68" s="4" t="str">
        <f>IF($G$8="Y","OR","...")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...</v>
      </c>
      <c r="B83" s="4" t="str">
        <f>IF($H$9="Y","---&gt;","...")</f>
        <v>...</v>
      </c>
      <c r="C83" s="1" t="str">
        <f>IF($H$9="Y",'Population Definitions'!$A$8,"...")</f>
        <v>...</v>
      </c>
      <c r="E83" s="2"/>
      <c r="F83" s="3"/>
      <c r="G83" s="2"/>
      <c r="H83" s="4" t="str">
        <f>IF($H$9="Y","OR","...")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...</v>
      </c>
      <c r="B98" s="4" t="str">
        <f>IF($I$10="Y","---&gt;","...")</f>
        <v>...</v>
      </c>
      <c r="C98" s="1" t="str">
        <f>IF($I$10="Y",'Population Definitions'!$A$9,"...")</f>
        <v>...</v>
      </c>
      <c r="E98" s="2"/>
      <c r="F98" s="3"/>
      <c r="G98" s="2"/>
      <c r="H98" s="4" t="str">
        <f>IF($I$10="Y","OR","...")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...</v>
      </c>
      <c r="B113" s="4" t="str">
        <f>IF($J$11="Y","---&gt;","...")</f>
        <v>...</v>
      </c>
      <c r="C113" s="1" t="str">
        <f>IF($J$11="Y",'Population Definitions'!$A$10,"...")</f>
        <v>...</v>
      </c>
      <c r="E113" s="2"/>
      <c r="F113" s="3"/>
      <c r="G113" s="2"/>
      <c r="H113" s="4" t="str">
        <f>IF($J$11="Y","OR","...")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...</v>
      </c>
      <c r="B128" s="4" t="str">
        <f>IF($K$12="Y","---&gt;","...")</f>
        <v>...</v>
      </c>
      <c r="C128" s="1" t="str">
        <f>IF($K$12="Y",'Population Definitions'!$A$11,"...")</f>
        <v>...</v>
      </c>
      <c r="E128" s="2"/>
      <c r="F128" s="3"/>
      <c r="G128" s="2"/>
      <c r="H128" s="4" t="str">
        <f>IF($K$12="Y","OR","...")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Prisoners_PWID_males</v>
      </c>
      <c r="B201" s="4" t="str">
        <f>IF($N$17="Y","---&gt;","...")</f>
        <v>---&gt;</v>
      </c>
      <c r="C201" s="1" t="str">
        <f>IF($N$17="Y",'Population Definitions'!$A$14,"...")</f>
        <v>Prisoners_PWID_males</v>
      </c>
      <c r="D201" t="s">
        <v>62</v>
      </c>
      <c r="E201" s="3" t="s">
        <v>58</v>
      </c>
      <c r="F201" s="3"/>
      <c r="G201" s="3">
        <v>1</v>
      </c>
      <c r="H201" s="4" t="str">
        <f>IF($N$17="Y","OR","...")</f>
        <v>OR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Prisoners_PWID_females</v>
      </c>
      <c r="B216" s="4" t="str">
        <f>IF($O$18="Y","---&gt;","...")</f>
        <v>---&gt;</v>
      </c>
      <c r="C216" s="1" t="str">
        <f>IF($O$18="Y",'Population Definitions'!$A$15,"...")</f>
        <v>Prisoners_PWID_females</v>
      </c>
      <c r="D216" t="s">
        <v>62</v>
      </c>
      <c r="E216" s="3" t="s">
        <v>58</v>
      </c>
      <c r="F216" s="3"/>
      <c r="G216" s="3">
        <v>1</v>
      </c>
      <c r="H216" s="4" t="str">
        <f>IF($O$18="Y","OR","...")</f>
        <v>OR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428</v>
      </c>
      <c r="B219" t="s">
        <v>429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5" t="s">
        <v>229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229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5" t="s">
        <v>229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229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5" t="s">
        <v>229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5" t="s">
        <v>229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5" t="s">
        <v>229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5" t="s">
        <v>229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229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5" t="s">
        <v>228</v>
      </c>
      <c r="I228" s="5" t="s">
        <v>228</v>
      </c>
      <c r="J228" s="5" t="s">
        <v>228</v>
      </c>
      <c r="K228" s="5" t="s">
        <v>228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229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228</v>
      </c>
      <c r="I229" s="5" t="s">
        <v>228</v>
      </c>
      <c r="J229" s="5" t="s">
        <v>228</v>
      </c>
      <c r="K229" s="5" t="s">
        <v>228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228</v>
      </c>
      <c r="I230" s="5" t="s">
        <v>228</v>
      </c>
      <c r="J230" s="5" t="s">
        <v>228</v>
      </c>
      <c r="K230" s="5" t="s">
        <v>228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228</v>
      </c>
      <c r="I231" s="5" t="s">
        <v>228</v>
      </c>
      <c r="J231" s="5" t="s">
        <v>228</v>
      </c>
      <c r="K231" s="5" t="s">
        <v>228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5" t="s">
        <v>229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5" t="s">
        <v>229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5" t="s">
        <v>229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5" t="s">
        <v>229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...</v>
      </c>
      <c r="B244" s="4" t="str">
        <f>IF($H$222="Y","---&gt;","...")</f>
        <v>...</v>
      </c>
      <c r="C244" s="1" t="str">
        <f>IF($H$222="Y",'Population Definitions'!$A$8,"...")</f>
        <v>...</v>
      </c>
      <c r="E244" s="2"/>
      <c r="F244" s="3"/>
      <c r="G244" s="2"/>
      <c r="H244" s="4" t="str">
        <f>IF($H$222="Y","OR","...")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...</v>
      </c>
      <c r="B259" s="4" t="str">
        <f>IF($I$223="Y","---&gt;","...")</f>
        <v>...</v>
      </c>
      <c r="C259" s="1" t="str">
        <f>IF($I$223="Y",'Population Definitions'!$A$9,"...")</f>
        <v>...</v>
      </c>
      <c r="E259" s="2"/>
      <c r="F259" s="3"/>
      <c r="G259" s="2"/>
      <c r="H259" s="4" t="str">
        <f>IF($I$223="Y","OR","...")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...</v>
      </c>
      <c r="B322" s="4" t="str">
        <f>IF($B$228="Y","---&gt;","...")</f>
        <v>...</v>
      </c>
      <c r="C322" s="1" t="str">
        <f>IF($B$228="Y",'Population Definitions'!$A$2,"...")</f>
        <v>...</v>
      </c>
      <c r="E322" s="2"/>
      <c r="F322" s="3"/>
      <c r="G322" s="2"/>
      <c r="H322" s="4" t="str">
        <f>IF($B$228="Y","OR","...")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18-64_males</v>
      </c>
      <c r="B328" s="4" t="str">
        <f>IF($H$228="Y","---&gt;","...")</f>
        <v>---&gt;</v>
      </c>
      <c r="C328" s="1" t="str">
        <f>IF($H$228="Y",'Population Definitions'!$A$8,"...")</f>
        <v>18-64_males</v>
      </c>
      <c r="D328" t="s">
        <v>62</v>
      </c>
      <c r="E328" s="3" t="s">
        <v>58</v>
      </c>
      <c r="F328" s="3"/>
      <c r="G328" s="3">
        <v>1</v>
      </c>
      <c r="H328" s="4" t="str">
        <f>IF($H$228="Y","OR","...")</f>
        <v>OR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</row>
    <row r="329" spans="1:59">
      <c r="A329" s="1" t="str">
        <f>IF($I$228="Y",'Population Definitions'!$A$8,"...")</f>
        <v>18-64_males</v>
      </c>
      <c r="B329" s="4" t="str">
        <f>IF($I$228="Y","---&gt;","...")</f>
        <v>---&gt;</v>
      </c>
      <c r="C329" s="1" t="str">
        <f>IF($I$228="Y",'Population Definitions'!$A$9,"...")</f>
        <v>18-64_females</v>
      </c>
      <c r="D329" t="s">
        <v>62</v>
      </c>
      <c r="E329" s="3" t="s">
        <v>58</v>
      </c>
      <c r="F329" s="3"/>
      <c r="G329" s="3">
        <v>1</v>
      </c>
      <c r="H329" s="4" t="str">
        <f>IF($I$228="Y","OR","...")</f>
        <v>OR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</row>
    <row r="330" spans="1:59">
      <c r="A330" s="1" t="str">
        <f>IF($J$228="Y",'Population Definitions'!$A$8,"...")</f>
        <v>18-64_males</v>
      </c>
      <c r="B330" s="4" t="str">
        <f>IF($J$228="Y","---&gt;","...")</f>
        <v>---&gt;</v>
      </c>
      <c r="C330" s="1" t="str">
        <f>IF($J$228="Y",'Population Definitions'!$A$10,"...")</f>
        <v>65+_males</v>
      </c>
      <c r="D330" t="s">
        <v>62</v>
      </c>
      <c r="E330" s="3" t="s">
        <v>58</v>
      </c>
      <c r="F330" s="3"/>
      <c r="G330" s="3">
        <v>1</v>
      </c>
      <c r="H330" s="4" t="str">
        <f>IF($J$228="Y","OR","...")</f>
        <v>OR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</row>
    <row r="331" spans="1:59">
      <c r="A331" s="1" t="str">
        <f>IF($K$228="Y",'Population Definitions'!$A$8,"...")</f>
        <v>18-64_males</v>
      </c>
      <c r="B331" s="4" t="str">
        <f>IF($K$228="Y","---&gt;","...")</f>
        <v>---&gt;</v>
      </c>
      <c r="C331" s="1" t="str">
        <f>IF($K$228="Y",'Population Definitions'!$A$11,"...")</f>
        <v>65+_females</v>
      </c>
      <c r="D331" t="s">
        <v>62</v>
      </c>
      <c r="E331" s="3" t="s">
        <v>58</v>
      </c>
      <c r="F331" s="3"/>
      <c r="G331" s="3">
        <v>1</v>
      </c>
      <c r="H331" s="4" t="str">
        <f>IF($K$228="Y","OR","...")</f>
        <v>OR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...</v>
      </c>
      <c r="B337" s="4" t="str">
        <f>IF($C$229="Y","---&gt;","...")</f>
        <v>...</v>
      </c>
      <c r="C337" s="1" t="str">
        <f>IF($C$229="Y",'Population Definitions'!$A$3,"...")</f>
        <v>...</v>
      </c>
      <c r="E337" s="2"/>
      <c r="F337" s="3"/>
      <c r="G337" s="2"/>
      <c r="H337" s="4" t="str">
        <f>IF($C$229="Y","OR","...")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18-64_females</v>
      </c>
      <c r="B342" s="4" t="str">
        <f>IF($H$229="Y","---&gt;","...")</f>
        <v>---&gt;</v>
      </c>
      <c r="C342" s="1" t="str">
        <f>IF($H$229="Y",'Population Definitions'!$A$8,"...")</f>
        <v>18-64_males</v>
      </c>
      <c r="D342" t="s">
        <v>62</v>
      </c>
      <c r="E342" s="3" t="s">
        <v>58</v>
      </c>
      <c r="F342" s="3"/>
      <c r="G342" s="3">
        <v>1</v>
      </c>
      <c r="H342" s="4" t="str">
        <f>IF($H$229="Y","OR","...")</f>
        <v>OR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</row>
    <row r="343" spans="1:59">
      <c r="A343" s="1" t="str">
        <f>IF($I$229="Y",'Population Definitions'!$A$9,"...")</f>
        <v>18-64_females</v>
      </c>
      <c r="B343" s="4" t="str">
        <f>IF($I$229="Y","---&gt;","...")</f>
        <v>---&gt;</v>
      </c>
      <c r="C343" s="1" t="str">
        <f>IF($I$229="Y",'Population Definitions'!$A$9,"...")</f>
        <v>18-64_females</v>
      </c>
      <c r="D343" t="s">
        <v>62</v>
      </c>
      <c r="E343" s="3" t="s">
        <v>58</v>
      </c>
      <c r="F343" s="3"/>
      <c r="G343" s="3">
        <v>1</v>
      </c>
      <c r="H343" s="4" t="str">
        <f>IF($I$229="Y","OR","...")</f>
        <v>OR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</row>
    <row r="344" spans="1:59">
      <c r="A344" s="1" t="str">
        <f>IF($J$229="Y",'Population Definitions'!$A$9,"...")</f>
        <v>18-64_females</v>
      </c>
      <c r="B344" s="4" t="str">
        <f>IF($J$229="Y","---&gt;","...")</f>
        <v>---&gt;</v>
      </c>
      <c r="C344" s="1" t="str">
        <f>IF($J$229="Y",'Population Definitions'!$A$10,"...")</f>
        <v>65+_males</v>
      </c>
      <c r="D344" t="s">
        <v>62</v>
      </c>
      <c r="E344" s="3" t="s">
        <v>58</v>
      </c>
      <c r="F344" s="3"/>
      <c r="G344" s="3">
        <v>1</v>
      </c>
      <c r="H344" s="4" t="str">
        <f>IF($J$229="Y","OR","...")</f>
        <v>OR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</row>
    <row r="345" spans="1:59">
      <c r="A345" s="1" t="str">
        <f>IF($K$229="Y",'Population Definitions'!$A$9,"...")</f>
        <v>18-64_females</v>
      </c>
      <c r="B345" s="4" t="str">
        <f>IF($K$229="Y","---&gt;","...")</f>
        <v>---&gt;</v>
      </c>
      <c r="C345" s="1" t="str">
        <f>IF($K$229="Y",'Population Definitions'!$A$11,"...")</f>
        <v>65+_females</v>
      </c>
      <c r="D345" t="s">
        <v>62</v>
      </c>
      <c r="E345" s="3" t="s">
        <v>58</v>
      </c>
      <c r="F345" s="3"/>
      <c r="G345" s="3">
        <v>1</v>
      </c>
      <c r="H345" s="4" t="str">
        <f>IF($K$229="Y","OR","...")</f>
        <v>OR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65+_males</v>
      </c>
      <c r="B356" s="4" t="str">
        <f>IF($H$230="Y","---&gt;","...")</f>
        <v>---&gt;</v>
      </c>
      <c r="C356" s="1" t="str">
        <f>IF($H$230="Y",'Population Definitions'!$A$8,"...")</f>
        <v>18-64_males</v>
      </c>
      <c r="D356" t="s">
        <v>62</v>
      </c>
      <c r="E356" s="3" t="s">
        <v>58</v>
      </c>
      <c r="F356" s="3"/>
      <c r="G356" s="3">
        <v>1</v>
      </c>
      <c r="H356" s="4" t="str">
        <f>IF($H$230="Y","OR","...")</f>
        <v>OR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</row>
    <row r="357" spans="1:59">
      <c r="A357" s="1" t="str">
        <f>IF($I$230="Y",'Population Definitions'!$A$10,"...")</f>
        <v>65+_males</v>
      </c>
      <c r="B357" s="4" t="str">
        <f>IF($I$230="Y","---&gt;","...")</f>
        <v>---&gt;</v>
      </c>
      <c r="C357" s="1" t="str">
        <f>IF($I$230="Y",'Population Definitions'!$A$9,"...")</f>
        <v>18-64_females</v>
      </c>
      <c r="D357" t="s">
        <v>62</v>
      </c>
      <c r="E357" s="3" t="s">
        <v>58</v>
      </c>
      <c r="F357" s="3"/>
      <c r="G357" s="3">
        <v>1</v>
      </c>
      <c r="H357" s="4" t="str">
        <f>IF($I$230="Y","OR","...")</f>
        <v>OR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</row>
    <row r="358" spans="1:59">
      <c r="A358" s="1" t="str">
        <f>IF($J$230="Y",'Population Definitions'!$A$10,"...")</f>
        <v>65+_males</v>
      </c>
      <c r="B358" s="4" t="str">
        <f>IF($J$230="Y","---&gt;","...")</f>
        <v>---&gt;</v>
      </c>
      <c r="C358" s="1" t="str">
        <f>IF($J$230="Y",'Population Definitions'!$A$10,"...")</f>
        <v>65+_males</v>
      </c>
      <c r="D358" t="s">
        <v>62</v>
      </c>
      <c r="E358" s="3" t="s">
        <v>58</v>
      </c>
      <c r="F358" s="3"/>
      <c r="G358" s="3">
        <v>1</v>
      </c>
      <c r="H358" s="4" t="str">
        <f>IF($J$230="Y","OR","...")</f>
        <v>OR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</row>
    <row r="359" spans="1:59">
      <c r="A359" s="1" t="str">
        <f>IF($K$230="Y",'Population Definitions'!$A$10,"...")</f>
        <v>65+_males</v>
      </c>
      <c r="B359" s="4" t="str">
        <f>IF($K$230="Y","---&gt;","...")</f>
        <v>---&gt;</v>
      </c>
      <c r="C359" s="1" t="str">
        <f>IF($K$230="Y",'Population Definitions'!$A$11,"...")</f>
        <v>65+_females</v>
      </c>
      <c r="D359" t="s">
        <v>62</v>
      </c>
      <c r="E359" s="3" t="s">
        <v>58</v>
      </c>
      <c r="F359" s="3"/>
      <c r="G359" s="3">
        <v>1</v>
      </c>
      <c r="H359" s="4" t="str">
        <f>IF($K$230="Y","OR","...")</f>
        <v>OR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65+_females</v>
      </c>
      <c r="B370" s="4" t="str">
        <f>IF($H$231="Y","---&gt;","...")</f>
        <v>---&gt;</v>
      </c>
      <c r="C370" s="1" t="str">
        <f>IF($H$231="Y",'Population Definitions'!$A$8,"...")</f>
        <v>18-64_males</v>
      </c>
      <c r="D370" t="s">
        <v>62</v>
      </c>
      <c r="E370" s="3" t="s">
        <v>58</v>
      </c>
      <c r="F370" s="3"/>
      <c r="G370" s="3">
        <v>1</v>
      </c>
      <c r="H370" s="4" t="str">
        <f>IF($H$231="Y","OR","...")</f>
        <v>OR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</row>
    <row r="371" spans="1:59">
      <c r="A371" s="1" t="str">
        <f>IF($I$231="Y",'Population Definitions'!$A$11,"...")</f>
        <v>65+_females</v>
      </c>
      <c r="B371" s="4" t="str">
        <f>IF($I$231="Y","---&gt;","...")</f>
        <v>---&gt;</v>
      </c>
      <c r="C371" s="1" t="str">
        <f>IF($I$231="Y",'Population Definitions'!$A$9,"...")</f>
        <v>18-64_females</v>
      </c>
      <c r="D371" t="s">
        <v>62</v>
      </c>
      <c r="E371" s="3" t="s">
        <v>58</v>
      </c>
      <c r="F371" s="3"/>
      <c r="G371" s="3">
        <v>1</v>
      </c>
      <c r="H371" s="4" t="str">
        <f>IF($I$231="Y","OR","...")</f>
        <v>OR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</row>
    <row r="372" spans="1:59">
      <c r="A372" s="1" t="str">
        <f>IF($J$231="Y",'Population Definitions'!$A$11,"...")</f>
        <v>65+_females</v>
      </c>
      <c r="B372" s="4" t="str">
        <f>IF($J$231="Y","---&gt;","...")</f>
        <v>---&gt;</v>
      </c>
      <c r="C372" s="1" t="str">
        <f>IF($J$231="Y",'Population Definitions'!$A$10,"...")</f>
        <v>65+_males</v>
      </c>
      <c r="D372" t="s">
        <v>62</v>
      </c>
      <c r="E372" s="3" t="s">
        <v>58</v>
      </c>
      <c r="F372" s="3"/>
      <c r="G372" s="3">
        <v>1</v>
      </c>
      <c r="H372" s="4" t="str">
        <f>IF($J$231="Y","OR","...")</f>
        <v>OR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</row>
    <row r="373" spans="1:59">
      <c r="A373" s="1" t="str">
        <f>IF($K$231="Y",'Population Definitions'!$A$11,"...")</f>
        <v>65+_females</v>
      </c>
      <c r="B373" s="4" t="str">
        <f>IF($K$231="Y","---&gt;","...")</f>
        <v>---&gt;</v>
      </c>
      <c r="C373" s="1" t="str">
        <f>IF($K$231="Y",'Population Definitions'!$A$11,"...")</f>
        <v>65+_females</v>
      </c>
      <c r="D373" t="s">
        <v>62</v>
      </c>
      <c r="E373" s="3" t="s">
        <v>58</v>
      </c>
      <c r="F373" s="3"/>
      <c r="G373" s="3">
        <v>1</v>
      </c>
      <c r="H373" s="4" t="str">
        <f>IF($K$231="Y","OR","...")</f>
        <v>OR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</sheetData>
  <conditionalFormatting sqref="B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B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B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B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B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B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B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B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8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B222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B223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24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B225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B226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B227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B2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B229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B230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B231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B232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B233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B234">
    <cfRule type="cellIs" dxfId="2" priority="1317" operator="equal">
      <formula>"Y"</formula>
    </cfRule>
    <cfRule type="cellIs" dxfId="3" priority="1318" operator="equal">
      <formula>"N"</formula>
    </cfRule>
  </conditionalFormatting>
  <conditionalFormatting sqref="B235">
    <cfRule type="cellIs" dxfId="2" priority="1345" operator="equal">
      <formula>"Y"</formula>
    </cfRule>
    <cfRule type="cellIs" dxfId="3" priority="134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B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B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B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C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C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C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C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C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C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C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C17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8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C222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C223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24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C225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C226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C227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C2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C229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C230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C231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C232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C233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C234">
    <cfRule type="cellIs" dxfId="2" priority="1319" operator="equal">
      <formula>"Y"</formula>
    </cfRule>
    <cfRule type="cellIs" dxfId="3" priority="1320" operator="equal">
      <formula>"N"</formula>
    </cfRule>
  </conditionalFormatting>
  <conditionalFormatting sqref="C235">
    <cfRule type="cellIs" dxfId="2" priority="1347" operator="equal">
      <formula>"Y"</formula>
    </cfRule>
    <cfRule type="cellIs" dxfId="3" priority="134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C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C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C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D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D100:BG100">
    <cfRule type="expression" dxfId="4" priority="632">
      <formula>$K$10&lt;&gt;"Y"</formula>
    </cfRule>
  </conditionalFormatting>
  <conditionalFormatting sqref="D101:BG101">
    <cfRule type="expression" dxfId="4" priority="635">
      <formula>$L$10&lt;&gt;"Y"</formula>
    </cfRule>
  </conditionalFormatting>
  <conditionalFormatting sqref="D102:BG102">
    <cfRule type="expression" dxfId="4" priority="638">
      <formula>$M$10&lt;&gt;"Y"</formula>
    </cfRule>
  </conditionalFormatting>
  <conditionalFormatting sqref="D103:BG103">
    <cfRule type="expression" dxfId="4" priority="641">
      <formula>$N$10&lt;&gt;"Y"</formula>
    </cfRule>
  </conditionalFormatting>
  <conditionalFormatting sqref="D104:BG104">
    <cfRule type="expression" dxfId="4" priority="644">
      <formula>$O$10&lt;&gt;"Y"</formula>
    </cfRule>
  </conditionalFormatting>
  <conditionalFormatting sqref="D105:BG105">
    <cfRule type="expression" dxfId="4" priority="647">
      <formula>$B$11&lt;&gt;"Y"</formula>
    </cfRule>
  </conditionalFormatting>
  <conditionalFormatting sqref="D106:BG106">
    <cfRule type="expression" dxfId="4" priority="650">
      <formula>$C$11&lt;&gt;"Y"</formula>
    </cfRule>
  </conditionalFormatting>
  <conditionalFormatting sqref="D107:BG107">
    <cfRule type="expression" dxfId="4" priority="653">
      <formula>$D$11&lt;&gt;"Y"</formula>
    </cfRule>
  </conditionalFormatting>
  <conditionalFormatting sqref="D108:BG108">
    <cfRule type="expression" dxfId="4" priority="656">
      <formula>$E$11&lt;&gt;"Y"</formula>
    </cfRule>
  </conditionalFormatting>
  <conditionalFormatting sqref="D109:BG109">
    <cfRule type="expression" dxfId="4" priority="659">
      <formula>$F$11&lt;&gt;"Y"</formula>
    </cfRule>
  </conditionalFormatting>
  <conditionalFormatting sqref="D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D110:BG110">
    <cfRule type="expression" dxfId="4" priority="662">
      <formula>$G$11&lt;&gt;"Y"</formula>
    </cfRule>
  </conditionalFormatting>
  <conditionalFormatting sqref="D111:BG111">
    <cfRule type="expression" dxfId="4" priority="665">
      <formula>$H$11&lt;&gt;"Y"</formula>
    </cfRule>
  </conditionalFormatting>
  <conditionalFormatting sqref="D112:BG112">
    <cfRule type="expression" dxfId="4" priority="668">
      <formula>$I$11&lt;&gt;"Y"</formula>
    </cfRule>
  </conditionalFormatting>
  <conditionalFormatting sqref="D113:BG113">
    <cfRule type="expression" dxfId="4" priority="671">
      <formula>$J$11&lt;&gt;"Y"</formula>
    </cfRule>
  </conditionalFormatting>
  <conditionalFormatting sqref="D114:BG114">
    <cfRule type="expression" dxfId="4" priority="674">
      <formula>$K$11&lt;&gt;"Y"</formula>
    </cfRule>
  </conditionalFormatting>
  <conditionalFormatting sqref="D115:BG115">
    <cfRule type="expression" dxfId="4" priority="677">
      <formula>$L$11&lt;&gt;"Y"</formula>
    </cfRule>
  </conditionalFormatting>
  <conditionalFormatting sqref="D116:BG116">
    <cfRule type="expression" dxfId="4" priority="680">
      <formula>$M$11&lt;&gt;"Y"</formula>
    </cfRule>
  </conditionalFormatting>
  <conditionalFormatting sqref="D117:BG117">
    <cfRule type="expression" dxfId="4" priority="683">
      <formula>$N$11&lt;&gt;"Y"</formula>
    </cfRule>
  </conditionalFormatting>
  <conditionalFormatting sqref="D118:BG118">
    <cfRule type="expression" dxfId="4" priority="686">
      <formula>$O$11&lt;&gt;"Y"</formula>
    </cfRule>
  </conditionalFormatting>
  <conditionalFormatting sqref="D119:BG119">
    <cfRule type="expression" dxfId="4" priority="689">
      <formula>$B$12&lt;&gt;"Y"</formula>
    </cfRule>
  </conditionalFormatting>
  <conditionalFormatting sqref="D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D120:BG120">
    <cfRule type="expression" dxfId="4" priority="692">
      <formula>$C$12&lt;&gt;"Y"</formula>
    </cfRule>
  </conditionalFormatting>
  <conditionalFormatting sqref="D121:BG121">
    <cfRule type="expression" dxfId="4" priority="695">
      <formula>$D$12&lt;&gt;"Y"</formula>
    </cfRule>
  </conditionalFormatting>
  <conditionalFormatting sqref="D122:BG122">
    <cfRule type="expression" dxfId="4" priority="698">
      <formula>$E$12&lt;&gt;"Y"</formula>
    </cfRule>
  </conditionalFormatting>
  <conditionalFormatting sqref="D123:BG123">
    <cfRule type="expression" dxfId="4" priority="701">
      <formula>$F$12&lt;&gt;"Y"</formula>
    </cfRule>
  </conditionalFormatting>
  <conditionalFormatting sqref="D124:BG124">
    <cfRule type="expression" dxfId="4" priority="704">
      <formula>$G$12&lt;&gt;"Y"</formula>
    </cfRule>
  </conditionalFormatting>
  <conditionalFormatting sqref="D125:BG125">
    <cfRule type="expression" dxfId="4" priority="707">
      <formula>$H$12&lt;&gt;"Y"</formula>
    </cfRule>
  </conditionalFormatting>
  <conditionalFormatting sqref="D126:BG126">
    <cfRule type="expression" dxfId="4" priority="710">
      <formula>$I$12&lt;&gt;"Y"</formula>
    </cfRule>
  </conditionalFormatting>
  <conditionalFormatting sqref="D127:BG127">
    <cfRule type="expression" dxfId="4" priority="713">
      <formula>$J$12&lt;&gt;"Y"</formula>
    </cfRule>
  </conditionalFormatting>
  <conditionalFormatting sqref="D128:BG128">
    <cfRule type="expression" dxfId="4" priority="716">
      <formula>$K$12&lt;&gt;"Y"</formula>
    </cfRule>
  </conditionalFormatting>
  <conditionalFormatting sqref="D129:BG129">
    <cfRule type="expression" dxfId="4" priority="719">
      <formula>$L$12&lt;&gt;"Y"</formula>
    </cfRule>
  </conditionalFormatting>
  <conditionalFormatting sqref="D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D130:BG130">
    <cfRule type="expression" dxfId="4" priority="722">
      <formula>$M$12&lt;&gt;"Y"</formula>
    </cfRule>
  </conditionalFormatting>
  <conditionalFormatting sqref="D131:BG131">
    <cfRule type="expression" dxfId="4" priority="725">
      <formula>$N$12&lt;&gt;"Y"</formula>
    </cfRule>
  </conditionalFormatting>
  <conditionalFormatting sqref="D132:BG132">
    <cfRule type="expression" dxfId="4" priority="728">
      <formula>$O$12&lt;&gt;"Y"</formula>
    </cfRule>
  </conditionalFormatting>
  <conditionalFormatting sqref="D133:BG133">
    <cfRule type="expression" dxfId="4" priority="731">
      <formula>$B$13&lt;&gt;"Y"</formula>
    </cfRule>
  </conditionalFormatting>
  <conditionalFormatting sqref="D134:BG134">
    <cfRule type="expression" dxfId="4" priority="734">
      <formula>$C$13&lt;&gt;"Y"</formula>
    </cfRule>
  </conditionalFormatting>
  <conditionalFormatting sqref="D135:BG135">
    <cfRule type="expression" dxfId="4" priority="737">
      <formula>$D$13&lt;&gt;"Y"</formula>
    </cfRule>
  </conditionalFormatting>
  <conditionalFormatting sqref="D136:BG136">
    <cfRule type="expression" dxfId="4" priority="740">
      <formula>$E$13&lt;&gt;"Y"</formula>
    </cfRule>
  </conditionalFormatting>
  <conditionalFormatting sqref="D137:BG137">
    <cfRule type="expression" dxfId="4" priority="743">
      <formula>$F$13&lt;&gt;"Y"</formula>
    </cfRule>
  </conditionalFormatting>
  <conditionalFormatting sqref="D138:BG138">
    <cfRule type="expression" dxfId="4" priority="746">
      <formula>$G$13&lt;&gt;"Y"</formula>
    </cfRule>
  </conditionalFormatting>
  <conditionalFormatting sqref="D139:BG139">
    <cfRule type="expression" dxfId="4" priority="749">
      <formula>$H$13&lt;&gt;"Y"</formula>
    </cfRule>
  </conditionalFormatting>
  <conditionalFormatting sqref="D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D140:BG140">
    <cfRule type="expression" dxfId="4" priority="752">
      <formula>$I$13&lt;&gt;"Y"</formula>
    </cfRule>
  </conditionalFormatting>
  <conditionalFormatting sqref="D141:BG141">
    <cfRule type="expression" dxfId="4" priority="755">
      <formula>$J$13&lt;&gt;"Y"</formula>
    </cfRule>
  </conditionalFormatting>
  <conditionalFormatting sqref="D142:BG142">
    <cfRule type="expression" dxfId="4" priority="758">
      <formula>$K$13&lt;&gt;"Y"</formula>
    </cfRule>
  </conditionalFormatting>
  <conditionalFormatting sqref="D143:BG143">
    <cfRule type="expression" dxfId="4" priority="761">
      <formula>$L$13&lt;&gt;"Y"</formula>
    </cfRule>
  </conditionalFormatting>
  <conditionalFormatting sqref="D144:BG144">
    <cfRule type="expression" dxfId="4" priority="764">
      <formula>$M$13&lt;&gt;"Y"</formula>
    </cfRule>
  </conditionalFormatting>
  <conditionalFormatting sqref="D145:BG145">
    <cfRule type="expression" dxfId="4" priority="767">
      <formula>$N$13&lt;&gt;"Y"</formula>
    </cfRule>
  </conditionalFormatting>
  <conditionalFormatting sqref="D146:BG146">
    <cfRule type="expression" dxfId="4" priority="770">
      <formula>$O$13&lt;&gt;"Y"</formula>
    </cfRule>
  </conditionalFormatting>
  <conditionalFormatting sqref="D147:BG147">
    <cfRule type="expression" dxfId="4" priority="773">
      <formula>$B$14&lt;&gt;"Y"</formula>
    </cfRule>
  </conditionalFormatting>
  <conditionalFormatting sqref="D148:BG148">
    <cfRule type="expression" dxfId="4" priority="776">
      <formula>$C$14&lt;&gt;"Y"</formula>
    </cfRule>
  </conditionalFormatting>
  <conditionalFormatting sqref="D149:BG149">
    <cfRule type="expression" dxfId="4" priority="779">
      <formula>$D$14&lt;&gt;"Y"</formula>
    </cfRule>
  </conditionalFormatting>
  <conditionalFormatting sqref="D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D150:BG150">
    <cfRule type="expression" dxfId="4" priority="782">
      <formula>$E$14&lt;&gt;"Y"</formula>
    </cfRule>
  </conditionalFormatting>
  <conditionalFormatting sqref="D151:BG151">
    <cfRule type="expression" dxfId="4" priority="785">
      <formula>$F$14&lt;&gt;"Y"</formula>
    </cfRule>
  </conditionalFormatting>
  <conditionalFormatting sqref="D152:BG152">
    <cfRule type="expression" dxfId="4" priority="788">
      <formula>$G$14&lt;&gt;"Y"</formula>
    </cfRule>
  </conditionalFormatting>
  <conditionalFormatting sqref="D153:BG153">
    <cfRule type="expression" dxfId="4" priority="791">
      <formula>$H$14&lt;&gt;"Y"</formula>
    </cfRule>
  </conditionalFormatting>
  <conditionalFormatting sqref="D154:BG154">
    <cfRule type="expression" dxfId="4" priority="794">
      <formula>$I$14&lt;&gt;"Y"</formula>
    </cfRule>
  </conditionalFormatting>
  <conditionalFormatting sqref="D155:BG155">
    <cfRule type="expression" dxfId="4" priority="797">
      <formula>$J$14&lt;&gt;"Y"</formula>
    </cfRule>
  </conditionalFormatting>
  <conditionalFormatting sqref="D156:BG156">
    <cfRule type="expression" dxfId="4" priority="800">
      <formula>$K$14&lt;&gt;"Y"</formula>
    </cfRule>
  </conditionalFormatting>
  <conditionalFormatting sqref="D157:BG157">
    <cfRule type="expression" dxfId="4" priority="803">
      <formula>$L$14&lt;&gt;"Y"</formula>
    </cfRule>
  </conditionalFormatting>
  <conditionalFormatting sqref="D158:BG158">
    <cfRule type="expression" dxfId="4" priority="806">
      <formula>$M$14&lt;&gt;"Y"</formula>
    </cfRule>
  </conditionalFormatting>
  <conditionalFormatting sqref="D159:BG159">
    <cfRule type="expression" dxfId="4" priority="809">
      <formula>$N$14&lt;&gt;"Y"</formula>
    </cfRule>
  </conditionalFormatting>
  <conditionalFormatting sqref="D16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D160:BG160">
    <cfRule type="expression" dxfId="4" priority="812">
      <formula>$O$14&lt;&gt;"Y"</formula>
    </cfRule>
  </conditionalFormatting>
  <conditionalFormatting sqref="D161:BG161">
    <cfRule type="expression" dxfId="4" priority="815">
      <formula>$B$15&lt;&gt;"Y"</formula>
    </cfRule>
  </conditionalFormatting>
  <conditionalFormatting sqref="D162:BG162">
    <cfRule type="expression" dxfId="4" priority="818">
      <formula>$C$15&lt;&gt;"Y"</formula>
    </cfRule>
  </conditionalFormatting>
  <conditionalFormatting sqref="D163:BG163">
    <cfRule type="expression" dxfId="4" priority="821">
      <formula>$D$15&lt;&gt;"Y"</formula>
    </cfRule>
  </conditionalFormatting>
  <conditionalFormatting sqref="D164:BG164">
    <cfRule type="expression" dxfId="4" priority="824">
      <formula>$E$15&lt;&gt;"Y"</formula>
    </cfRule>
  </conditionalFormatting>
  <conditionalFormatting sqref="D165:BG165">
    <cfRule type="expression" dxfId="4" priority="827">
      <formula>$F$15&lt;&gt;"Y"</formula>
    </cfRule>
  </conditionalFormatting>
  <conditionalFormatting sqref="D166:BG166">
    <cfRule type="expression" dxfId="4" priority="830">
      <formula>$G$15&lt;&gt;"Y"</formula>
    </cfRule>
  </conditionalFormatting>
  <conditionalFormatting sqref="D167:BG167">
    <cfRule type="expression" dxfId="4" priority="833">
      <formula>$H$15&lt;&gt;"Y"</formula>
    </cfRule>
  </conditionalFormatting>
  <conditionalFormatting sqref="D168:BG168">
    <cfRule type="expression" dxfId="4" priority="836">
      <formula>$I$15&lt;&gt;"Y"</formula>
    </cfRule>
  </conditionalFormatting>
  <conditionalFormatting sqref="D169:BG169">
    <cfRule type="expression" dxfId="4" priority="839">
      <formula>$J$15&lt;&gt;"Y"</formula>
    </cfRule>
  </conditionalFormatting>
  <conditionalFormatting sqref="D17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70:BG170">
    <cfRule type="expression" dxfId="4" priority="842">
      <formula>$K$15&lt;&gt;"Y"</formula>
    </cfRule>
  </conditionalFormatting>
  <conditionalFormatting sqref="D171:BG171">
    <cfRule type="expression" dxfId="4" priority="845">
      <formula>$L$15&lt;&gt;"Y"</formula>
    </cfRule>
  </conditionalFormatting>
  <conditionalFormatting sqref="D172:BG172">
    <cfRule type="expression" dxfId="4" priority="848">
      <formula>$M$15&lt;&gt;"Y"</formula>
    </cfRule>
  </conditionalFormatting>
  <conditionalFormatting sqref="D173:BG173">
    <cfRule type="expression" dxfId="4" priority="851">
      <formula>$N$15&lt;&gt;"Y"</formula>
    </cfRule>
  </conditionalFormatting>
  <conditionalFormatting sqref="D174:BG174">
    <cfRule type="expression" dxfId="4" priority="854">
      <formula>$O$15&lt;&gt;"Y"</formula>
    </cfRule>
  </conditionalFormatting>
  <conditionalFormatting sqref="D175:BG175">
    <cfRule type="expression" dxfId="4" priority="857">
      <formula>$B$16&lt;&gt;"Y"</formula>
    </cfRule>
  </conditionalFormatting>
  <conditionalFormatting sqref="D176:BG176">
    <cfRule type="expression" dxfId="4" priority="860">
      <formula>$C$16&lt;&gt;"Y"</formula>
    </cfRule>
  </conditionalFormatting>
  <conditionalFormatting sqref="D177:BG177">
    <cfRule type="expression" dxfId="4" priority="863">
      <formula>$D$16&lt;&gt;"Y"</formula>
    </cfRule>
  </conditionalFormatting>
  <conditionalFormatting sqref="D178:BG178">
    <cfRule type="expression" dxfId="4" priority="866">
      <formula>$E$16&lt;&gt;"Y"</formula>
    </cfRule>
  </conditionalFormatting>
  <conditionalFormatting sqref="D179:BG179">
    <cfRule type="expression" dxfId="4" priority="869">
      <formula>$F$16&lt;&gt;"Y"</formula>
    </cfRule>
  </conditionalFormatting>
  <conditionalFormatting sqref="D18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D180:BG180">
    <cfRule type="expression" dxfId="4" priority="872">
      <formula>$G$16&lt;&gt;"Y"</formula>
    </cfRule>
  </conditionalFormatting>
  <conditionalFormatting sqref="D181:BG181">
    <cfRule type="expression" dxfId="4" priority="875">
      <formula>$H$16&lt;&gt;"Y"</formula>
    </cfRule>
  </conditionalFormatting>
  <conditionalFormatting sqref="D182:BG182">
    <cfRule type="expression" dxfId="4" priority="878">
      <formula>$I$16&lt;&gt;"Y"</formula>
    </cfRule>
  </conditionalFormatting>
  <conditionalFormatting sqref="D183:BG183">
    <cfRule type="expression" dxfId="4" priority="881">
      <formula>$J$16&lt;&gt;"Y"</formula>
    </cfRule>
  </conditionalFormatting>
  <conditionalFormatting sqref="D184:BG184">
    <cfRule type="expression" dxfId="4" priority="884">
      <formula>$K$16&lt;&gt;"Y"</formula>
    </cfRule>
  </conditionalFormatting>
  <conditionalFormatting sqref="D185:BG185">
    <cfRule type="expression" dxfId="4" priority="887">
      <formula>$L$16&lt;&gt;"Y"</formula>
    </cfRule>
  </conditionalFormatting>
  <conditionalFormatting sqref="D186:BG186">
    <cfRule type="expression" dxfId="4" priority="890">
      <formula>$M$16&lt;&gt;"Y"</formula>
    </cfRule>
  </conditionalFormatting>
  <conditionalFormatting sqref="D187:BG187">
    <cfRule type="expression" dxfId="4" priority="893">
      <formula>$N$16&lt;&gt;"Y"</formula>
    </cfRule>
  </conditionalFormatting>
  <conditionalFormatting sqref="D188:BG188">
    <cfRule type="expression" dxfId="4" priority="896">
      <formula>$O$16&lt;&gt;"Y"</formula>
    </cfRule>
  </conditionalFormatting>
  <conditionalFormatting sqref="D189:BG189">
    <cfRule type="expression" dxfId="4" priority="899">
      <formula>$B$17&lt;&gt;"Y"</formula>
    </cfRule>
  </conditionalFormatting>
  <conditionalFormatting sqref="D190:BG190">
    <cfRule type="expression" dxfId="4" priority="902">
      <formula>$C$17&lt;&gt;"Y"</formula>
    </cfRule>
  </conditionalFormatting>
  <conditionalFormatting sqref="D191:BG191">
    <cfRule type="expression" dxfId="4" priority="905">
      <formula>$D$17&lt;&gt;"Y"</formula>
    </cfRule>
  </conditionalFormatting>
  <conditionalFormatting sqref="D192:BG192">
    <cfRule type="expression" dxfId="4" priority="908">
      <formula>$E$17&lt;&gt;"Y"</formula>
    </cfRule>
  </conditionalFormatting>
  <conditionalFormatting sqref="D193:BG193">
    <cfRule type="expression" dxfId="4" priority="911">
      <formula>$F$17&lt;&gt;"Y"</formula>
    </cfRule>
  </conditionalFormatting>
  <conditionalFormatting sqref="D194:BG194">
    <cfRule type="expression" dxfId="4" priority="914">
      <formula>$G$17&lt;&gt;"Y"</formula>
    </cfRule>
  </conditionalFormatting>
  <conditionalFormatting sqref="D195:BG195">
    <cfRule type="expression" dxfId="4" priority="917">
      <formula>$H$17&lt;&gt;"Y"</formula>
    </cfRule>
  </conditionalFormatting>
  <conditionalFormatting sqref="D196:BG196">
    <cfRule type="expression" dxfId="4" priority="920">
      <formula>$I$17&lt;&gt;"Y"</formula>
    </cfRule>
  </conditionalFormatting>
  <conditionalFormatting sqref="D197:BG197">
    <cfRule type="expression" dxfId="4" priority="923">
      <formula>$J$17&lt;&gt;"Y"</formula>
    </cfRule>
  </conditionalFormatting>
  <conditionalFormatting sqref="D198:BG198">
    <cfRule type="expression" dxfId="4" priority="926">
      <formula>$K$17&lt;&gt;"Y"</formula>
    </cfRule>
  </conditionalFormatting>
  <conditionalFormatting sqref="D199:BG199">
    <cfRule type="expression" dxfId="4" priority="929">
      <formula>$L$17&lt;&gt;"Y"</formula>
    </cfRule>
  </conditionalFormatting>
  <conditionalFormatting sqref="D200:BG200">
    <cfRule type="expression" dxfId="4" priority="932">
      <formula>$M$17&lt;&gt;"Y"</formula>
    </cfRule>
  </conditionalFormatting>
  <conditionalFormatting sqref="D201:BG201">
    <cfRule type="expression" dxfId="4" priority="935">
      <formula>$N$17&lt;&gt;"Y"</formula>
    </cfRule>
  </conditionalFormatting>
  <conditionalFormatting sqref="D202:BG202">
    <cfRule type="expression" dxfId="4" priority="938">
      <formula>$O$17&lt;&gt;"Y"</formula>
    </cfRule>
  </conditionalFormatting>
  <conditionalFormatting sqref="D203:BG203">
    <cfRule type="expression" dxfId="4" priority="941">
      <formula>$B$18&lt;&gt;"Y"</formula>
    </cfRule>
  </conditionalFormatting>
  <conditionalFormatting sqref="D204:BG204">
    <cfRule type="expression" dxfId="4" priority="944">
      <formula>$C$18&lt;&gt;"Y"</formula>
    </cfRule>
  </conditionalFormatting>
  <conditionalFormatting sqref="D205:BG205">
    <cfRule type="expression" dxfId="4" priority="947">
      <formula>$D$18&lt;&gt;"Y"</formula>
    </cfRule>
  </conditionalFormatting>
  <conditionalFormatting sqref="D206:BG206">
    <cfRule type="expression" dxfId="4" priority="950">
      <formula>$E$18&lt;&gt;"Y"</formula>
    </cfRule>
  </conditionalFormatting>
  <conditionalFormatting sqref="D207:BG207">
    <cfRule type="expression" dxfId="4" priority="953">
      <formula>$F$18&lt;&gt;"Y"</formula>
    </cfRule>
  </conditionalFormatting>
  <conditionalFormatting sqref="D208:BG208">
    <cfRule type="expression" dxfId="4" priority="956">
      <formula>$G$18&lt;&gt;"Y"</formula>
    </cfRule>
  </conditionalFormatting>
  <conditionalFormatting sqref="D209:BG209">
    <cfRule type="expression" dxfId="4" priority="959">
      <formula>$H$18&lt;&gt;"Y"</formula>
    </cfRule>
  </conditionalFormatting>
  <conditionalFormatting sqref="D210:BG210">
    <cfRule type="expression" dxfId="4" priority="962">
      <formula>$I$18&lt;&gt;"Y"</formula>
    </cfRule>
  </conditionalFormatting>
  <conditionalFormatting sqref="D211:BG211">
    <cfRule type="expression" dxfId="4" priority="965">
      <formula>$J$18&lt;&gt;"Y"</formula>
    </cfRule>
  </conditionalFormatting>
  <conditionalFormatting sqref="D212:BG212">
    <cfRule type="expression" dxfId="4" priority="968">
      <formula>$K$18&lt;&gt;"Y"</formula>
    </cfRule>
  </conditionalFormatting>
  <conditionalFormatting sqref="D213:BG213">
    <cfRule type="expression" dxfId="4" priority="971">
      <formula>$L$18&lt;&gt;"Y"</formula>
    </cfRule>
  </conditionalFormatting>
  <conditionalFormatting sqref="D214:BG214">
    <cfRule type="expression" dxfId="4" priority="974">
      <formula>$M$18&lt;&gt;"Y"</formula>
    </cfRule>
  </conditionalFormatting>
  <conditionalFormatting sqref="D215:BG215">
    <cfRule type="expression" dxfId="4" priority="977">
      <formula>$N$18&lt;&gt;"Y"</formula>
    </cfRule>
  </conditionalFormatting>
  <conditionalFormatting sqref="D216:BG216">
    <cfRule type="expression" dxfId="4" priority="980">
      <formula>$O$18&lt;&gt;"Y"</formula>
    </cfRule>
  </conditionalFormatting>
  <conditionalFormatting sqref="D21:BG21">
    <cfRule type="expression" dxfId="4" priority="395">
      <formula>$B$5&lt;&gt;"Y"</formula>
    </cfRule>
  </conditionalFormatting>
  <conditionalFormatting sqref="D222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D223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24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D225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D226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D227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D228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D229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D22:BG22">
    <cfRule type="expression" dxfId="4" priority="398">
      <formula>$C$5&lt;&gt;"Y"</formula>
    </cfRule>
  </conditionalFormatting>
  <conditionalFormatting sqref="D230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D231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D232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D233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D234">
    <cfRule type="cellIs" dxfId="2" priority="1321" operator="equal">
      <formula>"Y"</formula>
    </cfRule>
    <cfRule type="cellIs" dxfId="3" priority="1322" operator="equal">
      <formula>"N"</formula>
    </cfRule>
  </conditionalFormatting>
  <conditionalFormatting sqref="D235">
    <cfRule type="cellIs" dxfId="2" priority="1349" operator="equal">
      <formula>"Y"</formula>
    </cfRule>
    <cfRule type="cellIs" dxfId="3" priority="1350" operator="equal">
      <formula>"N"</formula>
    </cfRule>
  </conditionalFormatting>
  <conditionalFormatting sqref="D238:BG238">
    <cfRule type="expression" dxfId="4" priority="1375">
      <formula>$B$222&lt;&gt;"Y"</formula>
    </cfRule>
  </conditionalFormatting>
  <conditionalFormatting sqref="D239:BG239">
    <cfRule type="expression" dxfId="4" priority="1378">
      <formula>$C$222&lt;&gt;"Y"</formula>
    </cfRule>
  </conditionalFormatting>
  <conditionalFormatting sqref="D23:BG23">
    <cfRule type="expression" dxfId="4" priority="401">
      <formula>$D$5&lt;&gt;"Y"</formula>
    </cfRule>
  </conditionalFormatting>
  <conditionalFormatting sqref="D240:BG240">
    <cfRule type="expression" dxfId="4" priority="1381">
      <formula>$D$222&lt;&gt;"Y"</formula>
    </cfRule>
  </conditionalFormatting>
  <conditionalFormatting sqref="D241:BG241">
    <cfRule type="expression" dxfId="4" priority="1384">
      <formula>$E$222&lt;&gt;"Y"</formula>
    </cfRule>
  </conditionalFormatting>
  <conditionalFormatting sqref="D242:BG242">
    <cfRule type="expression" dxfId="4" priority="1387">
      <formula>$F$222&lt;&gt;"Y"</formula>
    </cfRule>
  </conditionalFormatting>
  <conditionalFormatting sqref="D243:BG243">
    <cfRule type="expression" dxfId="4" priority="1390">
      <formula>$G$222&lt;&gt;"Y"</formula>
    </cfRule>
  </conditionalFormatting>
  <conditionalFormatting sqref="D244:BG244">
    <cfRule type="expression" dxfId="4" priority="1393">
      <formula>$H$222&lt;&gt;"Y"</formula>
    </cfRule>
  </conditionalFormatting>
  <conditionalFormatting sqref="D245:BG245">
    <cfRule type="expression" dxfId="4" priority="1396">
      <formula>$I$222&lt;&gt;"Y"</formula>
    </cfRule>
  </conditionalFormatting>
  <conditionalFormatting sqref="D246:BG246">
    <cfRule type="expression" dxfId="4" priority="1399">
      <formula>$J$222&lt;&gt;"Y"</formula>
    </cfRule>
  </conditionalFormatting>
  <conditionalFormatting sqref="D247:BG247">
    <cfRule type="expression" dxfId="4" priority="1402">
      <formula>$K$222&lt;&gt;"Y"</formula>
    </cfRule>
  </conditionalFormatting>
  <conditionalFormatting sqref="D248:BG248">
    <cfRule type="expression" dxfId="4" priority="1405">
      <formula>$L$222&lt;&gt;"Y"</formula>
    </cfRule>
  </conditionalFormatting>
  <conditionalFormatting sqref="D249:BG249">
    <cfRule type="expression" dxfId="4" priority="1408">
      <formula>$M$222&lt;&gt;"Y"</formula>
    </cfRule>
  </conditionalFormatting>
  <conditionalFormatting sqref="D24:BG24">
    <cfRule type="expression" dxfId="4" priority="404">
      <formula>$E$5&lt;&gt;"Y"</formula>
    </cfRule>
  </conditionalFormatting>
  <conditionalFormatting sqref="D250:BG250">
    <cfRule type="expression" dxfId="4" priority="1411">
      <formula>$N$222&lt;&gt;"Y"</formula>
    </cfRule>
  </conditionalFormatting>
  <conditionalFormatting sqref="D251:BG251">
    <cfRule type="expression" dxfId="4" priority="1414">
      <formula>$O$222&lt;&gt;"Y"</formula>
    </cfRule>
  </conditionalFormatting>
  <conditionalFormatting sqref="D252:BG252">
    <cfRule type="expression" dxfId="4" priority="1417">
      <formula>$B$223&lt;&gt;"Y"</formula>
    </cfRule>
  </conditionalFormatting>
  <conditionalFormatting sqref="D253:BG253">
    <cfRule type="expression" dxfId="4" priority="1420">
      <formula>$C$223&lt;&gt;"Y"</formula>
    </cfRule>
  </conditionalFormatting>
  <conditionalFormatting sqref="D254:BG254">
    <cfRule type="expression" dxfId="4" priority="1423">
      <formula>$D$223&lt;&gt;"Y"</formula>
    </cfRule>
  </conditionalFormatting>
  <conditionalFormatting sqref="D255:BG255">
    <cfRule type="expression" dxfId="4" priority="1426">
      <formula>$E$223&lt;&gt;"Y"</formula>
    </cfRule>
  </conditionalFormatting>
  <conditionalFormatting sqref="D256:BG256">
    <cfRule type="expression" dxfId="4" priority="1429">
      <formula>$F$223&lt;&gt;"Y"</formula>
    </cfRule>
  </conditionalFormatting>
  <conditionalFormatting sqref="D257:BG257">
    <cfRule type="expression" dxfId="4" priority="1432">
      <formula>$G$223&lt;&gt;"Y"</formula>
    </cfRule>
  </conditionalFormatting>
  <conditionalFormatting sqref="D258:BG258">
    <cfRule type="expression" dxfId="4" priority="1435">
      <formula>$H$223&lt;&gt;"Y"</formula>
    </cfRule>
  </conditionalFormatting>
  <conditionalFormatting sqref="D259:BG259">
    <cfRule type="expression" dxfId="4" priority="1438">
      <formula>$I$223&lt;&gt;"Y"</formula>
    </cfRule>
  </conditionalFormatting>
  <conditionalFormatting sqref="D25:BG25">
    <cfRule type="expression" dxfId="4" priority="407">
      <formula>$F$5&lt;&gt;"Y"</formula>
    </cfRule>
  </conditionalFormatting>
  <conditionalFormatting sqref="D260:BG260">
    <cfRule type="expression" dxfId="4" priority="1441">
      <formula>$J$223&lt;&gt;"Y"</formula>
    </cfRule>
  </conditionalFormatting>
  <conditionalFormatting sqref="D261:BG261">
    <cfRule type="expression" dxfId="4" priority="1444">
      <formula>$K$223&lt;&gt;"Y"</formula>
    </cfRule>
  </conditionalFormatting>
  <conditionalFormatting sqref="D262:BG262">
    <cfRule type="expression" dxfId="4" priority="1447">
      <formula>$L$223&lt;&gt;"Y"</formula>
    </cfRule>
  </conditionalFormatting>
  <conditionalFormatting sqref="D263:BG263">
    <cfRule type="expression" dxfId="4" priority="1450">
      <formula>$M$223&lt;&gt;"Y"</formula>
    </cfRule>
  </conditionalFormatting>
  <conditionalFormatting sqref="D264:BG264">
    <cfRule type="expression" dxfId="4" priority="1453">
      <formula>$N$223&lt;&gt;"Y"</formula>
    </cfRule>
  </conditionalFormatting>
  <conditionalFormatting sqref="D265:BG265">
    <cfRule type="expression" dxfId="4" priority="1456">
      <formula>$O$223&lt;&gt;"Y"</formula>
    </cfRule>
  </conditionalFormatting>
  <conditionalFormatting sqref="D266:BG266">
    <cfRule type="expression" dxfId="4" priority="1459">
      <formula>$B$224&lt;&gt;"Y"</formula>
    </cfRule>
  </conditionalFormatting>
  <conditionalFormatting sqref="D267:BG267">
    <cfRule type="expression" dxfId="4" priority="1462">
      <formula>$C$224&lt;&gt;"Y"</formula>
    </cfRule>
  </conditionalFormatting>
  <conditionalFormatting sqref="D268:BG268">
    <cfRule type="expression" dxfId="4" priority="1465">
      <formula>$D$224&lt;&gt;"Y"</formula>
    </cfRule>
  </conditionalFormatting>
  <conditionalFormatting sqref="D269:BG269">
    <cfRule type="expression" dxfId="4" priority="1468">
      <formula>$E$224&lt;&gt;"Y"</formula>
    </cfRule>
  </conditionalFormatting>
  <conditionalFormatting sqref="D26:BG26">
    <cfRule type="expression" dxfId="4" priority="410">
      <formula>$G$5&lt;&gt;"Y"</formula>
    </cfRule>
  </conditionalFormatting>
  <conditionalFormatting sqref="D270:BG270">
    <cfRule type="expression" dxfId="4" priority="1471">
      <formula>$F$224&lt;&gt;"Y"</formula>
    </cfRule>
  </conditionalFormatting>
  <conditionalFormatting sqref="D271:BG271">
    <cfRule type="expression" dxfId="4" priority="1474">
      <formula>$G$224&lt;&gt;"Y"</formula>
    </cfRule>
  </conditionalFormatting>
  <conditionalFormatting sqref="D272:BG272">
    <cfRule type="expression" dxfId="4" priority="1477">
      <formula>$H$224&lt;&gt;"Y"</formula>
    </cfRule>
  </conditionalFormatting>
  <conditionalFormatting sqref="D273:BG273">
    <cfRule type="expression" dxfId="4" priority="1480">
      <formula>$I$224&lt;&gt;"Y"</formula>
    </cfRule>
  </conditionalFormatting>
  <conditionalFormatting sqref="D274:BG274">
    <cfRule type="expression" dxfId="4" priority="1483">
      <formula>$J$224&lt;&gt;"Y"</formula>
    </cfRule>
  </conditionalFormatting>
  <conditionalFormatting sqref="D275:BG275">
    <cfRule type="expression" dxfId="4" priority="1486">
      <formula>$K$224&lt;&gt;"Y"</formula>
    </cfRule>
  </conditionalFormatting>
  <conditionalFormatting sqref="D276:BG276">
    <cfRule type="expression" dxfId="4" priority="1489">
      <formula>$L$224&lt;&gt;"Y"</formula>
    </cfRule>
  </conditionalFormatting>
  <conditionalFormatting sqref="D277:BG277">
    <cfRule type="expression" dxfId="4" priority="1492">
      <formula>$M$224&lt;&gt;"Y"</formula>
    </cfRule>
  </conditionalFormatting>
  <conditionalFormatting sqref="D278:BG278">
    <cfRule type="expression" dxfId="4" priority="1495">
      <formula>$N$224&lt;&gt;"Y"</formula>
    </cfRule>
  </conditionalFormatting>
  <conditionalFormatting sqref="D279:BG279">
    <cfRule type="expression" dxfId="4" priority="1498">
      <formula>$O$224&lt;&gt;"Y"</formula>
    </cfRule>
  </conditionalFormatting>
  <conditionalFormatting sqref="D27:BG27">
    <cfRule type="expression" dxfId="4" priority="413">
      <formula>$H$5&lt;&gt;"Y"</formula>
    </cfRule>
  </conditionalFormatting>
  <conditionalFormatting sqref="D280:BG280">
    <cfRule type="expression" dxfId="4" priority="1501">
      <formula>$B$225&lt;&gt;"Y"</formula>
    </cfRule>
  </conditionalFormatting>
  <conditionalFormatting sqref="D281:BG281">
    <cfRule type="expression" dxfId="4" priority="1504">
      <formula>$C$225&lt;&gt;"Y"</formula>
    </cfRule>
  </conditionalFormatting>
  <conditionalFormatting sqref="D282:BG282">
    <cfRule type="expression" dxfId="4" priority="1507">
      <formula>$D$225&lt;&gt;"Y"</formula>
    </cfRule>
  </conditionalFormatting>
  <conditionalFormatting sqref="D283:BG283">
    <cfRule type="expression" dxfId="4" priority="1510">
      <formula>$E$225&lt;&gt;"Y"</formula>
    </cfRule>
  </conditionalFormatting>
  <conditionalFormatting sqref="D284:BG284">
    <cfRule type="expression" dxfId="4" priority="1513">
      <formula>$F$225&lt;&gt;"Y"</formula>
    </cfRule>
  </conditionalFormatting>
  <conditionalFormatting sqref="D285:BG285">
    <cfRule type="expression" dxfId="4" priority="1516">
      <formula>$G$225&lt;&gt;"Y"</formula>
    </cfRule>
  </conditionalFormatting>
  <conditionalFormatting sqref="D286:BG286">
    <cfRule type="expression" dxfId="4" priority="1519">
      <formula>$H$225&lt;&gt;"Y"</formula>
    </cfRule>
  </conditionalFormatting>
  <conditionalFormatting sqref="D287:BG287">
    <cfRule type="expression" dxfId="4" priority="1522">
      <formula>$I$225&lt;&gt;"Y"</formula>
    </cfRule>
  </conditionalFormatting>
  <conditionalFormatting sqref="D288:BG288">
    <cfRule type="expression" dxfId="4" priority="1525">
      <formula>$J$225&lt;&gt;"Y"</formula>
    </cfRule>
  </conditionalFormatting>
  <conditionalFormatting sqref="D289:BG289">
    <cfRule type="expression" dxfId="4" priority="1528">
      <formula>$K$225&lt;&gt;"Y"</formula>
    </cfRule>
  </conditionalFormatting>
  <conditionalFormatting sqref="D28:BG28">
    <cfRule type="expression" dxfId="4" priority="416">
      <formula>$I$5&lt;&gt;"Y"</formula>
    </cfRule>
  </conditionalFormatting>
  <conditionalFormatting sqref="D290:BG290">
    <cfRule type="expression" dxfId="4" priority="1531">
      <formula>$L$225&lt;&gt;"Y"</formula>
    </cfRule>
  </conditionalFormatting>
  <conditionalFormatting sqref="D291:BG291">
    <cfRule type="expression" dxfId="4" priority="1534">
      <formula>$M$225&lt;&gt;"Y"</formula>
    </cfRule>
  </conditionalFormatting>
  <conditionalFormatting sqref="D292:BG292">
    <cfRule type="expression" dxfId="4" priority="1537">
      <formula>$N$225&lt;&gt;"Y"</formula>
    </cfRule>
  </conditionalFormatting>
  <conditionalFormatting sqref="D293:BG293">
    <cfRule type="expression" dxfId="4" priority="1540">
      <formula>$O$225&lt;&gt;"Y"</formula>
    </cfRule>
  </conditionalFormatting>
  <conditionalFormatting sqref="D294:BG294">
    <cfRule type="expression" dxfId="4" priority="1543">
      <formula>$B$226&lt;&gt;"Y"</formula>
    </cfRule>
  </conditionalFormatting>
  <conditionalFormatting sqref="D295:BG295">
    <cfRule type="expression" dxfId="4" priority="1546">
      <formula>$C$226&lt;&gt;"Y"</formula>
    </cfRule>
  </conditionalFormatting>
  <conditionalFormatting sqref="D296:BG296">
    <cfRule type="expression" dxfId="4" priority="1549">
      <formula>$D$226&lt;&gt;"Y"</formula>
    </cfRule>
  </conditionalFormatting>
  <conditionalFormatting sqref="D297:BG297">
    <cfRule type="expression" dxfId="4" priority="1552">
      <formula>$E$226&lt;&gt;"Y"</formula>
    </cfRule>
  </conditionalFormatting>
  <conditionalFormatting sqref="D298:BG298">
    <cfRule type="expression" dxfId="4" priority="1555">
      <formula>$F$226&lt;&gt;"Y"</formula>
    </cfRule>
  </conditionalFormatting>
  <conditionalFormatting sqref="D299:BG299">
    <cfRule type="expression" dxfId="4" priority="1558">
      <formula>$G$226&lt;&gt;"Y"</formula>
    </cfRule>
  </conditionalFormatting>
  <conditionalFormatting sqref="D29:BG29">
    <cfRule type="expression" dxfId="4" priority="419">
      <formula>$J$5&lt;&gt;"Y"</formula>
    </cfRule>
  </conditionalFormatting>
  <conditionalFormatting sqref="D300:BG300">
    <cfRule type="expression" dxfId="4" priority="1561">
      <formula>$H$226&lt;&gt;"Y"</formula>
    </cfRule>
  </conditionalFormatting>
  <conditionalFormatting sqref="D301:BG301">
    <cfRule type="expression" dxfId="4" priority="1564">
      <formula>$I$226&lt;&gt;"Y"</formula>
    </cfRule>
  </conditionalFormatting>
  <conditionalFormatting sqref="D302:BG302">
    <cfRule type="expression" dxfId="4" priority="1567">
      <formula>$J$226&lt;&gt;"Y"</formula>
    </cfRule>
  </conditionalFormatting>
  <conditionalFormatting sqref="D303:BG303">
    <cfRule type="expression" dxfId="4" priority="1570">
      <formula>$K$226&lt;&gt;"Y"</formula>
    </cfRule>
  </conditionalFormatting>
  <conditionalFormatting sqref="D304:BG304">
    <cfRule type="expression" dxfId="4" priority="1573">
      <formula>$L$226&lt;&gt;"Y"</formula>
    </cfRule>
  </conditionalFormatting>
  <conditionalFormatting sqref="D305:BG305">
    <cfRule type="expression" dxfId="4" priority="1576">
      <formula>$M$226&lt;&gt;"Y"</formula>
    </cfRule>
  </conditionalFormatting>
  <conditionalFormatting sqref="D306:BG306">
    <cfRule type="expression" dxfId="4" priority="1579">
      <formula>$N$226&lt;&gt;"Y"</formula>
    </cfRule>
  </conditionalFormatting>
  <conditionalFormatting sqref="D307:BG307">
    <cfRule type="expression" dxfId="4" priority="1582">
      <formula>$O$226&lt;&gt;"Y"</formula>
    </cfRule>
  </conditionalFormatting>
  <conditionalFormatting sqref="D308:BG308">
    <cfRule type="expression" dxfId="4" priority="1585">
      <formula>$B$227&lt;&gt;"Y"</formula>
    </cfRule>
  </conditionalFormatting>
  <conditionalFormatting sqref="D309:BG309">
    <cfRule type="expression" dxfId="4" priority="1588">
      <formula>$C$227&lt;&gt;"Y"</formula>
    </cfRule>
  </conditionalFormatting>
  <conditionalFormatting sqref="D30:BG30">
    <cfRule type="expression" dxfId="4" priority="422">
      <formula>$K$5&lt;&gt;"Y"</formula>
    </cfRule>
  </conditionalFormatting>
  <conditionalFormatting sqref="D310:BG310">
    <cfRule type="expression" dxfId="4" priority="1591">
      <formula>$D$227&lt;&gt;"Y"</formula>
    </cfRule>
  </conditionalFormatting>
  <conditionalFormatting sqref="D311:BG311">
    <cfRule type="expression" dxfId="4" priority="1594">
      <formula>$E$227&lt;&gt;"Y"</formula>
    </cfRule>
  </conditionalFormatting>
  <conditionalFormatting sqref="D312:BG312">
    <cfRule type="expression" dxfId="4" priority="1597">
      <formula>$F$227&lt;&gt;"Y"</formula>
    </cfRule>
  </conditionalFormatting>
  <conditionalFormatting sqref="D313:BG313">
    <cfRule type="expression" dxfId="4" priority="1600">
      <formula>$G$227&lt;&gt;"Y"</formula>
    </cfRule>
  </conditionalFormatting>
  <conditionalFormatting sqref="D314:BG314">
    <cfRule type="expression" dxfId="4" priority="1603">
      <formula>$H$227&lt;&gt;"Y"</formula>
    </cfRule>
  </conditionalFormatting>
  <conditionalFormatting sqref="D315:BG315">
    <cfRule type="expression" dxfId="4" priority="1606">
      <formula>$I$227&lt;&gt;"Y"</formula>
    </cfRule>
  </conditionalFormatting>
  <conditionalFormatting sqref="D316:BG316">
    <cfRule type="expression" dxfId="4" priority="1609">
      <formula>$J$227&lt;&gt;"Y"</formula>
    </cfRule>
  </conditionalFormatting>
  <conditionalFormatting sqref="D317:BG317">
    <cfRule type="expression" dxfId="4" priority="1612">
      <formula>$K$227&lt;&gt;"Y"</formula>
    </cfRule>
  </conditionalFormatting>
  <conditionalFormatting sqref="D318:BG318">
    <cfRule type="expression" dxfId="4" priority="1615">
      <formula>$L$227&lt;&gt;"Y"</formula>
    </cfRule>
  </conditionalFormatting>
  <conditionalFormatting sqref="D319:BG319">
    <cfRule type="expression" dxfId="4" priority="1618">
      <formula>$M$227&lt;&gt;"Y"</formula>
    </cfRule>
  </conditionalFormatting>
  <conditionalFormatting sqref="D31:BG31">
    <cfRule type="expression" dxfId="4" priority="425">
      <formula>$L$5&lt;&gt;"Y"</formula>
    </cfRule>
  </conditionalFormatting>
  <conditionalFormatting sqref="D320:BG320">
    <cfRule type="expression" dxfId="4" priority="1621">
      <formula>$N$227&lt;&gt;"Y"</formula>
    </cfRule>
  </conditionalFormatting>
  <conditionalFormatting sqref="D321:BG321">
    <cfRule type="expression" dxfId="4" priority="1624">
      <formula>$O$227&lt;&gt;"Y"</formula>
    </cfRule>
  </conditionalFormatting>
  <conditionalFormatting sqref="D322:BG322">
    <cfRule type="expression" dxfId="4" priority="1627">
      <formula>$B$228&lt;&gt;"Y"</formula>
    </cfRule>
  </conditionalFormatting>
  <conditionalFormatting sqref="D323:BG323">
    <cfRule type="expression" dxfId="4" priority="1630">
      <formula>$C$228&lt;&gt;"Y"</formula>
    </cfRule>
  </conditionalFormatting>
  <conditionalFormatting sqref="D324:BG324">
    <cfRule type="expression" dxfId="4" priority="1633">
      <formula>$D$228&lt;&gt;"Y"</formula>
    </cfRule>
  </conditionalFormatting>
  <conditionalFormatting sqref="D325:BG325">
    <cfRule type="expression" dxfId="4" priority="1636">
      <formula>$E$228&lt;&gt;"Y"</formula>
    </cfRule>
  </conditionalFormatting>
  <conditionalFormatting sqref="D326:BG326">
    <cfRule type="expression" dxfId="4" priority="1639">
      <formula>$F$228&lt;&gt;"Y"</formula>
    </cfRule>
  </conditionalFormatting>
  <conditionalFormatting sqref="D327:BG327">
    <cfRule type="expression" dxfId="4" priority="1642">
      <formula>$G$228&lt;&gt;"Y"</formula>
    </cfRule>
  </conditionalFormatting>
  <conditionalFormatting sqref="D328:BG328">
    <cfRule type="expression" dxfId="4" priority="1645">
      <formula>$H$228&lt;&gt;"Y"</formula>
    </cfRule>
  </conditionalFormatting>
  <conditionalFormatting sqref="D329:BG329">
    <cfRule type="expression" dxfId="4" priority="1648">
      <formula>$I$228&lt;&gt;"Y"</formula>
    </cfRule>
  </conditionalFormatting>
  <conditionalFormatting sqref="D32:BG32">
    <cfRule type="expression" dxfId="4" priority="428">
      <formula>$M$5&lt;&gt;"Y"</formula>
    </cfRule>
  </conditionalFormatting>
  <conditionalFormatting sqref="D330:BG330">
    <cfRule type="expression" dxfId="4" priority="1651">
      <formula>$J$228&lt;&gt;"Y"</formula>
    </cfRule>
  </conditionalFormatting>
  <conditionalFormatting sqref="D331:BG331">
    <cfRule type="expression" dxfId="4" priority="1654">
      <formula>$K$228&lt;&gt;"Y"</formula>
    </cfRule>
  </conditionalFormatting>
  <conditionalFormatting sqref="D332:BG332">
    <cfRule type="expression" dxfId="4" priority="1657">
      <formula>$L$228&lt;&gt;"Y"</formula>
    </cfRule>
  </conditionalFormatting>
  <conditionalFormatting sqref="D333:BG333">
    <cfRule type="expression" dxfId="4" priority="1660">
      <formula>$M$228&lt;&gt;"Y"</formula>
    </cfRule>
  </conditionalFormatting>
  <conditionalFormatting sqref="D334:BG334">
    <cfRule type="expression" dxfId="4" priority="1663">
      <formula>$N$228&lt;&gt;"Y"</formula>
    </cfRule>
  </conditionalFormatting>
  <conditionalFormatting sqref="D335:BG335">
    <cfRule type="expression" dxfId="4" priority="1666">
      <formula>$O$228&lt;&gt;"Y"</formula>
    </cfRule>
  </conditionalFormatting>
  <conditionalFormatting sqref="D336:BG336">
    <cfRule type="expression" dxfId="4" priority="1669">
      <formula>$B$229&lt;&gt;"Y"</formula>
    </cfRule>
  </conditionalFormatting>
  <conditionalFormatting sqref="D337:BG337">
    <cfRule type="expression" dxfId="4" priority="1672">
      <formula>$C$229&lt;&gt;"Y"</formula>
    </cfRule>
  </conditionalFormatting>
  <conditionalFormatting sqref="D338:BG338">
    <cfRule type="expression" dxfId="4" priority="1675">
      <formula>$D$229&lt;&gt;"Y"</formula>
    </cfRule>
  </conditionalFormatting>
  <conditionalFormatting sqref="D339:BG339">
    <cfRule type="expression" dxfId="4" priority="1678">
      <formula>$E$229&lt;&gt;"Y"</formula>
    </cfRule>
  </conditionalFormatting>
  <conditionalFormatting sqref="D33:BG33">
    <cfRule type="expression" dxfId="4" priority="431">
      <formula>$N$5&lt;&gt;"Y"</formula>
    </cfRule>
  </conditionalFormatting>
  <conditionalFormatting sqref="D340:BG340">
    <cfRule type="expression" dxfId="4" priority="1681">
      <formula>$F$229&lt;&gt;"Y"</formula>
    </cfRule>
  </conditionalFormatting>
  <conditionalFormatting sqref="D341:BG341">
    <cfRule type="expression" dxfId="4" priority="1684">
      <formula>$G$229&lt;&gt;"Y"</formula>
    </cfRule>
  </conditionalFormatting>
  <conditionalFormatting sqref="D342:BG342">
    <cfRule type="expression" dxfId="4" priority="1687">
      <formula>$H$229&lt;&gt;"Y"</formula>
    </cfRule>
  </conditionalFormatting>
  <conditionalFormatting sqref="D343:BG343">
    <cfRule type="expression" dxfId="4" priority="1690">
      <formula>$I$229&lt;&gt;"Y"</formula>
    </cfRule>
  </conditionalFormatting>
  <conditionalFormatting sqref="D344:BG344">
    <cfRule type="expression" dxfId="4" priority="1693">
      <formula>$J$229&lt;&gt;"Y"</formula>
    </cfRule>
  </conditionalFormatting>
  <conditionalFormatting sqref="D345:BG345">
    <cfRule type="expression" dxfId="4" priority="1696">
      <formula>$K$229&lt;&gt;"Y"</formula>
    </cfRule>
  </conditionalFormatting>
  <conditionalFormatting sqref="D346:BG346">
    <cfRule type="expression" dxfId="4" priority="1699">
      <formula>$L$229&lt;&gt;"Y"</formula>
    </cfRule>
  </conditionalFormatting>
  <conditionalFormatting sqref="D347:BG347">
    <cfRule type="expression" dxfId="4" priority="1702">
      <formula>$M$229&lt;&gt;"Y"</formula>
    </cfRule>
  </conditionalFormatting>
  <conditionalFormatting sqref="D348:BG348">
    <cfRule type="expression" dxfId="4" priority="1705">
      <formula>$N$229&lt;&gt;"Y"</formula>
    </cfRule>
  </conditionalFormatting>
  <conditionalFormatting sqref="D349:BG349">
    <cfRule type="expression" dxfId="4" priority="1708">
      <formula>$O$229&lt;&gt;"Y"</formula>
    </cfRule>
  </conditionalFormatting>
  <conditionalFormatting sqref="D34:BG34">
    <cfRule type="expression" dxfId="4" priority="434">
      <formula>$O$5&lt;&gt;"Y"</formula>
    </cfRule>
  </conditionalFormatting>
  <conditionalFormatting sqref="D350:BG350">
    <cfRule type="expression" dxfId="4" priority="1711">
      <formula>$B$230&lt;&gt;"Y"</formula>
    </cfRule>
  </conditionalFormatting>
  <conditionalFormatting sqref="D351:BG351">
    <cfRule type="expression" dxfId="4" priority="1714">
      <formula>$C$230&lt;&gt;"Y"</formula>
    </cfRule>
  </conditionalFormatting>
  <conditionalFormatting sqref="D352:BG352">
    <cfRule type="expression" dxfId="4" priority="1717">
      <formula>$D$230&lt;&gt;"Y"</formula>
    </cfRule>
  </conditionalFormatting>
  <conditionalFormatting sqref="D353:BG353">
    <cfRule type="expression" dxfId="4" priority="1720">
      <formula>$E$230&lt;&gt;"Y"</formula>
    </cfRule>
  </conditionalFormatting>
  <conditionalFormatting sqref="D354:BG354">
    <cfRule type="expression" dxfId="4" priority="1723">
      <formula>$F$230&lt;&gt;"Y"</formula>
    </cfRule>
  </conditionalFormatting>
  <conditionalFormatting sqref="D355:BG355">
    <cfRule type="expression" dxfId="4" priority="1726">
      <formula>$G$230&lt;&gt;"Y"</formula>
    </cfRule>
  </conditionalFormatting>
  <conditionalFormatting sqref="D356:BG356">
    <cfRule type="expression" dxfId="4" priority="1729">
      <formula>$H$230&lt;&gt;"Y"</formula>
    </cfRule>
  </conditionalFormatting>
  <conditionalFormatting sqref="D357:BG357">
    <cfRule type="expression" dxfId="4" priority="1732">
      <formula>$I$230&lt;&gt;"Y"</formula>
    </cfRule>
  </conditionalFormatting>
  <conditionalFormatting sqref="D358:BG358">
    <cfRule type="expression" dxfId="4" priority="1735">
      <formula>$J$230&lt;&gt;"Y"</formula>
    </cfRule>
  </conditionalFormatting>
  <conditionalFormatting sqref="D359:BG359">
    <cfRule type="expression" dxfId="4" priority="1738">
      <formula>$K$230&lt;&gt;"Y"</formula>
    </cfRule>
  </conditionalFormatting>
  <conditionalFormatting sqref="D35:BG35">
    <cfRule type="expression" dxfId="4" priority="437">
      <formula>$B$6&lt;&gt;"Y"</formula>
    </cfRule>
  </conditionalFormatting>
  <conditionalFormatting sqref="D360:BG360">
    <cfRule type="expression" dxfId="4" priority="1741">
      <formula>$L$230&lt;&gt;"Y"</formula>
    </cfRule>
  </conditionalFormatting>
  <conditionalFormatting sqref="D361:BG361">
    <cfRule type="expression" dxfId="4" priority="1744">
      <formula>$M$230&lt;&gt;"Y"</formula>
    </cfRule>
  </conditionalFormatting>
  <conditionalFormatting sqref="D362:BG362">
    <cfRule type="expression" dxfId="4" priority="1747">
      <formula>$N$230&lt;&gt;"Y"</formula>
    </cfRule>
  </conditionalFormatting>
  <conditionalFormatting sqref="D363:BG363">
    <cfRule type="expression" dxfId="4" priority="1750">
      <formula>$O$230&lt;&gt;"Y"</formula>
    </cfRule>
  </conditionalFormatting>
  <conditionalFormatting sqref="D364:BG364">
    <cfRule type="expression" dxfId="4" priority="1753">
      <formula>$B$231&lt;&gt;"Y"</formula>
    </cfRule>
  </conditionalFormatting>
  <conditionalFormatting sqref="D365:BG365">
    <cfRule type="expression" dxfId="4" priority="1756">
      <formula>$C$231&lt;&gt;"Y"</formula>
    </cfRule>
  </conditionalFormatting>
  <conditionalFormatting sqref="D366:BG366">
    <cfRule type="expression" dxfId="4" priority="1759">
      <formula>$D$231&lt;&gt;"Y"</formula>
    </cfRule>
  </conditionalFormatting>
  <conditionalFormatting sqref="D367:BG367">
    <cfRule type="expression" dxfId="4" priority="1762">
      <formula>$E$231&lt;&gt;"Y"</formula>
    </cfRule>
  </conditionalFormatting>
  <conditionalFormatting sqref="D368:BG368">
    <cfRule type="expression" dxfId="4" priority="1765">
      <formula>$F$231&lt;&gt;"Y"</formula>
    </cfRule>
  </conditionalFormatting>
  <conditionalFormatting sqref="D369:BG369">
    <cfRule type="expression" dxfId="4" priority="1768">
      <formula>$G$231&lt;&gt;"Y"</formula>
    </cfRule>
  </conditionalFormatting>
  <conditionalFormatting sqref="D36:BG36">
    <cfRule type="expression" dxfId="4" priority="440">
      <formula>$C$6&lt;&gt;"Y"</formula>
    </cfRule>
  </conditionalFormatting>
  <conditionalFormatting sqref="D370:BG370">
    <cfRule type="expression" dxfId="4" priority="1771">
      <formula>$H$231&lt;&gt;"Y"</formula>
    </cfRule>
  </conditionalFormatting>
  <conditionalFormatting sqref="D371:BG371">
    <cfRule type="expression" dxfId="4" priority="1774">
      <formula>$I$231&lt;&gt;"Y"</formula>
    </cfRule>
  </conditionalFormatting>
  <conditionalFormatting sqref="D372:BG372">
    <cfRule type="expression" dxfId="4" priority="1777">
      <formula>$J$231&lt;&gt;"Y"</formula>
    </cfRule>
  </conditionalFormatting>
  <conditionalFormatting sqref="D373:BG373">
    <cfRule type="expression" dxfId="4" priority="1780">
      <formula>$K$231&lt;&gt;"Y"</formula>
    </cfRule>
  </conditionalFormatting>
  <conditionalFormatting sqref="D374:BG374">
    <cfRule type="expression" dxfId="4" priority="1783">
      <formula>$L$231&lt;&gt;"Y"</formula>
    </cfRule>
  </conditionalFormatting>
  <conditionalFormatting sqref="D375:BG375">
    <cfRule type="expression" dxfId="4" priority="1786">
      <formula>$M$231&lt;&gt;"Y"</formula>
    </cfRule>
  </conditionalFormatting>
  <conditionalFormatting sqref="D376:BG376">
    <cfRule type="expression" dxfId="4" priority="1789">
      <formula>$N$231&lt;&gt;"Y"</formula>
    </cfRule>
  </conditionalFormatting>
  <conditionalFormatting sqref="D377:BG377">
    <cfRule type="expression" dxfId="4" priority="1792">
      <formula>$O$231&lt;&gt;"Y"</formula>
    </cfRule>
  </conditionalFormatting>
  <conditionalFormatting sqref="D378:BG378">
    <cfRule type="expression" dxfId="4" priority="1795">
      <formula>$B$232&lt;&gt;"Y"</formula>
    </cfRule>
  </conditionalFormatting>
  <conditionalFormatting sqref="D379:BG379">
    <cfRule type="expression" dxfId="4" priority="1798">
      <formula>$C$232&lt;&gt;"Y"</formula>
    </cfRule>
  </conditionalFormatting>
  <conditionalFormatting sqref="D37:BG37">
    <cfRule type="expression" dxfId="4" priority="443">
      <formula>$D$6&lt;&gt;"Y"</formula>
    </cfRule>
  </conditionalFormatting>
  <conditionalFormatting sqref="D380:BG380">
    <cfRule type="expression" dxfId="4" priority="1801">
      <formula>$D$232&lt;&gt;"Y"</formula>
    </cfRule>
  </conditionalFormatting>
  <conditionalFormatting sqref="D381:BG381">
    <cfRule type="expression" dxfId="4" priority="1804">
      <formula>$E$232&lt;&gt;"Y"</formula>
    </cfRule>
  </conditionalFormatting>
  <conditionalFormatting sqref="D382:BG382">
    <cfRule type="expression" dxfId="4" priority="1807">
      <formula>$F$232&lt;&gt;"Y"</formula>
    </cfRule>
  </conditionalFormatting>
  <conditionalFormatting sqref="D383:BG383">
    <cfRule type="expression" dxfId="4" priority="1810">
      <formula>$G$232&lt;&gt;"Y"</formula>
    </cfRule>
  </conditionalFormatting>
  <conditionalFormatting sqref="D384:BG384">
    <cfRule type="expression" dxfId="4" priority="1813">
      <formula>$H$232&lt;&gt;"Y"</formula>
    </cfRule>
  </conditionalFormatting>
  <conditionalFormatting sqref="D385:BG385">
    <cfRule type="expression" dxfId="4" priority="1816">
      <formula>$I$232&lt;&gt;"Y"</formula>
    </cfRule>
  </conditionalFormatting>
  <conditionalFormatting sqref="D386:BG386">
    <cfRule type="expression" dxfId="4" priority="1819">
      <formula>$J$232&lt;&gt;"Y"</formula>
    </cfRule>
  </conditionalFormatting>
  <conditionalFormatting sqref="D387:BG387">
    <cfRule type="expression" dxfId="4" priority="1822">
      <formula>$K$232&lt;&gt;"Y"</formula>
    </cfRule>
  </conditionalFormatting>
  <conditionalFormatting sqref="D388:BG388">
    <cfRule type="expression" dxfId="4" priority="1825">
      <formula>$L$232&lt;&gt;"Y"</formula>
    </cfRule>
  </conditionalFormatting>
  <conditionalFormatting sqref="D389:BG389">
    <cfRule type="expression" dxfId="4" priority="1828">
      <formula>$M$232&lt;&gt;"Y"</formula>
    </cfRule>
  </conditionalFormatting>
  <conditionalFormatting sqref="D38:BG38">
    <cfRule type="expression" dxfId="4" priority="446">
      <formula>$E$6&lt;&gt;"Y"</formula>
    </cfRule>
  </conditionalFormatting>
  <conditionalFormatting sqref="D390:BG390">
    <cfRule type="expression" dxfId="4" priority="1831">
      <formula>$N$232&lt;&gt;"Y"</formula>
    </cfRule>
  </conditionalFormatting>
  <conditionalFormatting sqref="D391:BG391">
    <cfRule type="expression" dxfId="4" priority="1834">
      <formula>$O$232&lt;&gt;"Y"</formula>
    </cfRule>
  </conditionalFormatting>
  <conditionalFormatting sqref="D392:BG392">
    <cfRule type="expression" dxfId="4" priority="1837">
      <formula>$B$233&lt;&gt;"Y"</formula>
    </cfRule>
  </conditionalFormatting>
  <conditionalFormatting sqref="D393:BG393">
    <cfRule type="expression" dxfId="4" priority="1840">
      <formula>$C$233&lt;&gt;"Y"</formula>
    </cfRule>
  </conditionalFormatting>
  <conditionalFormatting sqref="D394:BG394">
    <cfRule type="expression" dxfId="4" priority="1843">
      <formula>$D$233&lt;&gt;"Y"</formula>
    </cfRule>
  </conditionalFormatting>
  <conditionalFormatting sqref="D395:BG395">
    <cfRule type="expression" dxfId="4" priority="1846">
      <formula>$E$233&lt;&gt;"Y"</formula>
    </cfRule>
  </conditionalFormatting>
  <conditionalFormatting sqref="D396:BG396">
    <cfRule type="expression" dxfId="4" priority="1849">
      <formula>$F$233&lt;&gt;"Y"</formula>
    </cfRule>
  </conditionalFormatting>
  <conditionalFormatting sqref="D397:BG397">
    <cfRule type="expression" dxfId="4" priority="1852">
      <formula>$G$233&lt;&gt;"Y"</formula>
    </cfRule>
  </conditionalFormatting>
  <conditionalFormatting sqref="D398:BG398">
    <cfRule type="expression" dxfId="4" priority="1855">
      <formula>$H$233&lt;&gt;"Y"</formula>
    </cfRule>
  </conditionalFormatting>
  <conditionalFormatting sqref="D399:BG399">
    <cfRule type="expression" dxfId="4" priority="1858">
      <formula>$I$233&lt;&gt;"Y"</formula>
    </cfRule>
  </conditionalFormatting>
  <conditionalFormatting sqref="D39:BG39">
    <cfRule type="expression" dxfId="4" priority="449">
      <formula>$F$6&lt;&gt;"Y"</formula>
    </cfRule>
  </conditionalFormatting>
  <conditionalFormatting sqref="D400:BG400">
    <cfRule type="expression" dxfId="4" priority="1861">
      <formula>$J$233&lt;&gt;"Y"</formula>
    </cfRule>
  </conditionalFormatting>
  <conditionalFormatting sqref="D401:BG401">
    <cfRule type="expression" dxfId="4" priority="1864">
      <formula>$K$233&lt;&gt;"Y"</formula>
    </cfRule>
  </conditionalFormatting>
  <conditionalFormatting sqref="D402:BG402">
    <cfRule type="expression" dxfId="4" priority="1867">
      <formula>$L$233&lt;&gt;"Y"</formula>
    </cfRule>
  </conditionalFormatting>
  <conditionalFormatting sqref="D403:BG403">
    <cfRule type="expression" dxfId="4" priority="1870">
      <formula>$M$233&lt;&gt;"Y"</formula>
    </cfRule>
  </conditionalFormatting>
  <conditionalFormatting sqref="D404:BG404">
    <cfRule type="expression" dxfId="4" priority="1873">
      <formula>$N$233&lt;&gt;"Y"</formula>
    </cfRule>
  </conditionalFormatting>
  <conditionalFormatting sqref="D405:BG405">
    <cfRule type="expression" dxfId="4" priority="1876">
      <formula>$O$233&lt;&gt;"Y"</formula>
    </cfRule>
  </conditionalFormatting>
  <conditionalFormatting sqref="D406:BG406">
    <cfRule type="expression" dxfId="4" priority="1879">
      <formula>$B$234&lt;&gt;"Y"</formula>
    </cfRule>
  </conditionalFormatting>
  <conditionalFormatting sqref="D407:BG407">
    <cfRule type="expression" dxfId="4" priority="1882">
      <formula>$C$234&lt;&gt;"Y"</formula>
    </cfRule>
  </conditionalFormatting>
  <conditionalFormatting sqref="D408:BG408">
    <cfRule type="expression" dxfId="4" priority="1885">
      <formula>$D$234&lt;&gt;"Y"</formula>
    </cfRule>
  </conditionalFormatting>
  <conditionalFormatting sqref="D409:BG409">
    <cfRule type="expression" dxfId="4" priority="1888">
      <formula>$E$234&lt;&gt;"Y"</formula>
    </cfRule>
  </conditionalFormatting>
  <conditionalFormatting sqref="D40:BG40">
    <cfRule type="expression" dxfId="4" priority="452">
      <formula>$G$6&lt;&gt;"Y"</formula>
    </cfRule>
  </conditionalFormatting>
  <conditionalFormatting sqref="D410:BG410">
    <cfRule type="expression" dxfId="4" priority="1891">
      <formula>$F$234&lt;&gt;"Y"</formula>
    </cfRule>
  </conditionalFormatting>
  <conditionalFormatting sqref="D411:BG411">
    <cfRule type="expression" dxfId="4" priority="1894">
      <formula>$G$234&lt;&gt;"Y"</formula>
    </cfRule>
  </conditionalFormatting>
  <conditionalFormatting sqref="D412:BG412">
    <cfRule type="expression" dxfId="4" priority="1897">
      <formula>$H$234&lt;&gt;"Y"</formula>
    </cfRule>
  </conditionalFormatting>
  <conditionalFormatting sqref="D413:BG413">
    <cfRule type="expression" dxfId="4" priority="1900">
      <formula>$I$234&lt;&gt;"Y"</formula>
    </cfRule>
  </conditionalFormatting>
  <conditionalFormatting sqref="D414:BG414">
    <cfRule type="expression" dxfId="4" priority="1903">
      <formula>$J$234&lt;&gt;"Y"</formula>
    </cfRule>
  </conditionalFormatting>
  <conditionalFormatting sqref="D415:BG415">
    <cfRule type="expression" dxfId="4" priority="1906">
      <formula>$K$234&lt;&gt;"Y"</formula>
    </cfRule>
  </conditionalFormatting>
  <conditionalFormatting sqref="D416:BG416">
    <cfRule type="expression" dxfId="4" priority="1909">
      <formula>$L$234&lt;&gt;"Y"</formula>
    </cfRule>
  </conditionalFormatting>
  <conditionalFormatting sqref="D417:BG417">
    <cfRule type="expression" dxfId="4" priority="1912">
      <formula>$M$234&lt;&gt;"Y"</formula>
    </cfRule>
  </conditionalFormatting>
  <conditionalFormatting sqref="D418:BG418">
    <cfRule type="expression" dxfId="4" priority="1915">
      <formula>$N$234&lt;&gt;"Y"</formula>
    </cfRule>
  </conditionalFormatting>
  <conditionalFormatting sqref="D419:BG419">
    <cfRule type="expression" dxfId="4" priority="1918">
      <formula>$O$234&lt;&gt;"Y"</formula>
    </cfRule>
  </conditionalFormatting>
  <conditionalFormatting sqref="D41:BG41">
    <cfRule type="expression" dxfId="4" priority="455">
      <formula>$H$6&lt;&gt;"Y"</formula>
    </cfRule>
  </conditionalFormatting>
  <conditionalFormatting sqref="D420:BG420">
    <cfRule type="expression" dxfId="4" priority="1921">
      <formula>$B$235&lt;&gt;"Y"</formula>
    </cfRule>
  </conditionalFormatting>
  <conditionalFormatting sqref="D421:BG421">
    <cfRule type="expression" dxfId="4" priority="1924">
      <formula>$C$235&lt;&gt;"Y"</formula>
    </cfRule>
  </conditionalFormatting>
  <conditionalFormatting sqref="D422:BG422">
    <cfRule type="expression" dxfId="4" priority="1927">
      <formula>$D$235&lt;&gt;"Y"</formula>
    </cfRule>
  </conditionalFormatting>
  <conditionalFormatting sqref="D423:BG423">
    <cfRule type="expression" dxfId="4" priority="1930">
      <formula>$E$235&lt;&gt;"Y"</formula>
    </cfRule>
  </conditionalFormatting>
  <conditionalFormatting sqref="D424:BG424">
    <cfRule type="expression" dxfId="4" priority="1933">
      <formula>$F$235&lt;&gt;"Y"</formula>
    </cfRule>
  </conditionalFormatting>
  <conditionalFormatting sqref="D425:BG425">
    <cfRule type="expression" dxfId="4" priority="1936">
      <formula>$G$235&lt;&gt;"Y"</formula>
    </cfRule>
  </conditionalFormatting>
  <conditionalFormatting sqref="D426:BG426">
    <cfRule type="expression" dxfId="4" priority="1939">
      <formula>$H$235&lt;&gt;"Y"</formula>
    </cfRule>
  </conditionalFormatting>
  <conditionalFormatting sqref="D427:BG427">
    <cfRule type="expression" dxfId="4" priority="1942">
      <formula>$I$235&lt;&gt;"Y"</formula>
    </cfRule>
  </conditionalFormatting>
  <conditionalFormatting sqref="D428:BG428">
    <cfRule type="expression" dxfId="4" priority="1945">
      <formula>$J$235&lt;&gt;"Y"</formula>
    </cfRule>
  </conditionalFormatting>
  <conditionalFormatting sqref="D429:BG429">
    <cfRule type="expression" dxfId="4" priority="1948">
      <formula>$K$235&lt;&gt;"Y"</formula>
    </cfRule>
  </conditionalFormatting>
  <conditionalFormatting sqref="D42:BG42">
    <cfRule type="expression" dxfId="4" priority="458">
      <formula>$I$6&lt;&gt;"Y"</formula>
    </cfRule>
  </conditionalFormatting>
  <conditionalFormatting sqref="D430:BG430">
    <cfRule type="expression" dxfId="4" priority="1951">
      <formula>$L$235&lt;&gt;"Y"</formula>
    </cfRule>
  </conditionalFormatting>
  <conditionalFormatting sqref="D431:BG431">
    <cfRule type="expression" dxfId="4" priority="1954">
      <formula>$M$235&lt;&gt;"Y"</formula>
    </cfRule>
  </conditionalFormatting>
  <conditionalFormatting sqref="D432:BG432">
    <cfRule type="expression" dxfId="4" priority="1957">
      <formula>$N$235&lt;&gt;"Y"</formula>
    </cfRule>
  </conditionalFormatting>
  <conditionalFormatting sqref="D433:BG433">
    <cfRule type="expression" dxfId="4" priority="1960">
      <formula>$O$235&lt;&gt;"Y"</formula>
    </cfRule>
  </conditionalFormatting>
  <conditionalFormatting sqref="D43:BG43">
    <cfRule type="expression" dxfId="4" priority="461">
      <formula>$J$6&lt;&gt;"Y"</formula>
    </cfRule>
  </conditionalFormatting>
  <conditionalFormatting sqref="D44:BG44">
    <cfRule type="expression" dxfId="4" priority="464">
      <formula>$K$6&lt;&gt;"Y"</formula>
    </cfRule>
  </conditionalFormatting>
  <conditionalFormatting sqref="D45:BG45">
    <cfRule type="expression" dxfId="4" priority="467">
      <formula>$L$6&lt;&gt;"Y"</formula>
    </cfRule>
  </conditionalFormatting>
  <conditionalFormatting sqref="D46:BG46">
    <cfRule type="expression" dxfId="4" priority="470">
      <formula>$M$6&lt;&gt;"Y"</formula>
    </cfRule>
  </conditionalFormatting>
  <conditionalFormatting sqref="D47:BG47">
    <cfRule type="expression" dxfId="4" priority="473">
      <formula>$N$6&lt;&gt;"Y"</formula>
    </cfRule>
  </conditionalFormatting>
  <conditionalFormatting sqref="D48:BG48">
    <cfRule type="expression" dxfId="4" priority="476">
      <formula>$O$6&lt;&gt;"Y"</formula>
    </cfRule>
  </conditionalFormatting>
  <conditionalFormatting sqref="D49:BG49">
    <cfRule type="expression" dxfId="4" priority="479">
      <formula>$B$7&lt;&gt;"Y"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:BG50">
    <cfRule type="expression" dxfId="4" priority="482">
      <formula>$C$7&lt;&gt;"Y"</formula>
    </cfRule>
  </conditionalFormatting>
  <conditionalFormatting sqref="D51:BG51">
    <cfRule type="expression" dxfId="4" priority="485">
      <formula>$D$7&lt;&gt;"Y"</formula>
    </cfRule>
  </conditionalFormatting>
  <conditionalFormatting sqref="D52:BG52">
    <cfRule type="expression" dxfId="4" priority="488">
      <formula>$E$7&lt;&gt;"Y"</formula>
    </cfRule>
  </conditionalFormatting>
  <conditionalFormatting sqref="D53:BG53">
    <cfRule type="expression" dxfId="4" priority="491">
      <formula>$F$7&lt;&gt;"Y"</formula>
    </cfRule>
  </conditionalFormatting>
  <conditionalFormatting sqref="D54:BG54">
    <cfRule type="expression" dxfId="4" priority="494">
      <formula>$G$7&lt;&gt;"Y"</formula>
    </cfRule>
  </conditionalFormatting>
  <conditionalFormatting sqref="D55:BG55">
    <cfRule type="expression" dxfId="4" priority="497">
      <formula>$H$7&lt;&gt;"Y"</formula>
    </cfRule>
  </conditionalFormatting>
  <conditionalFormatting sqref="D56:BG56">
    <cfRule type="expression" dxfId="4" priority="500">
      <formula>$I$7&lt;&gt;"Y"</formula>
    </cfRule>
  </conditionalFormatting>
  <conditionalFormatting sqref="D57:BG57">
    <cfRule type="expression" dxfId="4" priority="503">
      <formula>$J$7&lt;&gt;"Y"</formula>
    </cfRule>
  </conditionalFormatting>
  <conditionalFormatting sqref="D58:BG58">
    <cfRule type="expression" dxfId="4" priority="506">
      <formula>$K$7&lt;&gt;"Y"</formula>
    </cfRule>
  </conditionalFormatting>
  <conditionalFormatting sqref="D59:BG59">
    <cfRule type="expression" dxfId="4" priority="509">
      <formula>$L$7&lt;&gt;"Y"</formula>
    </cfRule>
  </conditionalFormatting>
  <conditionalFormatting sqref="D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D60:BG60">
    <cfRule type="expression" dxfId="4" priority="512">
      <formula>$M$7&lt;&gt;"Y"</formula>
    </cfRule>
  </conditionalFormatting>
  <conditionalFormatting sqref="D61:BG61">
    <cfRule type="expression" dxfId="4" priority="515">
      <formula>$N$7&lt;&gt;"Y"</formula>
    </cfRule>
  </conditionalFormatting>
  <conditionalFormatting sqref="D62:BG62">
    <cfRule type="expression" dxfId="4" priority="518">
      <formula>$O$7&lt;&gt;"Y"</formula>
    </cfRule>
  </conditionalFormatting>
  <conditionalFormatting sqref="D63:BG63">
    <cfRule type="expression" dxfId="4" priority="521">
      <formula>$B$8&lt;&gt;"Y"</formula>
    </cfRule>
  </conditionalFormatting>
  <conditionalFormatting sqref="D64:BG64">
    <cfRule type="expression" dxfId="4" priority="524">
      <formula>$C$8&lt;&gt;"Y"</formula>
    </cfRule>
  </conditionalFormatting>
  <conditionalFormatting sqref="D65:BG65">
    <cfRule type="expression" dxfId="4" priority="527">
      <formula>$D$8&lt;&gt;"Y"</formula>
    </cfRule>
  </conditionalFormatting>
  <conditionalFormatting sqref="D66:BG66">
    <cfRule type="expression" dxfId="4" priority="530">
      <formula>$E$8&lt;&gt;"Y"</formula>
    </cfRule>
  </conditionalFormatting>
  <conditionalFormatting sqref="D67:BG67">
    <cfRule type="expression" dxfId="4" priority="533">
      <formula>$F$8&lt;&gt;"Y"</formula>
    </cfRule>
  </conditionalFormatting>
  <conditionalFormatting sqref="D68:BG68">
    <cfRule type="expression" dxfId="4" priority="536">
      <formula>$G$8&lt;&gt;"Y"</formula>
    </cfRule>
  </conditionalFormatting>
  <conditionalFormatting sqref="D69:BG69">
    <cfRule type="expression" dxfId="4" priority="539">
      <formula>$H$8&lt;&gt;"Y"</formula>
    </cfRule>
  </conditionalFormatting>
  <conditionalFormatting sqref="D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D70:BG70">
    <cfRule type="expression" dxfId="4" priority="542">
      <formula>$I$8&lt;&gt;"Y"</formula>
    </cfRule>
  </conditionalFormatting>
  <conditionalFormatting sqref="D71:BG71">
    <cfRule type="expression" dxfId="4" priority="545">
      <formula>$J$8&lt;&gt;"Y"</formula>
    </cfRule>
  </conditionalFormatting>
  <conditionalFormatting sqref="D72:BG72">
    <cfRule type="expression" dxfId="4" priority="548">
      <formula>$K$8&lt;&gt;"Y"</formula>
    </cfRule>
  </conditionalFormatting>
  <conditionalFormatting sqref="D73:BG73">
    <cfRule type="expression" dxfId="4" priority="551">
      <formula>$L$8&lt;&gt;"Y"</formula>
    </cfRule>
  </conditionalFormatting>
  <conditionalFormatting sqref="D74:BG74">
    <cfRule type="expression" dxfId="4" priority="554">
      <formula>$M$8&lt;&gt;"Y"</formula>
    </cfRule>
  </conditionalFormatting>
  <conditionalFormatting sqref="D75:BG75">
    <cfRule type="expression" dxfId="4" priority="557">
      <formula>$N$8&lt;&gt;"Y"</formula>
    </cfRule>
  </conditionalFormatting>
  <conditionalFormatting sqref="D76:BG76">
    <cfRule type="expression" dxfId="4" priority="560">
      <formula>$O$8&lt;&gt;"Y"</formula>
    </cfRule>
  </conditionalFormatting>
  <conditionalFormatting sqref="D77:BG77">
    <cfRule type="expression" dxfId="4" priority="563">
      <formula>$B$9&lt;&gt;"Y"</formula>
    </cfRule>
  </conditionalFormatting>
  <conditionalFormatting sqref="D78:BG78">
    <cfRule type="expression" dxfId="4" priority="566">
      <formula>$C$9&lt;&gt;"Y"</formula>
    </cfRule>
  </conditionalFormatting>
  <conditionalFormatting sqref="D79:BG79">
    <cfRule type="expression" dxfId="4" priority="569">
      <formula>$D$9&lt;&gt;"Y"</formula>
    </cfRule>
  </conditionalFormatting>
  <conditionalFormatting sqref="D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D80:BG80">
    <cfRule type="expression" dxfId="4" priority="572">
      <formula>$E$9&lt;&gt;"Y"</formula>
    </cfRule>
  </conditionalFormatting>
  <conditionalFormatting sqref="D81:BG81">
    <cfRule type="expression" dxfId="4" priority="575">
      <formula>$F$9&lt;&gt;"Y"</formula>
    </cfRule>
  </conditionalFormatting>
  <conditionalFormatting sqref="D82:BG82">
    <cfRule type="expression" dxfId="4" priority="578">
      <formula>$G$9&lt;&gt;"Y"</formula>
    </cfRule>
  </conditionalFormatting>
  <conditionalFormatting sqref="D83:BG83">
    <cfRule type="expression" dxfId="4" priority="581">
      <formula>$H$9&lt;&gt;"Y"</formula>
    </cfRule>
  </conditionalFormatting>
  <conditionalFormatting sqref="D84:BG84">
    <cfRule type="expression" dxfId="4" priority="584">
      <formula>$I$9&lt;&gt;"Y"</formula>
    </cfRule>
  </conditionalFormatting>
  <conditionalFormatting sqref="D85:BG85">
    <cfRule type="expression" dxfId="4" priority="587">
      <formula>$J$9&lt;&gt;"Y"</formula>
    </cfRule>
  </conditionalFormatting>
  <conditionalFormatting sqref="D86:BG86">
    <cfRule type="expression" dxfId="4" priority="590">
      <formula>$K$9&lt;&gt;"Y"</formula>
    </cfRule>
  </conditionalFormatting>
  <conditionalFormatting sqref="D87:BG87">
    <cfRule type="expression" dxfId="4" priority="593">
      <formula>$L$9&lt;&gt;"Y"</formula>
    </cfRule>
  </conditionalFormatting>
  <conditionalFormatting sqref="D88:BG88">
    <cfRule type="expression" dxfId="4" priority="596">
      <formula>$M$9&lt;&gt;"Y"</formula>
    </cfRule>
  </conditionalFormatting>
  <conditionalFormatting sqref="D89:BG89">
    <cfRule type="expression" dxfId="4" priority="599">
      <formula>$N$9&lt;&gt;"Y"</formula>
    </cfRule>
  </conditionalFormatting>
  <conditionalFormatting sqref="D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D90:BG90">
    <cfRule type="expression" dxfId="4" priority="602">
      <formula>$O$9&lt;&gt;"Y"</formula>
    </cfRule>
  </conditionalFormatting>
  <conditionalFormatting sqref="D91:BG91">
    <cfRule type="expression" dxfId="4" priority="605">
      <formula>$B$10&lt;&gt;"Y"</formula>
    </cfRule>
  </conditionalFormatting>
  <conditionalFormatting sqref="D92:BG92">
    <cfRule type="expression" dxfId="4" priority="608">
      <formula>$C$10&lt;&gt;"Y"</formula>
    </cfRule>
  </conditionalFormatting>
  <conditionalFormatting sqref="D93:BG93">
    <cfRule type="expression" dxfId="4" priority="611">
      <formula>$D$10&lt;&gt;"Y"</formula>
    </cfRule>
  </conditionalFormatting>
  <conditionalFormatting sqref="D94:BG94">
    <cfRule type="expression" dxfId="4" priority="614">
      <formula>$E$10&lt;&gt;"Y"</formula>
    </cfRule>
  </conditionalFormatting>
  <conditionalFormatting sqref="D95:BG95">
    <cfRule type="expression" dxfId="4" priority="617">
      <formula>$F$10&lt;&gt;"Y"</formula>
    </cfRule>
  </conditionalFormatting>
  <conditionalFormatting sqref="D96:BG96">
    <cfRule type="expression" dxfId="4" priority="620">
      <formula>$G$10&lt;&gt;"Y"</formula>
    </cfRule>
  </conditionalFormatting>
  <conditionalFormatting sqref="D97:BG97">
    <cfRule type="expression" dxfId="4" priority="623">
      <formula>$H$10&lt;&gt;"Y"</formula>
    </cfRule>
  </conditionalFormatting>
  <conditionalFormatting sqref="D98:BG98">
    <cfRule type="expression" dxfId="4" priority="626">
      <formula>$I$10&lt;&gt;"Y"</formula>
    </cfRule>
  </conditionalFormatting>
  <conditionalFormatting sqref="D99:BG99">
    <cfRule type="expression" dxfId="4" priority="629">
      <formula>$J$10&lt;&gt;"Y"</formula>
    </cfRule>
  </conditionalFormatting>
  <conditionalFormatting sqref="E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E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E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E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E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E15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E16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E17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8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E222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E223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24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E225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E226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E227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E228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E229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E230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E231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E232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E233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E234">
    <cfRule type="cellIs" dxfId="2" priority="1323" operator="equal">
      <formula>"Y"</formula>
    </cfRule>
    <cfRule type="cellIs" dxfId="3" priority="1324" operator="equal">
      <formula>"N"</formula>
    </cfRule>
  </conditionalFormatting>
  <conditionalFormatting sqref="E235">
    <cfRule type="cellIs" dxfId="2" priority="1351" operator="equal">
      <formula>"Y"</formula>
    </cfRule>
    <cfRule type="cellIs" dxfId="3" priority="135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E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E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E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F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F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F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F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F14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F15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F16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F17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8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F222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F223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24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F225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F226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F227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F228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F229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F230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F231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F232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F233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F234">
    <cfRule type="cellIs" dxfId="2" priority="1325" operator="equal">
      <formula>"Y"</formula>
    </cfRule>
    <cfRule type="cellIs" dxfId="3" priority="1326" operator="equal">
      <formula>"N"</formula>
    </cfRule>
  </conditionalFormatting>
  <conditionalFormatting sqref="F235">
    <cfRule type="cellIs" dxfId="2" priority="1353" operator="equal">
      <formula>"Y"</formula>
    </cfRule>
    <cfRule type="cellIs" dxfId="3" priority="135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F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F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F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G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G100">
    <cfRule type="expression" dxfId="0" priority="630">
      <formula>COUNTIF(I100:BG100,"&lt;&gt;" &amp; "")&gt;0</formula>
    </cfRule>
    <cfRule type="expression" dxfId="1" priority="631">
      <formula>AND(COUNTIF(I100:BG100,"&lt;&gt;" &amp; "")&gt;0,NOT(ISBLANK(G100)))</formula>
    </cfRule>
  </conditionalFormatting>
  <conditionalFormatting sqref="G101">
    <cfRule type="expression" dxfId="0" priority="633">
      <formula>COUNTIF(I101:BG101,"&lt;&gt;" &amp; "")&gt;0</formula>
    </cfRule>
    <cfRule type="expression" dxfId="1" priority="634">
      <formula>AND(COUNTIF(I101:BG101,"&lt;&gt;" &amp; "")&gt;0,NOT(ISBLANK(G101)))</formula>
    </cfRule>
  </conditionalFormatting>
  <conditionalFormatting sqref="G102">
    <cfRule type="expression" dxfId="0" priority="636">
      <formula>COUNTIF(I102:BG102,"&lt;&gt;" &amp; "")&gt;0</formula>
    </cfRule>
    <cfRule type="expression" dxfId="1" priority="637">
      <formula>AND(COUNTIF(I102:BG102,"&lt;&gt;" &amp; "")&gt;0,NOT(ISBLANK(G102)))</formula>
    </cfRule>
  </conditionalFormatting>
  <conditionalFormatting sqref="G103">
    <cfRule type="expression" dxfId="0" priority="639">
      <formula>COUNTIF(I103:BG103,"&lt;&gt;" &amp; "")&gt;0</formula>
    </cfRule>
    <cfRule type="expression" dxfId="1" priority="640">
      <formula>AND(COUNTIF(I103:BG103,"&lt;&gt;" &amp; "")&gt;0,NOT(ISBLANK(G103)))</formula>
    </cfRule>
  </conditionalFormatting>
  <conditionalFormatting sqref="G104">
    <cfRule type="expression" dxfId="0" priority="642">
      <formula>COUNTIF(I104:BG104,"&lt;&gt;" &amp; "")&gt;0</formula>
    </cfRule>
    <cfRule type="expression" dxfId="1" priority="643">
      <formula>AND(COUNTIF(I104:BG104,"&lt;&gt;" &amp; "")&gt;0,NOT(ISBLANK(G104)))</formula>
    </cfRule>
  </conditionalFormatting>
  <conditionalFormatting sqref="G105">
    <cfRule type="expression" dxfId="0" priority="645">
      <formula>COUNTIF(I105:BG105,"&lt;&gt;" &amp; "")&gt;0</formula>
    </cfRule>
    <cfRule type="expression" dxfId="1" priority="646">
      <formula>AND(COUNTIF(I105:BG105,"&lt;&gt;" &amp; "")&gt;0,NOT(ISBLANK(G105)))</formula>
    </cfRule>
  </conditionalFormatting>
  <conditionalFormatting sqref="G106">
    <cfRule type="expression" dxfId="0" priority="648">
      <formula>COUNTIF(I106:BG106,"&lt;&gt;" &amp; "")&gt;0</formula>
    </cfRule>
    <cfRule type="expression" dxfId="1" priority="649">
      <formula>AND(COUNTIF(I106:BG106,"&lt;&gt;" &amp; "")&gt;0,NOT(ISBLANK(G106)))</formula>
    </cfRule>
  </conditionalFormatting>
  <conditionalFormatting sqref="G107">
    <cfRule type="expression" dxfId="0" priority="651">
      <formula>COUNTIF(I107:BG107,"&lt;&gt;" &amp; "")&gt;0</formula>
    </cfRule>
    <cfRule type="expression" dxfId="1" priority="652">
      <formula>AND(COUNTIF(I107:BG107,"&lt;&gt;" &amp; "")&gt;0,NOT(ISBLANK(G107)))</formula>
    </cfRule>
  </conditionalFormatting>
  <conditionalFormatting sqref="G108">
    <cfRule type="expression" dxfId="0" priority="654">
      <formula>COUNTIF(I108:BG108,"&lt;&gt;" &amp; "")&gt;0</formula>
    </cfRule>
    <cfRule type="expression" dxfId="1" priority="655">
      <formula>AND(COUNTIF(I108:BG108,"&lt;&gt;" &amp; "")&gt;0,NOT(ISBLANK(G108)))</formula>
    </cfRule>
  </conditionalFormatting>
  <conditionalFormatting sqref="G109">
    <cfRule type="expression" dxfId="0" priority="657">
      <formula>COUNTIF(I109:BG109,"&lt;&gt;" &amp; "")&gt;0</formula>
    </cfRule>
    <cfRule type="expression" dxfId="1" priority="658">
      <formula>AND(COUNTIF(I109:BG109,"&lt;&gt;" &amp; "")&gt;0,NOT(ISBLANK(G109)))</formula>
    </cfRule>
  </conditionalFormatting>
  <conditionalFormatting sqref="G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G110">
    <cfRule type="expression" dxfId="0" priority="660">
      <formula>COUNTIF(I110:BG110,"&lt;&gt;" &amp; "")&gt;0</formula>
    </cfRule>
    <cfRule type="expression" dxfId="1" priority="661">
      <formula>AND(COUNTIF(I110:BG110,"&lt;&gt;" &amp; "")&gt;0,NOT(ISBLANK(G110)))</formula>
    </cfRule>
  </conditionalFormatting>
  <conditionalFormatting sqref="G111">
    <cfRule type="expression" dxfId="0" priority="663">
      <formula>COUNTIF(I111:BG111,"&lt;&gt;" &amp; "")&gt;0</formula>
    </cfRule>
    <cfRule type="expression" dxfId="1" priority="664">
      <formula>AND(COUNTIF(I111:BG111,"&lt;&gt;" &amp; "")&gt;0,NOT(ISBLANK(G111)))</formula>
    </cfRule>
  </conditionalFormatting>
  <conditionalFormatting sqref="G112">
    <cfRule type="expression" dxfId="0" priority="666">
      <formula>COUNTIF(I112:BG112,"&lt;&gt;" &amp; "")&gt;0</formula>
    </cfRule>
    <cfRule type="expression" dxfId="1" priority="667">
      <formula>AND(COUNTIF(I112:BG112,"&lt;&gt;" &amp; "")&gt;0,NOT(ISBLANK(G112)))</formula>
    </cfRule>
  </conditionalFormatting>
  <conditionalFormatting sqref="G113">
    <cfRule type="expression" dxfId="0" priority="669">
      <formula>COUNTIF(I113:BG113,"&lt;&gt;" &amp; "")&gt;0</formula>
    </cfRule>
    <cfRule type="expression" dxfId="1" priority="670">
      <formula>AND(COUNTIF(I113:BG113,"&lt;&gt;" &amp; "")&gt;0,NOT(ISBLANK(G113)))</formula>
    </cfRule>
  </conditionalFormatting>
  <conditionalFormatting sqref="G114">
    <cfRule type="expression" dxfId="0" priority="672">
      <formula>COUNTIF(I114:BG114,"&lt;&gt;" &amp; "")&gt;0</formula>
    </cfRule>
    <cfRule type="expression" dxfId="1" priority="673">
      <formula>AND(COUNTIF(I114:BG114,"&lt;&gt;" &amp; "")&gt;0,NOT(ISBLANK(G114)))</formula>
    </cfRule>
  </conditionalFormatting>
  <conditionalFormatting sqref="G115">
    <cfRule type="expression" dxfId="0" priority="675">
      <formula>COUNTIF(I115:BG115,"&lt;&gt;" &amp; "")&gt;0</formula>
    </cfRule>
    <cfRule type="expression" dxfId="1" priority="676">
      <formula>AND(COUNTIF(I115:BG115,"&lt;&gt;" &amp; "")&gt;0,NOT(ISBLANK(G115)))</formula>
    </cfRule>
  </conditionalFormatting>
  <conditionalFormatting sqref="G116">
    <cfRule type="expression" dxfId="0" priority="678">
      <formula>COUNTIF(I116:BG116,"&lt;&gt;" &amp; "")&gt;0</formula>
    </cfRule>
    <cfRule type="expression" dxfId="1" priority="679">
      <formula>AND(COUNTIF(I116:BG116,"&lt;&gt;" &amp; "")&gt;0,NOT(ISBLANK(G116)))</formula>
    </cfRule>
  </conditionalFormatting>
  <conditionalFormatting sqref="G117">
    <cfRule type="expression" dxfId="0" priority="681">
      <formula>COUNTIF(I117:BG117,"&lt;&gt;" &amp; "")&gt;0</formula>
    </cfRule>
    <cfRule type="expression" dxfId="1" priority="682">
      <formula>AND(COUNTIF(I117:BG117,"&lt;&gt;" &amp; "")&gt;0,NOT(ISBLANK(G117)))</formula>
    </cfRule>
  </conditionalFormatting>
  <conditionalFormatting sqref="G118">
    <cfRule type="expression" dxfId="0" priority="684">
      <formula>COUNTIF(I118:BG118,"&lt;&gt;" &amp; "")&gt;0</formula>
    </cfRule>
    <cfRule type="expression" dxfId="1" priority="685">
      <formula>AND(COUNTIF(I118:BG118,"&lt;&gt;" &amp; "")&gt;0,NOT(ISBLANK(G118)))</formula>
    </cfRule>
  </conditionalFormatting>
  <conditionalFormatting sqref="G119">
    <cfRule type="expression" dxfId="0" priority="687">
      <formula>COUNTIF(I119:BG119,"&lt;&gt;" &amp; "")&gt;0</formula>
    </cfRule>
    <cfRule type="expression" dxfId="1" priority="688">
      <formula>AND(COUNTIF(I119:BG119,"&lt;&gt;" &amp; "")&gt;0,NOT(ISBLANK(G119)))</formula>
    </cfRule>
  </conditionalFormatting>
  <conditionalFormatting sqref="G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G120">
    <cfRule type="expression" dxfId="0" priority="690">
      <formula>COUNTIF(I120:BG120,"&lt;&gt;" &amp; "")&gt;0</formula>
    </cfRule>
    <cfRule type="expression" dxfId="1" priority="691">
      <formula>AND(COUNTIF(I120:BG120,"&lt;&gt;" &amp; "")&gt;0,NOT(ISBLANK(G120)))</formula>
    </cfRule>
  </conditionalFormatting>
  <conditionalFormatting sqref="G121">
    <cfRule type="expression" dxfId="0" priority="693">
      <formula>COUNTIF(I121:BG121,"&lt;&gt;" &amp; "")&gt;0</formula>
    </cfRule>
    <cfRule type="expression" dxfId="1" priority="694">
      <formula>AND(COUNTIF(I121:BG121,"&lt;&gt;" &amp; "")&gt;0,NOT(ISBLANK(G121)))</formula>
    </cfRule>
  </conditionalFormatting>
  <conditionalFormatting sqref="G122">
    <cfRule type="expression" dxfId="0" priority="696">
      <formula>COUNTIF(I122:BG122,"&lt;&gt;" &amp; "")&gt;0</formula>
    </cfRule>
    <cfRule type="expression" dxfId="1" priority="697">
      <formula>AND(COUNTIF(I122:BG122,"&lt;&gt;" &amp; "")&gt;0,NOT(ISBLANK(G122)))</formula>
    </cfRule>
  </conditionalFormatting>
  <conditionalFormatting sqref="G123">
    <cfRule type="expression" dxfId="0" priority="699">
      <formula>COUNTIF(I123:BG123,"&lt;&gt;" &amp; "")&gt;0</formula>
    </cfRule>
    <cfRule type="expression" dxfId="1" priority="700">
      <formula>AND(COUNTIF(I123:BG123,"&lt;&gt;" &amp; "")&gt;0,NOT(ISBLANK(G123)))</formula>
    </cfRule>
  </conditionalFormatting>
  <conditionalFormatting sqref="G124">
    <cfRule type="expression" dxfId="0" priority="702">
      <formula>COUNTIF(I124:BG124,"&lt;&gt;" &amp; "")&gt;0</formula>
    </cfRule>
    <cfRule type="expression" dxfId="1" priority="703">
      <formula>AND(COUNTIF(I124:BG124,"&lt;&gt;" &amp; "")&gt;0,NOT(ISBLANK(G124)))</formula>
    </cfRule>
  </conditionalFormatting>
  <conditionalFormatting sqref="G125">
    <cfRule type="expression" dxfId="0" priority="705">
      <formula>COUNTIF(I125:BG125,"&lt;&gt;" &amp; "")&gt;0</formula>
    </cfRule>
    <cfRule type="expression" dxfId="1" priority="706">
      <formula>AND(COUNTIF(I125:BG125,"&lt;&gt;" &amp; "")&gt;0,NOT(ISBLANK(G125)))</formula>
    </cfRule>
  </conditionalFormatting>
  <conditionalFormatting sqref="G126">
    <cfRule type="expression" dxfId="0" priority="708">
      <formula>COUNTIF(I126:BG126,"&lt;&gt;" &amp; "")&gt;0</formula>
    </cfRule>
    <cfRule type="expression" dxfId="1" priority="709">
      <formula>AND(COUNTIF(I126:BG126,"&lt;&gt;" &amp; "")&gt;0,NOT(ISBLANK(G126)))</formula>
    </cfRule>
  </conditionalFormatting>
  <conditionalFormatting sqref="G127">
    <cfRule type="expression" dxfId="0" priority="711">
      <formula>COUNTIF(I127:BG127,"&lt;&gt;" &amp; "")&gt;0</formula>
    </cfRule>
    <cfRule type="expression" dxfId="1" priority="712">
      <formula>AND(COUNTIF(I127:BG127,"&lt;&gt;" &amp; "")&gt;0,NOT(ISBLANK(G127)))</formula>
    </cfRule>
  </conditionalFormatting>
  <conditionalFormatting sqref="G128">
    <cfRule type="expression" dxfId="0" priority="714">
      <formula>COUNTIF(I128:BG128,"&lt;&gt;" &amp; "")&gt;0</formula>
    </cfRule>
    <cfRule type="expression" dxfId="1" priority="715">
      <formula>AND(COUNTIF(I128:BG128,"&lt;&gt;" &amp; "")&gt;0,NOT(ISBLANK(G128)))</formula>
    </cfRule>
  </conditionalFormatting>
  <conditionalFormatting sqref="G129">
    <cfRule type="expression" dxfId="0" priority="717">
      <formula>COUNTIF(I129:BG129,"&lt;&gt;" &amp; "")&gt;0</formula>
    </cfRule>
    <cfRule type="expression" dxfId="1" priority="718">
      <formula>AND(COUNTIF(I129:BG129,"&lt;&gt;" &amp; "")&gt;0,NOT(ISBLANK(G129)))</formula>
    </cfRule>
  </conditionalFormatting>
  <conditionalFormatting sqref="G13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G130">
    <cfRule type="expression" dxfId="0" priority="720">
      <formula>COUNTIF(I130:BG130,"&lt;&gt;" &amp; "")&gt;0</formula>
    </cfRule>
    <cfRule type="expression" dxfId="1" priority="721">
      <formula>AND(COUNTIF(I130:BG130,"&lt;&gt;" &amp; "")&gt;0,NOT(ISBLANK(G130)))</formula>
    </cfRule>
  </conditionalFormatting>
  <conditionalFormatting sqref="G131">
    <cfRule type="expression" dxfId="0" priority="723">
      <formula>COUNTIF(I131:BG131,"&lt;&gt;" &amp; "")&gt;0</formula>
    </cfRule>
    <cfRule type="expression" dxfId="1" priority="724">
      <formula>AND(COUNTIF(I131:BG131,"&lt;&gt;" &amp; "")&gt;0,NOT(ISBLANK(G131)))</formula>
    </cfRule>
  </conditionalFormatting>
  <conditionalFormatting sqref="G132">
    <cfRule type="expression" dxfId="0" priority="726">
      <formula>COUNTIF(I132:BG132,"&lt;&gt;" &amp; "")&gt;0</formula>
    </cfRule>
    <cfRule type="expression" dxfId="1" priority="727">
      <formula>AND(COUNTIF(I132:BG132,"&lt;&gt;" &amp; "")&gt;0,NOT(ISBLANK(G132)))</formula>
    </cfRule>
  </conditionalFormatting>
  <conditionalFormatting sqref="G133">
    <cfRule type="expression" dxfId="0" priority="729">
      <formula>COUNTIF(I133:BG133,"&lt;&gt;" &amp; "")&gt;0</formula>
    </cfRule>
    <cfRule type="expression" dxfId="1" priority="730">
      <formula>AND(COUNTIF(I133:BG133,"&lt;&gt;" &amp; "")&gt;0,NOT(ISBLANK(G133)))</formula>
    </cfRule>
  </conditionalFormatting>
  <conditionalFormatting sqref="G134">
    <cfRule type="expression" dxfId="0" priority="732">
      <formula>COUNTIF(I134:BG134,"&lt;&gt;" &amp; "")&gt;0</formula>
    </cfRule>
    <cfRule type="expression" dxfId="1" priority="733">
      <formula>AND(COUNTIF(I134:BG134,"&lt;&gt;" &amp; "")&gt;0,NOT(ISBLANK(G134)))</formula>
    </cfRule>
  </conditionalFormatting>
  <conditionalFormatting sqref="G135">
    <cfRule type="expression" dxfId="0" priority="735">
      <formula>COUNTIF(I135:BG135,"&lt;&gt;" &amp; "")&gt;0</formula>
    </cfRule>
    <cfRule type="expression" dxfId="1" priority="736">
      <formula>AND(COUNTIF(I135:BG135,"&lt;&gt;" &amp; "")&gt;0,NOT(ISBLANK(G135)))</formula>
    </cfRule>
  </conditionalFormatting>
  <conditionalFormatting sqref="G136">
    <cfRule type="expression" dxfId="0" priority="738">
      <formula>COUNTIF(I136:BG136,"&lt;&gt;" &amp; "")&gt;0</formula>
    </cfRule>
    <cfRule type="expression" dxfId="1" priority="739">
      <formula>AND(COUNTIF(I136:BG136,"&lt;&gt;" &amp; "")&gt;0,NOT(ISBLANK(G136)))</formula>
    </cfRule>
  </conditionalFormatting>
  <conditionalFormatting sqref="G137">
    <cfRule type="expression" dxfId="0" priority="741">
      <formula>COUNTIF(I137:BG137,"&lt;&gt;" &amp; "")&gt;0</formula>
    </cfRule>
    <cfRule type="expression" dxfId="1" priority="742">
      <formula>AND(COUNTIF(I137:BG137,"&lt;&gt;" &amp; "")&gt;0,NOT(ISBLANK(G137)))</formula>
    </cfRule>
  </conditionalFormatting>
  <conditionalFormatting sqref="G138">
    <cfRule type="expression" dxfId="0" priority="744">
      <formula>COUNTIF(I138:BG138,"&lt;&gt;" &amp; "")&gt;0</formula>
    </cfRule>
    <cfRule type="expression" dxfId="1" priority="745">
      <formula>AND(COUNTIF(I138:BG138,"&lt;&gt;" &amp; "")&gt;0,NOT(ISBLANK(G138)))</formula>
    </cfRule>
  </conditionalFormatting>
  <conditionalFormatting sqref="G139">
    <cfRule type="expression" dxfId="0" priority="747">
      <formula>COUNTIF(I139:BG139,"&lt;&gt;" &amp; "")&gt;0</formula>
    </cfRule>
    <cfRule type="expression" dxfId="1" priority="748">
      <formula>AND(COUNTIF(I139:BG139,"&lt;&gt;" &amp; "")&gt;0,NOT(ISBLANK(G139)))</formula>
    </cfRule>
  </conditionalFormatting>
  <conditionalFormatting sqref="G14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G140">
    <cfRule type="expression" dxfId="0" priority="750">
      <formula>COUNTIF(I140:BG140,"&lt;&gt;" &amp; "")&gt;0</formula>
    </cfRule>
    <cfRule type="expression" dxfId="1" priority="751">
      <formula>AND(COUNTIF(I140:BG140,"&lt;&gt;" &amp; "")&gt;0,NOT(ISBLANK(G140)))</formula>
    </cfRule>
  </conditionalFormatting>
  <conditionalFormatting sqref="G141">
    <cfRule type="expression" dxfId="0" priority="753">
      <formula>COUNTIF(I141:BG141,"&lt;&gt;" &amp; "")&gt;0</formula>
    </cfRule>
    <cfRule type="expression" dxfId="1" priority="754">
      <formula>AND(COUNTIF(I141:BG141,"&lt;&gt;" &amp; "")&gt;0,NOT(ISBLANK(G141)))</formula>
    </cfRule>
  </conditionalFormatting>
  <conditionalFormatting sqref="G142">
    <cfRule type="expression" dxfId="0" priority="756">
      <formula>COUNTIF(I142:BG142,"&lt;&gt;" &amp; "")&gt;0</formula>
    </cfRule>
    <cfRule type="expression" dxfId="1" priority="757">
      <formula>AND(COUNTIF(I142:BG142,"&lt;&gt;" &amp; "")&gt;0,NOT(ISBLANK(G142)))</formula>
    </cfRule>
  </conditionalFormatting>
  <conditionalFormatting sqref="G143">
    <cfRule type="expression" dxfId="0" priority="759">
      <formula>COUNTIF(I143:BG143,"&lt;&gt;" &amp; "")&gt;0</formula>
    </cfRule>
    <cfRule type="expression" dxfId="1" priority="760">
      <formula>AND(COUNTIF(I143:BG143,"&lt;&gt;" &amp; "")&gt;0,NOT(ISBLANK(G143)))</formula>
    </cfRule>
  </conditionalFormatting>
  <conditionalFormatting sqref="G144">
    <cfRule type="expression" dxfId="0" priority="762">
      <formula>COUNTIF(I144:BG144,"&lt;&gt;" &amp; "")&gt;0</formula>
    </cfRule>
    <cfRule type="expression" dxfId="1" priority="763">
      <formula>AND(COUNTIF(I144:BG144,"&lt;&gt;" &amp; "")&gt;0,NOT(ISBLANK(G144)))</formula>
    </cfRule>
  </conditionalFormatting>
  <conditionalFormatting sqref="G145">
    <cfRule type="expression" dxfId="0" priority="765">
      <formula>COUNTIF(I145:BG145,"&lt;&gt;" &amp; "")&gt;0</formula>
    </cfRule>
    <cfRule type="expression" dxfId="1" priority="766">
      <formula>AND(COUNTIF(I145:BG145,"&lt;&gt;" &amp; "")&gt;0,NOT(ISBLANK(G145)))</formula>
    </cfRule>
  </conditionalFormatting>
  <conditionalFormatting sqref="G146">
    <cfRule type="expression" dxfId="0" priority="768">
      <formula>COUNTIF(I146:BG146,"&lt;&gt;" &amp; "")&gt;0</formula>
    </cfRule>
    <cfRule type="expression" dxfId="1" priority="769">
      <formula>AND(COUNTIF(I146:BG146,"&lt;&gt;" &amp; "")&gt;0,NOT(ISBLANK(G146)))</formula>
    </cfRule>
  </conditionalFormatting>
  <conditionalFormatting sqref="G147">
    <cfRule type="expression" dxfId="0" priority="771">
      <formula>COUNTIF(I147:BG147,"&lt;&gt;" &amp; "")&gt;0</formula>
    </cfRule>
    <cfRule type="expression" dxfId="1" priority="772">
      <formula>AND(COUNTIF(I147:BG147,"&lt;&gt;" &amp; "")&gt;0,NOT(ISBLANK(G147)))</formula>
    </cfRule>
  </conditionalFormatting>
  <conditionalFormatting sqref="G148">
    <cfRule type="expression" dxfId="0" priority="774">
      <formula>COUNTIF(I148:BG148,"&lt;&gt;" &amp; "")&gt;0</formula>
    </cfRule>
    <cfRule type="expression" dxfId="1" priority="775">
      <formula>AND(COUNTIF(I148:BG148,"&lt;&gt;" &amp; "")&gt;0,NOT(ISBLANK(G148)))</formula>
    </cfRule>
  </conditionalFormatting>
  <conditionalFormatting sqref="G149">
    <cfRule type="expression" dxfId="0" priority="777">
      <formula>COUNTIF(I149:BG149,"&lt;&gt;" &amp; "")&gt;0</formula>
    </cfRule>
    <cfRule type="expression" dxfId="1" priority="778">
      <formula>AND(COUNTIF(I149:BG149,"&lt;&gt;" &amp; "")&gt;0,NOT(ISBLANK(G149)))</formula>
    </cfRule>
  </conditionalFormatting>
  <conditionalFormatting sqref="G15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G150">
    <cfRule type="expression" dxfId="0" priority="780">
      <formula>COUNTIF(I150:BG150,"&lt;&gt;" &amp; "")&gt;0</formula>
    </cfRule>
    <cfRule type="expression" dxfId="1" priority="781">
      <formula>AND(COUNTIF(I150:BG150,"&lt;&gt;" &amp; "")&gt;0,NOT(ISBLANK(G150)))</formula>
    </cfRule>
  </conditionalFormatting>
  <conditionalFormatting sqref="G151">
    <cfRule type="expression" dxfId="0" priority="783">
      <formula>COUNTIF(I151:BG151,"&lt;&gt;" &amp; "")&gt;0</formula>
    </cfRule>
    <cfRule type="expression" dxfId="1" priority="784">
      <formula>AND(COUNTIF(I151:BG151,"&lt;&gt;" &amp; "")&gt;0,NOT(ISBLANK(G151)))</formula>
    </cfRule>
  </conditionalFormatting>
  <conditionalFormatting sqref="G152">
    <cfRule type="expression" dxfId="0" priority="786">
      <formula>COUNTIF(I152:BG152,"&lt;&gt;" &amp; "")&gt;0</formula>
    </cfRule>
    <cfRule type="expression" dxfId="1" priority="787">
      <formula>AND(COUNTIF(I152:BG152,"&lt;&gt;" &amp; "")&gt;0,NOT(ISBLANK(G152)))</formula>
    </cfRule>
  </conditionalFormatting>
  <conditionalFormatting sqref="G153">
    <cfRule type="expression" dxfId="0" priority="789">
      <formula>COUNTIF(I153:BG153,"&lt;&gt;" &amp; "")&gt;0</formula>
    </cfRule>
    <cfRule type="expression" dxfId="1" priority="790">
      <formula>AND(COUNTIF(I153:BG153,"&lt;&gt;" &amp; "")&gt;0,NOT(ISBLANK(G153)))</formula>
    </cfRule>
  </conditionalFormatting>
  <conditionalFormatting sqref="G154">
    <cfRule type="expression" dxfId="0" priority="792">
      <formula>COUNTIF(I154:BG154,"&lt;&gt;" &amp; "")&gt;0</formula>
    </cfRule>
    <cfRule type="expression" dxfId="1" priority="793">
      <formula>AND(COUNTIF(I154:BG154,"&lt;&gt;" &amp; "")&gt;0,NOT(ISBLANK(G154)))</formula>
    </cfRule>
  </conditionalFormatting>
  <conditionalFormatting sqref="G155">
    <cfRule type="expression" dxfId="0" priority="795">
      <formula>COUNTIF(I155:BG155,"&lt;&gt;" &amp; "")&gt;0</formula>
    </cfRule>
    <cfRule type="expression" dxfId="1" priority="796">
      <formula>AND(COUNTIF(I155:BG155,"&lt;&gt;" &amp; "")&gt;0,NOT(ISBLANK(G155)))</formula>
    </cfRule>
  </conditionalFormatting>
  <conditionalFormatting sqref="G156">
    <cfRule type="expression" dxfId="0" priority="798">
      <formula>COUNTIF(I156:BG156,"&lt;&gt;" &amp; "")&gt;0</formula>
    </cfRule>
    <cfRule type="expression" dxfId="1" priority="799">
      <formula>AND(COUNTIF(I156:BG156,"&lt;&gt;" &amp; "")&gt;0,NOT(ISBLANK(G156)))</formula>
    </cfRule>
  </conditionalFormatting>
  <conditionalFormatting sqref="G157">
    <cfRule type="expression" dxfId="0" priority="801">
      <formula>COUNTIF(I157:BG157,"&lt;&gt;" &amp; "")&gt;0</formula>
    </cfRule>
    <cfRule type="expression" dxfId="1" priority="802">
      <formula>AND(COUNTIF(I157:BG157,"&lt;&gt;" &amp; "")&gt;0,NOT(ISBLANK(G157)))</formula>
    </cfRule>
  </conditionalFormatting>
  <conditionalFormatting sqref="G158">
    <cfRule type="expression" dxfId="0" priority="804">
      <formula>COUNTIF(I158:BG158,"&lt;&gt;" &amp; "")&gt;0</formula>
    </cfRule>
    <cfRule type="expression" dxfId="1" priority="805">
      <formula>AND(COUNTIF(I158:BG158,"&lt;&gt;" &amp; "")&gt;0,NOT(ISBLANK(G158)))</formula>
    </cfRule>
  </conditionalFormatting>
  <conditionalFormatting sqref="G159">
    <cfRule type="expression" dxfId="0" priority="807">
      <formula>COUNTIF(I159:BG159,"&lt;&gt;" &amp; "")&gt;0</formula>
    </cfRule>
    <cfRule type="expression" dxfId="1" priority="808">
      <formula>AND(COUNTIF(I159:BG159,"&lt;&gt;" &amp; "")&gt;0,NOT(ISBLANK(G159)))</formula>
    </cfRule>
  </conditionalFormatting>
  <conditionalFormatting sqref="G16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G160">
    <cfRule type="expression" dxfId="0" priority="810">
      <formula>COUNTIF(I160:BG160,"&lt;&gt;" &amp; "")&gt;0</formula>
    </cfRule>
    <cfRule type="expression" dxfId="1" priority="811">
      <formula>AND(COUNTIF(I160:BG160,"&lt;&gt;" &amp; "")&gt;0,NOT(ISBLANK(G160)))</formula>
    </cfRule>
  </conditionalFormatting>
  <conditionalFormatting sqref="G161">
    <cfRule type="expression" dxfId="0" priority="813">
      <formula>COUNTIF(I161:BG161,"&lt;&gt;" &amp; "")&gt;0</formula>
    </cfRule>
    <cfRule type="expression" dxfId="1" priority="814">
      <formula>AND(COUNTIF(I161:BG161,"&lt;&gt;" &amp; "")&gt;0,NOT(ISBLANK(G161)))</formula>
    </cfRule>
  </conditionalFormatting>
  <conditionalFormatting sqref="G162">
    <cfRule type="expression" dxfId="0" priority="816">
      <formula>COUNTIF(I162:BG162,"&lt;&gt;" &amp; "")&gt;0</formula>
    </cfRule>
    <cfRule type="expression" dxfId="1" priority="817">
      <formula>AND(COUNTIF(I162:BG162,"&lt;&gt;" &amp; "")&gt;0,NOT(ISBLANK(G162)))</formula>
    </cfRule>
  </conditionalFormatting>
  <conditionalFormatting sqref="G163">
    <cfRule type="expression" dxfId="0" priority="819">
      <formula>COUNTIF(I163:BG163,"&lt;&gt;" &amp; "")&gt;0</formula>
    </cfRule>
    <cfRule type="expression" dxfId="1" priority="820">
      <formula>AND(COUNTIF(I163:BG163,"&lt;&gt;" &amp; "")&gt;0,NOT(ISBLANK(G163)))</formula>
    </cfRule>
  </conditionalFormatting>
  <conditionalFormatting sqref="G164">
    <cfRule type="expression" dxfId="0" priority="822">
      <formula>COUNTIF(I164:BG164,"&lt;&gt;" &amp; "")&gt;0</formula>
    </cfRule>
    <cfRule type="expression" dxfId="1" priority="823">
      <formula>AND(COUNTIF(I164:BG164,"&lt;&gt;" &amp; "")&gt;0,NOT(ISBLANK(G164)))</formula>
    </cfRule>
  </conditionalFormatting>
  <conditionalFormatting sqref="G165">
    <cfRule type="expression" dxfId="0" priority="825">
      <formula>COUNTIF(I165:BG165,"&lt;&gt;" &amp; "")&gt;0</formula>
    </cfRule>
    <cfRule type="expression" dxfId="1" priority="826">
      <formula>AND(COUNTIF(I165:BG165,"&lt;&gt;" &amp; "")&gt;0,NOT(ISBLANK(G165)))</formula>
    </cfRule>
  </conditionalFormatting>
  <conditionalFormatting sqref="G166">
    <cfRule type="expression" dxfId="0" priority="828">
      <formula>COUNTIF(I166:BG166,"&lt;&gt;" &amp; "")&gt;0</formula>
    </cfRule>
    <cfRule type="expression" dxfId="1" priority="829">
      <formula>AND(COUNTIF(I166:BG166,"&lt;&gt;" &amp; "")&gt;0,NOT(ISBLANK(G166)))</formula>
    </cfRule>
  </conditionalFormatting>
  <conditionalFormatting sqref="G167">
    <cfRule type="expression" dxfId="0" priority="831">
      <formula>COUNTIF(I167:BG167,"&lt;&gt;" &amp; "")&gt;0</formula>
    </cfRule>
    <cfRule type="expression" dxfId="1" priority="832">
      <formula>AND(COUNTIF(I167:BG167,"&lt;&gt;" &amp; "")&gt;0,NOT(ISBLANK(G167)))</formula>
    </cfRule>
  </conditionalFormatting>
  <conditionalFormatting sqref="G168">
    <cfRule type="expression" dxfId="0" priority="834">
      <formula>COUNTIF(I168:BG168,"&lt;&gt;" &amp; "")&gt;0</formula>
    </cfRule>
    <cfRule type="expression" dxfId="1" priority="835">
      <formula>AND(COUNTIF(I168:BG168,"&lt;&gt;" &amp; "")&gt;0,NOT(ISBLANK(G168)))</formula>
    </cfRule>
  </conditionalFormatting>
  <conditionalFormatting sqref="G169">
    <cfRule type="expression" dxfId="0" priority="837">
      <formula>COUNTIF(I169:BG169,"&lt;&gt;" &amp; "")&gt;0</formula>
    </cfRule>
    <cfRule type="expression" dxfId="1" priority="838">
      <formula>AND(COUNTIF(I169:BG169,"&lt;&gt;" &amp; "")&gt;0,NOT(ISBLANK(G169)))</formula>
    </cfRule>
  </conditionalFormatting>
  <conditionalFormatting sqref="G17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70">
    <cfRule type="expression" dxfId="0" priority="840">
      <formula>COUNTIF(I170:BG170,"&lt;&gt;" &amp; "")&gt;0</formula>
    </cfRule>
    <cfRule type="expression" dxfId="1" priority="841">
      <formula>AND(COUNTIF(I170:BG170,"&lt;&gt;" &amp; "")&gt;0,NOT(ISBLANK(G170)))</formula>
    </cfRule>
  </conditionalFormatting>
  <conditionalFormatting sqref="G171">
    <cfRule type="expression" dxfId="0" priority="843">
      <formula>COUNTIF(I171:BG171,"&lt;&gt;" &amp; "")&gt;0</formula>
    </cfRule>
    <cfRule type="expression" dxfId="1" priority="844">
      <formula>AND(COUNTIF(I171:BG171,"&lt;&gt;" &amp; "")&gt;0,NOT(ISBLANK(G171)))</formula>
    </cfRule>
  </conditionalFormatting>
  <conditionalFormatting sqref="G172">
    <cfRule type="expression" dxfId="0" priority="846">
      <formula>COUNTIF(I172:BG172,"&lt;&gt;" &amp; "")&gt;0</formula>
    </cfRule>
    <cfRule type="expression" dxfId="1" priority="847">
      <formula>AND(COUNTIF(I172:BG172,"&lt;&gt;" &amp; "")&gt;0,NOT(ISBLANK(G172)))</formula>
    </cfRule>
  </conditionalFormatting>
  <conditionalFormatting sqref="G173">
    <cfRule type="expression" dxfId="0" priority="849">
      <formula>COUNTIF(I173:BG173,"&lt;&gt;" &amp; "")&gt;0</formula>
    </cfRule>
    <cfRule type="expression" dxfId="1" priority="850">
      <formula>AND(COUNTIF(I173:BG173,"&lt;&gt;" &amp; "")&gt;0,NOT(ISBLANK(G173)))</formula>
    </cfRule>
  </conditionalFormatting>
  <conditionalFormatting sqref="G174">
    <cfRule type="expression" dxfId="0" priority="852">
      <formula>COUNTIF(I174:BG174,"&lt;&gt;" &amp; "")&gt;0</formula>
    </cfRule>
    <cfRule type="expression" dxfId="1" priority="853">
      <formula>AND(COUNTIF(I174:BG174,"&lt;&gt;" &amp; "")&gt;0,NOT(ISBLANK(G174)))</formula>
    </cfRule>
  </conditionalFormatting>
  <conditionalFormatting sqref="G175">
    <cfRule type="expression" dxfId="0" priority="855">
      <formula>COUNTIF(I175:BG175,"&lt;&gt;" &amp; "")&gt;0</formula>
    </cfRule>
    <cfRule type="expression" dxfId="1" priority="856">
      <formula>AND(COUNTIF(I175:BG175,"&lt;&gt;" &amp; "")&gt;0,NOT(ISBLANK(G175)))</formula>
    </cfRule>
  </conditionalFormatting>
  <conditionalFormatting sqref="G176">
    <cfRule type="expression" dxfId="0" priority="858">
      <formula>COUNTIF(I176:BG176,"&lt;&gt;" &amp; "")&gt;0</formula>
    </cfRule>
    <cfRule type="expression" dxfId="1" priority="859">
      <formula>AND(COUNTIF(I176:BG176,"&lt;&gt;" &amp; "")&gt;0,NOT(ISBLANK(G176)))</formula>
    </cfRule>
  </conditionalFormatting>
  <conditionalFormatting sqref="G177">
    <cfRule type="expression" dxfId="0" priority="861">
      <formula>COUNTIF(I177:BG177,"&lt;&gt;" &amp; "")&gt;0</formula>
    </cfRule>
    <cfRule type="expression" dxfId="1" priority="862">
      <formula>AND(COUNTIF(I177:BG177,"&lt;&gt;" &amp; "")&gt;0,NOT(ISBLANK(G177)))</formula>
    </cfRule>
  </conditionalFormatting>
  <conditionalFormatting sqref="G178">
    <cfRule type="expression" dxfId="0" priority="864">
      <formula>COUNTIF(I178:BG178,"&lt;&gt;" &amp; "")&gt;0</formula>
    </cfRule>
    <cfRule type="expression" dxfId="1" priority="865">
      <formula>AND(COUNTIF(I178:BG178,"&lt;&gt;" &amp; "")&gt;0,NOT(ISBLANK(G178)))</formula>
    </cfRule>
  </conditionalFormatting>
  <conditionalFormatting sqref="G179">
    <cfRule type="expression" dxfId="0" priority="867">
      <formula>COUNTIF(I179:BG179,"&lt;&gt;" &amp; "")&gt;0</formula>
    </cfRule>
    <cfRule type="expression" dxfId="1" priority="868">
      <formula>AND(COUNTIF(I179:BG179,"&lt;&gt;" &amp; "")&gt;0,NOT(ISBLANK(G179)))</formula>
    </cfRule>
  </conditionalFormatting>
  <conditionalFormatting sqref="G18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G180">
    <cfRule type="expression" dxfId="0" priority="870">
      <formula>COUNTIF(I180:BG180,"&lt;&gt;" &amp; "")&gt;0</formula>
    </cfRule>
    <cfRule type="expression" dxfId="1" priority="871">
      <formula>AND(COUNTIF(I180:BG180,"&lt;&gt;" &amp; "")&gt;0,NOT(ISBLANK(G180)))</formula>
    </cfRule>
  </conditionalFormatting>
  <conditionalFormatting sqref="G181">
    <cfRule type="expression" dxfId="0" priority="873">
      <formula>COUNTIF(I181:BG181,"&lt;&gt;" &amp; "")&gt;0</formula>
    </cfRule>
    <cfRule type="expression" dxfId="1" priority="874">
      <formula>AND(COUNTIF(I181:BG181,"&lt;&gt;" &amp; "")&gt;0,NOT(ISBLANK(G181)))</formula>
    </cfRule>
  </conditionalFormatting>
  <conditionalFormatting sqref="G182">
    <cfRule type="expression" dxfId="0" priority="876">
      <formula>COUNTIF(I182:BG182,"&lt;&gt;" &amp; "")&gt;0</formula>
    </cfRule>
    <cfRule type="expression" dxfId="1" priority="877">
      <formula>AND(COUNTIF(I182:BG182,"&lt;&gt;" &amp; "")&gt;0,NOT(ISBLANK(G182)))</formula>
    </cfRule>
  </conditionalFormatting>
  <conditionalFormatting sqref="G183">
    <cfRule type="expression" dxfId="0" priority="879">
      <formula>COUNTIF(I183:BG183,"&lt;&gt;" &amp; "")&gt;0</formula>
    </cfRule>
    <cfRule type="expression" dxfId="1" priority="880">
      <formula>AND(COUNTIF(I183:BG183,"&lt;&gt;" &amp; "")&gt;0,NOT(ISBLANK(G183)))</formula>
    </cfRule>
  </conditionalFormatting>
  <conditionalFormatting sqref="G184">
    <cfRule type="expression" dxfId="0" priority="882">
      <formula>COUNTIF(I184:BG184,"&lt;&gt;" &amp; "")&gt;0</formula>
    </cfRule>
    <cfRule type="expression" dxfId="1" priority="883">
      <formula>AND(COUNTIF(I184:BG184,"&lt;&gt;" &amp; "")&gt;0,NOT(ISBLANK(G184)))</formula>
    </cfRule>
  </conditionalFormatting>
  <conditionalFormatting sqref="G185">
    <cfRule type="expression" dxfId="0" priority="885">
      <formula>COUNTIF(I185:BG185,"&lt;&gt;" &amp; "")&gt;0</formula>
    </cfRule>
    <cfRule type="expression" dxfId="1" priority="886">
      <formula>AND(COUNTIF(I185:BG185,"&lt;&gt;" &amp; "")&gt;0,NOT(ISBLANK(G185)))</formula>
    </cfRule>
  </conditionalFormatting>
  <conditionalFormatting sqref="G186">
    <cfRule type="expression" dxfId="0" priority="888">
      <formula>COUNTIF(I186:BG186,"&lt;&gt;" &amp; "")&gt;0</formula>
    </cfRule>
    <cfRule type="expression" dxfId="1" priority="889">
      <formula>AND(COUNTIF(I186:BG186,"&lt;&gt;" &amp; "")&gt;0,NOT(ISBLANK(G186)))</formula>
    </cfRule>
  </conditionalFormatting>
  <conditionalFormatting sqref="G187">
    <cfRule type="expression" dxfId="0" priority="891">
      <formula>COUNTIF(I187:BG187,"&lt;&gt;" &amp; "")&gt;0</formula>
    </cfRule>
    <cfRule type="expression" dxfId="1" priority="892">
      <formula>AND(COUNTIF(I187:BG187,"&lt;&gt;" &amp; "")&gt;0,NOT(ISBLANK(G187)))</formula>
    </cfRule>
  </conditionalFormatting>
  <conditionalFormatting sqref="G188">
    <cfRule type="expression" dxfId="0" priority="894">
      <formula>COUNTIF(I188:BG188,"&lt;&gt;" &amp; "")&gt;0</formula>
    </cfRule>
    <cfRule type="expression" dxfId="1" priority="895">
      <formula>AND(COUNTIF(I188:BG188,"&lt;&gt;" &amp; "")&gt;0,NOT(ISBLANK(G188)))</formula>
    </cfRule>
  </conditionalFormatting>
  <conditionalFormatting sqref="G189">
    <cfRule type="expression" dxfId="0" priority="897">
      <formula>COUNTIF(I189:BG189,"&lt;&gt;" &amp; "")&gt;0</formula>
    </cfRule>
    <cfRule type="expression" dxfId="1" priority="898">
      <formula>AND(COUNTIF(I189:BG189,"&lt;&gt;" &amp; "")&gt;0,NOT(ISBLANK(G189)))</formula>
    </cfRule>
  </conditionalFormatting>
  <conditionalFormatting sqref="G190">
    <cfRule type="expression" dxfId="0" priority="900">
      <formula>COUNTIF(I190:BG190,"&lt;&gt;" &amp; "")&gt;0</formula>
    </cfRule>
    <cfRule type="expression" dxfId="1" priority="901">
      <formula>AND(COUNTIF(I190:BG190,"&lt;&gt;" &amp; "")&gt;0,NOT(ISBLANK(G190)))</formula>
    </cfRule>
  </conditionalFormatting>
  <conditionalFormatting sqref="G191">
    <cfRule type="expression" dxfId="0" priority="903">
      <formula>COUNTIF(I191:BG191,"&lt;&gt;" &amp; "")&gt;0</formula>
    </cfRule>
    <cfRule type="expression" dxfId="1" priority="904">
      <formula>AND(COUNTIF(I191:BG191,"&lt;&gt;" &amp; "")&gt;0,NOT(ISBLANK(G191)))</formula>
    </cfRule>
  </conditionalFormatting>
  <conditionalFormatting sqref="G192">
    <cfRule type="expression" dxfId="0" priority="906">
      <formula>COUNTIF(I192:BG192,"&lt;&gt;" &amp; "")&gt;0</formula>
    </cfRule>
    <cfRule type="expression" dxfId="1" priority="907">
      <formula>AND(COUNTIF(I192:BG192,"&lt;&gt;" &amp; "")&gt;0,NOT(ISBLANK(G192)))</formula>
    </cfRule>
  </conditionalFormatting>
  <conditionalFormatting sqref="G193">
    <cfRule type="expression" dxfId="0" priority="909">
      <formula>COUNTIF(I193:BG193,"&lt;&gt;" &amp; "")&gt;0</formula>
    </cfRule>
    <cfRule type="expression" dxfId="1" priority="910">
      <formula>AND(COUNTIF(I193:BG193,"&lt;&gt;" &amp; "")&gt;0,NOT(ISBLANK(G193)))</formula>
    </cfRule>
  </conditionalFormatting>
  <conditionalFormatting sqref="G194">
    <cfRule type="expression" dxfId="0" priority="912">
      <formula>COUNTIF(I194:BG194,"&lt;&gt;" &amp; "")&gt;0</formula>
    </cfRule>
    <cfRule type="expression" dxfId="1" priority="913">
      <formula>AND(COUNTIF(I194:BG194,"&lt;&gt;" &amp; "")&gt;0,NOT(ISBLANK(G194)))</formula>
    </cfRule>
  </conditionalFormatting>
  <conditionalFormatting sqref="G195">
    <cfRule type="expression" dxfId="0" priority="915">
      <formula>COUNTIF(I195:BG195,"&lt;&gt;" &amp; "")&gt;0</formula>
    </cfRule>
    <cfRule type="expression" dxfId="1" priority="916">
      <formula>AND(COUNTIF(I195:BG195,"&lt;&gt;" &amp; "")&gt;0,NOT(ISBLANK(G195)))</formula>
    </cfRule>
  </conditionalFormatting>
  <conditionalFormatting sqref="G196">
    <cfRule type="expression" dxfId="0" priority="918">
      <formula>COUNTIF(I196:BG196,"&lt;&gt;" &amp; "")&gt;0</formula>
    </cfRule>
    <cfRule type="expression" dxfId="1" priority="919">
      <formula>AND(COUNTIF(I196:BG196,"&lt;&gt;" &amp; "")&gt;0,NOT(ISBLANK(G196)))</formula>
    </cfRule>
  </conditionalFormatting>
  <conditionalFormatting sqref="G197">
    <cfRule type="expression" dxfId="0" priority="921">
      <formula>COUNTIF(I197:BG197,"&lt;&gt;" &amp; "")&gt;0</formula>
    </cfRule>
    <cfRule type="expression" dxfId="1" priority="922">
      <formula>AND(COUNTIF(I197:BG197,"&lt;&gt;" &amp; "")&gt;0,NOT(ISBLANK(G197)))</formula>
    </cfRule>
  </conditionalFormatting>
  <conditionalFormatting sqref="G198">
    <cfRule type="expression" dxfId="0" priority="924">
      <formula>COUNTIF(I198:BG198,"&lt;&gt;" &amp; "")&gt;0</formula>
    </cfRule>
    <cfRule type="expression" dxfId="1" priority="925">
      <formula>AND(COUNTIF(I198:BG198,"&lt;&gt;" &amp; "")&gt;0,NOT(ISBLANK(G198)))</formula>
    </cfRule>
  </conditionalFormatting>
  <conditionalFormatting sqref="G199">
    <cfRule type="expression" dxfId="0" priority="927">
      <formula>COUNTIF(I199:BG199,"&lt;&gt;" &amp; "")&gt;0</formula>
    </cfRule>
    <cfRule type="expression" dxfId="1" priority="928">
      <formula>AND(COUNTIF(I199:BG199,"&lt;&gt;" &amp; "")&gt;0,NOT(ISBLANK(G199)))</formula>
    </cfRule>
  </conditionalFormatting>
  <conditionalFormatting sqref="G200">
    <cfRule type="expression" dxfId="0" priority="930">
      <formula>COUNTIF(I200:BG200,"&lt;&gt;" &amp; "")&gt;0</formula>
    </cfRule>
    <cfRule type="expression" dxfId="1" priority="931">
      <formula>AND(COUNTIF(I200:BG200,"&lt;&gt;" &amp; "")&gt;0,NOT(ISBLANK(G200)))</formula>
    </cfRule>
  </conditionalFormatting>
  <conditionalFormatting sqref="G201">
    <cfRule type="expression" dxfId="0" priority="933">
      <formula>COUNTIF(I201:BG201,"&lt;&gt;" &amp; "")&gt;0</formula>
    </cfRule>
    <cfRule type="expression" dxfId="1" priority="934">
      <formula>AND(COUNTIF(I201:BG201,"&lt;&gt;" &amp; "")&gt;0,NOT(ISBLANK(G201)))</formula>
    </cfRule>
  </conditionalFormatting>
  <conditionalFormatting sqref="G202">
    <cfRule type="expression" dxfId="0" priority="936">
      <formula>COUNTIF(I202:BG202,"&lt;&gt;" &amp; "")&gt;0</formula>
    </cfRule>
    <cfRule type="expression" dxfId="1" priority="937">
      <formula>AND(COUNTIF(I202:BG202,"&lt;&gt;" &amp; "")&gt;0,NOT(ISBLANK(G202)))</formula>
    </cfRule>
  </conditionalFormatting>
  <conditionalFormatting sqref="G203">
    <cfRule type="expression" dxfId="0" priority="939">
      <formula>COUNTIF(I203:BG203,"&lt;&gt;" &amp; "")&gt;0</formula>
    </cfRule>
    <cfRule type="expression" dxfId="1" priority="940">
      <formula>AND(COUNTIF(I203:BG203,"&lt;&gt;" &amp; "")&gt;0,NOT(ISBLANK(G203)))</formula>
    </cfRule>
  </conditionalFormatting>
  <conditionalFormatting sqref="G204">
    <cfRule type="expression" dxfId="0" priority="942">
      <formula>COUNTIF(I204:BG204,"&lt;&gt;" &amp; "")&gt;0</formula>
    </cfRule>
    <cfRule type="expression" dxfId="1" priority="943">
      <formula>AND(COUNTIF(I204:BG204,"&lt;&gt;" &amp; "")&gt;0,NOT(ISBLANK(G204)))</formula>
    </cfRule>
  </conditionalFormatting>
  <conditionalFormatting sqref="G205">
    <cfRule type="expression" dxfId="0" priority="945">
      <formula>COUNTIF(I205:BG205,"&lt;&gt;" &amp; "")&gt;0</formula>
    </cfRule>
    <cfRule type="expression" dxfId="1" priority="946">
      <formula>AND(COUNTIF(I205:BG205,"&lt;&gt;" &amp; "")&gt;0,NOT(ISBLANK(G205)))</formula>
    </cfRule>
  </conditionalFormatting>
  <conditionalFormatting sqref="G206">
    <cfRule type="expression" dxfId="0" priority="948">
      <formula>COUNTIF(I206:BG206,"&lt;&gt;" &amp; "")&gt;0</formula>
    </cfRule>
    <cfRule type="expression" dxfId="1" priority="949">
      <formula>AND(COUNTIF(I206:BG206,"&lt;&gt;" &amp; "")&gt;0,NOT(ISBLANK(G206)))</formula>
    </cfRule>
  </conditionalFormatting>
  <conditionalFormatting sqref="G207">
    <cfRule type="expression" dxfId="0" priority="951">
      <formula>COUNTIF(I207:BG207,"&lt;&gt;" &amp; "")&gt;0</formula>
    </cfRule>
    <cfRule type="expression" dxfId="1" priority="952">
      <formula>AND(COUNTIF(I207:BG207,"&lt;&gt;" &amp; "")&gt;0,NOT(ISBLANK(G207)))</formula>
    </cfRule>
  </conditionalFormatting>
  <conditionalFormatting sqref="G208">
    <cfRule type="expression" dxfId="0" priority="954">
      <formula>COUNTIF(I208:BG208,"&lt;&gt;" &amp; "")&gt;0</formula>
    </cfRule>
    <cfRule type="expression" dxfId="1" priority="955">
      <formula>AND(COUNTIF(I208:BG208,"&lt;&gt;" &amp; "")&gt;0,NOT(ISBLANK(G208)))</formula>
    </cfRule>
  </conditionalFormatting>
  <conditionalFormatting sqref="G209">
    <cfRule type="expression" dxfId="0" priority="957">
      <formula>COUNTIF(I209:BG209,"&lt;&gt;" &amp; "")&gt;0</formula>
    </cfRule>
    <cfRule type="expression" dxfId="1" priority="958">
      <formula>AND(COUNTIF(I209:BG209,"&lt;&gt;" &amp; "")&gt;0,NOT(ISBLANK(G209)))</formula>
    </cfRule>
  </conditionalFormatting>
  <conditionalFormatting sqref="G21">
    <cfRule type="expression" dxfId="0" priority="393">
      <formula>COUNTIF(I21:BG21,"&lt;&gt;" &amp; "")&gt;0</formula>
    </cfRule>
    <cfRule type="expression" dxfId="1" priority="394">
      <formula>AND(COUNTIF(I21:BG21,"&lt;&gt;" &amp; "")&gt;0,NOT(ISBLANK(G21)))</formula>
    </cfRule>
  </conditionalFormatting>
  <conditionalFormatting sqref="G210">
    <cfRule type="expression" dxfId="0" priority="960">
      <formula>COUNTIF(I210:BG210,"&lt;&gt;" &amp; "")&gt;0</formula>
    </cfRule>
    <cfRule type="expression" dxfId="1" priority="961">
      <formula>AND(COUNTIF(I210:BG210,"&lt;&gt;" &amp; "")&gt;0,NOT(ISBLANK(G210)))</formula>
    </cfRule>
  </conditionalFormatting>
  <conditionalFormatting sqref="G211">
    <cfRule type="expression" dxfId="0" priority="963">
      <formula>COUNTIF(I211:BG211,"&lt;&gt;" &amp; "")&gt;0</formula>
    </cfRule>
    <cfRule type="expression" dxfId="1" priority="964">
      <formula>AND(COUNTIF(I211:BG211,"&lt;&gt;" &amp; "")&gt;0,NOT(ISBLANK(G211)))</formula>
    </cfRule>
  </conditionalFormatting>
  <conditionalFormatting sqref="G212">
    <cfRule type="expression" dxfId="0" priority="966">
      <formula>COUNTIF(I212:BG212,"&lt;&gt;" &amp; "")&gt;0</formula>
    </cfRule>
    <cfRule type="expression" dxfId="1" priority="967">
      <formula>AND(COUNTIF(I212:BG212,"&lt;&gt;" &amp; "")&gt;0,NOT(ISBLANK(G212)))</formula>
    </cfRule>
  </conditionalFormatting>
  <conditionalFormatting sqref="G213">
    <cfRule type="expression" dxfId="0" priority="969">
      <formula>COUNTIF(I213:BG213,"&lt;&gt;" &amp; "")&gt;0</formula>
    </cfRule>
    <cfRule type="expression" dxfId="1" priority="970">
      <formula>AND(COUNTIF(I213:BG213,"&lt;&gt;" &amp; "")&gt;0,NOT(ISBLANK(G213)))</formula>
    </cfRule>
  </conditionalFormatting>
  <conditionalFormatting sqref="G214">
    <cfRule type="expression" dxfId="0" priority="972">
      <formula>COUNTIF(I214:BG214,"&lt;&gt;" &amp; "")&gt;0</formula>
    </cfRule>
    <cfRule type="expression" dxfId="1" priority="973">
      <formula>AND(COUNTIF(I214:BG214,"&lt;&gt;" &amp; "")&gt;0,NOT(ISBLANK(G214)))</formula>
    </cfRule>
  </conditionalFormatting>
  <conditionalFormatting sqref="G215">
    <cfRule type="expression" dxfId="0" priority="975">
      <formula>COUNTIF(I215:BG215,"&lt;&gt;" &amp; "")&gt;0</formula>
    </cfRule>
    <cfRule type="expression" dxfId="1" priority="976">
      <formula>AND(COUNTIF(I215:BG215,"&lt;&gt;" &amp; "")&gt;0,NOT(ISBLANK(G215)))</formula>
    </cfRule>
  </conditionalFormatting>
  <conditionalFormatting sqref="G216">
    <cfRule type="expression" dxfId="0" priority="978">
      <formula>COUNTIF(I216:BG216,"&lt;&gt;" &amp; "")&gt;0</formula>
    </cfRule>
    <cfRule type="expression" dxfId="1" priority="979">
      <formula>AND(COUNTIF(I216:BG216,"&lt;&gt;" &amp; "")&gt;0,NOT(ISBLANK(G216)))</formula>
    </cfRule>
  </conditionalFormatting>
  <conditionalFormatting sqref="G22">
    <cfRule type="expression" dxfId="0" priority="396">
      <formula>COUNTIF(I22:BG22,"&lt;&gt;" &amp; "")&gt;0</formula>
    </cfRule>
    <cfRule type="expression" dxfId="1" priority="397">
      <formula>AND(COUNTIF(I22:BG22,"&lt;&gt;" &amp; "")&gt;0,NOT(ISBLANK(G22)))</formula>
    </cfRule>
  </conditionalFormatting>
  <conditionalFormatting sqref="G222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G223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24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G225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G226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G227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G228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G229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G23">
    <cfRule type="expression" dxfId="0" priority="399">
      <formula>COUNTIF(I23:BG23,"&lt;&gt;" &amp; "")&gt;0</formula>
    </cfRule>
    <cfRule type="expression" dxfId="1" priority="400">
      <formula>AND(COUNTIF(I23:BG23,"&lt;&gt;" &amp; "")&gt;0,NOT(ISBLANK(G23)))</formula>
    </cfRule>
  </conditionalFormatting>
  <conditionalFormatting sqref="G230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G231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G232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G233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G234">
    <cfRule type="cellIs" dxfId="2" priority="1327" operator="equal">
      <formula>"Y"</formula>
    </cfRule>
    <cfRule type="cellIs" dxfId="3" priority="1328" operator="equal">
      <formula>"N"</formula>
    </cfRule>
  </conditionalFormatting>
  <conditionalFormatting sqref="G235">
    <cfRule type="cellIs" dxfId="2" priority="1355" operator="equal">
      <formula>"Y"</formula>
    </cfRule>
    <cfRule type="cellIs" dxfId="3" priority="1356" operator="equal">
      <formula>"N"</formula>
    </cfRule>
  </conditionalFormatting>
  <conditionalFormatting sqref="G238">
    <cfRule type="expression" dxfId="0" priority="1373">
      <formula>COUNTIF(I238:BG238,"&lt;&gt;" &amp; "")&gt;0</formula>
    </cfRule>
    <cfRule type="expression" dxfId="1" priority="1374">
      <formula>AND(COUNTIF(I238:BG238,"&lt;&gt;" &amp; "")&gt;0,NOT(ISBLANK(G238)))</formula>
    </cfRule>
  </conditionalFormatting>
  <conditionalFormatting sqref="G239">
    <cfRule type="expression" dxfId="0" priority="1376">
      <formula>COUNTIF(I239:BG239,"&lt;&gt;" &amp; "")&gt;0</formula>
    </cfRule>
    <cfRule type="expression" dxfId="1" priority="1377">
      <formula>AND(COUNTIF(I239:BG239,"&lt;&gt;" &amp; "")&gt;0,NOT(ISBLANK(G239)))</formula>
    </cfRule>
  </conditionalFormatting>
  <conditionalFormatting sqref="G24">
    <cfRule type="expression" dxfId="0" priority="402">
      <formula>COUNTIF(I24:BG24,"&lt;&gt;" &amp; "")&gt;0</formula>
    </cfRule>
    <cfRule type="expression" dxfId="1" priority="403">
      <formula>AND(COUNTIF(I24:BG24,"&lt;&gt;" &amp; "")&gt;0,NOT(ISBLANK(G24)))</formula>
    </cfRule>
  </conditionalFormatting>
  <conditionalFormatting sqref="G240">
    <cfRule type="expression" dxfId="0" priority="1379">
      <formula>COUNTIF(I240:BG240,"&lt;&gt;" &amp; "")&gt;0</formula>
    </cfRule>
    <cfRule type="expression" dxfId="1" priority="1380">
      <formula>AND(COUNTIF(I240:BG240,"&lt;&gt;" &amp; "")&gt;0,NOT(ISBLANK(G240)))</formula>
    </cfRule>
  </conditionalFormatting>
  <conditionalFormatting sqref="G241">
    <cfRule type="expression" dxfId="0" priority="1382">
      <formula>COUNTIF(I241:BG241,"&lt;&gt;" &amp; "")&gt;0</formula>
    </cfRule>
    <cfRule type="expression" dxfId="1" priority="1383">
      <formula>AND(COUNTIF(I241:BG241,"&lt;&gt;" &amp; "")&gt;0,NOT(ISBLANK(G241)))</formula>
    </cfRule>
  </conditionalFormatting>
  <conditionalFormatting sqref="G242">
    <cfRule type="expression" dxfId="0" priority="1385">
      <formula>COUNTIF(I242:BG242,"&lt;&gt;" &amp; "")&gt;0</formula>
    </cfRule>
    <cfRule type="expression" dxfId="1" priority="1386">
      <formula>AND(COUNTIF(I242:BG242,"&lt;&gt;" &amp; "")&gt;0,NOT(ISBLANK(G242)))</formula>
    </cfRule>
  </conditionalFormatting>
  <conditionalFormatting sqref="G243">
    <cfRule type="expression" dxfId="0" priority="1388">
      <formula>COUNTIF(I243:BG243,"&lt;&gt;" &amp; "")&gt;0</formula>
    </cfRule>
    <cfRule type="expression" dxfId="1" priority="1389">
      <formula>AND(COUNTIF(I243:BG243,"&lt;&gt;" &amp; "")&gt;0,NOT(ISBLANK(G243)))</formula>
    </cfRule>
  </conditionalFormatting>
  <conditionalFormatting sqref="G244">
    <cfRule type="expression" dxfId="0" priority="1391">
      <formula>COUNTIF(I244:BG244,"&lt;&gt;" &amp; "")&gt;0</formula>
    </cfRule>
    <cfRule type="expression" dxfId="1" priority="1392">
      <formula>AND(COUNTIF(I244:BG244,"&lt;&gt;" &amp; "")&gt;0,NOT(ISBLANK(G244)))</formula>
    </cfRule>
  </conditionalFormatting>
  <conditionalFormatting sqref="G245">
    <cfRule type="expression" dxfId="0" priority="1394">
      <formula>COUNTIF(I245:BG245,"&lt;&gt;" &amp; "")&gt;0</formula>
    </cfRule>
    <cfRule type="expression" dxfId="1" priority="1395">
      <formula>AND(COUNTIF(I245:BG245,"&lt;&gt;" &amp; "")&gt;0,NOT(ISBLANK(G245)))</formula>
    </cfRule>
  </conditionalFormatting>
  <conditionalFormatting sqref="G246">
    <cfRule type="expression" dxfId="0" priority="1397">
      <formula>COUNTIF(I246:BG246,"&lt;&gt;" &amp; "")&gt;0</formula>
    </cfRule>
    <cfRule type="expression" dxfId="1" priority="1398">
      <formula>AND(COUNTIF(I246:BG246,"&lt;&gt;" &amp; "")&gt;0,NOT(ISBLANK(G246)))</formula>
    </cfRule>
  </conditionalFormatting>
  <conditionalFormatting sqref="G247">
    <cfRule type="expression" dxfId="0" priority="1400">
      <formula>COUNTIF(I247:BG247,"&lt;&gt;" &amp; "")&gt;0</formula>
    </cfRule>
    <cfRule type="expression" dxfId="1" priority="1401">
      <formula>AND(COUNTIF(I247:BG247,"&lt;&gt;" &amp; "")&gt;0,NOT(ISBLANK(G247)))</formula>
    </cfRule>
  </conditionalFormatting>
  <conditionalFormatting sqref="G248">
    <cfRule type="expression" dxfId="0" priority="1403">
      <formula>COUNTIF(I248:BG248,"&lt;&gt;" &amp; "")&gt;0</formula>
    </cfRule>
    <cfRule type="expression" dxfId="1" priority="1404">
      <formula>AND(COUNTIF(I248:BG248,"&lt;&gt;" &amp; "")&gt;0,NOT(ISBLANK(G248)))</formula>
    </cfRule>
  </conditionalFormatting>
  <conditionalFormatting sqref="G249">
    <cfRule type="expression" dxfId="0" priority="1406">
      <formula>COUNTIF(I249:BG249,"&lt;&gt;" &amp; "")&gt;0</formula>
    </cfRule>
    <cfRule type="expression" dxfId="1" priority="1407">
      <formula>AND(COUNTIF(I249:BG249,"&lt;&gt;" &amp; "")&gt;0,NOT(ISBLANK(G249)))</formula>
    </cfRule>
  </conditionalFormatting>
  <conditionalFormatting sqref="G25">
    <cfRule type="expression" dxfId="0" priority="405">
      <formula>COUNTIF(I25:BG25,"&lt;&gt;" &amp; "")&gt;0</formula>
    </cfRule>
    <cfRule type="expression" dxfId="1" priority="406">
      <formula>AND(COUNTIF(I25:BG25,"&lt;&gt;" &amp; "")&gt;0,NOT(ISBLANK(G25)))</formula>
    </cfRule>
  </conditionalFormatting>
  <conditionalFormatting sqref="G250">
    <cfRule type="expression" dxfId="0" priority="1409">
      <formula>COUNTIF(I250:BG250,"&lt;&gt;" &amp; "")&gt;0</formula>
    </cfRule>
    <cfRule type="expression" dxfId="1" priority="1410">
      <formula>AND(COUNTIF(I250:BG250,"&lt;&gt;" &amp; "")&gt;0,NOT(ISBLANK(G250)))</formula>
    </cfRule>
  </conditionalFormatting>
  <conditionalFormatting sqref="G251">
    <cfRule type="expression" dxfId="0" priority="1412">
      <formula>COUNTIF(I251:BG251,"&lt;&gt;" &amp; "")&gt;0</formula>
    </cfRule>
    <cfRule type="expression" dxfId="1" priority="1413">
      <formula>AND(COUNTIF(I251:BG251,"&lt;&gt;" &amp; "")&gt;0,NOT(ISBLANK(G251)))</formula>
    </cfRule>
  </conditionalFormatting>
  <conditionalFormatting sqref="G252">
    <cfRule type="expression" dxfId="0" priority="1415">
      <formula>COUNTIF(I252:BG252,"&lt;&gt;" &amp; "")&gt;0</formula>
    </cfRule>
    <cfRule type="expression" dxfId="1" priority="1416">
      <formula>AND(COUNTIF(I252:BG252,"&lt;&gt;" &amp; "")&gt;0,NOT(ISBLANK(G252)))</formula>
    </cfRule>
  </conditionalFormatting>
  <conditionalFormatting sqref="G253">
    <cfRule type="expression" dxfId="0" priority="1418">
      <formula>COUNTIF(I253:BG253,"&lt;&gt;" &amp; "")&gt;0</formula>
    </cfRule>
    <cfRule type="expression" dxfId="1" priority="1419">
      <formula>AND(COUNTIF(I253:BG253,"&lt;&gt;" &amp; "")&gt;0,NOT(ISBLANK(G253)))</formula>
    </cfRule>
  </conditionalFormatting>
  <conditionalFormatting sqref="G254">
    <cfRule type="expression" dxfId="0" priority="1421">
      <formula>COUNTIF(I254:BG254,"&lt;&gt;" &amp; "")&gt;0</formula>
    </cfRule>
    <cfRule type="expression" dxfId="1" priority="1422">
      <formula>AND(COUNTIF(I254:BG254,"&lt;&gt;" &amp; "")&gt;0,NOT(ISBLANK(G254)))</formula>
    </cfRule>
  </conditionalFormatting>
  <conditionalFormatting sqref="G255">
    <cfRule type="expression" dxfId="0" priority="1424">
      <formula>COUNTIF(I255:BG255,"&lt;&gt;" &amp; "")&gt;0</formula>
    </cfRule>
    <cfRule type="expression" dxfId="1" priority="1425">
      <formula>AND(COUNTIF(I255:BG255,"&lt;&gt;" &amp; "")&gt;0,NOT(ISBLANK(G255)))</formula>
    </cfRule>
  </conditionalFormatting>
  <conditionalFormatting sqref="G256">
    <cfRule type="expression" dxfId="0" priority="1427">
      <formula>COUNTIF(I256:BG256,"&lt;&gt;" &amp; "")&gt;0</formula>
    </cfRule>
    <cfRule type="expression" dxfId="1" priority="1428">
      <formula>AND(COUNTIF(I256:BG256,"&lt;&gt;" &amp; "")&gt;0,NOT(ISBLANK(G256)))</formula>
    </cfRule>
  </conditionalFormatting>
  <conditionalFormatting sqref="G257">
    <cfRule type="expression" dxfId="0" priority="1430">
      <formula>COUNTIF(I257:BG257,"&lt;&gt;" &amp; "")&gt;0</formula>
    </cfRule>
    <cfRule type="expression" dxfId="1" priority="1431">
      <formula>AND(COUNTIF(I257:BG257,"&lt;&gt;" &amp; "")&gt;0,NOT(ISBLANK(G257)))</formula>
    </cfRule>
  </conditionalFormatting>
  <conditionalFormatting sqref="G258">
    <cfRule type="expression" dxfId="0" priority="1433">
      <formula>COUNTIF(I258:BG258,"&lt;&gt;" &amp; "")&gt;0</formula>
    </cfRule>
    <cfRule type="expression" dxfId="1" priority="1434">
      <formula>AND(COUNTIF(I258:BG258,"&lt;&gt;" &amp; "")&gt;0,NOT(ISBLANK(G258)))</formula>
    </cfRule>
  </conditionalFormatting>
  <conditionalFormatting sqref="G259">
    <cfRule type="expression" dxfId="0" priority="1436">
      <formula>COUNTIF(I259:BG259,"&lt;&gt;" &amp; "")&gt;0</formula>
    </cfRule>
    <cfRule type="expression" dxfId="1" priority="1437">
      <formula>AND(COUNTIF(I259:BG259,"&lt;&gt;" &amp; "")&gt;0,NOT(ISBLANK(G259)))</formula>
    </cfRule>
  </conditionalFormatting>
  <conditionalFormatting sqref="G26">
    <cfRule type="expression" dxfId="0" priority="408">
      <formula>COUNTIF(I26:BG26,"&lt;&gt;" &amp; "")&gt;0</formula>
    </cfRule>
    <cfRule type="expression" dxfId="1" priority="409">
      <formula>AND(COUNTIF(I26:BG26,"&lt;&gt;" &amp; "")&gt;0,NOT(ISBLANK(G26)))</formula>
    </cfRule>
  </conditionalFormatting>
  <conditionalFormatting sqref="G260">
    <cfRule type="expression" dxfId="0" priority="1439">
      <formula>COUNTIF(I260:BG260,"&lt;&gt;" &amp; "")&gt;0</formula>
    </cfRule>
    <cfRule type="expression" dxfId="1" priority="1440">
      <formula>AND(COUNTIF(I260:BG260,"&lt;&gt;" &amp; "")&gt;0,NOT(ISBLANK(G260)))</formula>
    </cfRule>
  </conditionalFormatting>
  <conditionalFormatting sqref="G261">
    <cfRule type="expression" dxfId="0" priority="1442">
      <formula>COUNTIF(I261:BG261,"&lt;&gt;" &amp; "")&gt;0</formula>
    </cfRule>
    <cfRule type="expression" dxfId="1" priority="1443">
      <formula>AND(COUNTIF(I261:BG261,"&lt;&gt;" &amp; "")&gt;0,NOT(ISBLANK(G261)))</formula>
    </cfRule>
  </conditionalFormatting>
  <conditionalFormatting sqref="G262">
    <cfRule type="expression" dxfId="0" priority="1445">
      <formula>COUNTIF(I262:BG262,"&lt;&gt;" &amp; "")&gt;0</formula>
    </cfRule>
    <cfRule type="expression" dxfId="1" priority="1446">
      <formula>AND(COUNTIF(I262:BG262,"&lt;&gt;" &amp; "")&gt;0,NOT(ISBLANK(G262)))</formula>
    </cfRule>
  </conditionalFormatting>
  <conditionalFormatting sqref="G263">
    <cfRule type="expression" dxfId="0" priority="1448">
      <formula>COUNTIF(I263:BG263,"&lt;&gt;" &amp; "")&gt;0</formula>
    </cfRule>
    <cfRule type="expression" dxfId="1" priority="1449">
      <formula>AND(COUNTIF(I263:BG263,"&lt;&gt;" &amp; "")&gt;0,NOT(ISBLANK(G263)))</formula>
    </cfRule>
  </conditionalFormatting>
  <conditionalFormatting sqref="G264">
    <cfRule type="expression" dxfId="0" priority="1451">
      <formula>COUNTIF(I264:BG264,"&lt;&gt;" &amp; "")&gt;0</formula>
    </cfRule>
    <cfRule type="expression" dxfId="1" priority="1452">
      <formula>AND(COUNTIF(I264:BG264,"&lt;&gt;" &amp; "")&gt;0,NOT(ISBLANK(G264)))</formula>
    </cfRule>
  </conditionalFormatting>
  <conditionalFormatting sqref="G265">
    <cfRule type="expression" dxfId="0" priority="1454">
      <formula>COUNTIF(I265:BG265,"&lt;&gt;" &amp; "")&gt;0</formula>
    </cfRule>
    <cfRule type="expression" dxfId="1" priority="1455">
      <formula>AND(COUNTIF(I265:BG265,"&lt;&gt;" &amp; "")&gt;0,NOT(ISBLANK(G265)))</formula>
    </cfRule>
  </conditionalFormatting>
  <conditionalFormatting sqref="G266">
    <cfRule type="expression" dxfId="0" priority="1457">
      <formula>COUNTIF(I266:BG266,"&lt;&gt;" &amp; "")&gt;0</formula>
    </cfRule>
    <cfRule type="expression" dxfId="1" priority="1458">
      <formula>AND(COUNTIF(I266:BG266,"&lt;&gt;" &amp; "")&gt;0,NOT(ISBLANK(G266)))</formula>
    </cfRule>
  </conditionalFormatting>
  <conditionalFormatting sqref="G267">
    <cfRule type="expression" dxfId="0" priority="1460">
      <formula>COUNTIF(I267:BG267,"&lt;&gt;" &amp; "")&gt;0</formula>
    </cfRule>
    <cfRule type="expression" dxfId="1" priority="1461">
      <formula>AND(COUNTIF(I267:BG267,"&lt;&gt;" &amp; "")&gt;0,NOT(ISBLANK(G267)))</formula>
    </cfRule>
  </conditionalFormatting>
  <conditionalFormatting sqref="G268">
    <cfRule type="expression" dxfId="0" priority="1463">
      <formula>COUNTIF(I268:BG268,"&lt;&gt;" &amp; "")&gt;0</formula>
    </cfRule>
    <cfRule type="expression" dxfId="1" priority="1464">
      <formula>AND(COUNTIF(I268:BG268,"&lt;&gt;" &amp; "")&gt;0,NOT(ISBLANK(G268)))</formula>
    </cfRule>
  </conditionalFormatting>
  <conditionalFormatting sqref="G269">
    <cfRule type="expression" dxfId="0" priority="1466">
      <formula>COUNTIF(I269:BG269,"&lt;&gt;" &amp; "")&gt;0</formula>
    </cfRule>
    <cfRule type="expression" dxfId="1" priority="1467">
      <formula>AND(COUNTIF(I269:BG269,"&lt;&gt;" &amp; "")&gt;0,NOT(ISBLANK(G269)))</formula>
    </cfRule>
  </conditionalFormatting>
  <conditionalFormatting sqref="G27">
    <cfRule type="expression" dxfId="0" priority="411">
      <formula>COUNTIF(I27:BG27,"&lt;&gt;" &amp; "")&gt;0</formula>
    </cfRule>
    <cfRule type="expression" dxfId="1" priority="412">
      <formula>AND(COUNTIF(I27:BG27,"&lt;&gt;" &amp; "")&gt;0,NOT(ISBLANK(G27)))</formula>
    </cfRule>
  </conditionalFormatting>
  <conditionalFormatting sqref="G270">
    <cfRule type="expression" dxfId="0" priority="1469">
      <formula>COUNTIF(I270:BG270,"&lt;&gt;" &amp; "")&gt;0</formula>
    </cfRule>
    <cfRule type="expression" dxfId="1" priority="1470">
      <formula>AND(COUNTIF(I270:BG270,"&lt;&gt;" &amp; "")&gt;0,NOT(ISBLANK(G270)))</formula>
    </cfRule>
  </conditionalFormatting>
  <conditionalFormatting sqref="G271">
    <cfRule type="expression" dxfId="0" priority="1472">
      <formula>COUNTIF(I271:BG271,"&lt;&gt;" &amp; "")&gt;0</formula>
    </cfRule>
    <cfRule type="expression" dxfId="1" priority="1473">
      <formula>AND(COUNTIF(I271:BG271,"&lt;&gt;" &amp; "")&gt;0,NOT(ISBLANK(G271)))</formula>
    </cfRule>
  </conditionalFormatting>
  <conditionalFormatting sqref="G272">
    <cfRule type="expression" dxfId="0" priority="1475">
      <formula>COUNTIF(I272:BG272,"&lt;&gt;" &amp; "")&gt;0</formula>
    </cfRule>
    <cfRule type="expression" dxfId="1" priority="1476">
      <formula>AND(COUNTIF(I272:BG272,"&lt;&gt;" &amp; "")&gt;0,NOT(ISBLANK(G272)))</formula>
    </cfRule>
  </conditionalFormatting>
  <conditionalFormatting sqref="G273">
    <cfRule type="expression" dxfId="0" priority="1478">
      <formula>COUNTIF(I273:BG273,"&lt;&gt;" &amp; "")&gt;0</formula>
    </cfRule>
    <cfRule type="expression" dxfId="1" priority="1479">
      <formula>AND(COUNTIF(I273:BG273,"&lt;&gt;" &amp; "")&gt;0,NOT(ISBLANK(G273)))</formula>
    </cfRule>
  </conditionalFormatting>
  <conditionalFormatting sqref="G274">
    <cfRule type="expression" dxfId="0" priority="1481">
      <formula>COUNTIF(I274:BG274,"&lt;&gt;" &amp; "")&gt;0</formula>
    </cfRule>
    <cfRule type="expression" dxfId="1" priority="1482">
      <formula>AND(COUNTIF(I274:BG274,"&lt;&gt;" &amp; "")&gt;0,NOT(ISBLANK(G274)))</formula>
    </cfRule>
  </conditionalFormatting>
  <conditionalFormatting sqref="G275">
    <cfRule type="expression" dxfId="0" priority="1484">
      <formula>COUNTIF(I275:BG275,"&lt;&gt;" &amp; "")&gt;0</formula>
    </cfRule>
    <cfRule type="expression" dxfId="1" priority="1485">
      <formula>AND(COUNTIF(I275:BG275,"&lt;&gt;" &amp; "")&gt;0,NOT(ISBLANK(G275)))</formula>
    </cfRule>
  </conditionalFormatting>
  <conditionalFormatting sqref="G276">
    <cfRule type="expression" dxfId="0" priority="1487">
      <formula>COUNTIF(I276:BG276,"&lt;&gt;" &amp; "")&gt;0</formula>
    </cfRule>
    <cfRule type="expression" dxfId="1" priority="1488">
      <formula>AND(COUNTIF(I276:BG276,"&lt;&gt;" &amp; "")&gt;0,NOT(ISBLANK(G276)))</formula>
    </cfRule>
  </conditionalFormatting>
  <conditionalFormatting sqref="G277">
    <cfRule type="expression" dxfId="0" priority="1490">
      <formula>COUNTIF(I277:BG277,"&lt;&gt;" &amp; "")&gt;0</formula>
    </cfRule>
    <cfRule type="expression" dxfId="1" priority="1491">
      <formula>AND(COUNTIF(I277:BG277,"&lt;&gt;" &amp; "")&gt;0,NOT(ISBLANK(G277)))</formula>
    </cfRule>
  </conditionalFormatting>
  <conditionalFormatting sqref="G278">
    <cfRule type="expression" dxfId="0" priority="1493">
      <formula>COUNTIF(I278:BG278,"&lt;&gt;" &amp; "")&gt;0</formula>
    </cfRule>
    <cfRule type="expression" dxfId="1" priority="1494">
      <formula>AND(COUNTIF(I278:BG278,"&lt;&gt;" &amp; "")&gt;0,NOT(ISBLANK(G278)))</formula>
    </cfRule>
  </conditionalFormatting>
  <conditionalFormatting sqref="G279">
    <cfRule type="expression" dxfId="0" priority="1496">
      <formula>COUNTIF(I279:BG279,"&lt;&gt;" &amp; "")&gt;0</formula>
    </cfRule>
    <cfRule type="expression" dxfId="1" priority="1497">
      <formula>AND(COUNTIF(I279:BG279,"&lt;&gt;" &amp; "")&gt;0,NOT(ISBLANK(G279)))</formula>
    </cfRule>
  </conditionalFormatting>
  <conditionalFormatting sqref="G28">
    <cfRule type="expression" dxfId="0" priority="414">
      <formula>COUNTIF(I28:BG28,"&lt;&gt;" &amp; "")&gt;0</formula>
    </cfRule>
    <cfRule type="expression" dxfId="1" priority="415">
      <formula>AND(COUNTIF(I28:BG28,"&lt;&gt;" &amp; "")&gt;0,NOT(ISBLANK(G28)))</formula>
    </cfRule>
  </conditionalFormatting>
  <conditionalFormatting sqref="G280">
    <cfRule type="expression" dxfId="0" priority="1499">
      <formula>COUNTIF(I280:BG280,"&lt;&gt;" &amp; "")&gt;0</formula>
    </cfRule>
    <cfRule type="expression" dxfId="1" priority="1500">
      <formula>AND(COUNTIF(I280:BG280,"&lt;&gt;" &amp; "")&gt;0,NOT(ISBLANK(G280)))</formula>
    </cfRule>
  </conditionalFormatting>
  <conditionalFormatting sqref="G281">
    <cfRule type="expression" dxfId="0" priority="1502">
      <formula>COUNTIF(I281:BG281,"&lt;&gt;" &amp; "")&gt;0</formula>
    </cfRule>
    <cfRule type="expression" dxfId="1" priority="1503">
      <formula>AND(COUNTIF(I281:BG281,"&lt;&gt;" &amp; "")&gt;0,NOT(ISBLANK(G281)))</formula>
    </cfRule>
  </conditionalFormatting>
  <conditionalFormatting sqref="G282">
    <cfRule type="expression" dxfId="0" priority="1505">
      <formula>COUNTIF(I282:BG282,"&lt;&gt;" &amp; "")&gt;0</formula>
    </cfRule>
    <cfRule type="expression" dxfId="1" priority="1506">
      <formula>AND(COUNTIF(I282:BG282,"&lt;&gt;" &amp; "")&gt;0,NOT(ISBLANK(G282)))</formula>
    </cfRule>
  </conditionalFormatting>
  <conditionalFormatting sqref="G283">
    <cfRule type="expression" dxfId="0" priority="1508">
      <formula>COUNTIF(I283:BG283,"&lt;&gt;" &amp; "")&gt;0</formula>
    </cfRule>
    <cfRule type="expression" dxfId="1" priority="1509">
      <formula>AND(COUNTIF(I283:BG283,"&lt;&gt;" &amp; "")&gt;0,NOT(ISBLANK(G283)))</formula>
    </cfRule>
  </conditionalFormatting>
  <conditionalFormatting sqref="G284">
    <cfRule type="expression" dxfId="0" priority="1511">
      <formula>COUNTIF(I284:BG284,"&lt;&gt;" &amp; "")&gt;0</formula>
    </cfRule>
    <cfRule type="expression" dxfId="1" priority="1512">
      <formula>AND(COUNTIF(I284:BG284,"&lt;&gt;" &amp; "")&gt;0,NOT(ISBLANK(G284)))</formula>
    </cfRule>
  </conditionalFormatting>
  <conditionalFormatting sqref="G285">
    <cfRule type="expression" dxfId="0" priority="1514">
      <formula>COUNTIF(I285:BG285,"&lt;&gt;" &amp; "")&gt;0</formula>
    </cfRule>
    <cfRule type="expression" dxfId="1" priority="1515">
      <formula>AND(COUNTIF(I285:BG285,"&lt;&gt;" &amp; "")&gt;0,NOT(ISBLANK(G285)))</formula>
    </cfRule>
  </conditionalFormatting>
  <conditionalFormatting sqref="G286">
    <cfRule type="expression" dxfId="0" priority="1517">
      <formula>COUNTIF(I286:BG286,"&lt;&gt;" &amp; "")&gt;0</formula>
    </cfRule>
    <cfRule type="expression" dxfId="1" priority="1518">
      <formula>AND(COUNTIF(I286:BG286,"&lt;&gt;" &amp; "")&gt;0,NOT(ISBLANK(G286)))</formula>
    </cfRule>
  </conditionalFormatting>
  <conditionalFormatting sqref="G287">
    <cfRule type="expression" dxfId="0" priority="1520">
      <formula>COUNTIF(I287:BG287,"&lt;&gt;" &amp; "")&gt;0</formula>
    </cfRule>
    <cfRule type="expression" dxfId="1" priority="1521">
      <formula>AND(COUNTIF(I287:BG287,"&lt;&gt;" &amp; "")&gt;0,NOT(ISBLANK(G287)))</formula>
    </cfRule>
  </conditionalFormatting>
  <conditionalFormatting sqref="G288">
    <cfRule type="expression" dxfId="0" priority="1523">
      <formula>COUNTIF(I288:BG288,"&lt;&gt;" &amp; "")&gt;0</formula>
    </cfRule>
    <cfRule type="expression" dxfId="1" priority="1524">
      <formula>AND(COUNTIF(I288:BG288,"&lt;&gt;" &amp; "")&gt;0,NOT(ISBLANK(G288)))</formula>
    </cfRule>
  </conditionalFormatting>
  <conditionalFormatting sqref="G289">
    <cfRule type="expression" dxfId="0" priority="1526">
      <formula>COUNTIF(I289:BG289,"&lt;&gt;" &amp; "")&gt;0</formula>
    </cfRule>
    <cfRule type="expression" dxfId="1" priority="1527">
      <formula>AND(COUNTIF(I289:BG289,"&lt;&gt;" &amp; "")&gt;0,NOT(ISBLANK(G289)))</formula>
    </cfRule>
  </conditionalFormatting>
  <conditionalFormatting sqref="G29">
    <cfRule type="expression" dxfId="0" priority="417">
      <formula>COUNTIF(I29:BG29,"&lt;&gt;" &amp; "")&gt;0</formula>
    </cfRule>
    <cfRule type="expression" dxfId="1" priority="418">
      <formula>AND(COUNTIF(I29:BG29,"&lt;&gt;" &amp; "")&gt;0,NOT(ISBLANK(G29)))</formula>
    </cfRule>
  </conditionalFormatting>
  <conditionalFormatting sqref="G290">
    <cfRule type="expression" dxfId="0" priority="1529">
      <formula>COUNTIF(I290:BG290,"&lt;&gt;" &amp; "")&gt;0</formula>
    </cfRule>
    <cfRule type="expression" dxfId="1" priority="1530">
      <formula>AND(COUNTIF(I290:BG290,"&lt;&gt;" &amp; "")&gt;0,NOT(ISBLANK(G290)))</formula>
    </cfRule>
  </conditionalFormatting>
  <conditionalFormatting sqref="G291">
    <cfRule type="expression" dxfId="0" priority="1532">
      <formula>COUNTIF(I291:BG291,"&lt;&gt;" &amp; "")&gt;0</formula>
    </cfRule>
    <cfRule type="expression" dxfId="1" priority="1533">
      <formula>AND(COUNTIF(I291:BG291,"&lt;&gt;" &amp; "")&gt;0,NOT(ISBLANK(G291)))</formula>
    </cfRule>
  </conditionalFormatting>
  <conditionalFormatting sqref="G292">
    <cfRule type="expression" dxfId="0" priority="1535">
      <formula>COUNTIF(I292:BG292,"&lt;&gt;" &amp; "")&gt;0</formula>
    </cfRule>
    <cfRule type="expression" dxfId="1" priority="1536">
      <formula>AND(COUNTIF(I292:BG292,"&lt;&gt;" &amp; "")&gt;0,NOT(ISBLANK(G292)))</formula>
    </cfRule>
  </conditionalFormatting>
  <conditionalFormatting sqref="G293">
    <cfRule type="expression" dxfId="0" priority="1538">
      <formula>COUNTIF(I293:BG293,"&lt;&gt;" &amp; "")&gt;0</formula>
    </cfRule>
    <cfRule type="expression" dxfId="1" priority="1539">
      <formula>AND(COUNTIF(I293:BG293,"&lt;&gt;" &amp; "")&gt;0,NOT(ISBLANK(G293)))</formula>
    </cfRule>
  </conditionalFormatting>
  <conditionalFormatting sqref="G294">
    <cfRule type="expression" dxfId="0" priority="1541">
      <formula>COUNTIF(I294:BG294,"&lt;&gt;" &amp; "")&gt;0</formula>
    </cfRule>
    <cfRule type="expression" dxfId="1" priority="1542">
      <formula>AND(COUNTIF(I294:BG294,"&lt;&gt;" &amp; "")&gt;0,NOT(ISBLANK(G294)))</formula>
    </cfRule>
  </conditionalFormatting>
  <conditionalFormatting sqref="G295">
    <cfRule type="expression" dxfId="0" priority="1544">
      <formula>COUNTIF(I295:BG295,"&lt;&gt;" &amp; "")&gt;0</formula>
    </cfRule>
    <cfRule type="expression" dxfId="1" priority="1545">
      <formula>AND(COUNTIF(I295:BG295,"&lt;&gt;" &amp; "")&gt;0,NOT(ISBLANK(G295)))</formula>
    </cfRule>
  </conditionalFormatting>
  <conditionalFormatting sqref="G296">
    <cfRule type="expression" dxfId="0" priority="1547">
      <formula>COUNTIF(I296:BG296,"&lt;&gt;" &amp; "")&gt;0</formula>
    </cfRule>
    <cfRule type="expression" dxfId="1" priority="1548">
      <formula>AND(COUNTIF(I296:BG296,"&lt;&gt;" &amp; "")&gt;0,NOT(ISBLANK(G296)))</formula>
    </cfRule>
  </conditionalFormatting>
  <conditionalFormatting sqref="G297">
    <cfRule type="expression" dxfId="0" priority="1550">
      <formula>COUNTIF(I297:BG297,"&lt;&gt;" &amp; "")&gt;0</formula>
    </cfRule>
    <cfRule type="expression" dxfId="1" priority="1551">
      <formula>AND(COUNTIF(I297:BG297,"&lt;&gt;" &amp; "")&gt;0,NOT(ISBLANK(G297)))</formula>
    </cfRule>
  </conditionalFormatting>
  <conditionalFormatting sqref="G298">
    <cfRule type="expression" dxfId="0" priority="1553">
      <formula>COUNTIF(I298:BG298,"&lt;&gt;" &amp; "")&gt;0</formula>
    </cfRule>
    <cfRule type="expression" dxfId="1" priority="1554">
      <formula>AND(COUNTIF(I298:BG298,"&lt;&gt;" &amp; "")&gt;0,NOT(ISBLANK(G298)))</formula>
    </cfRule>
  </conditionalFormatting>
  <conditionalFormatting sqref="G299">
    <cfRule type="expression" dxfId="0" priority="1556">
      <formula>COUNTIF(I299:BG299,"&lt;&gt;" &amp; "")&gt;0</formula>
    </cfRule>
    <cfRule type="expression" dxfId="1" priority="1557">
      <formula>AND(COUNTIF(I299:BG299,"&lt;&gt;" &amp; "")&gt;0,NOT(ISBLANK(G299)))</formula>
    </cfRule>
  </conditionalFormatting>
  <conditionalFormatting sqref="G30">
    <cfRule type="expression" dxfId="0" priority="420">
      <formula>COUNTIF(I30:BG30,"&lt;&gt;" &amp; "")&gt;0</formula>
    </cfRule>
    <cfRule type="expression" dxfId="1" priority="421">
      <formula>AND(COUNTIF(I30:BG30,"&lt;&gt;" &amp; "")&gt;0,NOT(ISBLANK(G30)))</formula>
    </cfRule>
  </conditionalFormatting>
  <conditionalFormatting sqref="G300">
    <cfRule type="expression" dxfId="0" priority="1559">
      <formula>COUNTIF(I300:BG300,"&lt;&gt;" &amp; "")&gt;0</formula>
    </cfRule>
    <cfRule type="expression" dxfId="1" priority="1560">
      <formula>AND(COUNTIF(I300:BG300,"&lt;&gt;" &amp; "")&gt;0,NOT(ISBLANK(G300)))</formula>
    </cfRule>
  </conditionalFormatting>
  <conditionalFormatting sqref="G301">
    <cfRule type="expression" dxfId="0" priority="1562">
      <formula>COUNTIF(I301:BG301,"&lt;&gt;" &amp; "")&gt;0</formula>
    </cfRule>
    <cfRule type="expression" dxfId="1" priority="1563">
      <formula>AND(COUNTIF(I301:BG301,"&lt;&gt;" &amp; "")&gt;0,NOT(ISBLANK(G301)))</formula>
    </cfRule>
  </conditionalFormatting>
  <conditionalFormatting sqref="G302">
    <cfRule type="expression" dxfId="0" priority="1565">
      <formula>COUNTIF(I302:BG302,"&lt;&gt;" &amp; "")&gt;0</formula>
    </cfRule>
    <cfRule type="expression" dxfId="1" priority="1566">
      <formula>AND(COUNTIF(I302:BG302,"&lt;&gt;" &amp; "")&gt;0,NOT(ISBLANK(G302)))</formula>
    </cfRule>
  </conditionalFormatting>
  <conditionalFormatting sqref="G303">
    <cfRule type="expression" dxfId="0" priority="1568">
      <formula>COUNTIF(I303:BG303,"&lt;&gt;" &amp; "")&gt;0</formula>
    </cfRule>
    <cfRule type="expression" dxfId="1" priority="1569">
      <formula>AND(COUNTIF(I303:BG303,"&lt;&gt;" &amp; "")&gt;0,NOT(ISBLANK(G303)))</formula>
    </cfRule>
  </conditionalFormatting>
  <conditionalFormatting sqref="G304">
    <cfRule type="expression" dxfId="0" priority="1571">
      <formula>COUNTIF(I304:BG304,"&lt;&gt;" &amp; "")&gt;0</formula>
    </cfRule>
    <cfRule type="expression" dxfId="1" priority="1572">
      <formula>AND(COUNTIF(I304:BG304,"&lt;&gt;" &amp; "")&gt;0,NOT(ISBLANK(G304)))</formula>
    </cfRule>
  </conditionalFormatting>
  <conditionalFormatting sqref="G305">
    <cfRule type="expression" dxfId="0" priority="1574">
      <formula>COUNTIF(I305:BG305,"&lt;&gt;" &amp; "")&gt;0</formula>
    </cfRule>
    <cfRule type="expression" dxfId="1" priority="1575">
      <formula>AND(COUNTIF(I305:BG305,"&lt;&gt;" &amp; "")&gt;0,NOT(ISBLANK(G305)))</formula>
    </cfRule>
  </conditionalFormatting>
  <conditionalFormatting sqref="G306">
    <cfRule type="expression" dxfId="0" priority="1577">
      <formula>COUNTIF(I306:BG306,"&lt;&gt;" &amp; "")&gt;0</formula>
    </cfRule>
    <cfRule type="expression" dxfId="1" priority="1578">
      <formula>AND(COUNTIF(I306:BG306,"&lt;&gt;" &amp; "")&gt;0,NOT(ISBLANK(G306)))</formula>
    </cfRule>
  </conditionalFormatting>
  <conditionalFormatting sqref="G307">
    <cfRule type="expression" dxfId="0" priority="1580">
      <formula>COUNTIF(I307:BG307,"&lt;&gt;" &amp; "")&gt;0</formula>
    </cfRule>
    <cfRule type="expression" dxfId="1" priority="1581">
      <formula>AND(COUNTIF(I307:BG307,"&lt;&gt;" &amp; "")&gt;0,NOT(ISBLANK(G307)))</formula>
    </cfRule>
  </conditionalFormatting>
  <conditionalFormatting sqref="G308">
    <cfRule type="expression" dxfId="0" priority="1583">
      <formula>COUNTIF(I308:BG308,"&lt;&gt;" &amp; "")&gt;0</formula>
    </cfRule>
    <cfRule type="expression" dxfId="1" priority="1584">
      <formula>AND(COUNTIF(I308:BG308,"&lt;&gt;" &amp; "")&gt;0,NOT(ISBLANK(G308)))</formula>
    </cfRule>
  </conditionalFormatting>
  <conditionalFormatting sqref="G309">
    <cfRule type="expression" dxfId="0" priority="1586">
      <formula>COUNTIF(I309:BG309,"&lt;&gt;" &amp; "")&gt;0</formula>
    </cfRule>
    <cfRule type="expression" dxfId="1" priority="1587">
      <formula>AND(COUNTIF(I309:BG309,"&lt;&gt;" &amp; "")&gt;0,NOT(ISBLANK(G309)))</formula>
    </cfRule>
  </conditionalFormatting>
  <conditionalFormatting sqref="G31">
    <cfRule type="expression" dxfId="0" priority="423">
      <formula>COUNTIF(I31:BG31,"&lt;&gt;" &amp; "")&gt;0</formula>
    </cfRule>
    <cfRule type="expression" dxfId="1" priority="424">
      <formula>AND(COUNTIF(I31:BG31,"&lt;&gt;" &amp; "")&gt;0,NOT(ISBLANK(G31)))</formula>
    </cfRule>
  </conditionalFormatting>
  <conditionalFormatting sqref="G310">
    <cfRule type="expression" dxfId="0" priority="1589">
      <formula>COUNTIF(I310:BG310,"&lt;&gt;" &amp; "")&gt;0</formula>
    </cfRule>
    <cfRule type="expression" dxfId="1" priority="1590">
      <formula>AND(COUNTIF(I310:BG310,"&lt;&gt;" &amp; "")&gt;0,NOT(ISBLANK(G310)))</formula>
    </cfRule>
  </conditionalFormatting>
  <conditionalFormatting sqref="G311">
    <cfRule type="expression" dxfId="0" priority="1592">
      <formula>COUNTIF(I311:BG311,"&lt;&gt;" &amp; "")&gt;0</formula>
    </cfRule>
    <cfRule type="expression" dxfId="1" priority="1593">
      <formula>AND(COUNTIF(I311:BG311,"&lt;&gt;" &amp; "")&gt;0,NOT(ISBLANK(G311)))</formula>
    </cfRule>
  </conditionalFormatting>
  <conditionalFormatting sqref="G312">
    <cfRule type="expression" dxfId="0" priority="1595">
      <formula>COUNTIF(I312:BG312,"&lt;&gt;" &amp; "")&gt;0</formula>
    </cfRule>
    <cfRule type="expression" dxfId="1" priority="1596">
      <formula>AND(COUNTIF(I312:BG312,"&lt;&gt;" &amp; "")&gt;0,NOT(ISBLANK(G312)))</formula>
    </cfRule>
  </conditionalFormatting>
  <conditionalFormatting sqref="G313">
    <cfRule type="expression" dxfId="0" priority="1598">
      <formula>COUNTIF(I313:BG313,"&lt;&gt;" &amp; "")&gt;0</formula>
    </cfRule>
    <cfRule type="expression" dxfId="1" priority="1599">
      <formula>AND(COUNTIF(I313:BG313,"&lt;&gt;" &amp; "")&gt;0,NOT(ISBLANK(G313)))</formula>
    </cfRule>
  </conditionalFormatting>
  <conditionalFormatting sqref="G314">
    <cfRule type="expression" dxfId="0" priority="1601">
      <formula>COUNTIF(I314:BG314,"&lt;&gt;" &amp; "")&gt;0</formula>
    </cfRule>
    <cfRule type="expression" dxfId="1" priority="1602">
      <formula>AND(COUNTIF(I314:BG314,"&lt;&gt;" &amp; "")&gt;0,NOT(ISBLANK(G314)))</formula>
    </cfRule>
  </conditionalFormatting>
  <conditionalFormatting sqref="G315">
    <cfRule type="expression" dxfId="0" priority="1604">
      <formula>COUNTIF(I315:BG315,"&lt;&gt;" &amp; "")&gt;0</formula>
    </cfRule>
    <cfRule type="expression" dxfId="1" priority="1605">
      <formula>AND(COUNTIF(I315:BG315,"&lt;&gt;" &amp; "")&gt;0,NOT(ISBLANK(G315)))</formula>
    </cfRule>
  </conditionalFormatting>
  <conditionalFormatting sqref="G316">
    <cfRule type="expression" dxfId="0" priority="1607">
      <formula>COUNTIF(I316:BG316,"&lt;&gt;" &amp; "")&gt;0</formula>
    </cfRule>
    <cfRule type="expression" dxfId="1" priority="1608">
      <formula>AND(COUNTIF(I316:BG316,"&lt;&gt;" &amp; "")&gt;0,NOT(ISBLANK(G316)))</formula>
    </cfRule>
  </conditionalFormatting>
  <conditionalFormatting sqref="G317">
    <cfRule type="expression" dxfId="0" priority="1610">
      <formula>COUNTIF(I317:BG317,"&lt;&gt;" &amp; "")&gt;0</formula>
    </cfRule>
    <cfRule type="expression" dxfId="1" priority="1611">
      <formula>AND(COUNTIF(I317:BG317,"&lt;&gt;" &amp; "")&gt;0,NOT(ISBLANK(G317)))</formula>
    </cfRule>
  </conditionalFormatting>
  <conditionalFormatting sqref="G318">
    <cfRule type="expression" dxfId="0" priority="1613">
      <formula>COUNTIF(I318:BG318,"&lt;&gt;" &amp; "")&gt;0</formula>
    </cfRule>
    <cfRule type="expression" dxfId="1" priority="1614">
      <formula>AND(COUNTIF(I318:BG318,"&lt;&gt;" &amp; "")&gt;0,NOT(ISBLANK(G318)))</formula>
    </cfRule>
  </conditionalFormatting>
  <conditionalFormatting sqref="G319">
    <cfRule type="expression" dxfId="0" priority="1616">
      <formula>COUNTIF(I319:BG319,"&lt;&gt;" &amp; "")&gt;0</formula>
    </cfRule>
    <cfRule type="expression" dxfId="1" priority="1617">
      <formula>AND(COUNTIF(I319:BG319,"&lt;&gt;" &amp; "")&gt;0,NOT(ISBLANK(G319)))</formula>
    </cfRule>
  </conditionalFormatting>
  <conditionalFormatting sqref="G32">
    <cfRule type="expression" dxfId="0" priority="426">
      <formula>COUNTIF(I32:BG32,"&lt;&gt;" &amp; "")&gt;0</formula>
    </cfRule>
    <cfRule type="expression" dxfId="1" priority="427">
      <formula>AND(COUNTIF(I32:BG32,"&lt;&gt;" &amp; "")&gt;0,NOT(ISBLANK(G32)))</formula>
    </cfRule>
  </conditionalFormatting>
  <conditionalFormatting sqref="G320">
    <cfRule type="expression" dxfId="0" priority="1619">
      <formula>COUNTIF(I320:BG320,"&lt;&gt;" &amp; "")&gt;0</formula>
    </cfRule>
    <cfRule type="expression" dxfId="1" priority="1620">
      <formula>AND(COUNTIF(I320:BG320,"&lt;&gt;" &amp; "")&gt;0,NOT(ISBLANK(G320)))</formula>
    </cfRule>
  </conditionalFormatting>
  <conditionalFormatting sqref="G321">
    <cfRule type="expression" dxfId="0" priority="1622">
      <formula>COUNTIF(I321:BG321,"&lt;&gt;" &amp; "")&gt;0</formula>
    </cfRule>
    <cfRule type="expression" dxfId="1" priority="1623">
      <formula>AND(COUNTIF(I321:BG321,"&lt;&gt;" &amp; "")&gt;0,NOT(ISBLANK(G321)))</formula>
    </cfRule>
  </conditionalFormatting>
  <conditionalFormatting sqref="G322">
    <cfRule type="expression" dxfId="0" priority="1625">
      <formula>COUNTIF(I322:BG322,"&lt;&gt;" &amp; "")&gt;0</formula>
    </cfRule>
    <cfRule type="expression" dxfId="1" priority="1626">
      <formula>AND(COUNTIF(I322:BG322,"&lt;&gt;" &amp; "")&gt;0,NOT(ISBLANK(G322)))</formula>
    </cfRule>
  </conditionalFormatting>
  <conditionalFormatting sqref="G323">
    <cfRule type="expression" dxfId="0" priority="1628">
      <formula>COUNTIF(I323:BG323,"&lt;&gt;" &amp; "")&gt;0</formula>
    </cfRule>
    <cfRule type="expression" dxfId="1" priority="1629">
      <formula>AND(COUNTIF(I323:BG323,"&lt;&gt;" &amp; "")&gt;0,NOT(ISBLANK(G323)))</formula>
    </cfRule>
  </conditionalFormatting>
  <conditionalFormatting sqref="G324">
    <cfRule type="expression" dxfId="0" priority="1631">
      <formula>COUNTIF(I324:BG324,"&lt;&gt;" &amp; "")&gt;0</formula>
    </cfRule>
    <cfRule type="expression" dxfId="1" priority="1632">
      <formula>AND(COUNTIF(I324:BG324,"&lt;&gt;" &amp; "")&gt;0,NOT(ISBLANK(G324)))</formula>
    </cfRule>
  </conditionalFormatting>
  <conditionalFormatting sqref="G325">
    <cfRule type="expression" dxfId="0" priority="1634">
      <formula>COUNTIF(I325:BG325,"&lt;&gt;" &amp; "")&gt;0</formula>
    </cfRule>
    <cfRule type="expression" dxfId="1" priority="1635">
      <formula>AND(COUNTIF(I325:BG325,"&lt;&gt;" &amp; "")&gt;0,NOT(ISBLANK(G325)))</formula>
    </cfRule>
  </conditionalFormatting>
  <conditionalFormatting sqref="G326">
    <cfRule type="expression" dxfId="0" priority="1637">
      <formula>COUNTIF(I326:BG326,"&lt;&gt;" &amp; "")&gt;0</formula>
    </cfRule>
    <cfRule type="expression" dxfId="1" priority="1638">
      <formula>AND(COUNTIF(I326:BG326,"&lt;&gt;" &amp; "")&gt;0,NOT(ISBLANK(G326)))</formula>
    </cfRule>
  </conditionalFormatting>
  <conditionalFormatting sqref="G327">
    <cfRule type="expression" dxfId="0" priority="1640">
      <formula>COUNTIF(I327:BG327,"&lt;&gt;" &amp; "")&gt;0</formula>
    </cfRule>
    <cfRule type="expression" dxfId="1" priority="1641">
      <formula>AND(COUNTIF(I327:BG327,"&lt;&gt;" &amp; "")&gt;0,NOT(ISBLANK(G327)))</formula>
    </cfRule>
  </conditionalFormatting>
  <conditionalFormatting sqref="G328">
    <cfRule type="expression" dxfId="0" priority="1643">
      <formula>COUNTIF(I328:BG328,"&lt;&gt;" &amp; "")&gt;0</formula>
    </cfRule>
    <cfRule type="expression" dxfId="1" priority="1644">
      <formula>AND(COUNTIF(I328:BG328,"&lt;&gt;" &amp; "")&gt;0,NOT(ISBLANK(G328)))</formula>
    </cfRule>
  </conditionalFormatting>
  <conditionalFormatting sqref="G329">
    <cfRule type="expression" dxfId="0" priority="1646">
      <formula>COUNTIF(I329:BG329,"&lt;&gt;" &amp; "")&gt;0</formula>
    </cfRule>
    <cfRule type="expression" dxfId="1" priority="1647">
      <formula>AND(COUNTIF(I329:BG329,"&lt;&gt;" &amp; "")&gt;0,NOT(ISBLANK(G329)))</formula>
    </cfRule>
  </conditionalFormatting>
  <conditionalFormatting sqref="G33">
    <cfRule type="expression" dxfId="0" priority="429">
      <formula>COUNTIF(I33:BG33,"&lt;&gt;" &amp; "")&gt;0</formula>
    </cfRule>
    <cfRule type="expression" dxfId="1" priority="430">
      <formula>AND(COUNTIF(I33:BG33,"&lt;&gt;" &amp; "")&gt;0,NOT(ISBLANK(G33)))</formula>
    </cfRule>
  </conditionalFormatting>
  <conditionalFormatting sqref="G330">
    <cfRule type="expression" dxfId="0" priority="1649">
      <formula>COUNTIF(I330:BG330,"&lt;&gt;" &amp; "")&gt;0</formula>
    </cfRule>
    <cfRule type="expression" dxfId="1" priority="1650">
      <formula>AND(COUNTIF(I330:BG330,"&lt;&gt;" &amp; "")&gt;0,NOT(ISBLANK(G330)))</formula>
    </cfRule>
  </conditionalFormatting>
  <conditionalFormatting sqref="G331">
    <cfRule type="expression" dxfId="0" priority="1652">
      <formula>COUNTIF(I331:BG331,"&lt;&gt;" &amp; "")&gt;0</formula>
    </cfRule>
    <cfRule type="expression" dxfId="1" priority="1653">
      <formula>AND(COUNTIF(I331:BG331,"&lt;&gt;" &amp; "")&gt;0,NOT(ISBLANK(G331)))</formula>
    </cfRule>
  </conditionalFormatting>
  <conditionalFormatting sqref="G332">
    <cfRule type="expression" dxfId="0" priority="1655">
      <formula>COUNTIF(I332:BG332,"&lt;&gt;" &amp; "")&gt;0</formula>
    </cfRule>
    <cfRule type="expression" dxfId="1" priority="1656">
      <formula>AND(COUNTIF(I332:BG332,"&lt;&gt;" &amp; "")&gt;0,NOT(ISBLANK(G332)))</formula>
    </cfRule>
  </conditionalFormatting>
  <conditionalFormatting sqref="G333">
    <cfRule type="expression" dxfId="0" priority="1658">
      <formula>COUNTIF(I333:BG333,"&lt;&gt;" &amp; "")&gt;0</formula>
    </cfRule>
    <cfRule type="expression" dxfId="1" priority="1659">
      <formula>AND(COUNTIF(I333:BG333,"&lt;&gt;" &amp; "")&gt;0,NOT(ISBLANK(G333)))</formula>
    </cfRule>
  </conditionalFormatting>
  <conditionalFormatting sqref="G334">
    <cfRule type="expression" dxfId="0" priority="1661">
      <formula>COUNTIF(I334:BG334,"&lt;&gt;" &amp; "")&gt;0</formula>
    </cfRule>
    <cfRule type="expression" dxfId="1" priority="1662">
      <formula>AND(COUNTIF(I334:BG334,"&lt;&gt;" &amp; "")&gt;0,NOT(ISBLANK(G334)))</formula>
    </cfRule>
  </conditionalFormatting>
  <conditionalFormatting sqref="G335">
    <cfRule type="expression" dxfId="0" priority="1664">
      <formula>COUNTIF(I335:BG335,"&lt;&gt;" &amp; "")&gt;0</formula>
    </cfRule>
    <cfRule type="expression" dxfId="1" priority="1665">
      <formula>AND(COUNTIF(I335:BG335,"&lt;&gt;" &amp; "")&gt;0,NOT(ISBLANK(G335)))</formula>
    </cfRule>
  </conditionalFormatting>
  <conditionalFormatting sqref="G336">
    <cfRule type="expression" dxfId="0" priority="1667">
      <formula>COUNTIF(I336:BG336,"&lt;&gt;" &amp; "")&gt;0</formula>
    </cfRule>
    <cfRule type="expression" dxfId="1" priority="1668">
      <formula>AND(COUNTIF(I336:BG336,"&lt;&gt;" &amp; "")&gt;0,NOT(ISBLANK(G336)))</formula>
    </cfRule>
  </conditionalFormatting>
  <conditionalFormatting sqref="G337">
    <cfRule type="expression" dxfId="0" priority="1670">
      <formula>COUNTIF(I337:BG337,"&lt;&gt;" &amp; "")&gt;0</formula>
    </cfRule>
    <cfRule type="expression" dxfId="1" priority="1671">
      <formula>AND(COUNTIF(I337:BG337,"&lt;&gt;" &amp; "")&gt;0,NOT(ISBLANK(G337)))</formula>
    </cfRule>
  </conditionalFormatting>
  <conditionalFormatting sqref="G338">
    <cfRule type="expression" dxfId="0" priority="1673">
      <formula>COUNTIF(I338:BG338,"&lt;&gt;" &amp; "")&gt;0</formula>
    </cfRule>
    <cfRule type="expression" dxfId="1" priority="1674">
      <formula>AND(COUNTIF(I338:BG338,"&lt;&gt;" &amp; "")&gt;0,NOT(ISBLANK(G338)))</formula>
    </cfRule>
  </conditionalFormatting>
  <conditionalFormatting sqref="G339">
    <cfRule type="expression" dxfId="0" priority="1676">
      <formula>COUNTIF(I339:BG339,"&lt;&gt;" &amp; "")&gt;0</formula>
    </cfRule>
    <cfRule type="expression" dxfId="1" priority="1677">
      <formula>AND(COUNTIF(I339:BG339,"&lt;&gt;" &amp; "")&gt;0,NOT(ISBLANK(G339)))</formula>
    </cfRule>
  </conditionalFormatting>
  <conditionalFormatting sqref="G34">
    <cfRule type="expression" dxfId="0" priority="432">
      <formula>COUNTIF(I34:BG34,"&lt;&gt;" &amp; "")&gt;0</formula>
    </cfRule>
    <cfRule type="expression" dxfId="1" priority="433">
      <formula>AND(COUNTIF(I34:BG34,"&lt;&gt;" &amp; "")&gt;0,NOT(ISBLANK(G34)))</formula>
    </cfRule>
  </conditionalFormatting>
  <conditionalFormatting sqref="G340">
    <cfRule type="expression" dxfId="0" priority="1679">
      <formula>COUNTIF(I340:BG340,"&lt;&gt;" &amp; "")&gt;0</formula>
    </cfRule>
    <cfRule type="expression" dxfId="1" priority="1680">
      <formula>AND(COUNTIF(I340:BG340,"&lt;&gt;" &amp; "")&gt;0,NOT(ISBLANK(G340)))</formula>
    </cfRule>
  </conditionalFormatting>
  <conditionalFormatting sqref="G341">
    <cfRule type="expression" dxfId="0" priority="1682">
      <formula>COUNTIF(I341:BG341,"&lt;&gt;" &amp; "")&gt;0</formula>
    </cfRule>
    <cfRule type="expression" dxfId="1" priority="1683">
      <formula>AND(COUNTIF(I341:BG341,"&lt;&gt;" &amp; "")&gt;0,NOT(ISBLANK(G341)))</formula>
    </cfRule>
  </conditionalFormatting>
  <conditionalFormatting sqref="G342">
    <cfRule type="expression" dxfId="0" priority="1685">
      <formula>COUNTIF(I342:BG342,"&lt;&gt;" &amp; "")&gt;0</formula>
    </cfRule>
    <cfRule type="expression" dxfId="1" priority="1686">
      <formula>AND(COUNTIF(I342:BG342,"&lt;&gt;" &amp; "")&gt;0,NOT(ISBLANK(G342)))</formula>
    </cfRule>
  </conditionalFormatting>
  <conditionalFormatting sqref="G343">
    <cfRule type="expression" dxfId="0" priority="1688">
      <formula>COUNTIF(I343:BG343,"&lt;&gt;" &amp; "")&gt;0</formula>
    </cfRule>
    <cfRule type="expression" dxfId="1" priority="1689">
      <formula>AND(COUNTIF(I343:BG343,"&lt;&gt;" &amp; "")&gt;0,NOT(ISBLANK(G343)))</formula>
    </cfRule>
  </conditionalFormatting>
  <conditionalFormatting sqref="G344">
    <cfRule type="expression" dxfId="0" priority="1691">
      <formula>COUNTIF(I344:BG344,"&lt;&gt;" &amp; "")&gt;0</formula>
    </cfRule>
    <cfRule type="expression" dxfId="1" priority="1692">
      <formula>AND(COUNTIF(I344:BG344,"&lt;&gt;" &amp; "")&gt;0,NOT(ISBLANK(G344)))</formula>
    </cfRule>
  </conditionalFormatting>
  <conditionalFormatting sqref="G345">
    <cfRule type="expression" dxfId="0" priority="1694">
      <formula>COUNTIF(I345:BG345,"&lt;&gt;" &amp; "")&gt;0</formula>
    </cfRule>
    <cfRule type="expression" dxfId="1" priority="1695">
      <formula>AND(COUNTIF(I345:BG345,"&lt;&gt;" &amp; "")&gt;0,NOT(ISBLANK(G345)))</formula>
    </cfRule>
  </conditionalFormatting>
  <conditionalFormatting sqref="G346">
    <cfRule type="expression" dxfId="0" priority="1697">
      <formula>COUNTIF(I346:BG346,"&lt;&gt;" &amp; "")&gt;0</formula>
    </cfRule>
    <cfRule type="expression" dxfId="1" priority="1698">
      <formula>AND(COUNTIF(I346:BG346,"&lt;&gt;" &amp; "")&gt;0,NOT(ISBLANK(G346)))</formula>
    </cfRule>
  </conditionalFormatting>
  <conditionalFormatting sqref="G347">
    <cfRule type="expression" dxfId="0" priority="1700">
      <formula>COUNTIF(I347:BG347,"&lt;&gt;" &amp; "")&gt;0</formula>
    </cfRule>
    <cfRule type="expression" dxfId="1" priority="1701">
      <formula>AND(COUNTIF(I347:BG347,"&lt;&gt;" &amp; "")&gt;0,NOT(ISBLANK(G347)))</formula>
    </cfRule>
  </conditionalFormatting>
  <conditionalFormatting sqref="G348">
    <cfRule type="expression" dxfId="0" priority="1703">
      <formula>COUNTIF(I348:BG348,"&lt;&gt;" &amp; "")&gt;0</formula>
    </cfRule>
    <cfRule type="expression" dxfId="1" priority="1704">
      <formula>AND(COUNTIF(I348:BG348,"&lt;&gt;" &amp; "")&gt;0,NOT(ISBLANK(G348)))</formula>
    </cfRule>
  </conditionalFormatting>
  <conditionalFormatting sqref="G349">
    <cfRule type="expression" dxfId="0" priority="1706">
      <formula>COUNTIF(I349:BG349,"&lt;&gt;" &amp; "")&gt;0</formula>
    </cfRule>
    <cfRule type="expression" dxfId="1" priority="1707">
      <formula>AND(COUNTIF(I349:BG349,"&lt;&gt;" &amp; "")&gt;0,NOT(ISBLANK(G349)))</formula>
    </cfRule>
  </conditionalFormatting>
  <conditionalFormatting sqref="G35">
    <cfRule type="expression" dxfId="0" priority="435">
      <formula>COUNTIF(I35:BG35,"&lt;&gt;" &amp; "")&gt;0</formula>
    </cfRule>
    <cfRule type="expression" dxfId="1" priority="436">
      <formula>AND(COUNTIF(I35:BG35,"&lt;&gt;" &amp; "")&gt;0,NOT(ISBLANK(G35)))</formula>
    </cfRule>
  </conditionalFormatting>
  <conditionalFormatting sqref="G350">
    <cfRule type="expression" dxfId="0" priority="1709">
      <formula>COUNTIF(I350:BG350,"&lt;&gt;" &amp; "")&gt;0</formula>
    </cfRule>
    <cfRule type="expression" dxfId="1" priority="1710">
      <formula>AND(COUNTIF(I350:BG350,"&lt;&gt;" &amp; "")&gt;0,NOT(ISBLANK(G350)))</formula>
    </cfRule>
  </conditionalFormatting>
  <conditionalFormatting sqref="G351">
    <cfRule type="expression" dxfId="0" priority="1712">
      <formula>COUNTIF(I351:BG351,"&lt;&gt;" &amp; "")&gt;0</formula>
    </cfRule>
    <cfRule type="expression" dxfId="1" priority="1713">
      <formula>AND(COUNTIF(I351:BG351,"&lt;&gt;" &amp; "")&gt;0,NOT(ISBLANK(G351)))</formula>
    </cfRule>
  </conditionalFormatting>
  <conditionalFormatting sqref="G352">
    <cfRule type="expression" dxfId="0" priority="1715">
      <formula>COUNTIF(I352:BG352,"&lt;&gt;" &amp; "")&gt;0</formula>
    </cfRule>
    <cfRule type="expression" dxfId="1" priority="1716">
      <formula>AND(COUNTIF(I352:BG352,"&lt;&gt;" &amp; "")&gt;0,NOT(ISBLANK(G352)))</formula>
    </cfRule>
  </conditionalFormatting>
  <conditionalFormatting sqref="G353">
    <cfRule type="expression" dxfId="0" priority="1718">
      <formula>COUNTIF(I353:BG353,"&lt;&gt;" &amp; "")&gt;0</formula>
    </cfRule>
    <cfRule type="expression" dxfId="1" priority="1719">
      <formula>AND(COUNTIF(I353:BG353,"&lt;&gt;" &amp; "")&gt;0,NOT(ISBLANK(G353)))</formula>
    </cfRule>
  </conditionalFormatting>
  <conditionalFormatting sqref="G354">
    <cfRule type="expression" dxfId="0" priority="1721">
      <formula>COUNTIF(I354:BG354,"&lt;&gt;" &amp; "")&gt;0</formula>
    </cfRule>
    <cfRule type="expression" dxfId="1" priority="1722">
      <formula>AND(COUNTIF(I354:BG354,"&lt;&gt;" &amp; "")&gt;0,NOT(ISBLANK(G354)))</formula>
    </cfRule>
  </conditionalFormatting>
  <conditionalFormatting sqref="G355">
    <cfRule type="expression" dxfId="0" priority="1724">
      <formula>COUNTIF(I355:BG355,"&lt;&gt;" &amp; "")&gt;0</formula>
    </cfRule>
    <cfRule type="expression" dxfId="1" priority="1725">
      <formula>AND(COUNTIF(I355:BG355,"&lt;&gt;" &amp; "")&gt;0,NOT(ISBLANK(G355)))</formula>
    </cfRule>
  </conditionalFormatting>
  <conditionalFormatting sqref="G356">
    <cfRule type="expression" dxfId="0" priority="1727">
      <formula>COUNTIF(I356:BG356,"&lt;&gt;" &amp; "")&gt;0</formula>
    </cfRule>
    <cfRule type="expression" dxfId="1" priority="1728">
      <formula>AND(COUNTIF(I356:BG356,"&lt;&gt;" &amp; "")&gt;0,NOT(ISBLANK(G356)))</formula>
    </cfRule>
  </conditionalFormatting>
  <conditionalFormatting sqref="G357">
    <cfRule type="expression" dxfId="0" priority="1730">
      <formula>COUNTIF(I357:BG357,"&lt;&gt;" &amp; "")&gt;0</formula>
    </cfRule>
    <cfRule type="expression" dxfId="1" priority="1731">
      <formula>AND(COUNTIF(I357:BG357,"&lt;&gt;" &amp; "")&gt;0,NOT(ISBLANK(G357)))</formula>
    </cfRule>
  </conditionalFormatting>
  <conditionalFormatting sqref="G358">
    <cfRule type="expression" dxfId="0" priority="1733">
      <formula>COUNTIF(I358:BG358,"&lt;&gt;" &amp; "")&gt;0</formula>
    </cfRule>
    <cfRule type="expression" dxfId="1" priority="1734">
      <formula>AND(COUNTIF(I358:BG358,"&lt;&gt;" &amp; "")&gt;0,NOT(ISBLANK(G358)))</formula>
    </cfRule>
  </conditionalFormatting>
  <conditionalFormatting sqref="G359">
    <cfRule type="expression" dxfId="0" priority="1736">
      <formula>COUNTIF(I359:BG359,"&lt;&gt;" &amp; "")&gt;0</formula>
    </cfRule>
    <cfRule type="expression" dxfId="1" priority="1737">
      <formula>AND(COUNTIF(I359:BG359,"&lt;&gt;" &amp; "")&gt;0,NOT(ISBLANK(G359)))</formula>
    </cfRule>
  </conditionalFormatting>
  <conditionalFormatting sqref="G36">
    <cfRule type="expression" dxfId="0" priority="438">
      <formula>COUNTIF(I36:BG36,"&lt;&gt;" &amp; "")&gt;0</formula>
    </cfRule>
    <cfRule type="expression" dxfId="1" priority="439">
      <formula>AND(COUNTIF(I36:BG36,"&lt;&gt;" &amp; "")&gt;0,NOT(ISBLANK(G36)))</formula>
    </cfRule>
  </conditionalFormatting>
  <conditionalFormatting sqref="G360">
    <cfRule type="expression" dxfId="0" priority="1739">
      <formula>COUNTIF(I360:BG360,"&lt;&gt;" &amp; "")&gt;0</formula>
    </cfRule>
    <cfRule type="expression" dxfId="1" priority="1740">
      <formula>AND(COUNTIF(I360:BG360,"&lt;&gt;" &amp; "")&gt;0,NOT(ISBLANK(G360)))</formula>
    </cfRule>
  </conditionalFormatting>
  <conditionalFormatting sqref="G361">
    <cfRule type="expression" dxfId="0" priority="1742">
      <formula>COUNTIF(I361:BG361,"&lt;&gt;" &amp; "")&gt;0</formula>
    </cfRule>
    <cfRule type="expression" dxfId="1" priority="1743">
      <formula>AND(COUNTIF(I361:BG361,"&lt;&gt;" &amp; "")&gt;0,NOT(ISBLANK(G361)))</formula>
    </cfRule>
  </conditionalFormatting>
  <conditionalFormatting sqref="G362">
    <cfRule type="expression" dxfId="0" priority="1745">
      <formula>COUNTIF(I362:BG362,"&lt;&gt;" &amp; "")&gt;0</formula>
    </cfRule>
    <cfRule type="expression" dxfId="1" priority="1746">
      <formula>AND(COUNTIF(I362:BG362,"&lt;&gt;" &amp; "")&gt;0,NOT(ISBLANK(G362)))</formula>
    </cfRule>
  </conditionalFormatting>
  <conditionalFormatting sqref="G363">
    <cfRule type="expression" dxfId="0" priority="1748">
      <formula>COUNTIF(I363:BG363,"&lt;&gt;" &amp; "")&gt;0</formula>
    </cfRule>
    <cfRule type="expression" dxfId="1" priority="1749">
      <formula>AND(COUNTIF(I363:BG363,"&lt;&gt;" &amp; "")&gt;0,NOT(ISBLANK(G363)))</formula>
    </cfRule>
  </conditionalFormatting>
  <conditionalFormatting sqref="G364">
    <cfRule type="expression" dxfId="0" priority="1751">
      <formula>COUNTIF(I364:BG364,"&lt;&gt;" &amp; "")&gt;0</formula>
    </cfRule>
    <cfRule type="expression" dxfId="1" priority="1752">
      <formula>AND(COUNTIF(I364:BG364,"&lt;&gt;" &amp; "")&gt;0,NOT(ISBLANK(G364)))</formula>
    </cfRule>
  </conditionalFormatting>
  <conditionalFormatting sqref="G365">
    <cfRule type="expression" dxfId="0" priority="1754">
      <formula>COUNTIF(I365:BG365,"&lt;&gt;" &amp; "")&gt;0</formula>
    </cfRule>
    <cfRule type="expression" dxfId="1" priority="1755">
      <formula>AND(COUNTIF(I365:BG365,"&lt;&gt;" &amp; "")&gt;0,NOT(ISBLANK(G365)))</formula>
    </cfRule>
  </conditionalFormatting>
  <conditionalFormatting sqref="G366">
    <cfRule type="expression" dxfId="0" priority="1757">
      <formula>COUNTIF(I366:BG366,"&lt;&gt;" &amp; "")&gt;0</formula>
    </cfRule>
    <cfRule type="expression" dxfId="1" priority="1758">
      <formula>AND(COUNTIF(I366:BG366,"&lt;&gt;" &amp; "")&gt;0,NOT(ISBLANK(G366)))</formula>
    </cfRule>
  </conditionalFormatting>
  <conditionalFormatting sqref="G367">
    <cfRule type="expression" dxfId="0" priority="1760">
      <formula>COUNTIF(I367:BG367,"&lt;&gt;" &amp; "")&gt;0</formula>
    </cfRule>
    <cfRule type="expression" dxfId="1" priority="1761">
      <formula>AND(COUNTIF(I367:BG367,"&lt;&gt;" &amp; "")&gt;0,NOT(ISBLANK(G367)))</formula>
    </cfRule>
  </conditionalFormatting>
  <conditionalFormatting sqref="G368">
    <cfRule type="expression" dxfId="0" priority="1763">
      <formula>COUNTIF(I368:BG368,"&lt;&gt;" &amp; "")&gt;0</formula>
    </cfRule>
    <cfRule type="expression" dxfId="1" priority="1764">
      <formula>AND(COUNTIF(I368:BG368,"&lt;&gt;" &amp; "")&gt;0,NOT(ISBLANK(G368)))</formula>
    </cfRule>
  </conditionalFormatting>
  <conditionalFormatting sqref="G369">
    <cfRule type="expression" dxfId="0" priority="1766">
      <formula>COUNTIF(I369:BG369,"&lt;&gt;" &amp; "")&gt;0</formula>
    </cfRule>
    <cfRule type="expression" dxfId="1" priority="1767">
      <formula>AND(COUNTIF(I369:BG369,"&lt;&gt;" &amp; "")&gt;0,NOT(ISBLANK(G369)))</formula>
    </cfRule>
  </conditionalFormatting>
  <conditionalFormatting sqref="G37">
    <cfRule type="expression" dxfId="0" priority="441">
      <formula>COUNTIF(I37:BG37,"&lt;&gt;" &amp; "")&gt;0</formula>
    </cfRule>
    <cfRule type="expression" dxfId="1" priority="442">
      <formula>AND(COUNTIF(I37:BG37,"&lt;&gt;" &amp; "")&gt;0,NOT(ISBLANK(G37)))</formula>
    </cfRule>
  </conditionalFormatting>
  <conditionalFormatting sqref="G370">
    <cfRule type="expression" dxfId="0" priority="1769">
      <formula>COUNTIF(I370:BG370,"&lt;&gt;" &amp; "")&gt;0</formula>
    </cfRule>
    <cfRule type="expression" dxfId="1" priority="1770">
      <formula>AND(COUNTIF(I370:BG370,"&lt;&gt;" &amp; "")&gt;0,NOT(ISBLANK(G370)))</formula>
    </cfRule>
  </conditionalFormatting>
  <conditionalFormatting sqref="G371">
    <cfRule type="expression" dxfId="0" priority="1772">
      <formula>COUNTIF(I371:BG371,"&lt;&gt;" &amp; "")&gt;0</formula>
    </cfRule>
    <cfRule type="expression" dxfId="1" priority="1773">
      <formula>AND(COUNTIF(I371:BG371,"&lt;&gt;" &amp; "")&gt;0,NOT(ISBLANK(G371)))</formula>
    </cfRule>
  </conditionalFormatting>
  <conditionalFormatting sqref="G372">
    <cfRule type="expression" dxfId="0" priority="1775">
      <formula>COUNTIF(I372:BG372,"&lt;&gt;" &amp; "")&gt;0</formula>
    </cfRule>
    <cfRule type="expression" dxfId="1" priority="1776">
      <formula>AND(COUNTIF(I372:BG372,"&lt;&gt;" &amp; "")&gt;0,NOT(ISBLANK(G372)))</formula>
    </cfRule>
  </conditionalFormatting>
  <conditionalFormatting sqref="G373">
    <cfRule type="expression" dxfId="0" priority="1778">
      <formula>COUNTIF(I373:BG373,"&lt;&gt;" &amp; "")&gt;0</formula>
    </cfRule>
    <cfRule type="expression" dxfId="1" priority="1779">
      <formula>AND(COUNTIF(I373:BG373,"&lt;&gt;" &amp; "")&gt;0,NOT(ISBLANK(G373)))</formula>
    </cfRule>
  </conditionalFormatting>
  <conditionalFormatting sqref="G374">
    <cfRule type="expression" dxfId="0" priority="1781">
      <formula>COUNTIF(I374:BG374,"&lt;&gt;" &amp; "")&gt;0</formula>
    </cfRule>
    <cfRule type="expression" dxfId="1" priority="1782">
      <formula>AND(COUNTIF(I374:BG374,"&lt;&gt;" &amp; "")&gt;0,NOT(ISBLANK(G374)))</formula>
    </cfRule>
  </conditionalFormatting>
  <conditionalFormatting sqref="G375">
    <cfRule type="expression" dxfId="0" priority="1784">
      <formula>COUNTIF(I375:BG375,"&lt;&gt;" &amp; "")&gt;0</formula>
    </cfRule>
    <cfRule type="expression" dxfId="1" priority="1785">
      <formula>AND(COUNTIF(I375:BG375,"&lt;&gt;" &amp; "")&gt;0,NOT(ISBLANK(G375)))</formula>
    </cfRule>
  </conditionalFormatting>
  <conditionalFormatting sqref="G376">
    <cfRule type="expression" dxfId="0" priority="1787">
      <formula>COUNTIF(I376:BG376,"&lt;&gt;" &amp; "")&gt;0</formula>
    </cfRule>
    <cfRule type="expression" dxfId="1" priority="1788">
      <formula>AND(COUNTIF(I376:BG376,"&lt;&gt;" &amp; "")&gt;0,NOT(ISBLANK(G376)))</formula>
    </cfRule>
  </conditionalFormatting>
  <conditionalFormatting sqref="G377">
    <cfRule type="expression" dxfId="0" priority="1790">
      <formula>COUNTIF(I377:BG377,"&lt;&gt;" &amp; "")&gt;0</formula>
    </cfRule>
    <cfRule type="expression" dxfId="1" priority="1791">
      <formula>AND(COUNTIF(I377:BG377,"&lt;&gt;" &amp; "")&gt;0,NOT(ISBLANK(G377)))</formula>
    </cfRule>
  </conditionalFormatting>
  <conditionalFormatting sqref="G378">
    <cfRule type="expression" dxfId="0" priority="1793">
      <formula>COUNTIF(I378:BG378,"&lt;&gt;" &amp; "")&gt;0</formula>
    </cfRule>
    <cfRule type="expression" dxfId="1" priority="1794">
      <formula>AND(COUNTIF(I378:BG378,"&lt;&gt;" &amp; "")&gt;0,NOT(ISBLANK(G378)))</formula>
    </cfRule>
  </conditionalFormatting>
  <conditionalFormatting sqref="G379">
    <cfRule type="expression" dxfId="0" priority="1796">
      <formula>COUNTIF(I379:BG379,"&lt;&gt;" &amp; "")&gt;0</formula>
    </cfRule>
    <cfRule type="expression" dxfId="1" priority="1797">
      <formula>AND(COUNTIF(I379:BG379,"&lt;&gt;" &amp; "")&gt;0,NOT(ISBLANK(G379)))</formula>
    </cfRule>
  </conditionalFormatting>
  <conditionalFormatting sqref="G38">
    <cfRule type="expression" dxfId="0" priority="444">
      <formula>COUNTIF(I38:BG38,"&lt;&gt;" &amp; "")&gt;0</formula>
    </cfRule>
    <cfRule type="expression" dxfId="1" priority="445">
      <formula>AND(COUNTIF(I38:BG38,"&lt;&gt;" &amp; "")&gt;0,NOT(ISBLANK(G38)))</formula>
    </cfRule>
  </conditionalFormatting>
  <conditionalFormatting sqref="G380">
    <cfRule type="expression" dxfId="0" priority="1799">
      <formula>COUNTIF(I380:BG380,"&lt;&gt;" &amp; "")&gt;0</formula>
    </cfRule>
    <cfRule type="expression" dxfId="1" priority="1800">
      <formula>AND(COUNTIF(I380:BG380,"&lt;&gt;" &amp; "")&gt;0,NOT(ISBLANK(G380)))</formula>
    </cfRule>
  </conditionalFormatting>
  <conditionalFormatting sqref="G381">
    <cfRule type="expression" dxfId="0" priority="1802">
      <formula>COUNTIF(I381:BG381,"&lt;&gt;" &amp; "")&gt;0</formula>
    </cfRule>
    <cfRule type="expression" dxfId="1" priority="1803">
      <formula>AND(COUNTIF(I381:BG381,"&lt;&gt;" &amp; "")&gt;0,NOT(ISBLANK(G381)))</formula>
    </cfRule>
  </conditionalFormatting>
  <conditionalFormatting sqref="G382">
    <cfRule type="expression" dxfId="0" priority="1805">
      <formula>COUNTIF(I382:BG382,"&lt;&gt;" &amp; "")&gt;0</formula>
    </cfRule>
    <cfRule type="expression" dxfId="1" priority="1806">
      <formula>AND(COUNTIF(I382:BG382,"&lt;&gt;" &amp; "")&gt;0,NOT(ISBLANK(G382)))</formula>
    </cfRule>
  </conditionalFormatting>
  <conditionalFormatting sqref="G383">
    <cfRule type="expression" dxfId="0" priority="1808">
      <formula>COUNTIF(I383:BG383,"&lt;&gt;" &amp; "")&gt;0</formula>
    </cfRule>
    <cfRule type="expression" dxfId="1" priority="1809">
      <formula>AND(COUNTIF(I383:BG383,"&lt;&gt;" &amp; "")&gt;0,NOT(ISBLANK(G383)))</formula>
    </cfRule>
  </conditionalFormatting>
  <conditionalFormatting sqref="G384">
    <cfRule type="expression" dxfId="0" priority="1811">
      <formula>COUNTIF(I384:BG384,"&lt;&gt;" &amp; "")&gt;0</formula>
    </cfRule>
    <cfRule type="expression" dxfId="1" priority="1812">
      <formula>AND(COUNTIF(I384:BG384,"&lt;&gt;" &amp; "")&gt;0,NOT(ISBLANK(G384)))</formula>
    </cfRule>
  </conditionalFormatting>
  <conditionalFormatting sqref="G385">
    <cfRule type="expression" dxfId="0" priority="1814">
      <formula>COUNTIF(I385:BG385,"&lt;&gt;" &amp; "")&gt;0</formula>
    </cfRule>
    <cfRule type="expression" dxfId="1" priority="1815">
      <formula>AND(COUNTIF(I385:BG385,"&lt;&gt;" &amp; "")&gt;0,NOT(ISBLANK(G385)))</formula>
    </cfRule>
  </conditionalFormatting>
  <conditionalFormatting sqref="G386">
    <cfRule type="expression" dxfId="0" priority="1817">
      <formula>COUNTIF(I386:BG386,"&lt;&gt;" &amp; "")&gt;0</formula>
    </cfRule>
    <cfRule type="expression" dxfId="1" priority="1818">
      <formula>AND(COUNTIF(I386:BG386,"&lt;&gt;" &amp; "")&gt;0,NOT(ISBLANK(G386)))</formula>
    </cfRule>
  </conditionalFormatting>
  <conditionalFormatting sqref="G387">
    <cfRule type="expression" dxfId="0" priority="1820">
      <formula>COUNTIF(I387:BG387,"&lt;&gt;" &amp; "")&gt;0</formula>
    </cfRule>
    <cfRule type="expression" dxfId="1" priority="1821">
      <formula>AND(COUNTIF(I387:BG387,"&lt;&gt;" &amp; "")&gt;0,NOT(ISBLANK(G387)))</formula>
    </cfRule>
  </conditionalFormatting>
  <conditionalFormatting sqref="G388">
    <cfRule type="expression" dxfId="0" priority="1823">
      <formula>COUNTIF(I388:BG388,"&lt;&gt;" &amp; "")&gt;0</formula>
    </cfRule>
    <cfRule type="expression" dxfId="1" priority="1824">
      <formula>AND(COUNTIF(I388:BG388,"&lt;&gt;" &amp; "")&gt;0,NOT(ISBLANK(G388)))</formula>
    </cfRule>
  </conditionalFormatting>
  <conditionalFormatting sqref="G389">
    <cfRule type="expression" dxfId="0" priority="1826">
      <formula>COUNTIF(I389:BG389,"&lt;&gt;" &amp; "")&gt;0</formula>
    </cfRule>
    <cfRule type="expression" dxfId="1" priority="1827">
      <formula>AND(COUNTIF(I389:BG389,"&lt;&gt;" &amp; "")&gt;0,NOT(ISBLANK(G389)))</formula>
    </cfRule>
  </conditionalFormatting>
  <conditionalFormatting sqref="G39">
    <cfRule type="expression" dxfId="0" priority="447">
      <formula>COUNTIF(I39:BG39,"&lt;&gt;" &amp; "")&gt;0</formula>
    </cfRule>
    <cfRule type="expression" dxfId="1" priority="448">
      <formula>AND(COUNTIF(I39:BG39,"&lt;&gt;" &amp; "")&gt;0,NOT(ISBLANK(G39)))</formula>
    </cfRule>
  </conditionalFormatting>
  <conditionalFormatting sqref="G390">
    <cfRule type="expression" dxfId="0" priority="1829">
      <formula>COUNTIF(I390:BG390,"&lt;&gt;" &amp; "")&gt;0</formula>
    </cfRule>
    <cfRule type="expression" dxfId="1" priority="1830">
      <formula>AND(COUNTIF(I390:BG390,"&lt;&gt;" &amp; "")&gt;0,NOT(ISBLANK(G390)))</formula>
    </cfRule>
  </conditionalFormatting>
  <conditionalFormatting sqref="G391">
    <cfRule type="expression" dxfId="0" priority="1832">
      <formula>COUNTIF(I391:BG391,"&lt;&gt;" &amp; "")&gt;0</formula>
    </cfRule>
    <cfRule type="expression" dxfId="1" priority="1833">
      <formula>AND(COUNTIF(I391:BG391,"&lt;&gt;" &amp; "")&gt;0,NOT(ISBLANK(G391)))</formula>
    </cfRule>
  </conditionalFormatting>
  <conditionalFormatting sqref="G392">
    <cfRule type="expression" dxfId="0" priority="1835">
      <formula>COUNTIF(I392:BG392,"&lt;&gt;" &amp; "")&gt;0</formula>
    </cfRule>
    <cfRule type="expression" dxfId="1" priority="1836">
      <formula>AND(COUNTIF(I392:BG392,"&lt;&gt;" &amp; "")&gt;0,NOT(ISBLANK(G392)))</formula>
    </cfRule>
  </conditionalFormatting>
  <conditionalFormatting sqref="G393">
    <cfRule type="expression" dxfId="0" priority="1838">
      <formula>COUNTIF(I393:BG393,"&lt;&gt;" &amp; "")&gt;0</formula>
    </cfRule>
    <cfRule type="expression" dxfId="1" priority="1839">
      <formula>AND(COUNTIF(I393:BG393,"&lt;&gt;" &amp; "")&gt;0,NOT(ISBLANK(G393)))</formula>
    </cfRule>
  </conditionalFormatting>
  <conditionalFormatting sqref="G394">
    <cfRule type="expression" dxfId="0" priority="1841">
      <formula>COUNTIF(I394:BG394,"&lt;&gt;" &amp; "")&gt;0</formula>
    </cfRule>
    <cfRule type="expression" dxfId="1" priority="1842">
      <formula>AND(COUNTIF(I394:BG394,"&lt;&gt;" &amp; "")&gt;0,NOT(ISBLANK(G394)))</formula>
    </cfRule>
  </conditionalFormatting>
  <conditionalFormatting sqref="G395">
    <cfRule type="expression" dxfId="0" priority="1844">
      <formula>COUNTIF(I395:BG395,"&lt;&gt;" &amp; "")&gt;0</formula>
    </cfRule>
    <cfRule type="expression" dxfId="1" priority="1845">
      <formula>AND(COUNTIF(I395:BG395,"&lt;&gt;" &amp; "")&gt;0,NOT(ISBLANK(G395)))</formula>
    </cfRule>
  </conditionalFormatting>
  <conditionalFormatting sqref="G396">
    <cfRule type="expression" dxfId="0" priority="1847">
      <formula>COUNTIF(I396:BG396,"&lt;&gt;" &amp; "")&gt;0</formula>
    </cfRule>
    <cfRule type="expression" dxfId="1" priority="1848">
      <formula>AND(COUNTIF(I396:BG396,"&lt;&gt;" &amp; "")&gt;0,NOT(ISBLANK(G396)))</formula>
    </cfRule>
  </conditionalFormatting>
  <conditionalFormatting sqref="G397">
    <cfRule type="expression" dxfId="0" priority="1850">
      <formula>COUNTIF(I397:BG397,"&lt;&gt;" &amp; "")&gt;0</formula>
    </cfRule>
    <cfRule type="expression" dxfId="1" priority="1851">
      <formula>AND(COUNTIF(I397:BG397,"&lt;&gt;" &amp; "")&gt;0,NOT(ISBLANK(G397)))</formula>
    </cfRule>
  </conditionalFormatting>
  <conditionalFormatting sqref="G398">
    <cfRule type="expression" dxfId="0" priority="1853">
      <formula>COUNTIF(I398:BG398,"&lt;&gt;" &amp; "")&gt;0</formula>
    </cfRule>
    <cfRule type="expression" dxfId="1" priority="1854">
      <formula>AND(COUNTIF(I398:BG398,"&lt;&gt;" &amp; "")&gt;0,NOT(ISBLANK(G398)))</formula>
    </cfRule>
  </conditionalFormatting>
  <conditionalFormatting sqref="G399">
    <cfRule type="expression" dxfId="0" priority="1856">
      <formula>COUNTIF(I399:BG399,"&lt;&gt;" &amp; "")&gt;0</formula>
    </cfRule>
    <cfRule type="expression" dxfId="1" priority="1857">
      <formula>AND(COUNTIF(I399:BG399,"&lt;&gt;" &amp; "")&gt;0,NOT(ISBLANK(G399)))</formula>
    </cfRule>
  </conditionalFormatting>
  <conditionalFormatting sqref="G40">
    <cfRule type="expression" dxfId="0" priority="450">
      <formula>COUNTIF(I40:BG40,"&lt;&gt;" &amp; "")&gt;0</formula>
    </cfRule>
    <cfRule type="expression" dxfId="1" priority="451">
      <formula>AND(COUNTIF(I40:BG40,"&lt;&gt;" &amp; "")&gt;0,NOT(ISBLANK(G40)))</formula>
    </cfRule>
  </conditionalFormatting>
  <conditionalFormatting sqref="G400">
    <cfRule type="expression" dxfId="0" priority="1859">
      <formula>COUNTIF(I400:BG400,"&lt;&gt;" &amp; "")&gt;0</formula>
    </cfRule>
    <cfRule type="expression" dxfId="1" priority="1860">
      <formula>AND(COUNTIF(I400:BG400,"&lt;&gt;" &amp; "")&gt;0,NOT(ISBLANK(G400)))</formula>
    </cfRule>
  </conditionalFormatting>
  <conditionalFormatting sqref="G401">
    <cfRule type="expression" dxfId="0" priority="1862">
      <formula>COUNTIF(I401:BG401,"&lt;&gt;" &amp; "")&gt;0</formula>
    </cfRule>
    <cfRule type="expression" dxfId="1" priority="1863">
      <formula>AND(COUNTIF(I401:BG401,"&lt;&gt;" &amp; "")&gt;0,NOT(ISBLANK(G401)))</formula>
    </cfRule>
  </conditionalFormatting>
  <conditionalFormatting sqref="G402">
    <cfRule type="expression" dxfId="0" priority="1865">
      <formula>COUNTIF(I402:BG402,"&lt;&gt;" &amp; "")&gt;0</formula>
    </cfRule>
    <cfRule type="expression" dxfId="1" priority="1866">
      <formula>AND(COUNTIF(I402:BG402,"&lt;&gt;" &amp; "")&gt;0,NOT(ISBLANK(G402)))</formula>
    </cfRule>
  </conditionalFormatting>
  <conditionalFormatting sqref="G403">
    <cfRule type="expression" dxfId="0" priority="1868">
      <formula>COUNTIF(I403:BG403,"&lt;&gt;" &amp; "")&gt;0</formula>
    </cfRule>
    <cfRule type="expression" dxfId="1" priority="1869">
      <formula>AND(COUNTIF(I403:BG403,"&lt;&gt;" &amp; "")&gt;0,NOT(ISBLANK(G403)))</formula>
    </cfRule>
  </conditionalFormatting>
  <conditionalFormatting sqref="G404">
    <cfRule type="expression" dxfId="0" priority="1871">
      <formula>COUNTIF(I404:BG404,"&lt;&gt;" &amp; "")&gt;0</formula>
    </cfRule>
    <cfRule type="expression" dxfId="1" priority="1872">
      <formula>AND(COUNTIF(I404:BG404,"&lt;&gt;" &amp; "")&gt;0,NOT(ISBLANK(G404)))</formula>
    </cfRule>
  </conditionalFormatting>
  <conditionalFormatting sqref="G405">
    <cfRule type="expression" dxfId="0" priority="1874">
      <formula>COUNTIF(I405:BG405,"&lt;&gt;" &amp; "")&gt;0</formula>
    </cfRule>
    <cfRule type="expression" dxfId="1" priority="1875">
      <formula>AND(COUNTIF(I405:BG405,"&lt;&gt;" &amp; "")&gt;0,NOT(ISBLANK(G405)))</formula>
    </cfRule>
  </conditionalFormatting>
  <conditionalFormatting sqref="G406">
    <cfRule type="expression" dxfId="0" priority="1877">
      <formula>COUNTIF(I406:BG406,"&lt;&gt;" &amp; "")&gt;0</formula>
    </cfRule>
    <cfRule type="expression" dxfId="1" priority="1878">
      <formula>AND(COUNTIF(I406:BG406,"&lt;&gt;" &amp; "")&gt;0,NOT(ISBLANK(G406)))</formula>
    </cfRule>
  </conditionalFormatting>
  <conditionalFormatting sqref="G407">
    <cfRule type="expression" dxfId="0" priority="1880">
      <formula>COUNTIF(I407:BG407,"&lt;&gt;" &amp; "")&gt;0</formula>
    </cfRule>
    <cfRule type="expression" dxfId="1" priority="1881">
      <formula>AND(COUNTIF(I407:BG407,"&lt;&gt;" &amp; "")&gt;0,NOT(ISBLANK(G407)))</formula>
    </cfRule>
  </conditionalFormatting>
  <conditionalFormatting sqref="G408">
    <cfRule type="expression" dxfId="0" priority="1883">
      <formula>COUNTIF(I408:BG408,"&lt;&gt;" &amp; "")&gt;0</formula>
    </cfRule>
    <cfRule type="expression" dxfId="1" priority="1884">
      <formula>AND(COUNTIF(I408:BG408,"&lt;&gt;" &amp; "")&gt;0,NOT(ISBLANK(G408)))</formula>
    </cfRule>
  </conditionalFormatting>
  <conditionalFormatting sqref="G409">
    <cfRule type="expression" dxfId="0" priority="1886">
      <formula>COUNTIF(I409:BG409,"&lt;&gt;" &amp; "")&gt;0</formula>
    </cfRule>
    <cfRule type="expression" dxfId="1" priority="1887">
      <formula>AND(COUNTIF(I409:BG409,"&lt;&gt;" &amp; "")&gt;0,NOT(ISBLANK(G409)))</formula>
    </cfRule>
  </conditionalFormatting>
  <conditionalFormatting sqref="G41">
    <cfRule type="expression" dxfId="0" priority="453">
      <formula>COUNTIF(I41:BG41,"&lt;&gt;" &amp; "")&gt;0</formula>
    </cfRule>
    <cfRule type="expression" dxfId="1" priority="454">
      <formula>AND(COUNTIF(I41:BG41,"&lt;&gt;" &amp; "")&gt;0,NOT(ISBLANK(G41)))</formula>
    </cfRule>
  </conditionalFormatting>
  <conditionalFormatting sqref="G410">
    <cfRule type="expression" dxfId="0" priority="1889">
      <formula>COUNTIF(I410:BG410,"&lt;&gt;" &amp; "")&gt;0</formula>
    </cfRule>
    <cfRule type="expression" dxfId="1" priority="1890">
      <formula>AND(COUNTIF(I410:BG410,"&lt;&gt;" &amp; "")&gt;0,NOT(ISBLANK(G410)))</formula>
    </cfRule>
  </conditionalFormatting>
  <conditionalFormatting sqref="G411">
    <cfRule type="expression" dxfId="0" priority="1892">
      <formula>COUNTIF(I411:BG411,"&lt;&gt;" &amp; "")&gt;0</formula>
    </cfRule>
    <cfRule type="expression" dxfId="1" priority="1893">
      <formula>AND(COUNTIF(I411:BG411,"&lt;&gt;" &amp; "")&gt;0,NOT(ISBLANK(G411)))</formula>
    </cfRule>
  </conditionalFormatting>
  <conditionalFormatting sqref="G412">
    <cfRule type="expression" dxfId="0" priority="1895">
      <formula>COUNTIF(I412:BG412,"&lt;&gt;" &amp; "")&gt;0</formula>
    </cfRule>
    <cfRule type="expression" dxfId="1" priority="1896">
      <formula>AND(COUNTIF(I412:BG412,"&lt;&gt;" &amp; "")&gt;0,NOT(ISBLANK(G412)))</formula>
    </cfRule>
  </conditionalFormatting>
  <conditionalFormatting sqref="G413">
    <cfRule type="expression" dxfId="0" priority="1898">
      <formula>COUNTIF(I413:BG413,"&lt;&gt;" &amp; "")&gt;0</formula>
    </cfRule>
    <cfRule type="expression" dxfId="1" priority="1899">
      <formula>AND(COUNTIF(I413:BG413,"&lt;&gt;" &amp; "")&gt;0,NOT(ISBLANK(G413)))</formula>
    </cfRule>
  </conditionalFormatting>
  <conditionalFormatting sqref="G414">
    <cfRule type="expression" dxfId="0" priority="1901">
      <formula>COUNTIF(I414:BG414,"&lt;&gt;" &amp; "")&gt;0</formula>
    </cfRule>
    <cfRule type="expression" dxfId="1" priority="1902">
      <formula>AND(COUNTIF(I414:BG414,"&lt;&gt;" &amp; "")&gt;0,NOT(ISBLANK(G414)))</formula>
    </cfRule>
  </conditionalFormatting>
  <conditionalFormatting sqref="G415">
    <cfRule type="expression" dxfId="0" priority="1904">
      <formula>COUNTIF(I415:BG415,"&lt;&gt;" &amp; "")&gt;0</formula>
    </cfRule>
    <cfRule type="expression" dxfId="1" priority="1905">
      <formula>AND(COUNTIF(I415:BG415,"&lt;&gt;" &amp; "")&gt;0,NOT(ISBLANK(G415)))</formula>
    </cfRule>
  </conditionalFormatting>
  <conditionalFormatting sqref="G416">
    <cfRule type="expression" dxfId="0" priority="1907">
      <formula>COUNTIF(I416:BG416,"&lt;&gt;" &amp; "")&gt;0</formula>
    </cfRule>
    <cfRule type="expression" dxfId="1" priority="1908">
      <formula>AND(COUNTIF(I416:BG416,"&lt;&gt;" &amp; "")&gt;0,NOT(ISBLANK(G416)))</formula>
    </cfRule>
  </conditionalFormatting>
  <conditionalFormatting sqref="G417">
    <cfRule type="expression" dxfId="0" priority="1910">
      <formula>COUNTIF(I417:BG417,"&lt;&gt;" &amp; "")&gt;0</formula>
    </cfRule>
    <cfRule type="expression" dxfId="1" priority="1911">
      <formula>AND(COUNTIF(I417:BG417,"&lt;&gt;" &amp; "")&gt;0,NOT(ISBLANK(G417)))</formula>
    </cfRule>
  </conditionalFormatting>
  <conditionalFormatting sqref="G418">
    <cfRule type="expression" dxfId="0" priority="1913">
      <formula>COUNTIF(I418:BG418,"&lt;&gt;" &amp; "")&gt;0</formula>
    </cfRule>
    <cfRule type="expression" dxfId="1" priority="1914">
      <formula>AND(COUNTIF(I418:BG418,"&lt;&gt;" &amp; "")&gt;0,NOT(ISBLANK(G418)))</formula>
    </cfRule>
  </conditionalFormatting>
  <conditionalFormatting sqref="G419">
    <cfRule type="expression" dxfId="0" priority="1916">
      <formula>COUNTIF(I419:BG419,"&lt;&gt;" &amp; "")&gt;0</formula>
    </cfRule>
    <cfRule type="expression" dxfId="1" priority="1917">
      <formula>AND(COUNTIF(I419:BG419,"&lt;&gt;" &amp; "")&gt;0,NOT(ISBLANK(G419)))</formula>
    </cfRule>
  </conditionalFormatting>
  <conditionalFormatting sqref="G42">
    <cfRule type="expression" dxfId="0" priority="456">
      <formula>COUNTIF(I42:BG42,"&lt;&gt;" &amp; "")&gt;0</formula>
    </cfRule>
    <cfRule type="expression" dxfId="1" priority="457">
      <formula>AND(COUNTIF(I42:BG42,"&lt;&gt;" &amp; "")&gt;0,NOT(ISBLANK(G42)))</formula>
    </cfRule>
  </conditionalFormatting>
  <conditionalFormatting sqref="G420">
    <cfRule type="expression" dxfId="0" priority="1919">
      <formula>COUNTIF(I420:BG420,"&lt;&gt;" &amp; "")&gt;0</formula>
    </cfRule>
    <cfRule type="expression" dxfId="1" priority="1920">
      <formula>AND(COUNTIF(I420:BG420,"&lt;&gt;" &amp; "")&gt;0,NOT(ISBLANK(G420)))</formula>
    </cfRule>
  </conditionalFormatting>
  <conditionalFormatting sqref="G421">
    <cfRule type="expression" dxfId="0" priority="1922">
      <formula>COUNTIF(I421:BG421,"&lt;&gt;" &amp; "")&gt;0</formula>
    </cfRule>
    <cfRule type="expression" dxfId="1" priority="1923">
      <formula>AND(COUNTIF(I421:BG421,"&lt;&gt;" &amp; "")&gt;0,NOT(ISBLANK(G421)))</formula>
    </cfRule>
  </conditionalFormatting>
  <conditionalFormatting sqref="G422">
    <cfRule type="expression" dxfId="0" priority="1925">
      <formula>COUNTIF(I422:BG422,"&lt;&gt;" &amp; "")&gt;0</formula>
    </cfRule>
    <cfRule type="expression" dxfId="1" priority="1926">
      <formula>AND(COUNTIF(I422:BG422,"&lt;&gt;" &amp; "")&gt;0,NOT(ISBLANK(G422)))</formula>
    </cfRule>
  </conditionalFormatting>
  <conditionalFormatting sqref="G423">
    <cfRule type="expression" dxfId="0" priority="1928">
      <formula>COUNTIF(I423:BG423,"&lt;&gt;" &amp; "")&gt;0</formula>
    </cfRule>
    <cfRule type="expression" dxfId="1" priority="1929">
      <formula>AND(COUNTIF(I423:BG423,"&lt;&gt;" &amp; "")&gt;0,NOT(ISBLANK(G423)))</formula>
    </cfRule>
  </conditionalFormatting>
  <conditionalFormatting sqref="G424">
    <cfRule type="expression" dxfId="0" priority="1931">
      <formula>COUNTIF(I424:BG424,"&lt;&gt;" &amp; "")&gt;0</formula>
    </cfRule>
    <cfRule type="expression" dxfId="1" priority="1932">
      <formula>AND(COUNTIF(I424:BG424,"&lt;&gt;" &amp; "")&gt;0,NOT(ISBLANK(G424)))</formula>
    </cfRule>
  </conditionalFormatting>
  <conditionalFormatting sqref="G425">
    <cfRule type="expression" dxfId="0" priority="1934">
      <formula>COUNTIF(I425:BG425,"&lt;&gt;" &amp; "")&gt;0</formula>
    </cfRule>
    <cfRule type="expression" dxfId="1" priority="1935">
      <formula>AND(COUNTIF(I425:BG425,"&lt;&gt;" &amp; "")&gt;0,NOT(ISBLANK(G425)))</formula>
    </cfRule>
  </conditionalFormatting>
  <conditionalFormatting sqref="G426">
    <cfRule type="expression" dxfId="0" priority="1937">
      <formula>COUNTIF(I426:BG426,"&lt;&gt;" &amp; "")&gt;0</formula>
    </cfRule>
    <cfRule type="expression" dxfId="1" priority="1938">
      <formula>AND(COUNTIF(I426:BG426,"&lt;&gt;" &amp; "")&gt;0,NOT(ISBLANK(G426)))</formula>
    </cfRule>
  </conditionalFormatting>
  <conditionalFormatting sqref="G427">
    <cfRule type="expression" dxfId="0" priority="1940">
      <formula>COUNTIF(I427:BG427,"&lt;&gt;" &amp; "")&gt;0</formula>
    </cfRule>
    <cfRule type="expression" dxfId="1" priority="1941">
      <formula>AND(COUNTIF(I427:BG427,"&lt;&gt;" &amp; "")&gt;0,NOT(ISBLANK(G427)))</formula>
    </cfRule>
  </conditionalFormatting>
  <conditionalFormatting sqref="G428">
    <cfRule type="expression" dxfId="0" priority="1943">
      <formula>COUNTIF(I428:BG428,"&lt;&gt;" &amp; "")&gt;0</formula>
    </cfRule>
    <cfRule type="expression" dxfId="1" priority="1944">
      <formula>AND(COUNTIF(I428:BG428,"&lt;&gt;" &amp; "")&gt;0,NOT(ISBLANK(G428)))</formula>
    </cfRule>
  </conditionalFormatting>
  <conditionalFormatting sqref="G429">
    <cfRule type="expression" dxfId="0" priority="1946">
      <formula>COUNTIF(I429:BG429,"&lt;&gt;" &amp; "")&gt;0</formula>
    </cfRule>
    <cfRule type="expression" dxfId="1" priority="1947">
      <formula>AND(COUNTIF(I429:BG429,"&lt;&gt;" &amp; "")&gt;0,NOT(ISBLANK(G429)))</formula>
    </cfRule>
  </conditionalFormatting>
  <conditionalFormatting sqref="G43">
    <cfRule type="expression" dxfId="0" priority="459">
      <formula>COUNTIF(I43:BG43,"&lt;&gt;" &amp; "")&gt;0</formula>
    </cfRule>
    <cfRule type="expression" dxfId="1" priority="460">
      <formula>AND(COUNTIF(I43:BG43,"&lt;&gt;" &amp; "")&gt;0,NOT(ISBLANK(G43)))</formula>
    </cfRule>
  </conditionalFormatting>
  <conditionalFormatting sqref="G430">
    <cfRule type="expression" dxfId="0" priority="1949">
      <formula>COUNTIF(I430:BG430,"&lt;&gt;" &amp; "")&gt;0</formula>
    </cfRule>
    <cfRule type="expression" dxfId="1" priority="1950">
      <formula>AND(COUNTIF(I430:BG430,"&lt;&gt;" &amp; "")&gt;0,NOT(ISBLANK(G430)))</formula>
    </cfRule>
  </conditionalFormatting>
  <conditionalFormatting sqref="G431">
    <cfRule type="expression" dxfId="0" priority="1952">
      <formula>COUNTIF(I431:BG431,"&lt;&gt;" &amp; "")&gt;0</formula>
    </cfRule>
    <cfRule type="expression" dxfId="1" priority="1953">
      <formula>AND(COUNTIF(I431:BG431,"&lt;&gt;" &amp; "")&gt;0,NOT(ISBLANK(G431)))</formula>
    </cfRule>
  </conditionalFormatting>
  <conditionalFormatting sqref="G432">
    <cfRule type="expression" dxfId="0" priority="1955">
      <formula>COUNTIF(I432:BG432,"&lt;&gt;" &amp; "")&gt;0</formula>
    </cfRule>
    <cfRule type="expression" dxfId="1" priority="1956">
      <formula>AND(COUNTIF(I432:BG432,"&lt;&gt;" &amp; "")&gt;0,NOT(ISBLANK(G432)))</formula>
    </cfRule>
  </conditionalFormatting>
  <conditionalFormatting sqref="G433">
    <cfRule type="expression" dxfId="0" priority="1958">
      <formula>COUNTIF(I433:BG433,"&lt;&gt;" &amp; "")&gt;0</formula>
    </cfRule>
    <cfRule type="expression" dxfId="1" priority="1959">
      <formula>AND(COUNTIF(I433:BG433,"&lt;&gt;" &amp; "")&gt;0,NOT(ISBLANK(G433)))</formula>
    </cfRule>
  </conditionalFormatting>
  <conditionalFormatting sqref="G44">
    <cfRule type="expression" dxfId="0" priority="462">
      <formula>COUNTIF(I44:BG44,"&lt;&gt;" &amp; "")&gt;0</formula>
    </cfRule>
    <cfRule type="expression" dxfId="1" priority="463">
      <formula>AND(COUNTIF(I44:BG44,"&lt;&gt;" &amp; "")&gt;0,NOT(ISBLANK(G44)))</formula>
    </cfRule>
  </conditionalFormatting>
  <conditionalFormatting sqref="G45">
    <cfRule type="expression" dxfId="0" priority="465">
      <formula>COUNTIF(I45:BG45,"&lt;&gt;" &amp; "")&gt;0</formula>
    </cfRule>
    <cfRule type="expression" dxfId="1" priority="466">
      <formula>AND(COUNTIF(I45:BG45,"&lt;&gt;" &amp; "")&gt;0,NOT(ISBLANK(G45)))</formula>
    </cfRule>
  </conditionalFormatting>
  <conditionalFormatting sqref="G46">
    <cfRule type="expression" dxfId="0" priority="468">
      <formula>COUNTIF(I46:BG46,"&lt;&gt;" &amp; "")&gt;0</formula>
    </cfRule>
    <cfRule type="expression" dxfId="1" priority="469">
      <formula>AND(COUNTIF(I46:BG46,"&lt;&gt;" &amp; "")&gt;0,NOT(ISBLANK(G46)))</formula>
    </cfRule>
  </conditionalFormatting>
  <conditionalFormatting sqref="G47">
    <cfRule type="expression" dxfId="0" priority="471">
      <formula>COUNTIF(I47:BG47,"&lt;&gt;" &amp; "")&gt;0</formula>
    </cfRule>
    <cfRule type="expression" dxfId="1" priority="472">
      <formula>AND(COUNTIF(I47:BG47,"&lt;&gt;" &amp; "")&gt;0,NOT(ISBLANK(G47)))</formula>
    </cfRule>
  </conditionalFormatting>
  <conditionalFormatting sqref="G48">
    <cfRule type="expression" dxfId="0" priority="474">
      <formula>COUNTIF(I48:BG48,"&lt;&gt;" &amp; "")&gt;0</formula>
    </cfRule>
    <cfRule type="expression" dxfId="1" priority="475">
      <formula>AND(COUNTIF(I48:BG48,"&lt;&gt;" &amp; "")&gt;0,NOT(ISBLANK(G48)))</formula>
    </cfRule>
  </conditionalFormatting>
  <conditionalFormatting sqref="G49">
    <cfRule type="expression" dxfId="0" priority="477">
      <formula>COUNTIF(I49:BG49,"&lt;&gt;" &amp; "")&gt;0</formula>
    </cfRule>
    <cfRule type="expression" dxfId="1" priority="478">
      <formula>AND(COUNTIF(I49:BG49,"&lt;&gt;" &amp; "")&gt;0,NOT(ISBLANK(G49)))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480">
      <formula>COUNTIF(I50:BG50,"&lt;&gt;" &amp; "")&gt;0</formula>
    </cfRule>
    <cfRule type="expression" dxfId="1" priority="481">
      <formula>AND(COUNTIF(I50:BG50,"&lt;&gt;" &amp; "")&gt;0,NOT(ISBLANK(G50)))</formula>
    </cfRule>
  </conditionalFormatting>
  <conditionalFormatting sqref="G51">
    <cfRule type="expression" dxfId="0" priority="483">
      <formula>COUNTIF(I51:BG51,"&lt;&gt;" &amp; "")&gt;0</formula>
    </cfRule>
    <cfRule type="expression" dxfId="1" priority="484">
      <formula>AND(COUNTIF(I51:BG51,"&lt;&gt;" &amp; "")&gt;0,NOT(ISBLANK(G51)))</formula>
    </cfRule>
  </conditionalFormatting>
  <conditionalFormatting sqref="G52">
    <cfRule type="expression" dxfId="0" priority="486">
      <formula>COUNTIF(I52:BG52,"&lt;&gt;" &amp; "")&gt;0</formula>
    </cfRule>
    <cfRule type="expression" dxfId="1" priority="487">
      <formula>AND(COUNTIF(I52:BG52,"&lt;&gt;" &amp; "")&gt;0,NOT(ISBLANK(G52)))</formula>
    </cfRule>
  </conditionalFormatting>
  <conditionalFormatting sqref="G53">
    <cfRule type="expression" dxfId="0" priority="489">
      <formula>COUNTIF(I53:BG53,"&lt;&gt;" &amp; "")&gt;0</formula>
    </cfRule>
    <cfRule type="expression" dxfId="1" priority="490">
      <formula>AND(COUNTIF(I53:BG53,"&lt;&gt;" &amp; "")&gt;0,NOT(ISBLANK(G53)))</formula>
    </cfRule>
  </conditionalFormatting>
  <conditionalFormatting sqref="G54">
    <cfRule type="expression" dxfId="0" priority="492">
      <formula>COUNTIF(I54:BG54,"&lt;&gt;" &amp; "")&gt;0</formula>
    </cfRule>
    <cfRule type="expression" dxfId="1" priority="493">
      <formula>AND(COUNTIF(I54:BG54,"&lt;&gt;" &amp; "")&gt;0,NOT(ISBLANK(G54)))</formula>
    </cfRule>
  </conditionalFormatting>
  <conditionalFormatting sqref="G55">
    <cfRule type="expression" dxfId="0" priority="495">
      <formula>COUNTIF(I55:BG55,"&lt;&gt;" &amp; "")&gt;0</formula>
    </cfRule>
    <cfRule type="expression" dxfId="1" priority="496">
      <formula>AND(COUNTIF(I55:BG55,"&lt;&gt;" &amp; "")&gt;0,NOT(ISBLANK(G55)))</formula>
    </cfRule>
  </conditionalFormatting>
  <conditionalFormatting sqref="G56">
    <cfRule type="expression" dxfId="0" priority="498">
      <formula>COUNTIF(I56:BG56,"&lt;&gt;" &amp; "")&gt;0</formula>
    </cfRule>
    <cfRule type="expression" dxfId="1" priority="499">
      <formula>AND(COUNTIF(I56:BG56,"&lt;&gt;" &amp; "")&gt;0,NOT(ISBLANK(G56)))</formula>
    </cfRule>
  </conditionalFormatting>
  <conditionalFormatting sqref="G57">
    <cfRule type="expression" dxfId="0" priority="501">
      <formula>COUNTIF(I57:BG57,"&lt;&gt;" &amp; "")&gt;0</formula>
    </cfRule>
    <cfRule type="expression" dxfId="1" priority="502">
      <formula>AND(COUNTIF(I57:BG57,"&lt;&gt;" &amp; "")&gt;0,NOT(ISBLANK(G57)))</formula>
    </cfRule>
  </conditionalFormatting>
  <conditionalFormatting sqref="G58">
    <cfRule type="expression" dxfId="0" priority="504">
      <formula>COUNTIF(I58:BG58,"&lt;&gt;" &amp; "")&gt;0</formula>
    </cfRule>
    <cfRule type="expression" dxfId="1" priority="505">
      <formula>AND(COUNTIF(I58:BG58,"&lt;&gt;" &amp; "")&gt;0,NOT(ISBLANK(G58)))</formula>
    </cfRule>
  </conditionalFormatting>
  <conditionalFormatting sqref="G59">
    <cfRule type="expression" dxfId="0" priority="507">
      <formula>COUNTIF(I59:BG59,"&lt;&gt;" &amp; "")&gt;0</formula>
    </cfRule>
    <cfRule type="expression" dxfId="1" priority="508">
      <formula>AND(COUNTIF(I59:BG59,"&lt;&gt;" &amp; "")&gt;0,NOT(ISBLANK(G59)))</formula>
    </cfRule>
  </conditionalFormatting>
  <conditionalFormatting sqref="G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G60">
    <cfRule type="expression" dxfId="0" priority="510">
      <formula>COUNTIF(I60:BG60,"&lt;&gt;" &amp; "")&gt;0</formula>
    </cfRule>
    <cfRule type="expression" dxfId="1" priority="511">
      <formula>AND(COUNTIF(I60:BG60,"&lt;&gt;" &amp; "")&gt;0,NOT(ISBLANK(G60)))</formula>
    </cfRule>
  </conditionalFormatting>
  <conditionalFormatting sqref="G61">
    <cfRule type="expression" dxfId="0" priority="513">
      <formula>COUNTIF(I61:BG61,"&lt;&gt;" &amp; "")&gt;0</formula>
    </cfRule>
    <cfRule type="expression" dxfId="1" priority="514">
      <formula>AND(COUNTIF(I61:BG61,"&lt;&gt;" &amp; "")&gt;0,NOT(ISBLANK(G61)))</formula>
    </cfRule>
  </conditionalFormatting>
  <conditionalFormatting sqref="G62">
    <cfRule type="expression" dxfId="0" priority="516">
      <formula>COUNTIF(I62:BG62,"&lt;&gt;" &amp; "")&gt;0</formula>
    </cfRule>
    <cfRule type="expression" dxfId="1" priority="517">
      <formula>AND(COUNTIF(I62:BG62,"&lt;&gt;" &amp; "")&gt;0,NOT(ISBLANK(G62)))</formula>
    </cfRule>
  </conditionalFormatting>
  <conditionalFormatting sqref="G63">
    <cfRule type="expression" dxfId="0" priority="519">
      <formula>COUNTIF(I63:BG63,"&lt;&gt;" &amp; "")&gt;0</formula>
    </cfRule>
    <cfRule type="expression" dxfId="1" priority="520">
      <formula>AND(COUNTIF(I63:BG63,"&lt;&gt;" &amp; "")&gt;0,NOT(ISBLANK(G63)))</formula>
    </cfRule>
  </conditionalFormatting>
  <conditionalFormatting sqref="G64">
    <cfRule type="expression" dxfId="0" priority="522">
      <formula>COUNTIF(I64:BG64,"&lt;&gt;" &amp; "")&gt;0</formula>
    </cfRule>
    <cfRule type="expression" dxfId="1" priority="523">
      <formula>AND(COUNTIF(I64:BG64,"&lt;&gt;" &amp; "")&gt;0,NOT(ISBLANK(G64)))</formula>
    </cfRule>
  </conditionalFormatting>
  <conditionalFormatting sqref="G65">
    <cfRule type="expression" dxfId="0" priority="525">
      <formula>COUNTIF(I65:BG65,"&lt;&gt;" &amp; "")&gt;0</formula>
    </cfRule>
    <cfRule type="expression" dxfId="1" priority="526">
      <formula>AND(COUNTIF(I65:BG65,"&lt;&gt;" &amp; "")&gt;0,NOT(ISBLANK(G65)))</formula>
    </cfRule>
  </conditionalFormatting>
  <conditionalFormatting sqref="G66">
    <cfRule type="expression" dxfId="0" priority="528">
      <formula>COUNTIF(I66:BG66,"&lt;&gt;" &amp; "")&gt;0</formula>
    </cfRule>
    <cfRule type="expression" dxfId="1" priority="529">
      <formula>AND(COUNTIF(I66:BG66,"&lt;&gt;" &amp; "")&gt;0,NOT(ISBLANK(G66)))</formula>
    </cfRule>
  </conditionalFormatting>
  <conditionalFormatting sqref="G67">
    <cfRule type="expression" dxfId="0" priority="531">
      <formula>COUNTIF(I67:BG67,"&lt;&gt;" &amp; "")&gt;0</formula>
    </cfRule>
    <cfRule type="expression" dxfId="1" priority="532">
      <formula>AND(COUNTIF(I67:BG67,"&lt;&gt;" &amp; "")&gt;0,NOT(ISBLANK(G67)))</formula>
    </cfRule>
  </conditionalFormatting>
  <conditionalFormatting sqref="G68">
    <cfRule type="expression" dxfId="0" priority="534">
      <formula>COUNTIF(I68:BG68,"&lt;&gt;" &amp; "")&gt;0</formula>
    </cfRule>
    <cfRule type="expression" dxfId="1" priority="535">
      <formula>AND(COUNTIF(I68:BG68,"&lt;&gt;" &amp; "")&gt;0,NOT(ISBLANK(G68)))</formula>
    </cfRule>
  </conditionalFormatting>
  <conditionalFormatting sqref="G69">
    <cfRule type="expression" dxfId="0" priority="537">
      <formula>COUNTIF(I69:BG69,"&lt;&gt;" &amp; "")&gt;0</formula>
    </cfRule>
    <cfRule type="expression" dxfId="1" priority="538">
      <formula>AND(COUNTIF(I69:BG69,"&lt;&gt;" &amp; "")&gt;0,NOT(ISBLANK(G69)))</formula>
    </cfRule>
  </conditionalFormatting>
  <conditionalFormatting sqref="G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G70">
    <cfRule type="expression" dxfId="0" priority="540">
      <formula>COUNTIF(I70:BG70,"&lt;&gt;" &amp; "")&gt;0</formula>
    </cfRule>
    <cfRule type="expression" dxfId="1" priority="541">
      <formula>AND(COUNTIF(I70:BG70,"&lt;&gt;" &amp; "")&gt;0,NOT(ISBLANK(G70)))</formula>
    </cfRule>
  </conditionalFormatting>
  <conditionalFormatting sqref="G71">
    <cfRule type="expression" dxfId="0" priority="543">
      <formula>COUNTIF(I71:BG71,"&lt;&gt;" &amp; "")&gt;0</formula>
    </cfRule>
    <cfRule type="expression" dxfId="1" priority="544">
      <formula>AND(COUNTIF(I71:BG71,"&lt;&gt;" &amp; "")&gt;0,NOT(ISBLANK(G71)))</formula>
    </cfRule>
  </conditionalFormatting>
  <conditionalFormatting sqref="G72">
    <cfRule type="expression" dxfId="0" priority="546">
      <formula>COUNTIF(I72:BG72,"&lt;&gt;" &amp; "")&gt;0</formula>
    </cfRule>
    <cfRule type="expression" dxfId="1" priority="547">
      <formula>AND(COUNTIF(I72:BG72,"&lt;&gt;" &amp; "")&gt;0,NOT(ISBLANK(G72)))</formula>
    </cfRule>
  </conditionalFormatting>
  <conditionalFormatting sqref="G73">
    <cfRule type="expression" dxfId="0" priority="549">
      <formula>COUNTIF(I73:BG73,"&lt;&gt;" &amp; "")&gt;0</formula>
    </cfRule>
    <cfRule type="expression" dxfId="1" priority="550">
      <formula>AND(COUNTIF(I73:BG73,"&lt;&gt;" &amp; "")&gt;0,NOT(ISBLANK(G73)))</formula>
    </cfRule>
  </conditionalFormatting>
  <conditionalFormatting sqref="G74">
    <cfRule type="expression" dxfId="0" priority="552">
      <formula>COUNTIF(I74:BG74,"&lt;&gt;" &amp; "")&gt;0</formula>
    </cfRule>
    <cfRule type="expression" dxfId="1" priority="553">
      <formula>AND(COUNTIF(I74:BG74,"&lt;&gt;" &amp; "")&gt;0,NOT(ISBLANK(G74)))</formula>
    </cfRule>
  </conditionalFormatting>
  <conditionalFormatting sqref="G75">
    <cfRule type="expression" dxfId="0" priority="555">
      <formula>COUNTIF(I75:BG75,"&lt;&gt;" &amp; "")&gt;0</formula>
    </cfRule>
    <cfRule type="expression" dxfId="1" priority="556">
      <formula>AND(COUNTIF(I75:BG75,"&lt;&gt;" &amp; "")&gt;0,NOT(ISBLANK(G75)))</formula>
    </cfRule>
  </conditionalFormatting>
  <conditionalFormatting sqref="G76">
    <cfRule type="expression" dxfId="0" priority="558">
      <formula>COUNTIF(I76:BG76,"&lt;&gt;" &amp; "")&gt;0</formula>
    </cfRule>
    <cfRule type="expression" dxfId="1" priority="559">
      <formula>AND(COUNTIF(I76:BG76,"&lt;&gt;" &amp; "")&gt;0,NOT(ISBLANK(G76)))</formula>
    </cfRule>
  </conditionalFormatting>
  <conditionalFormatting sqref="G77">
    <cfRule type="expression" dxfId="0" priority="561">
      <formula>COUNTIF(I77:BG77,"&lt;&gt;" &amp; "")&gt;0</formula>
    </cfRule>
    <cfRule type="expression" dxfId="1" priority="562">
      <formula>AND(COUNTIF(I77:BG77,"&lt;&gt;" &amp; "")&gt;0,NOT(ISBLANK(G77)))</formula>
    </cfRule>
  </conditionalFormatting>
  <conditionalFormatting sqref="G78">
    <cfRule type="expression" dxfId="0" priority="564">
      <formula>COUNTIF(I78:BG78,"&lt;&gt;" &amp; "")&gt;0</formula>
    </cfRule>
    <cfRule type="expression" dxfId="1" priority="565">
      <formula>AND(COUNTIF(I78:BG78,"&lt;&gt;" &amp; "")&gt;0,NOT(ISBLANK(G78)))</formula>
    </cfRule>
  </conditionalFormatting>
  <conditionalFormatting sqref="G79">
    <cfRule type="expression" dxfId="0" priority="567">
      <formula>COUNTIF(I79:BG79,"&lt;&gt;" &amp; "")&gt;0</formula>
    </cfRule>
    <cfRule type="expression" dxfId="1" priority="568">
      <formula>AND(COUNTIF(I79:BG79,"&lt;&gt;" &amp; "")&gt;0,NOT(ISBLANK(G79)))</formula>
    </cfRule>
  </conditionalFormatting>
  <conditionalFormatting sqref="G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G80">
    <cfRule type="expression" dxfId="0" priority="570">
      <formula>COUNTIF(I80:BG80,"&lt;&gt;" &amp; "")&gt;0</formula>
    </cfRule>
    <cfRule type="expression" dxfId="1" priority="571">
      <formula>AND(COUNTIF(I80:BG80,"&lt;&gt;" &amp; "")&gt;0,NOT(ISBLANK(G80)))</formula>
    </cfRule>
  </conditionalFormatting>
  <conditionalFormatting sqref="G81">
    <cfRule type="expression" dxfId="0" priority="573">
      <formula>COUNTIF(I81:BG81,"&lt;&gt;" &amp; "")&gt;0</formula>
    </cfRule>
    <cfRule type="expression" dxfId="1" priority="574">
      <formula>AND(COUNTIF(I81:BG81,"&lt;&gt;" &amp; "")&gt;0,NOT(ISBLANK(G81)))</formula>
    </cfRule>
  </conditionalFormatting>
  <conditionalFormatting sqref="G82">
    <cfRule type="expression" dxfId="0" priority="576">
      <formula>COUNTIF(I82:BG82,"&lt;&gt;" &amp; "")&gt;0</formula>
    </cfRule>
    <cfRule type="expression" dxfId="1" priority="577">
      <formula>AND(COUNTIF(I82:BG82,"&lt;&gt;" &amp; "")&gt;0,NOT(ISBLANK(G82)))</formula>
    </cfRule>
  </conditionalFormatting>
  <conditionalFormatting sqref="G83">
    <cfRule type="expression" dxfId="0" priority="579">
      <formula>COUNTIF(I83:BG83,"&lt;&gt;" &amp; "")&gt;0</formula>
    </cfRule>
    <cfRule type="expression" dxfId="1" priority="580">
      <formula>AND(COUNTIF(I83:BG83,"&lt;&gt;" &amp; "")&gt;0,NOT(ISBLANK(G83)))</formula>
    </cfRule>
  </conditionalFormatting>
  <conditionalFormatting sqref="G84">
    <cfRule type="expression" dxfId="0" priority="582">
      <formula>COUNTIF(I84:BG84,"&lt;&gt;" &amp; "")&gt;0</formula>
    </cfRule>
    <cfRule type="expression" dxfId="1" priority="583">
      <formula>AND(COUNTIF(I84:BG84,"&lt;&gt;" &amp; "")&gt;0,NOT(ISBLANK(G84)))</formula>
    </cfRule>
  </conditionalFormatting>
  <conditionalFormatting sqref="G85">
    <cfRule type="expression" dxfId="0" priority="585">
      <formula>COUNTIF(I85:BG85,"&lt;&gt;" &amp; "")&gt;0</formula>
    </cfRule>
    <cfRule type="expression" dxfId="1" priority="586">
      <formula>AND(COUNTIF(I85:BG85,"&lt;&gt;" &amp; "")&gt;0,NOT(ISBLANK(G85)))</formula>
    </cfRule>
  </conditionalFormatting>
  <conditionalFormatting sqref="G86">
    <cfRule type="expression" dxfId="0" priority="588">
      <formula>COUNTIF(I86:BG86,"&lt;&gt;" &amp; "")&gt;0</formula>
    </cfRule>
    <cfRule type="expression" dxfId="1" priority="589">
      <formula>AND(COUNTIF(I86:BG86,"&lt;&gt;" &amp; "")&gt;0,NOT(ISBLANK(G86)))</formula>
    </cfRule>
  </conditionalFormatting>
  <conditionalFormatting sqref="G87">
    <cfRule type="expression" dxfId="0" priority="591">
      <formula>COUNTIF(I87:BG87,"&lt;&gt;" &amp; "")&gt;0</formula>
    </cfRule>
    <cfRule type="expression" dxfId="1" priority="592">
      <formula>AND(COUNTIF(I87:BG87,"&lt;&gt;" &amp; "")&gt;0,NOT(ISBLANK(G87)))</formula>
    </cfRule>
  </conditionalFormatting>
  <conditionalFormatting sqref="G88">
    <cfRule type="expression" dxfId="0" priority="594">
      <formula>COUNTIF(I88:BG88,"&lt;&gt;" &amp; "")&gt;0</formula>
    </cfRule>
    <cfRule type="expression" dxfId="1" priority="595">
      <formula>AND(COUNTIF(I88:BG88,"&lt;&gt;" &amp; "")&gt;0,NOT(ISBLANK(G88)))</formula>
    </cfRule>
  </conditionalFormatting>
  <conditionalFormatting sqref="G89">
    <cfRule type="expression" dxfId="0" priority="597">
      <formula>COUNTIF(I89:BG89,"&lt;&gt;" &amp; "")&gt;0</formula>
    </cfRule>
    <cfRule type="expression" dxfId="1" priority="598">
      <formula>AND(COUNTIF(I89:BG89,"&lt;&gt;" &amp; "")&gt;0,NOT(ISBLANK(G89)))</formula>
    </cfRule>
  </conditionalFormatting>
  <conditionalFormatting sqref="G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G90">
    <cfRule type="expression" dxfId="0" priority="600">
      <formula>COUNTIF(I90:BG90,"&lt;&gt;" &amp; "")&gt;0</formula>
    </cfRule>
    <cfRule type="expression" dxfId="1" priority="601">
      <formula>AND(COUNTIF(I90:BG90,"&lt;&gt;" &amp; "")&gt;0,NOT(ISBLANK(G90)))</formula>
    </cfRule>
  </conditionalFormatting>
  <conditionalFormatting sqref="G91">
    <cfRule type="expression" dxfId="0" priority="603">
      <formula>COUNTIF(I91:BG91,"&lt;&gt;" &amp; "")&gt;0</formula>
    </cfRule>
    <cfRule type="expression" dxfId="1" priority="604">
      <formula>AND(COUNTIF(I91:BG91,"&lt;&gt;" &amp; "")&gt;0,NOT(ISBLANK(G91)))</formula>
    </cfRule>
  </conditionalFormatting>
  <conditionalFormatting sqref="G92">
    <cfRule type="expression" dxfId="0" priority="606">
      <formula>COUNTIF(I92:BG92,"&lt;&gt;" &amp; "")&gt;0</formula>
    </cfRule>
    <cfRule type="expression" dxfId="1" priority="607">
      <formula>AND(COUNTIF(I92:BG92,"&lt;&gt;" &amp; "")&gt;0,NOT(ISBLANK(G92)))</formula>
    </cfRule>
  </conditionalFormatting>
  <conditionalFormatting sqref="G93">
    <cfRule type="expression" dxfId="0" priority="609">
      <formula>COUNTIF(I93:BG93,"&lt;&gt;" &amp; "")&gt;0</formula>
    </cfRule>
    <cfRule type="expression" dxfId="1" priority="610">
      <formula>AND(COUNTIF(I93:BG93,"&lt;&gt;" &amp; "")&gt;0,NOT(ISBLANK(G93)))</formula>
    </cfRule>
  </conditionalFormatting>
  <conditionalFormatting sqref="G94">
    <cfRule type="expression" dxfId="0" priority="612">
      <formula>COUNTIF(I94:BG94,"&lt;&gt;" &amp; "")&gt;0</formula>
    </cfRule>
    <cfRule type="expression" dxfId="1" priority="613">
      <formula>AND(COUNTIF(I94:BG94,"&lt;&gt;" &amp; "")&gt;0,NOT(ISBLANK(G94)))</formula>
    </cfRule>
  </conditionalFormatting>
  <conditionalFormatting sqref="G95">
    <cfRule type="expression" dxfId="0" priority="615">
      <formula>COUNTIF(I95:BG95,"&lt;&gt;" &amp; "")&gt;0</formula>
    </cfRule>
    <cfRule type="expression" dxfId="1" priority="616">
      <formula>AND(COUNTIF(I95:BG95,"&lt;&gt;" &amp; "")&gt;0,NOT(ISBLANK(G95)))</formula>
    </cfRule>
  </conditionalFormatting>
  <conditionalFormatting sqref="G96">
    <cfRule type="expression" dxfId="0" priority="618">
      <formula>COUNTIF(I96:BG96,"&lt;&gt;" &amp; "")&gt;0</formula>
    </cfRule>
    <cfRule type="expression" dxfId="1" priority="619">
      <formula>AND(COUNTIF(I96:BG96,"&lt;&gt;" &amp; "")&gt;0,NOT(ISBLANK(G96)))</formula>
    </cfRule>
  </conditionalFormatting>
  <conditionalFormatting sqref="G97">
    <cfRule type="expression" dxfId="0" priority="621">
      <formula>COUNTIF(I97:BG97,"&lt;&gt;" &amp; "")&gt;0</formula>
    </cfRule>
    <cfRule type="expression" dxfId="1" priority="622">
      <formula>AND(COUNTIF(I97:BG97,"&lt;&gt;" &amp; "")&gt;0,NOT(ISBLANK(G97)))</formula>
    </cfRule>
  </conditionalFormatting>
  <conditionalFormatting sqref="G98">
    <cfRule type="expression" dxfId="0" priority="624">
      <formula>COUNTIF(I98:BG98,"&lt;&gt;" &amp; "")&gt;0</formula>
    </cfRule>
    <cfRule type="expression" dxfId="1" priority="625">
      <formula>AND(COUNTIF(I98:BG98,"&lt;&gt;" &amp; "")&gt;0,NOT(ISBLANK(G98)))</formula>
    </cfRule>
  </conditionalFormatting>
  <conditionalFormatting sqref="G99">
    <cfRule type="expression" dxfId="0" priority="627">
      <formula>COUNTIF(I99:BG99,"&lt;&gt;" &amp; "")&gt;0</formula>
    </cfRule>
    <cfRule type="expression" dxfId="1" priority="628">
      <formula>AND(COUNTIF(I99:BG99,"&lt;&gt;" &amp; "")&gt;0,NOT(ISBLANK(G99)))</formula>
    </cfRule>
  </conditionalFormatting>
  <conditionalFormatting sqref="H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H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H12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H13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H14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H15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H16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H17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8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H222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H223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24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H225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H226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H227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H228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H229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H230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H231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H232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H233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H234">
    <cfRule type="cellIs" dxfId="2" priority="1329" operator="equal">
      <formula>"Y"</formula>
    </cfRule>
    <cfRule type="cellIs" dxfId="3" priority="1330" operator="equal">
      <formula>"N"</formula>
    </cfRule>
  </conditionalFormatting>
  <conditionalFormatting sqref="H235">
    <cfRule type="cellIs" dxfId="2" priority="1357" operator="equal">
      <formula>"Y"</formula>
    </cfRule>
    <cfRule type="cellIs" dxfId="3" priority="135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H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H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H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I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I11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I12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I13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I14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I15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I16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I17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8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I222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I223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24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I225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I226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I227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I228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I229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I230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I231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I232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I233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I234">
    <cfRule type="cellIs" dxfId="2" priority="1331" operator="equal">
      <formula>"Y"</formula>
    </cfRule>
    <cfRule type="cellIs" dxfId="3" priority="1332" operator="equal">
      <formula>"N"</formula>
    </cfRule>
  </conditionalFormatting>
  <conditionalFormatting sqref="I235">
    <cfRule type="cellIs" dxfId="2" priority="1359" operator="equal">
      <formula>"Y"</formula>
    </cfRule>
    <cfRule type="cellIs" dxfId="3" priority="136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I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I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I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J10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J11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J12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J13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J14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J15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J16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J17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8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J222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J223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24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J225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J226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J227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J228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J229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J230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J231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J232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J233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J234">
    <cfRule type="cellIs" dxfId="2" priority="1333" operator="equal">
      <formula>"Y"</formula>
    </cfRule>
    <cfRule type="cellIs" dxfId="3" priority="1334" operator="equal">
      <formula>"N"</formula>
    </cfRule>
  </conditionalFormatting>
  <conditionalFormatting sqref="J235">
    <cfRule type="cellIs" dxfId="2" priority="1361" operator="equal">
      <formula>"Y"</formula>
    </cfRule>
    <cfRule type="cellIs" dxfId="3" priority="136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J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J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J9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K10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K11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K12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K13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K14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K15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K16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K17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8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K222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K223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24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K225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K226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K227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K228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K229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K230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K231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K232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K233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K234">
    <cfRule type="cellIs" dxfId="2" priority="1335" operator="equal">
      <formula>"Y"</formula>
    </cfRule>
    <cfRule type="cellIs" dxfId="3" priority="1336" operator="equal">
      <formula>"N"</formula>
    </cfRule>
  </conditionalFormatting>
  <conditionalFormatting sqref="K235">
    <cfRule type="cellIs" dxfId="2" priority="1363" operator="equal">
      <formula>"Y"</formula>
    </cfRule>
    <cfRule type="cellIs" dxfId="3" priority="136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K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K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K9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L10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L11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L12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L13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L14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L15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L16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L17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8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L222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L223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24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L225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L226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L227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L228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L229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L230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L231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L232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L233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L234">
    <cfRule type="cellIs" dxfId="2" priority="1337" operator="equal">
      <formula>"Y"</formula>
    </cfRule>
    <cfRule type="cellIs" dxfId="3" priority="1338" operator="equal">
      <formula>"N"</formula>
    </cfRule>
  </conditionalFormatting>
  <conditionalFormatting sqref="L235">
    <cfRule type="cellIs" dxfId="2" priority="1365" operator="equal">
      <formula>"Y"</formula>
    </cfRule>
    <cfRule type="cellIs" dxfId="3" priority="136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L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L8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L9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M10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M11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M12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M13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M14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M15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M16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M17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8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M222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M223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24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M225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M226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M227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M228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M229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M230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M231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M232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M233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M234">
    <cfRule type="cellIs" dxfId="2" priority="1339" operator="equal">
      <formula>"Y"</formula>
    </cfRule>
    <cfRule type="cellIs" dxfId="3" priority="1340" operator="equal">
      <formula>"N"</formula>
    </cfRule>
  </conditionalFormatting>
  <conditionalFormatting sqref="M235">
    <cfRule type="cellIs" dxfId="2" priority="1367" operator="equal">
      <formula>"Y"</formula>
    </cfRule>
    <cfRule type="cellIs" dxfId="3" priority="136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M7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M8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M9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N10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N11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N12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N13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N14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N15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N16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N17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8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N222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N223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24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N225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N226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N227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N228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N229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N230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N231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N232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N233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N234">
    <cfRule type="cellIs" dxfId="2" priority="1341" operator="equal">
      <formula>"Y"</formula>
    </cfRule>
    <cfRule type="cellIs" dxfId="3" priority="1342" operator="equal">
      <formula>"N"</formula>
    </cfRule>
  </conditionalFormatting>
  <conditionalFormatting sqref="N235">
    <cfRule type="cellIs" dxfId="2" priority="1369" operator="equal">
      <formula>"Y"</formula>
    </cfRule>
    <cfRule type="cellIs" dxfId="3" priority="137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N7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N8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N9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O10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O11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O12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O13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O14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O15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O16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O17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8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O222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O223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24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O225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O226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O227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O228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O229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O230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O231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O232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O233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O234">
    <cfRule type="cellIs" dxfId="2" priority="1343" operator="equal">
      <formula>"Y"</formula>
    </cfRule>
    <cfRule type="cellIs" dxfId="3" priority="1344" operator="equal">
      <formula>"N"</formula>
    </cfRule>
  </conditionalFormatting>
  <conditionalFormatting sqref="O235">
    <cfRule type="cellIs" dxfId="2" priority="1371" operator="equal">
      <formula>"Y"</formula>
    </cfRule>
    <cfRule type="cellIs" dxfId="3" priority="137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O7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O8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O9">
    <cfRule type="cellIs" dxfId="2" priority="139" operator="equal">
      <formula>"Y"</formula>
    </cfRule>
    <cfRule type="cellIs" dxfId="3" priority="140" operator="equal">
      <formula>"N"</formula>
    </cfRule>
  </conditionalFormatting>
  <dataValidations count="784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E21">
      <formula1>"N.A."</formula1>
    </dataValidation>
    <dataValidation type="list" allowBlank="1" showInputMessage="1" showErrorMessage="1" sqref="E22">
      <formula1>"N.A."</formula1>
    </dataValidation>
    <dataValidation type="list" allowBlank="1" showInputMessage="1" showErrorMessage="1" sqref="E23">
      <formula1>"N.A."</formula1>
    </dataValidation>
    <dataValidation type="list" allowBlank="1" showInputMessage="1" showErrorMessage="1" sqref="E24">
      <formula1>"N.A."</formula1>
    </dataValidation>
    <dataValidation type="list" allowBlank="1" showInputMessage="1" showErrorMessage="1" sqref="E25">
      <formula1>"N.A."</formula1>
    </dataValidation>
    <dataValidation type="list" allowBlank="1" showInputMessage="1" showErrorMessage="1" sqref="E26">
      <formula1>"N.A."</formula1>
    </dataValidation>
    <dataValidation type="list" allowBlank="1" showInputMessage="1" showErrorMessage="1" sqref="E27">
      <formula1>"N.A."</formula1>
    </dataValidation>
    <dataValidation type="list" allowBlank="1" showInputMessage="1" showErrorMessage="1" sqref="E28">
      <formula1>"N.A."</formula1>
    </dataValidation>
    <dataValidation type="list" allowBlank="1" showInputMessage="1" showErrorMessage="1" sqref="E29">
      <formula1>"N.A."</formula1>
    </dataValidation>
    <dataValidation type="list" allowBlank="1" showInputMessage="1" showErrorMessage="1" sqref="E30">
      <formula1>"N.A."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B222">
      <formula1>"Y,N"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"Y,N"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"Y,N"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"Y,N"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"Y,N"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"Y,N"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"Y,N"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"Y,N"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"Y,N"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"Y,N"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"Y,N"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"Y,N"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"Y,N"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"Y,N"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</dataValidations>
  <hyperlinks>
    <hyperlink ref="B5" location="Interactions!B21" display="Y"/>
    <hyperlink ref="C5" location="Interactions!B22" display="Y"/>
    <hyperlink ref="D5" location="Interactions!B23" display="N"/>
    <hyperlink ref="E5" location="Interactions!B24" display="N"/>
    <hyperlink ref="F5" location="Interactions!B25" display="N"/>
    <hyperlink ref="G5" location="Interactions!B26" display="N"/>
    <hyperlink ref="H5" location="Interactions!B27" display="N"/>
    <hyperlink ref="I5" location="Interactions!B28" display="N"/>
    <hyperlink ref="J5" location="Interactions!B29" display="N"/>
    <hyperlink ref="K5" location="Interactions!B30" display="N"/>
    <hyperlink ref="L5" location="Interactions!B31" display="N"/>
    <hyperlink ref="M5" location="Interactions!B32" display="N"/>
    <hyperlink ref="N5" location="Interactions!B33" display="N"/>
    <hyperlink ref="O5" location="Interactions!B34" display="N"/>
    <hyperlink ref="B6" location="Interactions!B35" display="Y"/>
    <hyperlink ref="C6" location="Interactions!B36" display="Y"/>
    <hyperlink ref="D6" location="Interactions!B37" display="N"/>
    <hyperlink ref="E6" location="Interactions!B38" display="N"/>
    <hyperlink ref="F6" location="Interactions!B39" display="N"/>
    <hyperlink ref="G6" location="Interactions!B40" display="N"/>
    <hyperlink ref="H6" location="Interactions!B41" display="N"/>
    <hyperlink ref="I6" location="Interactions!B42" display="N"/>
    <hyperlink ref="J6" location="Interactions!B43" display="N"/>
    <hyperlink ref="K6" location="Interactions!B44" display="N"/>
    <hyperlink ref="L6" location="Interactions!B45" display="N"/>
    <hyperlink ref="M6" location="Interactions!B46" display="N"/>
    <hyperlink ref="N6" location="Interactions!B47" display="N"/>
    <hyperlink ref="O6" location="Interactions!B48" display="N"/>
    <hyperlink ref="B7" location="Interactions!B49" display="N"/>
    <hyperlink ref="C7" location="Interactions!B50" display="N"/>
    <hyperlink ref="D7" location="Interactions!B51" display="N"/>
    <hyperlink ref="E7" location="Interactions!B52" display="N"/>
    <hyperlink ref="F7" location="Interactions!B53" display="N"/>
    <hyperlink ref="G7" location="Interactions!B54" display="N"/>
    <hyperlink ref="H7" location="Interactions!B55" display="N"/>
    <hyperlink ref="I7" location="Interactions!B56" display="N"/>
    <hyperlink ref="J7" location="Interactions!B57" display="N"/>
    <hyperlink ref="K7" location="Interactions!B58" display="N"/>
    <hyperlink ref="L7" location="Interactions!B59" display="N"/>
    <hyperlink ref="M7" location="Interactions!B60" display="N"/>
    <hyperlink ref="N7" location="Interactions!B61" display="N"/>
    <hyperlink ref="O7" location="Interactions!B62" display="N"/>
    <hyperlink ref="B8" location="Interactions!B63" display="N"/>
    <hyperlink ref="C8" location="Interactions!B64" display="N"/>
    <hyperlink ref="D8" location="Interactions!B65" display="N"/>
    <hyperlink ref="E8" location="Interactions!B66" display="N"/>
    <hyperlink ref="F8" location="Interactions!B67" display="N"/>
    <hyperlink ref="G8" location="Interactions!B68" display="N"/>
    <hyperlink ref="H8" location="Interactions!B69" display="N"/>
    <hyperlink ref="I8" location="Interactions!B70" display="N"/>
    <hyperlink ref="J8" location="Interactions!B71" display="N"/>
    <hyperlink ref="K8" location="Interactions!B72" display="N"/>
    <hyperlink ref="L8" location="Interactions!B73" display="N"/>
    <hyperlink ref="M8" location="Interactions!B74" display="N"/>
    <hyperlink ref="N8" location="Interactions!B75" display="N"/>
    <hyperlink ref="O8" location="Interactions!B76" display="N"/>
    <hyperlink ref="B9" location="Interactions!B77" display="N"/>
    <hyperlink ref="C9" location="Interactions!B78" display="N"/>
    <hyperlink ref="D9" location="Interactions!B79" display="N"/>
    <hyperlink ref="E9" location="Interactions!B80" display="N"/>
    <hyperlink ref="F9" location="Interactions!B81" display="N"/>
    <hyperlink ref="G9" location="Interactions!B82" display="N"/>
    <hyperlink ref="H9" location="Interactions!B83" display="N"/>
    <hyperlink ref="I9" location="Interactions!B84" display="N"/>
    <hyperlink ref="J9" location="Interactions!B85" display="N"/>
    <hyperlink ref="K9" location="Interactions!B86" display="N"/>
    <hyperlink ref="L9" location="Interactions!B87" display="N"/>
    <hyperlink ref="M9" location="Interactions!B88" display="N"/>
    <hyperlink ref="N9" location="Interactions!B89" display="N"/>
    <hyperlink ref="O9" location="Interactions!B90" display="N"/>
    <hyperlink ref="B10" location="Interactions!B91" display="N"/>
    <hyperlink ref="C10" location="Interactions!B92" display="N"/>
    <hyperlink ref="D10" location="Interactions!B93" display="N"/>
    <hyperlink ref="E10" location="Interactions!B94" display="N"/>
    <hyperlink ref="F10" location="Interactions!B95" display="N"/>
    <hyperlink ref="G10" location="Interactions!B96" display="N"/>
    <hyperlink ref="H10" location="Interactions!B97" display="N"/>
    <hyperlink ref="I10" location="Interactions!B98" display="N"/>
    <hyperlink ref="J10" location="Interactions!B99" display="N"/>
    <hyperlink ref="K10" location="Interactions!B100" display="N"/>
    <hyperlink ref="L10" location="Interactions!B101" display="N"/>
    <hyperlink ref="M10" location="Interactions!B102" display="N"/>
    <hyperlink ref="N10" location="Interactions!B103" display="N"/>
    <hyperlink ref="O10" location="Interactions!B104" display="N"/>
    <hyperlink ref="B11" location="Interactions!B105" display="N"/>
    <hyperlink ref="C11" location="Interactions!B106" display="N"/>
    <hyperlink ref="D11" location="Interactions!B107" display="N"/>
    <hyperlink ref="E11" location="Interactions!B108" display="N"/>
    <hyperlink ref="F11" location="Interactions!B109" display="N"/>
    <hyperlink ref="G11" location="Interactions!B110" display="N"/>
    <hyperlink ref="H11" location="Interactions!B111" display="N"/>
    <hyperlink ref="I11" location="Interactions!B112" display="N"/>
    <hyperlink ref="J11" location="Interactions!B113" display="N"/>
    <hyperlink ref="K11" location="Interactions!B114" display="N"/>
    <hyperlink ref="L11" location="Interactions!B115" display="N"/>
    <hyperlink ref="M11" location="Interactions!B116" display="N"/>
    <hyperlink ref="N11" location="Interactions!B117" display="N"/>
    <hyperlink ref="O11" location="Interactions!B118" display="N"/>
    <hyperlink ref="B12" location="Interactions!B119" display="N"/>
    <hyperlink ref="C12" location="Interactions!B120" display="N"/>
    <hyperlink ref="D12" location="Interactions!B121" display="N"/>
    <hyperlink ref="E12" location="Interactions!B122" display="N"/>
    <hyperlink ref="F12" location="Interactions!B123" display="N"/>
    <hyperlink ref="G12" location="Interactions!B124" display="N"/>
    <hyperlink ref="H12" location="Interactions!B125" display="N"/>
    <hyperlink ref="I12" location="Interactions!B126" display="N"/>
    <hyperlink ref="J12" location="Interactions!B127" display="N"/>
    <hyperlink ref="K12" location="Interactions!B128" display="N"/>
    <hyperlink ref="L12" location="Interactions!B129" display="N"/>
    <hyperlink ref="M12" location="Interactions!B130" display="N"/>
    <hyperlink ref="N12" location="Interactions!B131" display="N"/>
    <hyperlink ref="O12" location="Interactions!B132" display="N"/>
    <hyperlink ref="B13" location="Interactions!B133" display="N"/>
    <hyperlink ref="C13" location="Interactions!B134" display="N"/>
    <hyperlink ref="D13" location="Interactions!B135" display="N"/>
    <hyperlink ref="E13" location="Interactions!B136" display="N"/>
    <hyperlink ref="F13" location="Interactions!B137" display="N"/>
    <hyperlink ref="G13" location="Interactions!B138" display="N"/>
    <hyperlink ref="H13" location="Interactions!B139" display="N"/>
    <hyperlink ref="I13" location="Interactions!B140" display="N"/>
    <hyperlink ref="J13" location="Interactions!B141" display="N"/>
    <hyperlink ref="K13" location="Interactions!B142" display="N"/>
    <hyperlink ref="L13" location="Interactions!B143" display="N"/>
    <hyperlink ref="M13" location="Interactions!B144" display="N"/>
    <hyperlink ref="N13" location="Interactions!B145" display="N"/>
    <hyperlink ref="O13" location="Interactions!B146" display="N"/>
    <hyperlink ref="B14" location="Interactions!B147" display="N"/>
    <hyperlink ref="C14" location="Interactions!B148" display="N"/>
    <hyperlink ref="D14" location="Interactions!B149" display="N"/>
    <hyperlink ref="E14" location="Interactions!B150" display="N"/>
    <hyperlink ref="F14" location="Interactions!B151" display="N"/>
    <hyperlink ref="G14" location="Interactions!B152" display="N"/>
    <hyperlink ref="H14" location="Interactions!B153" display="N"/>
    <hyperlink ref="I14" location="Interactions!B154" display="N"/>
    <hyperlink ref="J14" location="Interactions!B155" display="N"/>
    <hyperlink ref="K14" location="Interactions!B156" display="N"/>
    <hyperlink ref="L14" location="Interactions!B157" display="N"/>
    <hyperlink ref="M14" location="Interactions!B158" display="N"/>
    <hyperlink ref="N14" location="Interactions!B159" display="N"/>
    <hyperlink ref="O14" location="Interactions!B160" display="N"/>
    <hyperlink ref="B15" location="Interactions!B161" display="N"/>
    <hyperlink ref="C15" location="Interactions!B162" display="N"/>
    <hyperlink ref="D15" location="Interactions!B163" display="N"/>
    <hyperlink ref="E15" location="Interactions!B164" display="N"/>
    <hyperlink ref="F15" location="Interactions!B165" display="N"/>
    <hyperlink ref="G15" location="Interactions!B166" display="N"/>
    <hyperlink ref="H15" location="Interactions!B167" display="N"/>
    <hyperlink ref="I15" location="Interactions!B168" display="N"/>
    <hyperlink ref="J15" location="Interactions!B169" display="N"/>
    <hyperlink ref="K15" location="Interactions!B170" display="N"/>
    <hyperlink ref="L15" location="Interactions!B171" display="N"/>
    <hyperlink ref="M15" location="Interactions!B172" display="N"/>
    <hyperlink ref="N15" location="Interactions!B173" display="N"/>
    <hyperlink ref="O15" location="Interactions!B174" display="N"/>
    <hyperlink ref="B16" location="Interactions!B175" display="N"/>
    <hyperlink ref="C16" location="Interactions!B176" display="N"/>
    <hyperlink ref="D16" location="Interactions!B177" display="N"/>
    <hyperlink ref="E16" location="Interactions!B178" display="N"/>
    <hyperlink ref="F16" location="Interactions!B179" display="N"/>
    <hyperlink ref="G16" location="Interactions!B180" display="N"/>
    <hyperlink ref="H16" location="Interactions!B181" display="N"/>
    <hyperlink ref="I16" location="Interactions!B182" display="N"/>
    <hyperlink ref="J16" location="Interactions!B183" display="N"/>
    <hyperlink ref="K16" location="Interactions!B184" display="N"/>
    <hyperlink ref="L16" location="Interactions!B185" display="N"/>
    <hyperlink ref="M16" location="Interactions!B186" display="N"/>
    <hyperlink ref="N16" location="Interactions!B187" display="N"/>
    <hyperlink ref="O16" location="Interactions!B188" display="N"/>
    <hyperlink ref="B17" location="Interactions!B189" display="N"/>
    <hyperlink ref="C17" location="Interactions!B190" display="N"/>
    <hyperlink ref="D17" location="Interactions!B191" display="N"/>
    <hyperlink ref="E17" location="Interactions!B192" display="N"/>
    <hyperlink ref="F17" location="Interactions!B193" display="N"/>
    <hyperlink ref="G17" location="Interactions!B194" display="N"/>
    <hyperlink ref="H17" location="Interactions!B195" display="N"/>
    <hyperlink ref="I17" location="Interactions!B196" display="N"/>
    <hyperlink ref="J17" location="Interactions!B197" display="N"/>
    <hyperlink ref="K17" location="Interactions!B198" display="N"/>
    <hyperlink ref="L17" location="Interactions!B199" display="N"/>
    <hyperlink ref="M17" location="Interactions!B200" display="N"/>
    <hyperlink ref="N17" location="Interactions!B201" display="Y"/>
    <hyperlink ref="O17" location="Interactions!B202" display="N"/>
    <hyperlink ref="B18" location="Interactions!B203" display="N"/>
    <hyperlink ref="C18" location="Interactions!B204" display="N"/>
    <hyperlink ref="D18" location="Interactions!B205" display="N"/>
    <hyperlink ref="E18" location="Interactions!B206" display="N"/>
    <hyperlink ref="F18" location="Interactions!B207" display="N"/>
    <hyperlink ref="G18" location="Interactions!B208" display="N"/>
    <hyperlink ref="H18" location="Interactions!B209" display="N"/>
    <hyperlink ref="I18" location="Interactions!B210" display="N"/>
    <hyperlink ref="J18" location="Interactions!B211" display="N"/>
    <hyperlink ref="K18" location="Interactions!B212" display="N"/>
    <hyperlink ref="L18" location="Interactions!B213" display="N"/>
    <hyperlink ref="M18" location="Interactions!B214" display="N"/>
    <hyperlink ref="N18" location="Interactions!B215" display="N"/>
    <hyperlink ref="O18" location="Interactions!B216" display="Y"/>
    <hyperlink ref="B21" location="Interactions!$B$5" display="Interactions!$B$5"/>
    <hyperlink ref="B22" location="Interactions!$C$5" display="Interactions!$C$5"/>
    <hyperlink ref="B23" location="Interactions!$D$5" display="Interactions!$D$5"/>
    <hyperlink ref="B24" location="Interactions!$E$5" display="Interactions!$E$5"/>
    <hyperlink ref="B25" location="Interactions!$F$5" display="Interactions!$F$5"/>
    <hyperlink ref="B26" location="Interactions!$G$5" display="Interactions!$G$5"/>
    <hyperlink ref="B27" location="Interactions!$H$5" display="Interactions!$H$5"/>
    <hyperlink ref="B28" location="Interactions!$I$5" display="Interactions!$I$5"/>
    <hyperlink ref="B29" location="Interactions!$J$5" display="Interactions!$J$5"/>
    <hyperlink ref="B30" location="Interactions!$K$5" display="Interactions!$K$5"/>
    <hyperlink ref="B31" location="Interactions!$L$5" display="Interactions!$L$5"/>
    <hyperlink ref="B32" location="Interactions!$M$5" display="Interactions!$M$5"/>
    <hyperlink ref="B33" location="Interactions!$N$5" display="Interactions!$N$5"/>
    <hyperlink ref="B34" location="Interactions!$O$5" display="Interactions!$O$5"/>
    <hyperlink ref="B35" location="Interactions!$B$6" display="Interactions!$B$6"/>
    <hyperlink ref="B36" location="Interactions!$C$6" display="Interactions!$C$6"/>
    <hyperlink ref="B37" location="Interactions!$D$6" display="Interactions!$D$6"/>
    <hyperlink ref="B38" location="Interactions!$E$6" display="Interactions!$E$6"/>
    <hyperlink ref="B39" location="Interactions!$F$6" display="Interactions!$F$6"/>
    <hyperlink ref="B40" location="Interactions!$G$6" display="Interactions!$G$6"/>
    <hyperlink ref="B41" location="Interactions!$H$6" display="Interactions!$H$6"/>
    <hyperlink ref="B42" location="Interactions!$I$6" display="Interactions!$I$6"/>
    <hyperlink ref="B43" location="Interactions!$J$6" display="Interactions!$J$6"/>
    <hyperlink ref="B44" location="Interactions!$K$6" display="Interactions!$K$6"/>
    <hyperlink ref="B45" location="Interactions!$L$6" display="Interactions!$L$6"/>
    <hyperlink ref="B46" location="Interactions!$M$6" display="Interactions!$M$6"/>
    <hyperlink ref="B47" location="Interactions!$N$6" display="Interactions!$N$6"/>
    <hyperlink ref="B48" location="Interactions!$O$6" display="Interactions!$O$6"/>
    <hyperlink ref="B49" location="Interactions!$B$7" display="Interactions!$B$7"/>
    <hyperlink ref="B50" location="Interactions!$C$7" display="Interactions!$C$7"/>
    <hyperlink ref="B51" location="Interactions!$D$7" display="Interactions!$D$7"/>
    <hyperlink ref="B52" location="Interactions!$E$7" display="Interactions!$E$7"/>
    <hyperlink ref="B53" location="Interactions!$F$7" display="Interactions!$F$7"/>
    <hyperlink ref="B54" location="Interactions!$G$7" display="Interactions!$G$7"/>
    <hyperlink ref="B55" location="Interactions!$H$7" display="Interactions!$H$7"/>
    <hyperlink ref="B56" location="Interactions!$I$7" display="Interactions!$I$7"/>
    <hyperlink ref="B57" location="Interactions!$J$7" display="Interactions!$J$7"/>
    <hyperlink ref="B58" location="Interactions!$K$7" display="Interactions!$K$7"/>
    <hyperlink ref="B59" location="Interactions!$L$7" display="Interactions!$L$7"/>
    <hyperlink ref="B60" location="Interactions!$M$7" display="Interactions!$M$7"/>
    <hyperlink ref="B61" location="Interactions!$N$7" display="Interactions!$N$7"/>
    <hyperlink ref="B62" location="Interactions!$O$7" display="Interactions!$O$7"/>
    <hyperlink ref="B63" location="Interactions!$B$8" display="Interactions!$B$8"/>
    <hyperlink ref="B64" location="Interactions!$C$8" display="Interactions!$C$8"/>
    <hyperlink ref="B65" location="Interactions!$D$8" display="Interactions!$D$8"/>
    <hyperlink ref="B66" location="Interactions!$E$8" display="Interactions!$E$8"/>
    <hyperlink ref="B67" location="Interactions!$F$8" display="Interactions!$F$8"/>
    <hyperlink ref="B68" location="Interactions!$G$8" display="Interactions!$G$8"/>
    <hyperlink ref="B69" location="Interactions!$H$8" display="Interactions!$H$8"/>
    <hyperlink ref="B70" location="Interactions!$I$8" display="Interactions!$I$8"/>
    <hyperlink ref="B71" location="Interactions!$J$8" display="Interactions!$J$8"/>
    <hyperlink ref="B72" location="Interactions!$K$8" display="Interactions!$K$8"/>
    <hyperlink ref="B73" location="Interactions!$L$8" display="Interactions!$L$8"/>
    <hyperlink ref="B74" location="Interactions!$M$8" display="Interactions!$M$8"/>
    <hyperlink ref="B75" location="Interactions!$N$8" display="Interactions!$N$8"/>
    <hyperlink ref="B76" location="Interactions!$O$8" display="Interactions!$O$8"/>
    <hyperlink ref="B77" location="Interactions!$B$9" display="Interactions!$B$9"/>
    <hyperlink ref="B78" location="Interactions!$C$9" display="Interactions!$C$9"/>
    <hyperlink ref="B79" location="Interactions!$D$9" display="Interactions!$D$9"/>
    <hyperlink ref="B80" location="Interactions!$E$9" display="Interactions!$E$9"/>
    <hyperlink ref="B81" location="Interactions!$F$9" display="Interactions!$F$9"/>
    <hyperlink ref="B82" location="Interactions!$G$9" display="Interactions!$G$9"/>
    <hyperlink ref="B83" location="Interactions!$H$9" display="Interactions!$H$9"/>
    <hyperlink ref="B84" location="Interactions!$I$9" display="Interactions!$I$9"/>
    <hyperlink ref="B85" location="Interactions!$J$9" display="Interactions!$J$9"/>
    <hyperlink ref="B86" location="Interactions!$K$9" display="Interactions!$K$9"/>
    <hyperlink ref="B87" location="Interactions!$L$9" display="Interactions!$L$9"/>
    <hyperlink ref="B88" location="Interactions!$M$9" display="Interactions!$M$9"/>
    <hyperlink ref="B89" location="Interactions!$N$9" display="Interactions!$N$9"/>
    <hyperlink ref="B90" location="Interactions!$O$9" display="Interactions!$O$9"/>
    <hyperlink ref="B91" location="Interactions!$B$10" display="Interactions!$B$10"/>
    <hyperlink ref="B92" location="Interactions!$C$10" display="Interactions!$C$10"/>
    <hyperlink ref="B93" location="Interactions!$D$10" display="Interactions!$D$10"/>
    <hyperlink ref="B94" location="Interactions!$E$10" display="Interactions!$E$10"/>
    <hyperlink ref="B95" location="Interactions!$F$10" display="Interactions!$F$10"/>
    <hyperlink ref="B96" location="Interactions!$G$10" display="Interactions!$G$10"/>
    <hyperlink ref="B97" location="Interactions!$H$10" display="Interactions!$H$10"/>
    <hyperlink ref="B98" location="Interactions!$I$10" display="Interactions!$I$10"/>
    <hyperlink ref="B99" location="Interactions!$J$10" display="Interactions!$J$10"/>
    <hyperlink ref="B100" location="Interactions!$K$10" display="Interactions!$K$10"/>
    <hyperlink ref="B101" location="Interactions!$L$10" display="Interactions!$L$10"/>
    <hyperlink ref="B102" location="Interactions!$M$10" display="Interactions!$M$10"/>
    <hyperlink ref="B103" location="Interactions!$N$10" display="Interactions!$N$10"/>
    <hyperlink ref="B104" location="Interactions!$O$10" display="Interactions!$O$10"/>
    <hyperlink ref="B105" location="Interactions!$B$11" display="Interactions!$B$11"/>
    <hyperlink ref="B106" location="Interactions!$C$11" display="Interactions!$C$11"/>
    <hyperlink ref="B107" location="Interactions!$D$11" display="Interactions!$D$11"/>
    <hyperlink ref="B108" location="Interactions!$E$11" display="Interactions!$E$11"/>
    <hyperlink ref="B109" location="Interactions!$F$11" display="Interactions!$F$11"/>
    <hyperlink ref="B110" location="Interactions!$G$11" display="Interactions!$G$11"/>
    <hyperlink ref="B111" location="Interactions!$H$11" display="Interactions!$H$11"/>
    <hyperlink ref="B112" location="Interactions!$I$11" display="Interactions!$I$11"/>
    <hyperlink ref="B113" location="Interactions!$J$11" display="Interactions!$J$11"/>
    <hyperlink ref="B114" location="Interactions!$K$11" display="Interactions!$K$11"/>
    <hyperlink ref="B115" location="Interactions!$L$11" display="Interactions!$L$11"/>
    <hyperlink ref="B116" location="Interactions!$M$11" display="Interactions!$M$11"/>
    <hyperlink ref="B117" location="Interactions!$N$11" display="Interactions!$N$11"/>
    <hyperlink ref="B118" location="Interactions!$O$11" display="Interactions!$O$11"/>
    <hyperlink ref="B119" location="Interactions!$B$12" display="Interactions!$B$12"/>
    <hyperlink ref="B120" location="Interactions!$C$12" display="Interactions!$C$12"/>
    <hyperlink ref="B121" location="Interactions!$D$12" display="Interactions!$D$12"/>
    <hyperlink ref="B122" location="Interactions!$E$12" display="Interactions!$E$12"/>
    <hyperlink ref="B123" location="Interactions!$F$12" display="Interactions!$F$12"/>
    <hyperlink ref="B124" location="Interactions!$G$12" display="Interactions!$G$12"/>
    <hyperlink ref="B125" location="Interactions!$H$12" display="Interactions!$H$12"/>
    <hyperlink ref="B126" location="Interactions!$I$12" display="Interactions!$I$12"/>
    <hyperlink ref="B127" location="Interactions!$J$12" display="Interactions!$J$12"/>
    <hyperlink ref="B128" location="Interactions!$K$12" display="Interactions!$K$12"/>
    <hyperlink ref="B129" location="Interactions!$L$12" display="Interactions!$L$12"/>
    <hyperlink ref="B130" location="Interactions!$M$12" display="Interactions!$M$12"/>
    <hyperlink ref="B131" location="Interactions!$N$12" display="Interactions!$N$12"/>
    <hyperlink ref="B132" location="Interactions!$O$12" display="Interactions!$O$12"/>
    <hyperlink ref="B133" location="Interactions!$B$13" display="Interactions!$B$13"/>
    <hyperlink ref="B134" location="Interactions!$C$13" display="Interactions!$C$13"/>
    <hyperlink ref="B135" location="Interactions!$D$13" display="Interactions!$D$13"/>
    <hyperlink ref="B136" location="Interactions!$E$13" display="Interactions!$E$13"/>
    <hyperlink ref="B137" location="Interactions!$F$13" display="Interactions!$F$13"/>
    <hyperlink ref="B138" location="Interactions!$G$13" display="Interactions!$G$13"/>
    <hyperlink ref="B139" location="Interactions!$H$13" display="Interactions!$H$13"/>
    <hyperlink ref="B140" location="Interactions!$I$13" display="Interactions!$I$13"/>
    <hyperlink ref="B141" location="Interactions!$J$13" display="Interactions!$J$13"/>
    <hyperlink ref="B142" location="Interactions!$K$13" display="Interactions!$K$13"/>
    <hyperlink ref="B143" location="Interactions!$L$13" display="Interactions!$L$13"/>
    <hyperlink ref="B144" location="Interactions!$M$13" display="Interactions!$M$13"/>
    <hyperlink ref="B145" location="Interactions!$N$13" display="Interactions!$N$13"/>
    <hyperlink ref="B146" location="Interactions!$O$13" display="Interactions!$O$13"/>
    <hyperlink ref="B147" location="Interactions!$B$14" display="Interactions!$B$14"/>
    <hyperlink ref="B148" location="Interactions!$C$14" display="Interactions!$C$14"/>
    <hyperlink ref="B149" location="Interactions!$D$14" display="Interactions!$D$14"/>
    <hyperlink ref="B150" location="Interactions!$E$14" display="Interactions!$E$14"/>
    <hyperlink ref="B151" location="Interactions!$F$14" display="Interactions!$F$14"/>
    <hyperlink ref="B152" location="Interactions!$G$14" display="Interactions!$G$14"/>
    <hyperlink ref="B153" location="Interactions!$H$14" display="Interactions!$H$14"/>
    <hyperlink ref="B154" location="Interactions!$I$14" display="Interactions!$I$14"/>
    <hyperlink ref="B155" location="Interactions!$J$14" display="Interactions!$J$14"/>
    <hyperlink ref="B156" location="Interactions!$K$14" display="Interactions!$K$14"/>
    <hyperlink ref="B157" location="Interactions!$L$14" display="Interactions!$L$14"/>
    <hyperlink ref="B158" location="Interactions!$M$14" display="Interactions!$M$14"/>
    <hyperlink ref="B159" location="Interactions!$N$14" display="Interactions!$N$14"/>
    <hyperlink ref="B160" location="Interactions!$O$14" display="Interactions!$O$14"/>
    <hyperlink ref="B161" location="Interactions!$B$15" display="Interactions!$B$15"/>
    <hyperlink ref="B162" location="Interactions!$C$15" display="Interactions!$C$15"/>
    <hyperlink ref="B163" location="Interactions!$D$15" display="Interactions!$D$15"/>
    <hyperlink ref="B164" location="Interactions!$E$15" display="Interactions!$E$15"/>
    <hyperlink ref="B165" location="Interactions!$F$15" display="Interactions!$F$15"/>
    <hyperlink ref="B166" location="Interactions!$G$15" display="Interactions!$G$15"/>
    <hyperlink ref="B167" location="Interactions!$H$15" display="Interactions!$H$15"/>
    <hyperlink ref="B168" location="Interactions!$I$15" display="Interactions!$I$15"/>
    <hyperlink ref="B169" location="Interactions!$J$15" display="Interactions!$J$15"/>
    <hyperlink ref="B170" location="Interactions!$K$15" display="Interactions!$K$15"/>
    <hyperlink ref="B171" location="Interactions!$L$15" display="Interactions!$L$15"/>
    <hyperlink ref="B172" location="Interactions!$M$15" display="Interactions!$M$15"/>
    <hyperlink ref="B173" location="Interactions!$N$15" display="Interactions!$N$15"/>
    <hyperlink ref="B174" location="Interactions!$O$15" display="Interactions!$O$15"/>
    <hyperlink ref="B175" location="Interactions!$B$16" display="Interactions!$B$16"/>
    <hyperlink ref="B176" location="Interactions!$C$16" display="Interactions!$C$16"/>
    <hyperlink ref="B177" location="Interactions!$D$16" display="Interactions!$D$16"/>
    <hyperlink ref="B178" location="Interactions!$E$16" display="Interactions!$E$16"/>
    <hyperlink ref="B179" location="Interactions!$F$16" display="Interactions!$F$16"/>
    <hyperlink ref="B180" location="Interactions!$G$16" display="Interactions!$G$16"/>
    <hyperlink ref="B181" location="Interactions!$H$16" display="Interactions!$H$16"/>
    <hyperlink ref="B182" location="Interactions!$I$16" display="Interactions!$I$16"/>
    <hyperlink ref="B183" location="Interactions!$J$16" display="Interactions!$J$16"/>
    <hyperlink ref="B184" location="Interactions!$K$16" display="Interactions!$K$16"/>
    <hyperlink ref="B185" location="Interactions!$L$16" display="Interactions!$L$16"/>
    <hyperlink ref="B186" location="Interactions!$M$16" display="Interactions!$M$16"/>
    <hyperlink ref="B187" location="Interactions!$N$16" display="Interactions!$N$16"/>
    <hyperlink ref="B188" location="Interactions!$O$16" display="Interactions!$O$16"/>
    <hyperlink ref="B189" location="Interactions!$B$17" display="Interactions!$B$17"/>
    <hyperlink ref="B190" location="Interactions!$C$17" display="Interactions!$C$17"/>
    <hyperlink ref="B191" location="Interactions!$D$17" display="Interactions!$D$17"/>
    <hyperlink ref="B192" location="Interactions!$E$17" display="Interactions!$E$17"/>
    <hyperlink ref="B193" location="Interactions!$F$17" display="Interactions!$F$17"/>
    <hyperlink ref="B194" location="Interactions!$G$17" display="Interactions!$G$17"/>
    <hyperlink ref="B195" location="Interactions!$H$17" display="Interactions!$H$17"/>
    <hyperlink ref="B196" location="Interactions!$I$17" display="Interactions!$I$17"/>
    <hyperlink ref="B197" location="Interactions!$J$17" display="Interactions!$J$17"/>
    <hyperlink ref="B198" location="Interactions!$K$17" display="Interactions!$K$17"/>
    <hyperlink ref="B199" location="Interactions!$L$17" display="Interactions!$L$17"/>
    <hyperlink ref="B200" location="Interactions!$M$17" display="Interactions!$M$17"/>
    <hyperlink ref="B201" location="Interactions!$N$17" display="Interactions!$N$17"/>
    <hyperlink ref="B202" location="Interactions!$O$17" display="Interactions!$O$17"/>
    <hyperlink ref="B203" location="Interactions!$B$18" display="Interactions!$B$18"/>
    <hyperlink ref="B204" location="Interactions!$C$18" display="Interactions!$C$18"/>
    <hyperlink ref="B205" location="Interactions!$D$18" display="Interactions!$D$18"/>
    <hyperlink ref="B206" location="Interactions!$E$18" display="Interactions!$E$18"/>
    <hyperlink ref="B207" location="Interactions!$F$18" display="Interactions!$F$18"/>
    <hyperlink ref="B208" location="Interactions!$G$18" display="Interactions!$G$18"/>
    <hyperlink ref="B209" location="Interactions!$H$18" display="Interactions!$H$18"/>
    <hyperlink ref="B210" location="Interactions!$I$18" display="Interactions!$I$18"/>
    <hyperlink ref="B211" location="Interactions!$J$18" display="Interactions!$J$18"/>
    <hyperlink ref="B212" location="Interactions!$K$18" display="Interactions!$K$18"/>
    <hyperlink ref="B213" location="Interactions!$L$18" display="Interactions!$L$18"/>
    <hyperlink ref="B214" location="Interactions!$M$18" display="Interactions!$M$18"/>
    <hyperlink ref="B215" location="Interactions!$N$18" display="Interactions!$N$18"/>
    <hyperlink ref="B216" location="Interactions!$O$18" display="Interactions!$O$18"/>
    <hyperlink ref="B222" location="Interactions!B238" display="N"/>
    <hyperlink ref="C222" location="Interactions!B239" display="N"/>
    <hyperlink ref="D222" location="Interactions!B240" display="N"/>
    <hyperlink ref="E222" location="Interactions!B241" display="N"/>
    <hyperlink ref="F222" location="Interactions!B242" display="N"/>
    <hyperlink ref="G222" location="Interactions!B243" display="N"/>
    <hyperlink ref="H222" location="Interactions!B244" display="N"/>
    <hyperlink ref="I222" location="Interactions!B245" display="N"/>
    <hyperlink ref="J222" location="Interactions!B246" display="N"/>
    <hyperlink ref="K222" location="Interactions!B247" display="N"/>
    <hyperlink ref="L222" location="Interactions!B248" display="N"/>
    <hyperlink ref="M222" location="Interactions!B249" display="N"/>
    <hyperlink ref="N222" location="Interactions!B250" display="N"/>
    <hyperlink ref="O222" location="Interactions!B251" display="N"/>
    <hyperlink ref="B223" location="Interactions!B252" display="N"/>
    <hyperlink ref="C223" location="Interactions!B253" display="N"/>
    <hyperlink ref="D223" location="Interactions!B254" display="N"/>
    <hyperlink ref="E223" location="Interactions!B255" display="N"/>
    <hyperlink ref="F223" location="Interactions!B256" display="N"/>
    <hyperlink ref="G223" location="Interactions!B257" display="N"/>
    <hyperlink ref="H223" location="Interactions!B258" display="N"/>
    <hyperlink ref="I223" location="Interactions!B259" display="N"/>
    <hyperlink ref="J223" location="Interactions!B260" display="N"/>
    <hyperlink ref="K223" location="Interactions!B261" display="N"/>
    <hyperlink ref="L223" location="Interactions!B262" display="N"/>
    <hyperlink ref="M223" location="Interactions!B263" display="N"/>
    <hyperlink ref="N223" location="Interactions!B264" display="N"/>
    <hyperlink ref="O223" location="Interactions!B265" display="N"/>
    <hyperlink ref="B224" location="Interactions!B266" display="N"/>
    <hyperlink ref="C224" location="Interactions!B267" display="N"/>
    <hyperlink ref="D224" location="Interactions!B268" display="N"/>
    <hyperlink ref="E224" location="Interactions!B269" display="N"/>
    <hyperlink ref="F224" location="Interactions!B270" display="N"/>
    <hyperlink ref="G224" location="Interactions!B271" display="N"/>
    <hyperlink ref="H224" location="Interactions!B272" display="N"/>
    <hyperlink ref="I224" location="Interactions!B273" display="N"/>
    <hyperlink ref="J224" location="Interactions!B274" display="N"/>
    <hyperlink ref="K224" location="Interactions!B275" display="N"/>
    <hyperlink ref="L224" location="Interactions!B276" display="N"/>
    <hyperlink ref="M224" location="Interactions!B277" display="N"/>
    <hyperlink ref="N224" location="Interactions!B278" display="N"/>
    <hyperlink ref="O224" location="Interactions!B279" display="N"/>
    <hyperlink ref="B225" location="Interactions!B280" display="N"/>
    <hyperlink ref="C225" location="Interactions!B281" display="N"/>
    <hyperlink ref="D225" location="Interactions!B282" display="N"/>
    <hyperlink ref="E225" location="Interactions!B283" display="N"/>
    <hyperlink ref="F225" location="Interactions!B284" display="N"/>
    <hyperlink ref="G225" location="Interactions!B285" display="N"/>
    <hyperlink ref="H225" location="Interactions!B286" display="N"/>
    <hyperlink ref="I225" location="Interactions!B287" display="N"/>
    <hyperlink ref="J225" location="Interactions!B288" display="N"/>
    <hyperlink ref="K225" location="Interactions!B289" display="N"/>
    <hyperlink ref="L225" location="Interactions!B290" display="N"/>
    <hyperlink ref="M225" location="Interactions!B291" display="N"/>
    <hyperlink ref="N225" location="Interactions!B292" display="N"/>
    <hyperlink ref="O225" location="Interactions!B293" display="N"/>
    <hyperlink ref="B226" location="Interactions!B294" display="N"/>
    <hyperlink ref="C226" location="Interactions!B295" display="N"/>
    <hyperlink ref="D226" location="Interactions!B296" display="N"/>
    <hyperlink ref="E226" location="Interactions!B297" display="N"/>
    <hyperlink ref="F226" location="Interactions!B298" display="N"/>
    <hyperlink ref="G226" location="Interactions!B299" display="N"/>
    <hyperlink ref="H226" location="Interactions!B300" display="N"/>
    <hyperlink ref="I226" location="Interactions!B301" display="N"/>
    <hyperlink ref="J226" location="Interactions!B302" display="N"/>
    <hyperlink ref="K226" location="Interactions!B303" display="N"/>
    <hyperlink ref="L226" location="Interactions!B304" display="N"/>
    <hyperlink ref="M226" location="Interactions!B305" display="N"/>
    <hyperlink ref="N226" location="Interactions!B306" display="N"/>
    <hyperlink ref="O226" location="Interactions!B307" display="N"/>
    <hyperlink ref="B227" location="Interactions!B308" display="N"/>
    <hyperlink ref="C227" location="Interactions!B309" display="N"/>
    <hyperlink ref="D227" location="Interactions!B310" display="N"/>
    <hyperlink ref="E227" location="Interactions!B311" display="N"/>
    <hyperlink ref="F227" location="Interactions!B312" display="N"/>
    <hyperlink ref="G227" location="Interactions!B313" display="N"/>
    <hyperlink ref="H227" location="Interactions!B314" display="N"/>
    <hyperlink ref="I227" location="Interactions!B315" display="N"/>
    <hyperlink ref="J227" location="Interactions!B316" display="N"/>
    <hyperlink ref="K227" location="Interactions!B317" display="N"/>
    <hyperlink ref="L227" location="Interactions!B318" display="N"/>
    <hyperlink ref="M227" location="Interactions!B319" display="N"/>
    <hyperlink ref="N227" location="Interactions!B320" display="N"/>
    <hyperlink ref="O227" location="Interactions!B321" display="N"/>
    <hyperlink ref="B228" location="Interactions!B322" display="N"/>
    <hyperlink ref="C228" location="Interactions!B323" display="N"/>
    <hyperlink ref="D228" location="Interactions!B324" display="N"/>
    <hyperlink ref="E228" location="Interactions!B325" display="N"/>
    <hyperlink ref="F228" location="Interactions!B326" display="N"/>
    <hyperlink ref="G228" location="Interactions!B327" display="N"/>
    <hyperlink ref="H228" location="Interactions!B328" display="Y"/>
    <hyperlink ref="I228" location="Interactions!B329" display="Y"/>
    <hyperlink ref="J228" location="Interactions!B330" display="Y"/>
    <hyperlink ref="K228" location="Interactions!B331" display="Y"/>
    <hyperlink ref="L228" location="Interactions!B332" display="N"/>
    <hyperlink ref="M228" location="Interactions!B333" display="N"/>
    <hyperlink ref="N228" location="Interactions!B334" display="N"/>
    <hyperlink ref="O228" location="Interactions!B335" display="N"/>
    <hyperlink ref="B229" location="Interactions!B336" display="N"/>
    <hyperlink ref="C229" location="Interactions!B337" display="N"/>
    <hyperlink ref="D229" location="Interactions!B338" display="N"/>
    <hyperlink ref="E229" location="Interactions!B339" display="N"/>
    <hyperlink ref="F229" location="Interactions!B340" display="N"/>
    <hyperlink ref="G229" location="Interactions!B341" display="N"/>
    <hyperlink ref="H229" location="Interactions!B342" display="Y"/>
    <hyperlink ref="I229" location="Interactions!B343" display="Y"/>
    <hyperlink ref="J229" location="Interactions!B344" display="Y"/>
    <hyperlink ref="K229" location="Interactions!B345" display="Y"/>
    <hyperlink ref="L229" location="Interactions!B346" display="N"/>
    <hyperlink ref="M229" location="Interactions!B347" display="N"/>
    <hyperlink ref="N229" location="Interactions!B348" display="N"/>
    <hyperlink ref="O229" location="Interactions!B349" display="N"/>
    <hyperlink ref="B230" location="Interactions!B350" display="N"/>
    <hyperlink ref="C230" location="Interactions!B351" display="N"/>
    <hyperlink ref="D230" location="Interactions!B352" display="N"/>
    <hyperlink ref="E230" location="Interactions!B353" display="N"/>
    <hyperlink ref="F230" location="Interactions!B354" display="N"/>
    <hyperlink ref="G230" location="Interactions!B355" display="N"/>
    <hyperlink ref="H230" location="Interactions!B356" display="Y"/>
    <hyperlink ref="I230" location="Interactions!B357" display="Y"/>
    <hyperlink ref="J230" location="Interactions!B358" display="Y"/>
    <hyperlink ref="K230" location="Interactions!B359" display="Y"/>
    <hyperlink ref="L230" location="Interactions!B360" display="N"/>
    <hyperlink ref="M230" location="Interactions!B361" display="N"/>
    <hyperlink ref="N230" location="Interactions!B362" display="N"/>
    <hyperlink ref="O230" location="Interactions!B363" display="N"/>
    <hyperlink ref="B231" location="Interactions!B364" display="N"/>
    <hyperlink ref="C231" location="Interactions!B365" display="N"/>
    <hyperlink ref="D231" location="Interactions!B366" display="N"/>
    <hyperlink ref="E231" location="Interactions!B367" display="N"/>
    <hyperlink ref="F231" location="Interactions!B368" display="N"/>
    <hyperlink ref="G231" location="Interactions!B369" display="N"/>
    <hyperlink ref="H231" location="Interactions!B370" display="Y"/>
    <hyperlink ref="I231" location="Interactions!B371" display="Y"/>
    <hyperlink ref="J231" location="Interactions!B372" display="Y"/>
    <hyperlink ref="K231" location="Interactions!B373" display="Y"/>
    <hyperlink ref="L231" location="Interactions!B374" display="N"/>
    <hyperlink ref="M231" location="Interactions!B375" display="N"/>
    <hyperlink ref="N231" location="Interactions!B376" display="N"/>
    <hyperlink ref="O231" location="Interactions!B377" display="N"/>
    <hyperlink ref="B232" location="Interactions!B378" display="N"/>
    <hyperlink ref="C232" location="Interactions!B379" display="N"/>
    <hyperlink ref="D232" location="Interactions!B380" display="N"/>
    <hyperlink ref="E232" location="Interactions!B381" display="N"/>
    <hyperlink ref="F232" location="Interactions!B382" display="N"/>
    <hyperlink ref="G232" location="Interactions!B383" display="N"/>
    <hyperlink ref="H232" location="Interactions!B384" display="N"/>
    <hyperlink ref="I232" location="Interactions!B385" display="N"/>
    <hyperlink ref="J232" location="Interactions!B386" display="N"/>
    <hyperlink ref="K232" location="Interactions!B387" display="N"/>
    <hyperlink ref="L232" location="Interactions!B388" display="N"/>
    <hyperlink ref="M232" location="Interactions!B389" display="N"/>
    <hyperlink ref="N232" location="Interactions!B390" display="N"/>
    <hyperlink ref="O232" location="Interactions!B391" display="N"/>
    <hyperlink ref="B233" location="Interactions!B392" display="N"/>
    <hyperlink ref="C233" location="Interactions!B393" display="N"/>
    <hyperlink ref="D233" location="Interactions!B394" display="N"/>
    <hyperlink ref="E233" location="Interactions!B395" display="N"/>
    <hyperlink ref="F233" location="Interactions!B396" display="N"/>
    <hyperlink ref="G233" location="Interactions!B397" display="N"/>
    <hyperlink ref="H233" location="Interactions!B398" display="N"/>
    <hyperlink ref="I233" location="Interactions!B399" display="N"/>
    <hyperlink ref="J233" location="Interactions!B400" display="N"/>
    <hyperlink ref="K233" location="Interactions!B401" display="N"/>
    <hyperlink ref="L233" location="Interactions!B402" display="N"/>
    <hyperlink ref="M233" location="Interactions!B403" display="N"/>
    <hyperlink ref="N233" location="Interactions!B404" display="N"/>
    <hyperlink ref="O233" location="Interactions!B405" display="N"/>
    <hyperlink ref="B234" location="Interactions!B406" display="N"/>
    <hyperlink ref="C234" location="Interactions!B407" display="N"/>
    <hyperlink ref="D234" location="Interactions!B408" display="N"/>
    <hyperlink ref="E234" location="Interactions!B409" display="N"/>
    <hyperlink ref="F234" location="Interactions!B410" display="N"/>
    <hyperlink ref="G234" location="Interactions!B411" display="N"/>
    <hyperlink ref="H234" location="Interactions!B412" display="N"/>
    <hyperlink ref="I234" location="Interactions!B413" display="N"/>
    <hyperlink ref="J234" location="Interactions!B414" display="N"/>
    <hyperlink ref="K234" location="Interactions!B415" display="N"/>
    <hyperlink ref="L234" location="Interactions!B416" display="N"/>
    <hyperlink ref="M234" location="Interactions!B417" display="N"/>
    <hyperlink ref="N234" location="Interactions!B418" display="N"/>
    <hyperlink ref="O234" location="Interactions!B419" display="N"/>
    <hyperlink ref="B235" location="Interactions!B420" display="N"/>
    <hyperlink ref="C235" location="Interactions!B421" display="N"/>
    <hyperlink ref="D235" location="Interactions!B422" display="N"/>
    <hyperlink ref="E235" location="Interactions!B423" display="N"/>
    <hyperlink ref="F235" location="Interactions!B424" display="N"/>
    <hyperlink ref="G235" location="Interactions!B425" display="N"/>
    <hyperlink ref="H235" location="Interactions!B426" display="N"/>
    <hyperlink ref="I235" location="Interactions!B427" display="N"/>
    <hyperlink ref="J235" location="Interactions!B428" display="N"/>
    <hyperlink ref="K235" location="Interactions!B429" display="N"/>
    <hyperlink ref="L235" location="Interactions!B430" display="N"/>
    <hyperlink ref="M235" location="Interactions!B431" display="N"/>
    <hyperlink ref="N235" location="Interactions!B432" display="N"/>
    <hyperlink ref="O235" location="Interactions!B433" display="N"/>
    <hyperlink ref="B238" location="Interactions!$B$222" display="Interactions!$B$222"/>
    <hyperlink ref="B239" location="Interactions!$C$222" display="Interactions!$C$222"/>
    <hyperlink ref="B240" location="Interactions!$D$222" display="Interactions!$D$222"/>
    <hyperlink ref="B241" location="Interactions!$E$222" display="Interactions!$E$222"/>
    <hyperlink ref="B242" location="Interactions!$F$222" display="Interactions!$F$222"/>
    <hyperlink ref="B243" location="Interactions!$G$222" display="Interactions!$G$222"/>
    <hyperlink ref="B244" location="Interactions!$H$222" display="Interactions!$H$222"/>
    <hyperlink ref="B245" location="Interactions!$I$222" display="Interactions!$I$222"/>
    <hyperlink ref="B246" location="Interactions!$J$222" display="Interactions!$J$222"/>
    <hyperlink ref="B247" location="Interactions!$K$222" display="Interactions!$K$222"/>
    <hyperlink ref="B248" location="Interactions!$L$222" display="Interactions!$L$222"/>
    <hyperlink ref="B249" location="Interactions!$M$222" display="Interactions!$M$222"/>
    <hyperlink ref="B250" location="Interactions!$N$222" display="Interactions!$N$222"/>
    <hyperlink ref="B251" location="Interactions!$O$222" display="Interactions!$O$222"/>
    <hyperlink ref="B252" location="Interactions!$B$223" display="Interactions!$B$223"/>
    <hyperlink ref="B253" location="Interactions!$C$223" display="Interactions!$C$223"/>
    <hyperlink ref="B254" location="Interactions!$D$223" display="Interactions!$D$223"/>
    <hyperlink ref="B255" location="Interactions!$E$223" display="Interactions!$E$223"/>
    <hyperlink ref="B256" location="Interactions!$F$223" display="Interactions!$F$223"/>
    <hyperlink ref="B257" location="Interactions!$G$223" display="Interactions!$G$223"/>
    <hyperlink ref="B258" location="Interactions!$H$223" display="Interactions!$H$223"/>
    <hyperlink ref="B259" location="Interactions!$I$223" display="Interactions!$I$223"/>
    <hyperlink ref="B260" location="Interactions!$J$223" display="Interactions!$J$223"/>
    <hyperlink ref="B261" location="Interactions!$K$223" display="Interactions!$K$223"/>
    <hyperlink ref="B262" location="Interactions!$L$223" display="Interactions!$L$223"/>
    <hyperlink ref="B263" location="Interactions!$M$223" display="Interactions!$M$223"/>
    <hyperlink ref="B264" location="Interactions!$N$223" display="Interactions!$N$223"/>
    <hyperlink ref="B265" location="Interactions!$O$223" display="Interactions!$O$223"/>
    <hyperlink ref="B266" location="Interactions!$B$224" display="Interactions!$B$224"/>
    <hyperlink ref="B267" location="Interactions!$C$224" display="Interactions!$C$224"/>
    <hyperlink ref="B268" location="Interactions!$D$224" display="Interactions!$D$224"/>
    <hyperlink ref="B269" location="Interactions!$E$224" display="Interactions!$E$224"/>
    <hyperlink ref="B270" location="Interactions!$F$224" display="Interactions!$F$224"/>
    <hyperlink ref="B271" location="Interactions!$G$224" display="Interactions!$G$224"/>
    <hyperlink ref="B272" location="Interactions!$H$224" display="Interactions!$H$224"/>
    <hyperlink ref="B273" location="Interactions!$I$224" display="Interactions!$I$224"/>
    <hyperlink ref="B274" location="Interactions!$J$224" display="Interactions!$J$224"/>
    <hyperlink ref="B275" location="Interactions!$K$224" display="Interactions!$K$224"/>
    <hyperlink ref="B276" location="Interactions!$L$224" display="Interactions!$L$224"/>
    <hyperlink ref="B277" location="Interactions!$M$224" display="Interactions!$M$224"/>
    <hyperlink ref="B278" location="Interactions!$N$224" display="Interactions!$N$224"/>
    <hyperlink ref="B279" location="Interactions!$O$224" display="Interactions!$O$224"/>
    <hyperlink ref="B280" location="Interactions!$B$225" display="Interactions!$B$225"/>
    <hyperlink ref="B281" location="Interactions!$C$225" display="Interactions!$C$225"/>
    <hyperlink ref="B282" location="Interactions!$D$225" display="Interactions!$D$225"/>
    <hyperlink ref="B283" location="Interactions!$E$225" display="Interactions!$E$225"/>
    <hyperlink ref="B284" location="Interactions!$F$225" display="Interactions!$F$225"/>
    <hyperlink ref="B285" location="Interactions!$G$225" display="Interactions!$G$225"/>
    <hyperlink ref="B286" location="Interactions!$H$225" display="Interactions!$H$225"/>
    <hyperlink ref="B287" location="Interactions!$I$225" display="Interactions!$I$225"/>
    <hyperlink ref="B288" location="Interactions!$J$225" display="Interactions!$J$225"/>
    <hyperlink ref="B289" location="Interactions!$K$225" display="Interactions!$K$225"/>
    <hyperlink ref="B290" location="Interactions!$L$225" display="Interactions!$L$225"/>
    <hyperlink ref="B291" location="Interactions!$M$225" display="Interactions!$M$225"/>
    <hyperlink ref="B292" location="Interactions!$N$225" display="Interactions!$N$225"/>
    <hyperlink ref="B293" location="Interactions!$O$225" display="Interactions!$O$225"/>
    <hyperlink ref="B294" location="Interactions!$B$226" display="Interactions!$B$226"/>
    <hyperlink ref="B295" location="Interactions!$C$226" display="Interactions!$C$226"/>
    <hyperlink ref="B296" location="Interactions!$D$226" display="Interactions!$D$226"/>
    <hyperlink ref="B297" location="Interactions!$E$226" display="Interactions!$E$226"/>
    <hyperlink ref="B298" location="Interactions!$F$226" display="Interactions!$F$226"/>
    <hyperlink ref="B299" location="Interactions!$G$226" display="Interactions!$G$226"/>
    <hyperlink ref="B300" location="Interactions!$H$226" display="Interactions!$H$226"/>
    <hyperlink ref="B301" location="Interactions!$I$226" display="Interactions!$I$226"/>
    <hyperlink ref="B302" location="Interactions!$J$226" display="Interactions!$J$226"/>
    <hyperlink ref="B303" location="Interactions!$K$226" display="Interactions!$K$226"/>
    <hyperlink ref="B304" location="Interactions!$L$226" display="Interactions!$L$226"/>
    <hyperlink ref="B305" location="Interactions!$M$226" display="Interactions!$M$226"/>
    <hyperlink ref="B306" location="Interactions!$N$226" display="Interactions!$N$226"/>
    <hyperlink ref="B307" location="Interactions!$O$226" display="Interactions!$O$226"/>
    <hyperlink ref="B308" location="Interactions!$B$227" display="Interactions!$B$227"/>
    <hyperlink ref="B309" location="Interactions!$C$227" display="Interactions!$C$227"/>
    <hyperlink ref="B310" location="Interactions!$D$227" display="Interactions!$D$227"/>
    <hyperlink ref="B311" location="Interactions!$E$227" display="Interactions!$E$227"/>
    <hyperlink ref="B312" location="Interactions!$F$227" display="Interactions!$F$227"/>
    <hyperlink ref="B313" location="Interactions!$G$227" display="Interactions!$G$227"/>
    <hyperlink ref="B314" location="Interactions!$H$227" display="Interactions!$H$227"/>
    <hyperlink ref="B315" location="Interactions!$I$227" display="Interactions!$I$227"/>
    <hyperlink ref="B316" location="Interactions!$J$227" display="Interactions!$J$227"/>
    <hyperlink ref="B317" location="Interactions!$K$227" display="Interactions!$K$227"/>
    <hyperlink ref="B318" location="Interactions!$L$227" display="Interactions!$L$227"/>
    <hyperlink ref="B319" location="Interactions!$M$227" display="Interactions!$M$227"/>
    <hyperlink ref="B320" location="Interactions!$N$227" display="Interactions!$N$227"/>
    <hyperlink ref="B321" location="Interactions!$O$227" display="Interactions!$O$227"/>
    <hyperlink ref="B322" location="Interactions!$B$228" display="Interactions!$B$228"/>
    <hyperlink ref="B323" location="Interactions!$C$228" display="Interactions!$C$228"/>
    <hyperlink ref="B324" location="Interactions!$D$228" display="Interactions!$D$228"/>
    <hyperlink ref="B325" location="Interactions!$E$228" display="Interactions!$E$228"/>
    <hyperlink ref="B326" location="Interactions!$F$228" display="Interactions!$F$228"/>
    <hyperlink ref="B327" location="Interactions!$G$228" display="Interactions!$G$228"/>
    <hyperlink ref="B328" location="Interactions!$H$228" display="Interactions!$H$228"/>
    <hyperlink ref="B329" location="Interactions!$I$228" display="Interactions!$I$228"/>
    <hyperlink ref="B330" location="Interactions!$J$228" display="Interactions!$J$228"/>
    <hyperlink ref="B331" location="Interactions!$K$228" display="Interactions!$K$228"/>
    <hyperlink ref="B332" location="Interactions!$L$228" display="Interactions!$L$228"/>
    <hyperlink ref="B333" location="Interactions!$M$228" display="Interactions!$M$228"/>
    <hyperlink ref="B334" location="Interactions!$N$228" display="Interactions!$N$228"/>
    <hyperlink ref="B335" location="Interactions!$O$228" display="Interactions!$O$228"/>
    <hyperlink ref="B336" location="Interactions!$B$229" display="Interactions!$B$229"/>
    <hyperlink ref="B337" location="Interactions!$C$229" display="Interactions!$C$229"/>
    <hyperlink ref="B338" location="Interactions!$D$229" display="Interactions!$D$229"/>
    <hyperlink ref="B339" location="Interactions!$E$229" display="Interactions!$E$229"/>
    <hyperlink ref="B340" location="Interactions!$F$229" display="Interactions!$F$229"/>
    <hyperlink ref="B341" location="Interactions!$G$229" display="Interactions!$G$229"/>
    <hyperlink ref="B342" location="Interactions!$H$229" display="Interactions!$H$229"/>
    <hyperlink ref="B343" location="Interactions!$I$229" display="Interactions!$I$229"/>
    <hyperlink ref="B344" location="Interactions!$J$229" display="Interactions!$J$229"/>
    <hyperlink ref="B345" location="Interactions!$K$229" display="Interactions!$K$229"/>
    <hyperlink ref="B346" location="Interactions!$L$229" display="Interactions!$L$229"/>
    <hyperlink ref="B347" location="Interactions!$M$229" display="Interactions!$M$229"/>
    <hyperlink ref="B348" location="Interactions!$N$229" display="Interactions!$N$229"/>
    <hyperlink ref="B349" location="Interactions!$O$229" display="Interactions!$O$229"/>
    <hyperlink ref="B350" location="Interactions!$B$230" display="Interactions!$B$230"/>
    <hyperlink ref="B351" location="Interactions!$C$230" display="Interactions!$C$230"/>
    <hyperlink ref="B352" location="Interactions!$D$230" display="Interactions!$D$230"/>
    <hyperlink ref="B353" location="Interactions!$E$230" display="Interactions!$E$230"/>
    <hyperlink ref="B354" location="Interactions!$F$230" display="Interactions!$F$230"/>
    <hyperlink ref="B355" location="Interactions!$G$230" display="Interactions!$G$230"/>
    <hyperlink ref="B356" location="Interactions!$H$230" display="Interactions!$H$230"/>
    <hyperlink ref="B357" location="Interactions!$I$230" display="Interactions!$I$230"/>
    <hyperlink ref="B358" location="Interactions!$J$230" display="Interactions!$J$230"/>
    <hyperlink ref="B359" location="Interactions!$K$230" display="Interactions!$K$230"/>
    <hyperlink ref="B360" location="Interactions!$L$230" display="Interactions!$L$230"/>
    <hyperlink ref="B361" location="Interactions!$M$230" display="Interactions!$M$230"/>
    <hyperlink ref="B362" location="Interactions!$N$230" display="Interactions!$N$230"/>
    <hyperlink ref="B363" location="Interactions!$O$230" display="Interactions!$O$230"/>
    <hyperlink ref="B364" location="Interactions!$B$231" display="Interactions!$B$231"/>
    <hyperlink ref="B365" location="Interactions!$C$231" display="Interactions!$C$231"/>
    <hyperlink ref="B366" location="Interactions!$D$231" display="Interactions!$D$231"/>
    <hyperlink ref="B367" location="Interactions!$E$231" display="Interactions!$E$231"/>
    <hyperlink ref="B368" location="Interactions!$F$231" display="Interactions!$F$231"/>
    <hyperlink ref="B369" location="Interactions!$G$231" display="Interactions!$G$231"/>
    <hyperlink ref="B370" location="Interactions!$H$231" display="Interactions!$H$231"/>
    <hyperlink ref="B371" location="Interactions!$I$231" display="Interactions!$I$231"/>
    <hyperlink ref="B372" location="Interactions!$J$231" display="Interactions!$J$231"/>
    <hyperlink ref="B373" location="Interactions!$K$231" display="Interactions!$K$231"/>
    <hyperlink ref="B374" location="Interactions!$L$231" display="Interactions!$L$231"/>
    <hyperlink ref="B375" location="Interactions!$M$231" display="Interactions!$M$231"/>
    <hyperlink ref="B376" location="Interactions!$N$231" display="Interactions!$N$231"/>
    <hyperlink ref="B377" location="Interactions!$O$231" display="Interactions!$O$231"/>
    <hyperlink ref="B378" location="Interactions!$B$232" display="Interactions!$B$232"/>
    <hyperlink ref="B379" location="Interactions!$C$232" display="Interactions!$C$232"/>
    <hyperlink ref="B380" location="Interactions!$D$232" display="Interactions!$D$232"/>
    <hyperlink ref="B381" location="Interactions!$E$232" display="Interactions!$E$232"/>
    <hyperlink ref="B382" location="Interactions!$F$232" display="Interactions!$F$232"/>
    <hyperlink ref="B383" location="Interactions!$G$232" display="Interactions!$G$232"/>
    <hyperlink ref="B384" location="Interactions!$H$232" display="Interactions!$H$232"/>
    <hyperlink ref="B385" location="Interactions!$I$232" display="Interactions!$I$232"/>
    <hyperlink ref="B386" location="Interactions!$J$232" display="Interactions!$J$232"/>
    <hyperlink ref="B387" location="Interactions!$K$232" display="Interactions!$K$232"/>
    <hyperlink ref="B388" location="Interactions!$L$232" display="Interactions!$L$232"/>
    <hyperlink ref="B389" location="Interactions!$M$232" display="Interactions!$M$232"/>
    <hyperlink ref="B390" location="Interactions!$N$232" display="Interactions!$N$232"/>
    <hyperlink ref="B391" location="Interactions!$O$232" display="Interactions!$O$232"/>
    <hyperlink ref="B392" location="Interactions!$B$233" display="Interactions!$B$233"/>
    <hyperlink ref="B393" location="Interactions!$C$233" display="Interactions!$C$233"/>
    <hyperlink ref="B394" location="Interactions!$D$233" display="Interactions!$D$233"/>
    <hyperlink ref="B395" location="Interactions!$E$233" display="Interactions!$E$233"/>
    <hyperlink ref="B396" location="Interactions!$F$233" display="Interactions!$F$233"/>
    <hyperlink ref="B397" location="Interactions!$G$233" display="Interactions!$G$233"/>
    <hyperlink ref="B398" location="Interactions!$H$233" display="Interactions!$H$233"/>
    <hyperlink ref="B399" location="Interactions!$I$233" display="Interactions!$I$233"/>
    <hyperlink ref="B400" location="Interactions!$J$233" display="Interactions!$J$233"/>
    <hyperlink ref="B401" location="Interactions!$K$233" display="Interactions!$K$233"/>
    <hyperlink ref="B402" location="Interactions!$L$233" display="Interactions!$L$233"/>
    <hyperlink ref="B403" location="Interactions!$M$233" display="Interactions!$M$233"/>
    <hyperlink ref="B404" location="Interactions!$N$233" display="Interactions!$N$233"/>
    <hyperlink ref="B405" location="Interactions!$O$233" display="Interactions!$O$233"/>
    <hyperlink ref="B406" location="Interactions!$B$234" display="Interactions!$B$234"/>
    <hyperlink ref="B407" location="Interactions!$C$234" display="Interactions!$C$234"/>
    <hyperlink ref="B408" location="Interactions!$D$234" display="Interactions!$D$234"/>
    <hyperlink ref="B409" location="Interactions!$E$234" display="Interactions!$E$234"/>
    <hyperlink ref="B410" location="Interactions!$F$234" display="Interactions!$F$234"/>
    <hyperlink ref="B411" location="Interactions!$G$234" display="Interactions!$G$234"/>
    <hyperlink ref="B412" location="Interactions!$H$234" display="Interactions!$H$234"/>
    <hyperlink ref="B413" location="Interactions!$I$234" display="Interactions!$I$234"/>
    <hyperlink ref="B414" location="Interactions!$J$234" display="Interactions!$J$234"/>
    <hyperlink ref="B415" location="Interactions!$K$234" display="Interactions!$K$234"/>
    <hyperlink ref="B416" location="Interactions!$L$234" display="Interactions!$L$234"/>
    <hyperlink ref="B417" location="Interactions!$M$234" display="Interactions!$M$234"/>
    <hyperlink ref="B418" location="Interactions!$N$234" display="Interactions!$N$234"/>
    <hyperlink ref="B419" location="Interactions!$O$234" display="Interactions!$O$234"/>
    <hyperlink ref="B420" location="Interactions!$B$235" display="Interactions!$B$235"/>
    <hyperlink ref="B421" location="Interactions!$C$235" display="Interactions!$C$235"/>
    <hyperlink ref="B422" location="Interactions!$D$235" display="Interactions!$D$235"/>
    <hyperlink ref="B423" location="Interactions!$E$235" display="Interactions!$E$235"/>
    <hyperlink ref="B424" location="Interactions!$F$235" display="Interactions!$F$235"/>
    <hyperlink ref="B425" location="Interactions!$G$235" display="Interactions!$G$235"/>
    <hyperlink ref="B426" location="Interactions!$H$235" display="Interactions!$H$235"/>
    <hyperlink ref="B427" location="Interactions!$I$235" display="Interactions!$I$235"/>
    <hyperlink ref="B428" location="Interactions!$J$235" display="Interactions!$J$235"/>
    <hyperlink ref="B429" location="Interactions!$K$235" display="Interactions!$K$235"/>
    <hyperlink ref="B430" location="Interactions!$L$235" display="Interactions!$L$235"/>
    <hyperlink ref="B431" location="Interactions!$M$235" display="Interactions!$M$235"/>
    <hyperlink ref="B432" location="Interactions!$N$235" display="Interactions!$N$235"/>
    <hyperlink ref="B433" location="Interactions!$O$235" display="Interactions!$O$235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808080"/>
  </sheetPr>
  <dimension ref="A1:BG650"/>
  <sheetViews>
    <sheetView workbookViewId="0"/>
  </sheetViews>
  <sheetFormatPr defaultRowHeight="15"/>
  <cols>
    <col min="1" max="1" width="25.85546875" customWidth="1"/>
    <col min="2" max="2" width="44.5703125" customWidth="1"/>
    <col min="3" max="3" width="25.85546875" customWidth="1"/>
    <col min="4" max="4" width="21.5703125" customWidth="1"/>
    <col min="5" max="5" width="18.28515625" customWidth="1"/>
    <col min="6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626</v>
      </c>
      <c r="B2" t="s">
        <v>627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4" t="s">
        <v>58</v>
      </c>
      <c r="C5" s="5" t="s">
        <v>229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229</v>
      </c>
      <c r="C6" s="4" t="s">
        <v>58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4" t="s">
        <v>58</v>
      </c>
      <c r="E7" s="5" t="s">
        <v>229</v>
      </c>
      <c r="F7" s="5" t="s">
        <v>228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4" t="s">
        <v>58</v>
      </c>
      <c r="F8" s="5" t="s">
        <v>229</v>
      </c>
      <c r="G8" s="5" t="s">
        <v>228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4" t="s">
        <v>58</v>
      </c>
      <c r="G9" s="5" t="s">
        <v>229</v>
      </c>
      <c r="H9" s="5" t="s">
        <v>228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4" t="s">
        <v>58</v>
      </c>
      <c r="H10" s="5" t="s">
        <v>229</v>
      </c>
      <c r="I10" s="5" t="s">
        <v>228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4" t="s">
        <v>58</v>
      </c>
      <c r="I11" s="5" t="s">
        <v>229</v>
      </c>
      <c r="J11" s="5" t="s">
        <v>228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4" t="s">
        <v>58</v>
      </c>
      <c r="J12" s="5" t="s">
        <v>229</v>
      </c>
      <c r="K12" s="5" t="s">
        <v>228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4" t="s">
        <v>58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4" t="s">
        <v>58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4" t="s">
        <v>58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4" t="s">
        <v>58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4" t="s">
        <v>58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4" t="s">
        <v>58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...</v>
      </c>
      <c r="B21" s="4" t="str">
        <f>IF($B$5="Y","---&gt;","...")</f>
        <v>...</v>
      </c>
      <c r="C21" s="1" t="str">
        <f>IF($B$5="Y",'Population Definitions'!$A$2,"...")</f>
        <v>...</v>
      </c>
      <c r="E21" s="2"/>
      <c r="F21" s="3"/>
      <c r="G21" s="2"/>
      <c r="H21" s="4" t="str">
        <f>IF($B$5="Y","OR","...")</f>
        <v>...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>
      <c r="A22" s="1" t="str">
        <f>IF($C$5="Y",'Population Definitions'!$A$2,"...")</f>
        <v>...</v>
      </c>
      <c r="B22" s="4" t="str">
        <f>IF($C$5="Y","---&gt;","...")</f>
        <v>...</v>
      </c>
      <c r="C22" s="1" t="str">
        <f>IF($C$5="Y",'Population Definitions'!$A$3,"...")</f>
        <v>...</v>
      </c>
      <c r="E22" s="2"/>
      <c r="F22" s="3"/>
      <c r="G22" s="2"/>
      <c r="H22" s="4" t="str">
        <f>IF($C$5="Y","OR","...")</f>
        <v>...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...</v>
      </c>
      <c r="B35" s="4" t="str">
        <f>IF($B$6="Y","---&gt;","...")</f>
        <v>...</v>
      </c>
      <c r="C35" s="1" t="str">
        <f>IF($B$6="Y",'Population Definitions'!$A$2,"...")</f>
        <v>...</v>
      </c>
      <c r="E35" s="2"/>
      <c r="F35" s="3"/>
      <c r="G35" s="2"/>
      <c r="H35" s="4" t="str">
        <f>IF($B$6="Y","OR","...")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>
      <c r="A36" s="1" t="str">
        <f>IF($C$6="Y",'Population Definitions'!$A$3,"...")</f>
        <v>...</v>
      </c>
      <c r="B36" s="4" t="str">
        <f>IF($C$6="Y","---&gt;","...")</f>
        <v>...</v>
      </c>
      <c r="C36" s="1" t="str">
        <f>IF($C$6="Y",'Population Definitions'!$A$3,"...")</f>
        <v>...</v>
      </c>
      <c r="E36" s="2"/>
      <c r="F36" s="3"/>
      <c r="G36" s="2"/>
      <c r="H36" s="4" t="str">
        <f>IF($C$6="Y","OR","...")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0-9_males</v>
      </c>
      <c r="B53" s="4" t="str">
        <f>IF($F$7="Y","---&gt;","...")</f>
        <v>---&gt;</v>
      </c>
      <c r="C53" s="1" t="str">
        <f>IF($F$7="Y",'Population Definitions'!$A$6,"...")</f>
        <v>10-17_males</v>
      </c>
      <c r="E53" s="3" t="s">
        <v>658</v>
      </c>
      <c r="F53" s="3"/>
      <c r="G53" s="3"/>
      <c r="H53" s="4" t="str">
        <f>IF($F$7="Y","OR","...")</f>
        <v>OR</v>
      </c>
      <c r="I53" s="3">
        <v>2336</v>
      </c>
      <c r="J53" s="3">
        <v>2366</v>
      </c>
      <c r="K53" s="3">
        <v>2352.5</v>
      </c>
      <c r="L53" s="3">
        <v>2351</v>
      </c>
      <c r="M53" s="3">
        <v>2317</v>
      </c>
      <c r="N53" s="3">
        <v>2280</v>
      </c>
      <c r="O53" s="3">
        <v>2268</v>
      </c>
      <c r="P53" s="3">
        <v>2251.5</v>
      </c>
      <c r="Q53" s="3">
        <v>2205</v>
      </c>
      <c r="R53" s="3">
        <v>2145</v>
      </c>
      <c r="S53" s="3">
        <v>2173</v>
      </c>
      <c r="T53" s="3">
        <v>2199</v>
      </c>
      <c r="U53" s="3">
        <v>2101</v>
      </c>
      <c r="V53" s="3">
        <v>2088.5</v>
      </c>
      <c r="W53" s="3">
        <v>2170</v>
      </c>
      <c r="X53" s="3">
        <v>2238.5</v>
      </c>
      <c r="Y53" s="3">
        <v>2279.5</v>
      </c>
      <c r="Z53" s="3">
        <v>2321.5</v>
      </c>
      <c r="AA53" s="3">
        <v>2408</v>
      </c>
      <c r="AB53" s="3">
        <v>2526</v>
      </c>
      <c r="AC53" s="3">
        <v>2566</v>
      </c>
      <c r="AD53" s="3">
        <v>2492.5</v>
      </c>
      <c r="AE53" s="3">
        <v>2424.5</v>
      </c>
      <c r="AF53" s="3">
        <v>2340.5</v>
      </c>
      <c r="AG53" s="3">
        <v>2310</v>
      </c>
      <c r="AH53" s="3">
        <v>2322</v>
      </c>
      <c r="AI53" s="3">
        <v>2271</v>
      </c>
      <c r="AJ53" s="3">
        <v>2279</v>
      </c>
      <c r="AK53" s="3">
        <v>2370</v>
      </c>
      <c r="AL53" s="3">
        <v>2455</v>
      </c>
      <c r="AM53" s="3">
        <v>2534</v>
      </c>
      <c r="AN53" s="3">
        <v>2652</v>
      </c>
      <c r="AO53" s="3">
        <v>2583</v>
      </c>
      <c r="AP53" s="3">
        <v>2446</v>
      </c>
      <c r="AQ53" s="3">
        <v>2434</v>
      </c>
      <c r="AR53" s="3">
        <v>2416</v>
      </c>
      <c r="AS53" s="3">
        <v>2382</v>
      </c>
      <c r="AT53" s="3">
        <v>2350</v>
      </c>
      <c r="AU53" s="3">
        <v>2321</v>
      </c>
      <c r="AV53" s="3">
        <v>2295</v>
      </c>
      <c r="AW53" s="3">
        <v>2270</v>
      </c>
      <c r="AX53" s="3">
        <v>2245</v>
      </c>
      <c r="AY53" s="3">
        <v>2223</v>
      </c>
      <c r="AZ53" s="3">
        <v>2202</v>
      </c>
      <c r="BA53" s="3">
        <v>2186</v>
      </c>
      <c r="BB53" s="3">
        <v>2170</v>
      </c>
      <c r="BC53" s="3">
        <v>2154</v>
      </c>
      <c r="BD53" s="3">
        <v>2138</v>
      </c>
      <c r="BE53" s="3">
        <v>2123</v>
      </c>
      <c r="BF53" s="3">
        <v>2110</v>
      </c>
      <c r="BG53" s="3">
        <v>2094</v>
      </c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0-9_females</v>
      </c>
      <c r="B68" s="4" t="str">
        <f>IF($G$8="Y","---&gt;","...")</f>
        <v>---&gt;</v>
      </c>
      <c r="C68" s="1" t="str">
        <f>IF($G$8="Y",'Population Definitions'!$A$7,"...")</f>
        <v>10-17_females</v>
      </c>
      <c r="E68" s="3" t="s">
        <v>658</v>
      </c>
      <c r="F68" s="3"/>
      <c r="G68" s="3"/>
      <c r="H68" s="4" t="str">
        <f>IF($G$8="Y","OR","...")</f>
        <v>OR</v>
      </c>
      <c r="I68" s="3">
        <v>2269.5</v>
      </c>
      <c r="J68" s="3">
        <v>2265</v>
      </c>
      <c r="K68" s="3">
        <v>2201.5</v>
      </c>
      <c r="L68" s="3">
        <v>2270</v>
      </c>
      <c r="M68" s="3">
        <v>2256</v>
      </c>
      <c r="N68" s="3">
        <v>2144</v>
      </c>
      <c r="O68" s="3">
        <v>2128</v>
      </c>
      <c r="P68" s="3">
        <v>2111.5</v>
      </c>
      <c r="Q68" s="3">
        <v>2094</v>
      </c>
      <c r="R68" s="3">
        <v>2148.5</v>
      </c>
      <c r="S68" s="3">
        <v>2179.5</v>
      </c>
      <c r="T68" s="3">
        <v>2119</v>
      </c>
      <c r="U68" s="3">
        <v>2035.5</v>
      </c>
      <c r="V68" s="3">
        <v>2052</v>
      </c>
      <c r="W68" s="3">
        <v>2117.5</v>
      </c>
      <c r="X68" s="3">
        <v>2142.5</v>
      </c>
      <c r="Y68" s="3">
        <v>2150</v>
      </c>
      <c r="Z68" s="3">
        <v>2188.5</v>
      </c>
      <c r="AA68" s="3">
        <v>2269.5</v>
      </c>
      <c r="AB68" s="3">
        <v>2367</v>
      </c>
      <c r="AC68" s="3">
        <v>2410.5</v>
      </c>
      <c r="AD68" s="3">
        <v>2349.5</v>
      </c>
      <c r="AE68" s="3">
        <v>2301.5</v>
      </c>
      <c r="AF68" s="3">
        <v>2315</v>
      </c>
      <c r="AG68" s="3">
        <v>2287</v>
      </c>
      <c r="AH68" s="3">
        <v>2212</v>
      </c>
      <c r="AI68" s="3">
        <v>2162</v>
      </c>
      <c r="AJ68" s="3">
        <v>2146</v>
      </c>
      <c r="AK68" s="3">
        <v>2146</v>
      </c>
      <c r="AL68" s="3">
        <v>2261</v>
      </c>
      <c r="AM68" s="3">
        <v>2335</v>
      </c>
      <c r="AN68" s="3">
        <v>2417</v>
      </c>
      <c r="AO68" s="3">
        <v>2404</v>
      </c>
      <c r="AP68" s="3">
        <v>2269</v>
      </c>
      <c r="AQ68" s="3">
        <v>2250</v>
      </c>
      <c r="AR68" s="3">
        <v>2228</v>
      </c>
      <c r="AS68" s="3">
        <v>2196</v>
      </c>
      <c r="AT68" s="3">
        <v>2167</v>
      </c>
      <c r="AU68" s="3">
        <v>2141</v>
      </c>
      <c r="AV68" s="3">
        <v>2117</v>
      </c>
      <c r="AW68" s="3">
        <v>2093</v>
      </c>
      <c r="AX68" s="3">
        <v>2070</v>
      </c>
      <c r="AY68" s="3">
        <v>2048</v>
      </c>
      <c r="AZ68" s="3">
        <v>2029</v>
      </c>
      <c r="BA68" s="3">
        <v>2014</v>
      </c>
      <c r="BB68" s="3">
        <v>2000</v>
      </c>
      <c r="BC68" s="3">
        <v>1985</v>
      </c>
      <c r="BD68" s="3">
        <v>1970</v>
      </c>
      <c r="BE68" s="3">
        <v>1956</v>
      </c>
      <c r="BF68" s="3">
        <v>1944</v>
      </c>
      <c r="BG68" s="3">
        <v>1929</v>
      </c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10-17_males</v>
      </c>
      <c r="B83" s="4" t="str">
        <f>IF($H$9="Y","---&gt;","...")</f>
        <v>---&gt;</v>
      </c>
      <c r="C83" s="1" t="str">
        <f>IF($H$9="Y",'Population Definitions'!$A$8,"...")</f>
        <v>18-64_males</v>
      </c>
      <c r="E83" s="3" t="s">
        <v>658</v>
      </c>
      <c r="F83" s="3"/>
      <c r="G83" s="3"/>
      <c r="H83" s="4" t="str">
        <f>IF($H$9="Y","OR","...")</f>
        <v>OR</v>
      </c>
      <c r="I83" s="3">
        <v>2271</v>
      </c>
      <c r="J83" s="3">
        <v>2214.5</v>
      </c>
      <c r="K83" s="3">
        <v>2125</v>
      </c>
      <c r="L83" s="3">
        <v>2018</v>
      </c>
      <c r="M83" s="3">
        <v>1967.5</v>
      </c>
      <c r="N83" s="3">
        <v>2114</v>
      </c>
      <c r="O83" s="3">
        <v>2328</v>
      </c>
      <c r="P83" s="3">
        <v>2376</v>
      </c>
      <c r="Q83" s="3">
        <v>2408</v>
      </c>
      <c r="R83" s="3">
        <v>2454</v>
      </c>
      <c r="S83" s="3">
        <v>2438.5</v>
      </c>
      <c r="T83" s="3">
        <v>2442.5</v>
      </c>
      <c r="U83" s="3">
        <v>2398</v>
      </c>
      <c r="V83" s="3">
        <v>2336.5</v>
      </c>
      <c r="W83" s="3">
        <v>2308.5</v>
      </c>
      <c r="X83" s="3">
        <v>2302.5</v>
      </c>
      <c r="Y83" s="3">
        <v>2256.5</v>
      </c>
      <c r="Z83" s="3">
        <v>2173</v>
      </c>
      <c r="AA83" s="3">
        <v>2199.5</v>
      </c>
      <c r="AB83" s="3">
        <v>2248</v>
      </c>
      <c r="AC83" s="3">
        <v>2177</v>
      </c>
      <c r="AD83" s="3">
        <v>2181.5</v>
      </c>
      <c r="AE83" s="3">
        <v>2295.5</v>
      </c>
      <c r="AF83" s="3">
        <v>2403.5</v>
      </c>
      <c r="AG83" s="3">
        <v>2473.5</v>
      </c>
      <c r="AH83" s="3">
        <v>2532</v>
      </c>
      <c r="AI83" s="3">
        <v>2598</v>
      </c>
      <c r="AJ83" s="3">
        <v>2689</v>
      </c>
      <c r="AK83" s="3">
        <v>2712</v>
      </c>
      <c r="AL83" s="3">
        <v>2612</v>
      </c>
      <c r="AM83" s="3">
        <v>2529</v>
      </c>
      <c r="AN83" s="3">
        <v>2444</v>
      </c>
      <c r="AO83" s="3">
        <v>2413</v>
      </c>
      <c r="AP83" s="3">
        <v>2418</v>
      </c>
      <c r="AQ83" s="3">
        <v>2354</v>
      </c>
      <c r="AR83" s="3">
        <v>2355</v>
      </c>
      <c r="AS83" s="3">
        <v>2441</v>
      </c>
      <c r="AT83" s="3">
        <v>2520</v>
      </c>
      <c r="AU83" s="3">
        <v>2595</v>
      </c>
      <c r="AV83" s="3">
        <v>2711</v>
      </c>
      <c r="AW83" s="3">
        <v>2640</v>
      </c>
      <c r="AX83" s="3">
        <v>2501</v>
      </c>
      <c r="AY83" s="3">
        <v>2489</v>
      </c>
      <c r="AZ83" s="3">
        <v>2470</v>
      </c>
      <c r="BA83" s="3">
        <v>2434</v>
      </c>
      <c r="BB83" s="3">
        <v>2402</v>
      </c>
      <c r="BC83" s="3">
        <v>2373</v>
      </c>
      <c r="BD83" s="3">
        <v>2346</v>
      </c>
      <c r="BE83" s="3">
        <v>2320</v>
      </c>
      <c r="BF83" s="3">
        <v>2294</v>
      </c>
      <c r="BG83" s="3">
        <v>2271</v>
      </c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10-17_females</v>
      </c>
      <c r="B98" s="4" t="str">
        <f>IF($I$10="Y","---&gt;","...")</f>
        <v>---&gt;</v>
      </c>
      <c r="C98" s="1" t="str">
        <f>IF($I$10="Y",'Population Definitions'!$A$9,"...")</f>
        <v>18-64_females</v>
      </c>
      <c r="E98" s="3" t="s">
        <v>658</v>
      </c>
      <c r="F98" s="3"/>
      <c r="G98" s="3"/>
      <c r="H98" s="4" t="str">
        <f>IF($I$10="Y","OR","...")</f>
        <v>OR</v>
      </c>
      <c r="I98" s="3">
        <v>2108</v>
      </c>
      <c r="J98" s="3">
        <v>2136.5</v>
      </c>
      <c r="K98" s="3">
        <v>2093.5</v>
      </c>
      <c r="L98" s="3">
        <v>2015</v>
      </c>
      <c r="M98" s="3">
        <v>1976.5</v>
      </c>
      <c r="N98" s="3">
        <v>1965.5</v>
      </c>
      <c r="O98" s="3">
        <v>2124</v>
      </c>
      <c r="P98" s="3">
        <v>2263</v>
      </c>
      <c r="Q98" s="3">
        <v>2332</v>
      </c>
      <c r="R98" s="3">
        <v>2324</v>
      </c>
      <c r="S98" s="3">
        <v>2274.5</v>
      </c>
      <c r="T98" s="3">
        <v>2336.5</v>
      </c>
      <c r="U98" s="3">
        <v>2319</v>
      </c>
      <c r="V98" s="3">
        <v>2207</v>
      </c>
      <c r="W98" s="3">
        <v>2165</v>
      </c>
      <c r="X98" s="3">
        <v>2154.5</v>
      </c>
      <c r="Y98" s="3">
        <v>2123</v>
      </c>
      <c r="Z98" s="3">
        <v>2143.5</v>
      </c>
      <c r="AA98" s="3">
        <v>2188.5</v>
      </c>
      <c r="AB98" s="3">
        <v>2161</v>
      </c>
      <c r="AC98" s="3">
        <v>2121.5</v>
      </c>
      <c r="AD98" s="3">
        <v>2155.5</v>
      </c>
      <c r="AE98" s="3">
        <v>2232</v>
      </c>
      <c r="AF98" s="3">
        <v>2290</v>
      </c>
      <c r="AG98" s="3">
        <v>2340.5</v>
      </c>
      <c r="AH98" s="3">
        <v>2407</v>
      </c>
      <c r="AI98" s="3">
        <v>2468</v>
      </c>
      <c r="AJ98" s="3">
        <v>2534</v>
      </c>
      <c r="AK98" s="3">
        <v>2546</v>
      </c>
      <c r="AL98" s="3">
        <v>2454</v>
      </c>
      <c r="AM98" s="3">
        <v>2388</v>
      </c>
      <c r="AN98" s="3">
        <v>2396</v>
      </c>
      <c r="AO98" s="3">
        <v>2362</v>
      </c>
      <c r="AP98" s="3">
        <v>2279</v>
      </c>
      <c r="AQ98" s="3">
        <v>2219</v>
      </c>
      <c r="AR98" s="3">
        <v>2195</v>
      </c>
      <c r="AS98" s="3">
        <v>2188</v>
      </c>
      <c r="AT98" s="3">
        <v>2298</v>
      </c>
      <c r="AU98" s="3">
        <v>2368</v>
      </c>
      <c r="AV98" s="3">
        <v>2449</v>
      </c>
      <c r="AW98" s="3">
        <v>2434</v>
      </c>
      <c r="AX98" s="3">
        <v>2297</v>
      </c>
      <c r="AY98" s="3">
        <v>2277</v>
      </c>
      <c r="AZ98" s="3">
        <v>2254</v>
      </c>
      <c r="BA98" s="3">
        <v>2222</v>
      </c>
      <c r="BB98" s="3">
        <v>2192</v>
      </c>
      <c r="BC98" s="3">
        <v>2165</v>
      </c>
      <c r="BD98" s="3">
        <v>2140</v>
      </c>
      <c r="BE98" s="3">
        <v>2115</v>
      </c>
      <c r="BF98" s="3">
        <v>2092</v>
      </c>
      <c r="BG98" s="3">
        <v>2070</v>
      </c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18-64_males</v>
      </c>
      <c r="B113" s="4" t="str">
        <f>IF($J$11="Y","---&gt;","...")</f>
        <v>---&gt;</v>
      </c>
      <c r="C113" s="1" t="str">
        <f>IF($J$11="Y",'Population Definitions'!$A$10,"...")</f>
        <v>65+_males</v>
      </c>
      <c r="E113" s="3" t="s">
        <v>658</v>
      </c>
      <c r="F113" s="3"/>
      <c r="G113" s="3"/>
      <c r="H113" s="4" t="str">
        <f>IF($J$11="Y","OR","...")</f>
        <v>OR</v>
      </c>
      <c r="I113" s="3">
        <v>928.5</v>
      </c>
      <c r="J113" s="3">
        <v>911</v>
      </c>
      <c r="K113" s="3">
        <v>937.5</v>
      </c>
      <c r="L113" s="3">
        <v>946.5</v>
      </c>
      <c r="M113" s="3">
        <v>949</v>
      </c>
      <c r="N113" s="3">
        <v>943</v>
      </c>
      <c r="O113" s="3">
        <v>969.5</v>
      </c>
      <c r="P113" s="3">
        <v>1099</v>
      </c>
      <c r="Q113" s="3">
        <v>1193.5</v>
      </c>
      <c r="R113" s="3">
        <v>1256.5</v>
      </c>
      <c r="S113" s="3">
        <v>1363</v>
      </c>
      <c r="T113" s="3">
        <v>1435.5</v>
      </c>
      <c r="U113" s="3">
        <v>1495</v>
      </c>
      <c r="V113" s="3">
        <v>1538.5</v>
      </c>
      <c r="W113" s="3">
        <v>1590</v>
      </c>
      <c r="X113" s="3">
        <v>1699</v>
      </c>
      <c r="Y113" s="3">
        <v>1690.5</v>
      </c>
      <c r="Z113" s="3">
        <v>1686</v>
      </c>
      <c r="AA113" s="3">
        <v>1791.5</v>
      </c>
      <c r="AB113" s="3">
        <v>1841.5</v>
      </c>
      <c r="AC113" s="3">
        <v>1862</v>
      </c>
      <c r="AD113" s="3">
        <v>1934.5</v>
      </c>
      <c r="AE113" s="3">
        <v>2041.5</v>
      </c>
      <c r="AF113" s="3">
        <v>2048</v>
      </c>
      <c r="AG113" s="3">
        <v>2073</v>
      </c>
      <c r="AH113" s="3">
        <v>2145</v>
      </c>
      <c r="AI113" s="3">
        <v>2082</v>
      </c>
      <c r="AJ113" s="3">
        <v>2066</v>
      </c>
      <c r="AK113" s="3">
        <v>2143</v>
      </c>
      <c r="AL113" s="3">
        <v>2143</v>
      </c>
      <c r="AM113" s="3">
        <v>2165</v>
      </c>
      <c r="AN113" s="3">
        <v>2220</v>
      </c>
      <c r="AO113" s="3">
        <v>2165</v>
      </c>
      <c r="AP113" s="3">
        <v>2130</v>
      </c>
      <c r="AQ113" s="3">
        <v>2144</v>
      </c>
      <c r="AR113" s="3">
        <v>2146</v>
      </c>
      <c r="AS113" s="3">
        <v>2209</v>
      </c>
      <c r="AT113" s="3">
        <v>2346</v>
      </c>
      <c r="AU113" s="3">
        <v>2460</v>
      </c>
      <c r="AV113" s="3">
        <v>2425</v>
      </c>
      <c r="AW113" s="3">
        <v>2387</v>
      </c>
      <c r="AX113" s="3">
        <v>2447</v>
      </c>
      <c r="AY113" s="3">
        <v>2413</v>
      </c>
      <c r="AZ113" s="3">
        <v>2398</v>
      </c>
      <c r="BA113" s="3">
        <v>2577</v>
      </c>
      <c r="BB113" s="3">
        <v>2756</v>
      </c>
      <c r="BC113" s="3">
        <v>2784</v>
      </c>
      <c r="BD113" s="3">
        <v>2812</v>
      </c>
      <c r="BE113" s="3">
        <v>2844</v>
      </c>
      <c r="BF113" s="3">
        <v>2828</v>
      </c>
      <c r="BG113" s="3">
        <v>2796</v>
      </c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18-64_females</v>
      </c>
      <c r="B128" s="4" t="str">
        <f>IF($K$12="Y","---&gt;","...")</f>
        <v>---&gt;</v>
      </c>
      <c r="C128" s="1" t="str">
        <f>IF($K$12="Y",'Population Definitions'!$A$11,"...")</f>
        <v>65+_females</v>
      </c>
      <c r="E128" s="3" t="s">
        <v>658</v>
      </c>
      <c r="F128" s="3"/>
      <c r="G128" s="3"/>
      <c r="H128" s="4" t="str">
        <f>IF($K$12="Y","OR","...")</f>
        <v>OR</v>
      </c>
      <c r="I128" s="3">
        <v>1004.5</v>
      </c>
      <c r="J128" s="3">
        <v>1010.5</v>
      </c>
      <c r="K128" s="3">
        <v>983</v>
      </c>
      <c r="L128" s="3">
        <v>939.5</v>
      </c>
      <c r="M128" s="3">
        <v>937.5</v>
      </c>
      <c r="N128" s="3">
        <v>985</v>
      </c>
      <c r="O128" s="3">
        <v>1042.5</v>
      </c>
      <c r="P128" s="3">
        <v>1129.5</v>
      </c>
      <c r="Q128" s="3">
        <v>1234</v>
      </c>
      <c r="R128" s="3">
        <v>1264.5</v>
      </c>
      <c r="S128" s="3">
        <v>1322.5</v>
      </c>
      <c r="T128" s="3">
        <v>1360.5</v>
      </c>
      <c r="U128" s="3">
        <v>1385</v>
      </c>
      <c r="V128" s="3">
        <v>1515.5</v>
      </c>
      <c r="W128" s="3">
        <v>1570</v>
      </c>
      <c r="X128" s="3">
        <v>1571</v>
      </c>
      <c r="Y128" s="3">
        <v>1656</v>
      </c>
      <c r="Z128" s="3">
        <v>1692</v>
      </c>
      <c r="AA128" s="3">
        <v>1734</v>
      </c>
      <c r="AB128" s="3">
        <v>1810</v>
      </c>
      <c r="AC128" s="3">
        <v>1870.5</v>
      </c>
      <c r="AD128" s="3">
        <v>1944.5</v>
      </c>
      <c r="AE128" s="3">
        <v>1979.5</v>
      </c>
      <c r="AF128" s="3">
        <v>2023.5</v>
      </c>
      <c r="AG128" s="3">
        <v>2083.5</v>
      </c>
      <c r="AH128" s="3">
        <v>2116</v>
      </c>
      <c r="AI128" s="3">
        <v>2074</v>
      </c>
      <c r="AJ128" s="3">
        <v>2102</v>
      </c>
      <c r="AK128" s="3">
        <v>2192</v>
      </c>
      <c r="AL128" s="3">
        <v>2242</v>
      </c>
      <c r="AM128" s="3">
        <v>2218</v>
      </c>
      <c r="AN128" s="3">
        <v>2208</v>
      </c>
      <c r="AO128" s="3">
        <v>2200</v>
      </c>
      <c r="AP128" s="3">
        <v>2079</v>
      </c>
      <c r="AQ128" s="3">
        <v>2057</v>
      </c>
      <c r="AR128" s="3">
        <v>2046</v>
      </c>
      <c r="AS128" s="3">
        <v>2043</v>
      </c>
      <c r="AT128" s="3">
        <v>2232</v>
      </c>
      <c r="AU128" s="3">
        <v>2338</v>
      </c>
      <c r="AV128" s="3">
        <v>2228</v>
      </c>
      <c r="AW128" s="3">
        <v>2205</v>
      </c>
      <c r="AX128" s="3">
        <v>2252</v>
      </c>
      <c r="AY128" s="3">
        <v>2239</v>
      </c>
      <c r="AZ128" s="3">
        <v>2265</v>
      </c>
      <c r="BA128" s="3">
        <v>2388</v>
      </c>
      <c r="BB128" s="3">
        <v>2489</v>
      </c>
      <c r="BC128" s="3">
        <v>2453</v>
      </c>
      <c r="BD128" s="3">
        <v>2436</v>
      </c>
      <c r="BE128" s="3">
        <v>2498</v>
      </c>
      <c r="BF128" s="3">
        <v>2502</v>
      </c>
      <c r="BG128" s="3">
        <v>2475</v>
      </c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...</v>
      </c>
      <c r="B201" s="4" t="str">
        <f>IF($N$17="Y","---&gt;","...")</f>
        <v>...</v>
      </c>
      <c r="C201" s="1" t="str">
        <f>IF($N$17="Y",'Population Definitions'!$A$14,"...")</f>
        <v>...</v>
      </c>
      <c r="E201" s="2"/>
      <c r="F201" s="3"/>
      <c r="G201" s="2"/>
      <c r="H201" s="4" t="str">
        <f>IF($N$17="Y","OR","...")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...</v>
      </c>
      <c r="B216" s="4" t="str">
        <f>IF($O$18="Y","---&gt;","...")</f>
        <v>...</v>
      </c>
      <c r="C216" s="1" t="str">
        <f>IF($O$18="Y",'Population Definitions'!$A$15,"...")</f>
        <v>...</v>
      </c>
      <c r="E216" s="2"/>
      <c r="F216" s="3"/>
      <c r="G216" s="2"/>
      <c r="H216" s="4" t="str">
        <f>IF($O$18="Y","OR","...")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811</v>
      </c>
      <c r="B219" t="s">
        <v>812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4" t="s">
        <v>58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228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4" t="s">
        <v>58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228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4" t="s">
        <v>58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4" t="s">
        <v>58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4" t="s">
        <v>58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4" t="s">
        <v>58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228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4" t="s">
        <v>58</v>
      </c>
      <c r="I228" s="5" t="s">
        <v>229</v>
      </c>
      <c r="J228" s="5" t="s">
        <v>229</v>
      </c>
      <c r="K228" s="5" t="s">
        <v>229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228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229</v>
      </c>
      <c r="I229" s="4" t="s">
        <v>58</v>
      </c>
      <c r="J229" s="5" t="s">
        <v>229</v>
      </c>
      <c r="K229" s="5" t="s">
        <v>229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229</v>
      </c>
      <c r="I230" s="5" t="s">
        <v>229</v>
      </c>
      <c r="J230" s="4" t="s">
        <v>58</v>
      </c>
      <c r="K230" s="5" t="s">
        <v>229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229</v>
      </c>
      <c r="I231" s="5" t="s">
        <v>229</v>
      </c>
      <c r="J231" s="5" t="s">
        <v>229</v>
      </c>
      <c r="K231" s="4" t="s">
        <v>58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4" t="s">
        <v>58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4" t="s">
        <v>58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4" t="s">
        <v>58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4" t="s">
        <v>58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PWID_males</v>
      </c>
      <c r="B244" s="4" t="str">
        <f>IF($H$222="Y","---&gt;","...")</f>
        <v>---&gt;</v>
      </c>
      <c r="C244" s="1" t="str">
        <f>IF($H$222="Y",'Population Definitions'!$A$8,"...")</f>
        <v>18-64_males</v>
      </c>
      <c r="E244" s="3" t="s">
        <v>55</v>
      </c>
      <c r="F244" s="3"/>
      <c r="G244" s="3">
        <v>0.0588235294117647</v>
      </c>
      <c r="H244" s="4" t="str">
        <f>IF($H$222="Y","OR","...")</f>
        <v>OR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PWID_females</v>
      </c>
      <c r="B259" s="4" t="str">
        <f>IF($I$223="Y","---&gt;","...")</f>
        <v>---&gt;</v>
      </c>
      <c r="C259" s="1" t="str">
        <f>IF($I$223="Y",'Population Definitions'!$A$9,"...")</f>
        <v>18-64_females</v>
      </c>
      <c r="E259" s="3" t="s">
        <v>55</v>
      </c>
      <c r="F259" s="3"/>
      <c r="G259" s="3">
        <v>0.0588235294117647</v>
      </c>
      <c r="H259" s="4" t="str">
        <f>IF($I$223="Y","OR","...")</f>
        <v>OR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18-64_males</v>
      </c>
      <c r="B322" s="4" t="str">
        <f>IF($B$228="Y","---&gt;","...")</f>
        <v>---&gt;</v>
      </c>
      <c r="C322" s="1" t="str">
        <f>IF($B$228="Y",'Population Definitions'!$A$2,"...")</f>
        <v>PWID_males</v>
      </c>
      <c r="E322" s="3" t="s">
        <v>55</v>
      </c>
      <c r="F322" s="3"/>
      <c r="G322" s="3">
        <v>7.26531669587097E-05</v>
      </c>
      <c r="H322" s="4" t="str">
        <f>IF($B$228="Y","OR","...")</f>
        <v>OR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...</v>
      </c>
      <c r="B328" s="4" t="str">
        <f>IF($H$228="Y","---&gt;","...")</f>
        <v>...</v>
      </c>
      <c r="C328" s="1" t="str">
        <f>IF($H$228="Y",'Population Definitions'!$A$8,"...")</f>
        <v>...</v>
      </c>
      <c r="E328" s="2"/>
      <c r="F328" s="3"/>
      <c r="G328" s="2"/>
      <c r="H328" s="4" t="str">
        <f>IF($H$228="Y","OR","...")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>
      <c r="A329" s="1" t="str">
        <f>IF($I$228="Y",'Population Definitions'!$A$8,"...")</f>
        <v>...</v>
      </c>
      <c r="B329" s="4" t="str">
        <f>IF($I$228="Y","---&gt;","...")</f>
        <v>...</v>
      </c>
      <c r="C329" s="1" t="str">
        <f>IF($I$228="Y",'Population Definitions'!$A$9,"...")</f>
        <v>...</v>
      </c>
      <c r="E329" s="2"/>
      <c r="F329" s="3"/>
      <c r="G329" s="2"/>
      <c r="H329" s="4" t="str">
        <f>IF($I$228="Y","OR","...")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>
      <c r="A330" s="1" t="str">
        <f>IF($J$228="Y",'Population Definitions'!$A$8,"...")</f>
        <v>...</v>
      </c>
      <c r="B330" s="4" t="str">
        <f>IF($J$228="Y","---&gt;","...")</f>
        <v>...</v>
      </c>
      <c r="C330" s="1" t="str">
        <f>IF($J$228="Y",'Population Definitions'!$A$10,"...")</f>
        <v>...</v>
      </c>
      <c r="E330" s="2"/>
      <c r="F330" s="3"/>
      <c r="G330" s="2"/>
      <c r="H330" s="4" t="str">
        <f>IF($J$228="Y","OR","...")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>
      <c r="A331" s="1" t="str">
        <f>IF($K$228="Y",'Population Definitions'!$A$8,"...")</f>
        <v>...</v>
      </c>
      <c r="B331" s="4" t="str">
        <f>IF($K$228="Y","---&gt;","...")</f>
        <v>...</v>
      </c>
      <c r="C331" s="1" t="str">
        <f>IF($K$228="Y",'Population Definitions'!$A$11,"...")</f>
        <v>...</v>
      </c>
      <c r="E331" s="2"/>
      <c r="F331" s="3"/>
      <c r="G331" s="2"/>
      <c r="H331" s="4" t="str">
        <f>IF($K$228="Y","OR","...")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18-64_females</v>
      </c>
      <c r="B337" s="4" t="str">
        <f>IF($C$229="Y","---&gt;","...")</f>
        <v>---&gt;</v>
      </c>
      <c r="C337" s="1" t="str">
        <f>IF($C$229="Y",'Population Definitions'!$A$3,"...")</f>
        <v>PWID_females</v>
      </c>
      <c r="E337" s="3" t="s">
        <v>55</v>
      </c>
      <c r="F337" s="3"/>
      <c r="G337" s="3">
        <v>5.644541073582744E-05</v>
      </c>
      <c r="H337" s="4" t="str">
        <f>IF($C$229="Y","OR","...")</f>
        <v>OR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...</v>
      </c>
      <c r="B342" s="4" t="str">
        <f>IF($H$229="Y","---&gt;","...")</f>
        <v>...</v>
      </c>
      <c r="C342" s="1" t="str">
        <f>IF($H$229="Y",'Population Definitions'!$A$8,"...")</f>
        <v>...</v>
      </c>
      <c r="E342" s="2"/>
      <c r="F342" s="3"/>
      <c r="G342" s="2"/>
      <c r="H342" s="4" t="str">
        <f>IF($H$229="Y","OR","...")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>
      <c r="A343" s="1" t="str">
        <f>IF($I$229="Y",'Population Definitions'!$A$9,"...")</f>
        <v>...</v>
      </c>
      <c r="B343" s="4" t="str">
        <f>IF($I$229="Y","---&gt;","...")</f>
        <v>...</v>
      </c>
      <c r="C343" s="1" t="str">
        <f>IF($I$229="Y",'Population Definitions'!$A$9,"...")</f>
        <v>...</v>
      </c>
      <c r="E343" s="2"/>
      <c r="F343" s="3"/>
      <c r="G343" s="2"/>
      <c r="H343" s="4" t="str">
        <f>IF($I$229="Y","OR","...")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>
      <c r="A344" s="1" t="str">
        <f>IF($J$229="Y",'Population Definitions'!$A$9,"...")</f>
        <v>...</v>
      </c>
      <c r="B344" s="4" t="str">
        <f>IF($J$229="Y","---&gt;","...")</f>
        <v>...</v>
      </c>
      <c r="C344" s="1" t="str">
        <f>IF($J$229="Y",'Population Definitions'!$A$10,"...")</f>
        <v>...</v>
      </c>
      <c r="E344" s="2"/>
      <c r="F344" s="3"/>
      <c r="G344" s="2"/>
      <c r="H344" s="4" t="str">
        <f>IF($J$229="Y","OR","...")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>
      <c r="A345" s="1" t="str">
        <f>IF($K$229="Y",'Population Definitions'!$A$9,"...")</f>
        <v>...</v>
      </c>
      <c r="B345" s="4" t="str">
        <f>IF($K$229="Y","---&gt;","...")</f>
        <v>...</v>
      </c>
      <c r="C345" s="1" t="str">
        <f>IF($K$229="Y",'Population Definitions'!$A$11,"...")</f>
        <v>...</v>
      </c>
      <c r="E345" s="2"/>
      <c r="F345" s="3"/>
      <c r="G345" s="2"/>
      <c r="H345" s="4" t="str">
        <f>IF($K$229="Y","OR","...")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...</v>
      </c>
      <c r="B356" s="4" t="str">
        <f>IF($H$230="Y","---&gt;","...")</f>
        <v>...</v>
      </c>
      <c r="C356" s="1" t="str">
        <f>IF($H$230="Y",'Population Definitions'!$A$8,"...")</f>
        <v>...</v>
      </c>
      <c r="E356" s="2"/>
      <c r="F356" s="3"/>
      <c r="G356" s="2"/>
      <c r="H356" s="4" t="str">
        <f>IF($H$230="Y","OR","...")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>
      <c r="A357" s="1" t="str">
        <f>IF($I$230="Y",'Population Definitions'!$A$10,"...")</f>
        <v>...</v>
      </c>
      <c r="B357" s="4" t="str">
        <f>IF($I$230="Y","---&gt;","...")</f>
        <v>...</v>
      </c>
      <c r="C357" s="1" t="str">
        <f>IF($I$230="Y",'Population Definitions'!$A$9,"...")</f>
        <v>...</v>
      </c>
      <c r="E357" s="2"/>
      <c r="F357" s="3"/>
      <c r="G357" s="2"/>
      <c r="H357" s="4" t="str">
        <f>IF($I$230="Y","OR","...")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>
      <c r="A358" s="1" t="str">
        <f>IF($J$230="Y",'Population Definitions'!$A$10,"...")</f>
        <v>...</v>
      </c>
      <c r="B358" s="4" t="str">
        <f>IF($J$230="Y","---&gt;","...")</f>
        <v>...</v>
      </c>
      <c r="C358" s="1" t="str">
        <f>IF($J$230="Y",'Population Definitions'!$A$10,"...")</f>
        <v>...</v>
      </c>
      <c r="E358" s="2"/>
      <c r="F358" s="3"/>
      <c r="G358" s="2"/>
      <c r="H358" s="4" t="str">
        <f>IF($J$230="Y","OR","...")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>
      <c r="A359" s="1" t="str">
        <f>IF($K$230="Y",'Population Definitions'!$A$10,"...")</f>
        <v>...</v>
      </c>
      <c r="B359" s="4" t="str">
        <f>IF($K$230="Y","---&gt;","...")</f>
        <v>...</v>
      </c>
      <c r="C359" s="1" t="str">
        <f>IF($K$230="Y",'Population Definitions'!$A$11,"...")</f>
        <v>...</v>
      </c>
      <c r="E359" s="2"/>
      <c r="F359" s="3"/>
      <c r="G359" s="2"/>
      <c r="H359" s="4" t="str">
        <f>IF($K$230="Y","OR","...")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...</v>
      </c>
      <c r="B370" s="4" t="str">
        <f>IF($H$231="Y","---&gt;","...")</f>
        <v>...</v>
      </c>
      <c r="C370" s="1" t="str">
        <f>IF($H$231="Y",'Population Definitions'!$A$8,"...")</f>
        <v>...</v>
      </c>
      <c r="E370" s="2"/>
      <c r="F370" s="3"/>
      <c r="G370" s="2"/>
      <c r="H370" s="4" t="str">
        <f>IF($H$231="Y","OR","...")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>
      <c r="A371" s="1" t="str">
        <f>IF($I$231="Y",'Population Definitions'!$A$11,"...")</f>
        <v>...</v>
      </c>
      <c r="B371" s="4" t="str">
        <f>IF($I$231="Y","---&gt;","...")</f>
        <v>...</v>
      </c>
      <c r="C371" s="1" t="str">
        <f>IF($I$231="Y",'Population Definitions'!$A$9,"...")</f>
        <v>...</v>
      </c>
      <c r="E371" s="2"/>
      <c r="F371" s="3"/>
      <c r="G371" s="2"/>
      <c r="H371" s="4" t="str">
        <f>IF($I$231="Y","OR","...")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>
      <c r="A372" s="1" t="str">
        <f>IF($J$231="Y",'Population Definitions'!$A$11,"...")</f>
        <v>...</v>
      </c>
      <c r="B372" s="4" t="str">
        <f>IF($J$231="Y","---&gt;","...")</f>
        <v>...</v>
      </c>
      <c r="C372" s="1" t="str">
        <f>IF($J$231="Y",'Population Definitions'!$A$10,"...")</f>
        <v>...</v>
      </c>
      <c r="E372" s="2"/>
      <c r="F372" s="3"/>
      <c r="G372" s="2"/>
      <c r="H372" s="4" t="str">
        <f>IF($J$231="Y","OR","...")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>
      <c r="A373" s="1" t="str">
        <f>IF($K$231="Y",'Population Definitions'!$A$11,"...")</f>
        <v>...</v>
      </c>
      <c r="B373" s="4" t="str">
        <f>IF($K$231="Y","---&gt;","...")</f>
        <v>...</v>
      </c>
      <c r="C373" s="1" t="str">
        <f>IF($K$231="Y",'Population Definitions'!$A$11,"...")</f>
        <v>...</v>
      </c>
      <c r="E373" s="2"/>
      <c r="F373" s="3"/>
      <c r="G373" s="2"/>
      <c r="H373" s="4" t="str">
        <f>IF($K$231="Y","OR","...")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5" spans="1:59">
      <c r="A435" s="1" t="s">
        <v>0</v>
      </c>
      <c r="B435" s="1" t="s">
        <v>1</v>
      </c>
      <c r="C435" s="1" t="s">
        <v>226</v>
      </c>
      <c r="D435" s="1" t="s">
        <v>227</v>
      </c>
    </row>
    <row r="436" spans="1:59">
      <c r="A436" t="s">
        <v>995</v>
      </c>
      <c r="B436" t="s">
        <v>996</v>
      </c>
      <c r="C436" t="s">
        <v>5</v>
      </c>
      <c r="D436" t="s">
        <v>5</v>
      </c>
    </row>
    <row r="438" spans="1:59">
      <c r="B438" s="1" t="str">
        <f>'Population Definitions'!$A$2</f>
        <v>PWID_males</v>
      </c>
      <c r="C438" s="1" t="str">
        <f>'Population Definitions'!$A$3</f>
        <v>PWID_females</v>
      </c>
      <c r="D438" s="1" t="str">
        <f>'Population Definitions'!$A$4</f>
        <v>0-9_males</v>
      </c>
      <c r="E438" s="1" t="str">
        <f>'Population Definitions'!$A$5</f>
        <v>0-9_females</v>
      </c>
      <c r="F438" s="1" t="str">
        <f>'Population Definitions'!$A$6</f>
        <v>10-17_males</v>
      </c>
      <c r="G438" s="1" t="str">
        <f>'Population Definitions'!$A$7</f>
        <v>10-17_females</v>
      </c>
      <c r="H438" s="1" t="str">
        <f>'Population Definitions'!$A$8</f>
        <v>18-64_males</v>
      </c>
      <c r="I438" s="1" t="str">
        <f>'Population Definitions'!$A$9</f>
        <v>18-64_females</v>
      </c>
      <c r="J438" s="1" t="str">
        <f>'Population Definitions'!$A$10</f>
        <v>65+_males</v>
      </c>
      <c r="K438" s="1" t="str">
        <f>'Population Definitions'!$A$11</f>
        <v>65+_females</v>
      </c>
      <c r="L438" s="1" t="str">
        <f>'Population Definitions'!$A$12</f>
        <v>Prisoners_males</v>
      </c>
      <c r="M438" s="1" t="str">
        <f>'Population Definitions'!$A$13</f>
        <v>Prisoners_females</v>
      </c>
      <c r="N438" s="1" t="str">
        <f>'Population Definitions'!$A$14</f>
        <v>Prisoners_PWID_males</v>
      </c>
      <c r="O438" s="1" t="str">
        <f>'Population Definitions'!$A$15</f>
        <v>Prisoners_PWID_females</v>
      </c>
    </row>
    <row r="439" spans="1:59">
      <c r="A439" s="1" t="str">
        <f>'Population Definitions'!$A$2</f>
        <v>PWID_males</v>
      </c>
      <c r="B439" s="4" t="s">
        <v>58</v>
      </c>
      <c r="C439" s="5" t="s">
        <v>229</v>
      </c>
      <c r="D439" s="5" t="s">
        <v>229</v>
      </c>
      <c r="E439" s="5" t="s">
        <v>229</v>
      </c>
      <c r="F439" s="5" t="s">
        <v>229</v>
      </c>
      <c r="G439" s="5" t="s">
        <v>229</v>
      </c>
      <c r="H439" s="5" t="s">
        <v>229</v>
      </c>
      <c r="I439" s="5" t="s">
        <v>229</v>
      </c>
      <c r="J439" s="5" t="s">
        <v>229</v>
      </c>
      <c r="K439" s="5" t="s">
        <v>229</v>
      </c>
      <c r="L439" s="5" t="s">
        <v>229</v>
      </c>
      <c r="M439" s="5" t="s">
        <v>229</v>
      </c>
      <c r="N439" s="5" t="s">
        <v>228</v>
      </c>
      <c r="O439" s="5" t="s">
        <v>229</v>
      </c>
    </row>
    <row r="440" spans="1:59">
      <c r="A440" s="1" t="str">
        <f>'Population Definitions'!$A$3</f>
        <v>PWID_females</v>
      </c>
      <c r="B440" s="5" t="s">
        <v>229</v>
      </c>
      <c r="C440" s="4" t="s">
        <v>58</v>
      </c>
      <c r="D440" s="5" t="s">
        <v>229</v>
      </c>
      <c r="E440" s="5" t="s">
        <v>229</v>
      </c>
      <c r="F440" s="5" t="s">
        <v>229</v>
      </c>
      <c r="G440" s="5" t="s">
        <v>229</v>
      </c>
      <c r="H440" s="5" t="s">
        <v>229</v>
      </c>
      <c r="I440" s="5" t="s">
        <v>229</v>
      </c>
      <c r="J440" s="5" t="s">
        <v>229</v>
      </c>
      <c r="K440" s="5" t="s">
        <v>229</v>
      </c>
      <c r="L440" s="5" t="s">
        <v>229</v>
      </c>
      <c r="M440" s="5" t="s">
        <v>229</v>
      </c>
      <c r="N440" s="5" t="s">
        <v>229</v>
      </c>
      <c r="O440" s="5" t="s">
        <v>228</v>
      </c>
    </row>
    <row r="441" spans="1:59">
      <c r="A441" s="1" t="str">
        <f>'Population Definitions'!$A$4</f>
        <v>0-9_males</v>
      </c>
      <c r="B441" s="5" t="s">
        <v>229</v>
      </c>
      <c r="C441" s="5" t="s">
        <v>229</v>
      </c>
      <c r="D441" s="4" t="s">
        <v>58</v>
      </c>
      <c r="E441" s="5" t="s">
        <v>229</v>
      </c>
      <c r="F441" s="5" t="s">
        <v>229</v>
      </c>
      <c r="G441" s="5" t="s">
        <v>229</v>
      </c>
      <c r="H441" s="5" t="s">
        <v>229</v>
      </c>
      <c r="I441" s="5" t="s">
        <v>229</v>
      </c>
      <c r="J441" s="5" t="s">
        <v>229</v>
      </c>
      <c r="K441" s="5" t="s">
        <v>229</v>
      </c>
      <c r="L441" s="5" t="s">
        <v>229</v>
      </c>
      <c r="M441" s="5" t="s">
        <v>229</v>
      </c>
      <c r="N441" s="5" t="s">
        <v>229</v>
      </c>
      <c r="O441" s="5" t="s">
        <v>229</v>
      </c>
    </row>
    <row r="442" spans="1:59">
      <c r="A442" s="1" t="str">
        <f>'Population Definitions'!$A$5</f>
        <v>0-9_females</v>
      </c>
      <c r="B442" s="5" t="s">
        <v>229</v>
      </c>
      <c r="C442" s="5" t="s">
        <v>229</v>
      </c>
      <c r="D442" s="5" t="s">
        <v>229</v>
      </c>
      <c r="E442" s="4" t="s">
        <v>58</v>
      </c>
      <c r="F442" s="5" t="s">
        <v>229</v>
      </c>
      <c r="G442" s="5" t="s">
        <v>229</v>
      </c>
      <c r="H442" s="5" t="s">
        <v>229</v>
      </c>
      <c r="I442" s="5" t="s">
        <v>229</v>
      </c>
      <c r="J442" s="5" t="s">
        <v>229</v>
      </c>
      <c r="K442" s="5" t="s">
        <v>229</v>
      </c>
      <c r="L442" s="5" t="s">
        <v>229</v>
      </c>
      <c r="M442" s="5" t="s">
        <v>229</v>
      </c>
      <c r="N442" s="5" t="s">
        <v>229</v>
      </c>
      <c r="O442" s="5" t="s">
        <v>229</v>
      </c>
    </row>
    <row r="443" spans="1:59">
      <c r="A443" s="1" t="str">
        <f>'Population Definitions'!$A$6</f>
        <v>10-17_males</v>
      </c>
      <c r="B443" s="5" t="s">
        <v>229</v>
      </c>
      <c r="C443" s="5" t="s">
        <v>229</v>
      </c>
      <c r="D443" s="5" t="s">
        <v>229</v>
      </c>
      <c r="E443" s="5" t="s">
        <v>229</v>
      </c>
      <c r="F443" s="4" t="s">
        <v>58</v>
      </c>
      <c r="G443" s="5" t="s">
        <v>229</v>
      </c>
      <c r="H443" s="5" t="s">
        <v>229</v>
      </c>
      <c r="I443" s="5" t="s">
        <v>229</v>
      </c>
      <c r="J443" s="5" t="s">
        <v>229</v>
      </c>
      <c r="K443" s="5" t="s">
        <v>229</v>
      </c>
      <c r="L443" s="5" t="s">
        <v>229</v>
      </c>
      <c r="M443" s="5" t="s">
        <v>229</v>
      </c>
      <c r="N443" s="5" t="s">
        <v>229</v>
      </c>
      <c r="O443" s="5" t="s">
        <v>229</v>
      </c>
    </row>
    <row r="444" spans="1:59">
      <c r="A444" s="1" t="str">
        <f>'Population Definitions'!$A$7</f>
        <v>10-17_females</v>
      </c>
      <c r="B444" s="5" t="s">
        <v>229</v>
      </c>
      <c r="C444" s="5" t="s">
        <v>229</v>
      </c>
      <c r="D444" s="5" t="s">
        <v>229</v>
      </c>
      <c r="E444" s="5" t="s">
        <v>229</v>
      </c>
      <c r="F444" s="5" t="s">
        <v>229</v>
      </c>
      <c r="G444" s="4" t="s">
        <v>58</v>
      </c>
      <c r="H444" s="5" t="s">
        <v>229</v>
      </c>
      <c r="I444" s="5" t="s">
        <v>229</v>
      </c>
      <c r="J444" s="5" t="s">
        <v>229</v>
      </c>
      <c r="K444" s="5" t="s">
        <v>229</v>
      </c>
      <c r="L444" s="5" t="s">
        <v>229</v>
      </c>
      <c r="M444" s="5" t="s">
        <v>229</v>
      </c>
      <c r="N444" s="5" t="s">
        <v>229</v>
      </c>
      <c r="O444" s="5" t="s">
        <v>229</v>
      </c>
    </row>
    <row r="445" spans="1:59">
      <c r="A445" s="1" t="str">
        <f>'Population Definitions'!$A$8</f>
        <v>18-64_males</v>
      </c>
      <c r="B445" s="5" t="s">
        <v>229</v>
      </c>
      <c r="C445" s="5" t="s">
        <v>229</v>
      </c>
      <c r="D445" s="5" t="s">
        <v>229</v>
      </c>
      <c r="E445" s="5" t="s">
        <v>229</v>
      </c>
      <c r="F445" s="5" t="s">
        <v>229</v>
      </c>
      <c r="G445" s="5" t="s">
        <v>229</v>
      </c>
      <c r="H445" s="4" t="s">
        <v>58</v>
      </c>
      <c r="I445" s="5" t="s">
        <v>229</v>
      </c>
      <c r="J445" s="5" t="s">
        <v>229</v>
      </c>
      <c r="K445" s="5" t="s">
        <v>229</v>
      </c>
      <c r="L445" s="5" t="s">
        <v>228</v>
      </c>
      <c r="M445" s="5" t="s">
        <v>229</v>
      </c>
      <c r="N445" s="5" t="s">
        <v>229</v>
      </c>
      <c r="O445" s="5" t="s">
        <v>229</v>
      </c>
    </row>
    <row r="446" spans="1:59">
      <c r="A446" s="1" t="str">
        <f>'Population Definitions'!$A$9</f>
        <v>18-64_females</v>
      </c>
      <c r="B446" s="5" t="s">
        <v>229</v>
      </c>
      <c r="C446" s="5" t="s">
        <v>229</v>
      </c>
      <c r="D446" s="5" t="s">
        <v>229</v>
      </c>
      <c r="E446" s="5" t="s">
        <v>229</v>
      </c>
      <c r="F446" s="5" t="s">
        <v>229</v>
      </c>
      <c r="G446" s="5" t="s">
        <v>229</v>
      </c>
      <c r="H446" s="5" t="s">
        <v>229</v>
      </c>
      <c r="I446" s="4" t="s">
        <v>58</v>
      </c>
      <c r="J446" s="5" t="s">
        <v>229</v>
      </c>
      <c r="K446" s="5" t="s">
        <v>229</v>
      </c>
      <c r="L446" s="5" t="s">
        <v>229</v>
      </c>
      <c r="M446" s="5" t="s">
        <v>228</v>
      </c>
      <c r="N446" s="5" t="s">
        <v>229</v>
      </c>
      <c r="O446" s="5" t="s">
        <v>229</v>
      </c>
    </row>
    <row r="447" spans="1:59">
      <c r="A447" s="1" t="str">
        <f>'Population Definitions'!$A$10</f>
        <v>65+_males</v>
      </c>
      <c r="B447" s="5" t="s">
        <v>229</v>
      </c>
      <c r="C447" s="5" t="s">
        <v>229</v>
      </c>
      <c r="D447" s="5" t="s">
        <v>229</v>
      </c>
      <c r="E447" s="5" t="s">
        <v>229</v>
      </c>
      <c r="F447" s="5" t="s">
        <v>229</v>
      </c>
      <c r="G447" s="5" t="s">
        <v>229</v>
      </c>
      <c r="H447" s="5" t="s">
        <v>229</v>
      </c>
      <c r="I447" s="5" t="s">
        <v>229</v>
      </c>
      <c r="J447" s="4" t="s">
        <v>58</v>
      </c>
      <c r="K447" s="5" t="s">
        <v>229</v>
      </c>
      <c r="L447" s="5" t="s">
        <v>229</v>
      </c>
      <c r="M447" s="5" t="s">
        <v>229</v>
      </c>
      <c r="N447" s="5" t="s">
        <v>229</v>
      </c>
      <c r="O447" s="5" t="s">
        <v>229</v>
      </c>
    </row>
    <row r="448" spans="1:59">
      <c r="A448" s="1" t="str">
        <f>'Population Definitions'!$A$11</f>
        <v>65+_females</v>
      </c>
      <c r="B448" s="5" t="s">
        <v>229</v>
      </c>
      <c r="C448" s="5" t="s">
        <v>229</v>
      </c>
      <c r="D448" s="5" t="s">
        <v>229</v>
      </c>
      <c r="E448" s="5" t="s">
        <v>229</v>
      </c>
      <c r="F448" s="5" t="s">
        <v>229</v>
      </c>
      <c r="G448" s="5" t="s">
        <v>229</v>
      </c>
      <c r="H448" s="5" t="s">
        <v>229</v>
      </c>
      <c r="I448" s="5" t="s">
        <v>229</v>
      </c>
      <c r="J448" s="5" t="s">
        <v>229</v>
      </c>
      <c r="K448" s="4" t="s">
        <v>58</v>
      </c>
      <c r="L448" s="5" t="s">
        <v>229</v>
      </c>
      <c r="M448" s="5" t="s">
        <v>229</v>
      </c>
      <c r="N448" s="5" t="s">
        <v>229</v>
      </c>
      <c r="O448" s="5" t="s">
        <v>229</v>
      </c>
    </row>
    <row r="449" spans="1:59">
      <c r="A449" s="1" t="str">
        <f>'Population Definitions'!$A$12</f>
        <v>Prisoners_males</v>
      </c>
      <c r="B449" s="5" t="s">
        <v>229</v>
      </c>
      <c r="C449" s="5" t="s">
        <v>229</v>
      </c>
      <c r="D449" s="5" t="s">
        <v>229</v>
      </c>
      <c r="E449" s="5" t="s">
        <v>229</v>
      </c>
      <c r="F449" s="5" t="s">
        <v>229</v>
      </c>
      <c r="G449" s="5" t="s">
        <v>229</v>
      </c>
      <c r="H449" s="5" t="s">
        <v>228</v>
      </c>
      <c r="I449" s="5" t="s">
        <v>229</v>
      </c>
      <c r="J449" s="5" t="s">
        <v>229</v>
      </c>
      <c r="K449" s="5" t="s">
        <v>229</v>
      </c>
      <c r="L449" s="4" t="s">
        <v>58</v>
      </c>
      <c r="M449" s="5" t="s">
        <v>229</v>
      </c>
      <c r="N449" s="5" t="s">
        <v>229</v>
      </c>
      <c r="O449" s="5" t="s">
        <v>229</v>
      </c>
    </row>
    <row r="450" spans="1:59">
      <c r="A450" s="1" t="str">
        <f>'Population Definitions'!$A$13</f>
        <v>Prisoners_females</v>
      </c>
      <c r="B450" s="5" t="s">
        <v>229</v>
      </c>
      <c r="C450" s="5" t="s">
        <v>229</v>
      </c>
      <c r="D450" s="5" t="s">
        <v>229</v>
      </c>
      <c r="E450" s="5" t="s">
        <v>229</v>
      </c>
      <c r="F450" s="5" t="s">
        <v>229</v>
      </c>
      <c r="G450" s="5" t="s">
        <v>229</v>
      </c>
      <c r="H450" s="5" t="s">
        <v>229</v>
      </c>
      <c r="I450" s="5" t="s">
        <v>228</v>
      </c>
      <c r="J450" s="5" t="s">
        <v>229</v>
      </c>
      <c r="K450" s="5" t="s">
        <v>229</v>
      </c>
      <c r="L450" s="5" t="s">
        <v>229</v>
      </c>
      <c r="M450" s="4" t="s">
        <v>58</v>
      </c>
      <c r="N450" s="5" t="s">
        <v>229</v>
      </c>
      <c r="O450" s="5" t="s">
        <v>229</v>
      </c>
    </row>
    <row r="451" spans="1:59">
      <c r="A451" s="1" t="str">
        <f>'Population Definitions'!$A$14</f>
        <v>Prisoners_PWID_males</v>
      </c>
      <c r="B451" s="5" t="s">
        <v>228</v>
      </c>
      <c r="C451" s="5" t="s">
        <v>229</v>
      </c>
      <c r="D451" s="5" t="s">
        <v>229</v>
      </c>
      <c r="E451" s="5" t="s">
        <v>229</v>
      </c>
      <c r="F451" s="5" t="s">
        <v>229</v>
      </c>
      <c r="G451" s="5" t="s">
        <v>229</v>
      </c>
      <c r="H451" s="5" t="s">
        <v>229</v>
      </c>
      <c r="I451" s="5" t="s">
        <v>229</v>
      </c>
      <c r="J451" s="5" t="s">
        <v>229</v>
      </c>
      <c r="K451" s="5" t="s">
        <v>229</v>
      </c>
      <c r="L451" s="5" t="s">
        <v>229</v>
      </c>
      <c r="M451" s="5" t="s">
        <v>229</v>
      </c>
      <c r="N451" s="4" t="s">
        <v>58</v>
      </c>
      <c r="O451" s="5" t="s">
        <v>229</v>
      </c>
    </row>
    <row r="452" spans="1:59">
      <c r="A452" s="1" t="str">
        <f>'Population Definitions'!$A$15</f>
        <v>Prisoners_PWID_females</v>
      </c>
      <c r="B452" s="5" t="s">
        <v>229</v>
      </c>
      <c r="C452" s="5" t="s">
        <v>228</v>
      </c>
      <c r="D452" s="5" t="s">
        <v>229</v>
      </c>
      <c r="E452" s="5" t="s">
        <v>229</v>
      </c>
      <c r="F452" s="5" t="s">
        <v>229</v>
      </c>
      <c r="G452" s="5" t="s">
        <v>229</v>
      </c>
      <c r="H452" s="5" t="s">
        <v>229</v>
      </c>
      <c r="I452" s="5" t="s">
        <v>229</v>
      </c>
      <c r="J452" s="5" t="s">
        <v>229</v>
      </c>
      <c r="K452" s="5" t="s">
        <v>229</v>
      </c>
      <c r="L452" s="5" t="s">
        <v>229</v>
      </c>
      <c r="M452" s="5" t="s">
        <v>229</v>
      </c>
      <c r="N452" s="5" t="s">
        <v>229</v>
      </c>
      <c r="O452" s="4" t="s">
        <v>58</v>
      </c>
    </row>
    <row r="454" spans="1:59">
      <c r="A454" s="1" t="s">
        <v>230</v>
      </c>
      <c r="B454" s="1"/>
      <c r="C454" s="1" t="s">
        <v>231</v>
      </c>
      <c r="D454" s="1" t="s">
        <v>31</v>
      </c>
      <c r="E454" s="1" t="s">
        <v>32</v>
      </c>
      <c r="F454" s="1" t="s">
        <v>33</v>
      </c>
      <c r="G454" s="1" t="s">
        <v>38</v>
      </c>
      <c r="H454" s="1"/>
      <c r="I454" s="1">
        <v>2000</v>
      </c>
      <c r="J454" s="1">
        <v>2001</v>
      </c>
      <c r="K454" s="1">
        <v>2002</v>
      </c>
      <c r="L454" s="1">
        <v>2003</v>
      </c>
      <c r="M454" s="1">
        <v>2004</v>
      </c>
      <c r="N454" s="1">
        <v>2005</v>
      </c>
      <c r="O454" s="1">
        <v>2006</v>
      </c>
      <c r="P454" s="1">
        <v>2007</v>
      </c>
      <c r="Q454" s="1">
        <v>2008</v>
      </c>
      <c r="R454" s="1">
        <v>2009</v>
      </c>
      <c r="S454" s="1">
        <v>2010</v>
      </c>
      <c r="T454" s="1">
        <v>2011</v>
      </c>
      <c r="U454" s="1">
        <v>2012</v>
      </c>
      <c r="V454" s="1">
        <v>2013</v>
      </c>
      <c r="W454" s="1">
        <v>2014</v>
      </c>
      <c r="X454" s="1">
        <v>2015</v>
      </c>
      <c r="Y454" s="1">
        <v>2016</v>
      </c>
      <c r="Z454" s="1">
        <v>2017</v>
      </c>
      <c r="AA454" s="1">
        <v>2018</v>
      </c>
      <c r="AB454" s="1">
        <v>2019</v>
      </c>
      <c r="AC454" s="1">
        <v>2020</v>
      </c>
      <c r="AD454" s="1">
        <v>2021</v>
      </c>
      <c r="AE454" s="1">
        <v>2022</v>
      </c>
      <c r="AF454" s="1">
        <v>2023</v>
      </c>
      <c r="AG454" s="1">
        <v>2024</v>
      </c>
      <c r="AH454" s="1">
        <v>2025</v>
      </c>
      <c r="AI454" s="1">
        <v>2026</v>
      </c>
      <c r="AJ454" s="1">
        <v>2027</v>
      </c>
      <c r="AK454" s="1">
        <v>2028</v>
      </c>
      <c r="AL454" s="1">
        <v>2029</v>
      </c>
      <c r="AM454" s="1">
        <v>2030</v>
      </c>
      <c r="AN454" s="1">
        <v>2031</v>
      </c>
      <c r="AO454" s="1">
        <v>2032</v>
      </c>
      <c r="AP454" s="1">
        <v>2033</v>
      </c>
      <c r="AQ454" s="1">
        <v>2034</v>
      </c>
      <c r="AR454" s="1">
        <v>2035</v>
      </c>
      <c r="AS454" s="1">
        <v>2036</v>
      </c>
      <c r="AT454" s="1">
        <v>2037</v>
      </c>
      <c r="AU454" s="1">
        <v>2038</v>
      </c>
      <c r="AV454" s="1">
        <v>2039</v>
      </c>
      <c r="AW454" s="1">
        <v>2040</v>
      </c>
      <c r="AX454" s="1">
        <v>2041</v>
      </c>
      <c r="AY454" s="1">
        <v>2042</v>
      </c>
      <c r="AZ454" s="1">
        <v>2043</v>
      </c>
      <c r="BA454" s="1">
        <v>2044</v>
      </c>
      <c r="BB454" s="1">
        <v>2045</v>
      </c>
      <c r="BC454" s="1">
        <v>2046</v>
      </c>
      <c r="BD454" s="1">
        <v>2047</v>
      </c>
      <c r="BE454" s="1">
        <v>2048</v>
      </c>
      <c r="BF454" s="1">
        <v>2049</v>
      </c>
      <c r="BG454" s="1">
        <v>2050</v>
      </c>
    </row>
    <row r="455" spans="1:59">
      <c r="A455" s="1" t="str">
        <f>IF($B$439="Y",'Population Definitions'!$A$2,"...")</f>
        <v>...</v>
      </c>
      <c r="B455" s="4" t="str">
        <f>IF($B$439="Y","---&gt;","...")</f>
        <v>...</v>
      </c>
      <c r="C455" s="1" t="str">
        <f>IF($B$439="Y",'Population Definitions'!$A$2,"...")</f>
        <v>...</v>
      </c>
      <c r="E455" s="2"/>
      <c r="F455" s="3"/>
      <c r="G455" s="2"/>
      <c r="H455" s="4" t="str">
        <f>IF($B$439="Y","OR","...")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>
      <c r="A456" s="1" t="str">
        <f>IF($C$439="Y",'Population Definitions'!$A$2,"...")</f>
        <v>...</v>
      </c>
      <c r="B456" s="4" t="str">
        <f>IF($C$439="Y","---&gt;","...")</f>
        <v>...</v>
      </c>
      <c r="C456" s="1" t="str">
        <f>IF($C$439="Y",'Population Definitions'!$A$3,"...")</f>
        <v>...</v>
      </c>
      <c r="E456" s="2"/>
      <c r="F456" s="3"/>
      <c r="G456" s="2"/>
      <c r="H456" s="4" t="str">
        <f>IF($C$439="Y","OR","...")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>
      <c r="A457" s="1" t="str">
        <f>IF($D$439="Y",'Population Definitions'!$A$2,"...")</f>
        <v>...</v>
      </c>
      <c r="B457" s="4" t="str">
        <f>IF($D$439="Y","---&gt;","...")</f>
        <v>...</v>
      </c>
      <c r="C457" s="1" t="str">
        <f>IF($D$439="Y",'Population Definitions'!$A$4,"...")</f>
        <v>...</v>
      </c>
      <c r="E457" s="2"/>
      <c r="F457" s="3"/>
      <c r="G457" s="2"/>
      <c r="H457" s="4" t="str">
        <f>IF($D$439="Y","OR","...")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>
      <c r="A458" s="1" t="str">
        <f>IF($E$439="Y",'Population Definitions'!$A$2,"...")</f>
        <v>...</v>
      </c>
      <c r="B458" s="4" t="str">
        <f>IF($E$439="Y","---&gt;","...")</f>
        <v>...</v>
      </c>
      <c r="C458" s="1" t="str">
        <f>IF($E$439="Y",'Population Definitions'!$A$5,"...")</f>
        <v>...</v>
      </c>
      <c r="E458" s="2"/>
      <c r="F458" s="3"/>
      <c r="G458" s="2"/>
      <c r="H458" s="4" t="str">
        <f>IF($E$439="Y","OR","...")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>
      <c r="A459" s="1" t="str">
        <f>IF($F$439="Y",'Population Definitions'!$A$2,"...")</f>
        <v>...</v>
      </c>
      <c r="B459" s="4" t="str">
        <f>IF($F$439="Y","---&gt;","...")</f>
        <v>...</v>
      </c>
      <c r="C459" s="1" t="str">
        <f>IF($F$439="Y",'Population Definitions'!$A$6,"...")</f>
        <v>...</v>
      </c>
      <c r="E459" s="2"/>
      <c r="F459" s="3"/>
      <c r="G459" s="2"/>
      <c r="H459" s="4" t="str">
        <f>IF($F$439="Y","OR","...")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>
      <c r="A460" s="1" t="str">
        <f>IF($G$439="Y",'Population Definitions'!$A$2,"...")</f>
        <v>...</v>
      </c>
      <c r="B460" s="4" t="str">
        <f>IF($G$439="Y","---&gt;","...")</f>
        <v>...</v>
      </c>
      <c r="C460" s="1" t="str">
        <f>IF($G$439="Y",'Population Definitions'!$A$7,"...")</f>
        <v>...</v>
      </c>
      <c r="E460" s="2"/>
      <c r="F460" s="3"/>
      <c r="G460" s="2"/>
      <c r="H460" s="4" t="str">
        <f>IF($G$439="Y","OR","...")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>
      <c r="A461" s="1" t="str">
        <f>IF($H$439="Y",'Population Definitions'!$A$2,"...")</f>
        <v>...</v>
      </c>
      <c r="B461" s="4" t="str">
        <f>IF($H$439="Y","---&gt;","...")</f>
        <v>...</v>
      </c>
      <c r="C461" s="1" t="str">
        <f>IF($H$439="Y",'Population Definitions'!$A$8,"...")</f>
        <v>...</v>
      </c>
      <c r="E461" s="2"/>
      <c r="F461" s="3"/>
      <c r="G461" s="2"/>
      <c r="H461" s="4" t="str">
        <f>IF($H$439="Y","OR","...")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>
      <c r="A462" s="1" t="str">
        <f>IF($I$439="Y",'Population Definitions'!$A$2,"...")</f>
        <v>...</v>
      </c>
      <c r="B462" s="4" t="str">
        <f>IF($I$439="Y","---&gt;","...")</f>
        <v>...</v>
      </c>
      <c r="C462" s="1" t="str">
        <f>IF($I$439="Y",'Population Definitions'!$A$9,"...")</f>
        <v>...</v>
      </c>
      <c r="E462" s="2"/>
      <c r="F462" s="3"/>
      <c r="G462" s="2"/>
      <c r="H462" s="4" t="str">
        <f>IF($I$439="Y","OR","...")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>
      <c r="A463" s="1" t="str">
        <f>IF($J$439="Y",'Population Definitions'!$A$2,"...")</f>
        <v>...</v>
      </c>
      <c r="B463" s="4" t="str">
        <f>IF($J$439="Y","---&gt;","...")</f>
        <v>...</v>
      </c>
      <c r="C463" s="1" t="str">
        <f>IF($J$439="Y",'Population Definitions'!$A$10,"...")</f>
        <v>...</v>
      </c>
      <c r="E463" s="2"/>
      <c r="F463" s="3"/>
      <c r="G463" s="2"/>
      <c r="H463" s="4" t="str">
        <f>IF($J$439="Y","OR","...")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>
      <c r="A464" s="1" t="str">
        <f>IF($K$439="Y",'Population Definitions'!$A$2,"...")</f>
        <v>...</v>
      </c>
      <c r="B464" s="4" t="str">
        <f>IF($K$439="Y","---&gt;","...")</f>
        <v>...</v>
      </c>
      <c r="C464" s="1" t="str">
        <f>IF($K$439="Y",'Population Definitions'!$A$11,"...")</f>
        <v>...</v>
      </c>
      <c r="E464" s="2"/>
      <c r="F464" s="3"/>
      <c r="G464" s="2"/>
      <c r="H464" s="4" t="str">
        <f>IF($K$439="Y","OR","...")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>
      <c r="A465" s="1" t="str">
        <f>IF($L$439="Y",'Population Definitions'!$A$2,"...")</f>
        <v>...</v>
      </c>
      <c r="B465" s="4" t="str">
        <f>IF($L$439="Y","---&gt;","...")</f>
        <v>...</v>
      </c>
      <c r="C465" s="1" t="str">
        <f>IF($L$439="Y",'Population Definitions'!$A$12,"...")</f>
        <v>...</v>
      </c>
      <c r="E465" s="2"/>
      <c r="F465" s="3"/>
      <c r="G465" s="2"/>
      <c r="H465" s="4" t="str">
        <f>IF($L$439="Y","OR","...")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>
      <c r="A466" s="1" t="str">
        <f>IF($M$439="Y",'Population Definitions'!$A$2,"...")</f>
        <v>...</v>
      </c>
      <c r="B466" s="4" t="str">
        <f>IF($M$439="Y","---&gt;","...")</f>
        <v>...</v>
      </c>
      <c r="C466" s="1" t="str">
        <f>IF($M$439="Y",'Population Definitions'!$A$13,"...")</f>
        <v>...</v>
      </c>
      <c r="E466" s="2"/>
      <c r="F466" s="3"/>
      <c r="G466" s="2"/>
      <c r="H466" s="4" t="str">
        <f>IF($M$439="Y","OR","...")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>
      <c r="A467" s="1" t="str">
        <f>IF($N$439="Y",'Population Definitions'!$A$2,"...")</f>
        <v>PWID_males</v>
      </c>
      <c r="B467" s="4" t="str">
        <f>IF($N$439="Y","---&gt;","...")</f>
        <v>---&gt;</v>
      </c>
      <c r="C467" s="1" t="str">
        <f>IF($N$439="Y",'Population Definitions'!$A$14,"...")</f>
        <v>Prisoners_PWID_males</v>
      </c>
      <c r="E467" s="3" t="s">
        <v>55</v>
      </c>
      <c r="F467" s="3"/>
      <c r="G467" s="3">
        <v>1.364787951453228</v>
      </c>
      <c r="H467" s="4" t="str">
        <f>IF($N$439="Y","OR","...")</f>
        <v>OR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</row>
    <row r="468" spans="1:59">
      <c r="A468" s="1" t="str">
        <f>IF($O$439="Y",'Population Definitions'!$A$2,"...")</f>
        <v>...</v>
      </c>
      <c r="B468" s="4" t="str">
        <f>IF($O$439="Y","---&gt;","...")</f>
        <v>...</v>
      </c>
      <c r="C468" s="1" t="str">
        <f>IF($O$439="Y",'Population Definitions'!$A$15,"...")</f>
        <v>...</v>
      </c>
      <c r="E468" s="2"/>
      <c r="F468" s="3"/>
      <c r="G468" s="2"/>
      <c r="H468" s="4" t="str">
        <f>IF($O$439="Y","OR","...")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>
      <c r="A469" s="1" t="str">
        <f>IF($B$440="Y",'Population Definitions'!$A$3,"...")</f>
        <v>...</v>
      </c>
      <c r="B469" s="4" t="str">
        <f>IF($B$440="Y","---&gt;","...")</f>
        <v>...</v>
      </c>
      <c r="C469" s="1" t="str">
        <f>IF($B$440="Y",'Population Definitions'!$A$2,"...")</f>
        <v>...</v>
      </c>
      <c r="E469" s="2"/>
      <c r="F469" s="3"/>
      <c r="G469" s="2"/>
      <c r="H469" s="4" t="str">
        <f>IF($B$440="Y","OR","...")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>
      <c r="A470" s="1" t="str">
        <f>IF($C$440="Y",'Population Definitions'!$A$3,"...")</f>
        <v>...</v>
      </c>
      <c r="B470" s="4" t="str">
        <f>IF($C$440="Y","---&gt;","...")</f>
        <v>...</v>
      </c>
      <c r="C470" s="1" t="str">
        <f>IF($C$440="Y",'Population Definitions'!$A$3,"...")</f>
        <v>...</v>
      </c>
      <c r="E470" s="2"/>
      <c r="F470" s="3"/>
      <c r="G470" s="2"/>
      <c r="H470" s="4" t="str">
        <f>IF($C$440="Y","OR","...")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>
      <c r="A471" s="1" t="str">
        <f>IF($D$440="Y",'Population Definitions'!$A$3,"...")</f>
        <v>...</v>
      </c>
      <c r="B471" s="4" t="str">
        <f>IF($D$440="Y","---&gt;","...")</f>
        <v>...</v>
      </c>
      <c r="C471" s="1" t="str">
        <f>IF($D$440="Y",'Population Definitions'!$A$4,"...")</f>
        <v>...</v>
      </c>
      <c r="E471" s="2"/>
      <c r="F471" s="3"/>
      <c r="G471" s="2"/>
      <c r="H471" s="4" t="str">
        <f>IF($D$440="Y","OR","...")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>
      <c r="A472" s="1" t="str">
        <f>IF($E$440="Y",'Population Definitions'!$A$3,"...")</f>
        <v>...</v>
      </c>
      <c r="B472" s="4" t="str">
        <f>IF($E$440="Y","---&gt;","...")</f>
        <v>...</v>
      </c>
      <c r="C472" s="1" t="str">
        <f>IF($E$440="Y",'Population Definitions'!$A$5,"...")</f>
        <v>...</v>
      </c>
      <c r="E472" s="2"/>
      <c r="F472" s="3"/>
      <c r="G472" s="2"/>
      <c r="H472" s="4" t="str">
        <f>IF($E$440="Y","OR","...")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>
      <c r="A473" s="1" t="str">
        <f>IF($F$440="Y",'Population Definitions'!$A$3,"...")</f>
        <v>...</v>
      </c>
      <c r="B473" s="4" t="str">
        <f>IF($F$440="Y","---&gt;","...")</f>
        <v>...</v>
      </c>
      <c r="C473" s="1" t="str">
        <f>IF($F$440="Y",'Population Definitions'!$A$6,"...")</f>
        <v>...</v>
      </c>
      <c r="E473" s="2"/>
      <c r="F473" s="3"/>
      <c r="G473" s="2"/>
      <c r="H473" s="4" t="str">
        <f>IF($F$440="Y","OR","...")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>
      <c r="A474" s="1" t="str">
        <f>IF($G$440="Y",'Population Definitions'!$A$3,"...")</f>
        <v>...</v>
      </c>
      <c r="B474" s="4" t="str">
        <f>IF($G$440="Y","---&gt;","...")</f>
        <v>...</v>
      </c>
      <c r="C474" s="1" t="str">
        <f>IF($G$440="Y",'Population Definitions'!$A$7,"...")</f>
        <v>...</v>
      </c>
      <c r="E474" s="2"/>
      <c r="F474" s="3"/>
      <c r="G474" s="2"/>
      <c r="H474" s="4" t="str">
        <f>IF($G$440="Y","OR","...")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>
      <c r="A475" s="1" t="str">
        <f>IF($H$440="Y",'Population Definitions'!$A$3,"...")</f>
        <v>...</v>
      </c>
      <c r="B475" s="4" t="str">
        <f>IF($H$440="Y","---&gt;","...")</f>
        <v>...</v>
      </c>
      <c r="C475" s="1" t="str">
        <f>IF($H$440="Y",'Population Definitions'!$A$8,"...")</f>
        <v>...</v>
      </c>
      <c r="E475" s="2"/>
      <c r="F475" s="3"/>
      <c r="G475" s="2"/>
      <c r="H475" s="4" t="str">
        <f>IF($H$440="Y","OR","...")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>
      <c r="A476" s="1" t="str">
        <f>IF($I$440="Y",'Population Definitions'!$A$3,"...")</f>
        <v>...</v>
      </c>
      <c r="B476" s="4" t="str">
        <f>IF($I$440="Y","---&gt;","...")</f>
        <v>...</v>
      </c>
      <c r="C476" s="1" t="str">
        <f>IF($I$440="Y",'Population Definitions'!$A$9,"...")</f>
        <v>...</v>
      </c>
      <c r="E476" s="2"/>
      <c r="F476" s="3"/>
      <c r="G476" s="2"/>
      <c r="H476" s="4" t="str">
        <f>IF($I$440="Y","OR","...")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>
      <c r="A477" s="1" t="str">
        <f>IF($J$440="Y",'Population Definitions'!$A$3,"...")</f>
        <v>...</v>
      </c>
      <c r="B477" s="4" t="str">
        <f>IF($J$440="Y","---&gt;","...")</f>
        <v>...</v>
      </c>
      <c r="C477" s="1" t="str">
        <f>IF($J$440="Y",'Population Definitions'!$A$10,"...")</f>
        <v>...</v>
      </c>
      <c r="E477" s="2"/>
      <c r="F477" s="3"/>
      <c r="G477" s="2"/>
      <c r="H477" s="4" t="str">
        <f>IF($J$440="Y","OR","...")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>
      <c r="A478" s="1" t="str">
        <f>IF($K$440="Y",'Population Definitions'!$A$3,"...")</f>
        <v>...</v>
      </c>
      <c r="B478" s="4" t="str">
        <f>IF($K$440="Y","---&gt;","...")</f>
        <v>...</v>
      </c>
      <c r="C478" s="1" t="str">
        <f>IF($K$440="Y",'Population Definitions'!$A$11,"...")</f>
        <v>...</v>
      </c>
      <c r="E478" s="2"/>
      <c r="F478" s="3"/>
      <c r="G478" s="2"/>
      <c r="H478" s="4" t="str">
        <f>IF($K$440="Y","OR","...")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>
      <c r="A479" s="1" t="str">
        <f>IF($L$440="Y",'Population Definitions'!$A$3,"...")</f>
        <v>...</v>
      </c>
      <c r="B479" s="4" t="str">
        <f>IF($L$440="Y","---&gt;","...")</f>
        <v>...</v>
      </c>
      <c r="C479" s="1" t="str">
        <f>IF($L$440="Y",'Population Definitions'!$A$12,"...")</f>
        <v>...</v>
      </c>
      <c r="E479" s="2"/>
      <c r="F479" s="3"/>
      <c r="G479" s="2"/>
      <c r="H479" s="4" t="str">
        <f>IF($L$440="Y","OR","...")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>
      <c r="A480" s="1" t="str">
        <f>IF($M$440="Y",'Population Definitions'!$A$3,"...")</f>
        <v>...</v>
      </c>
      <c r="B480" s="4" t="str">
        <f>IF($M$440="Y","---&gt;","...")</f>
        <v>...</v>
      </c>
      <c r="C480" s="1" t="str">
        <f>IF($M$440="Y",'Population Definitions'!$A$13,"...")</f>
        <v>...</v>
      </c>
      <c r="E480" s="2"/>
      <c r="F480" s="3"/>
      <c r="G480" s="2"/>
      <c r="H480" s="4" t="str">
        <f>IF($M$440="Y","OR","...")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>
      <c r="A481" s="1" t="str">
        <f>IF($N$440="Y",'Population Definitions'!$A$3,"...")</f>
        <v>...</v>
      </c>
      <c r="B481" s="4" t="str">
        <f>IF($N$440="Y","---&gt;","...")</f>
        <v>...</v>
      </c>
      <c r="C481" s="1" t="str">
        <f>IF($N$440="Y",'Population Definitions'!$A$14,"...")</f>
        <v>...</v>
      </c>
      <c r="E481" s="2"/>
      <c r="F481" s="3"/>
      <c r="G481" s="2"/>
      <c r="H481" s="4" t="str">
        <f>IF($N$440="Y","OR","...")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>
      <c r="A482" s="1" t="str">
        <f>IF($O$440="Y",'Population Definitions'!$A$3,"...")</f>
        <v>PWID_females</v>
      </c>
      <c r="B482" s="4" t="str">
        <f>IF($O$440="Y","---&gt;","...")</f>
        <v>---&gt;</v>
      </c>
      <c r="C482" s="1" t="str">
        <f>IF($O$440="Y",'Population Definitions'!$A$15,"...")</f>
        <v>Prisoners_PWID_females</v>
      </c>
      <c r="E482" s="3" t="s">
        <v>55</v>
      </c>
      <c r="F482" s="3"/>
      <c r="G482" s="3">
        <v>0.05280425681511845</v>
      </c>
      <c r="H482" s="4" t="str">
        <f>IF($O$440="Y","OR","...")</f>
        <v>OR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</row>
    <row r="483" spans="1:59">
      <c r="A483" s="1" t="str">
        <f>IF($B$441="Y",'Population Definitions'!$A$4,"...")</f>
        <v>...</v>
      </c>
      <c r="B483" s="4" t="str">
        <f>IF($B$441="Y","---&gt;","...")</f>
        <v>...</v>
      </c>
      <c r="C483" s="1" t="str">
        <f>IF($B$441="Y",'Population Definitions'!$A$2,"...")</f>
        <v>...</v>
      </c>
      <c r="E483" s="2"/>
      <c r="F483" s="3"/>
      <c r="G483" s="2"/>
      <c r="H483" s="4" t="str">
        <f>IF($B$441="Y","OR","...")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>
      <c r="A484" s="1" t="str">
        <f>IF($C$441="Y",'Population Definitions'!$A$4,"...")</f>
        <v>...</v>
      </c>
      <c r="B484" s="4" t="str">
        <f>IF($C$441="Y","---&gt;","...")</f>
        <v>...</v>
      </c>
      <c r="C484" s="1" t="str">
        <f>IF($C$441="Y",'Population Definitions'!$A$3,"...")</f>
        <v>...</v>
      </c>
      <c r="E484" s="2"/>
      <c r="F484" s="3"/>
      <c r="G484" s="2"/>
      <c r="H484" s="4" t="str">
        <f>IF($C$441="Y","OR","...")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>
      <c r="A485" s="1" t="str">
        <f>IF($D$441="Y",'Population Definitions'!$A$4,"...")</f>
        <v>...</v>
      </c>
      <c r="B485" s="4" t="str">
        <f>IF($D$441="Y","---&gt;","...")</f>
        <v>...</v>
      </c>
      <c r="C485" s="1" t="str">
        <f>IF($D$441="Y",'Population Definitions'!$A$4,"...")</f>
        <v>...</v>
      </c>
      <c r="E485" s="2"/>
      <c r="F485" s="3"/>
      <c r="G485" s="2"/>
      <c r="H485" s="4" t="str">
        <f>IF($D$441="Y","OR","...")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>
      <c r="A486" s="1" t="str">
        <f>IF($E$441="Y",'Population Definitions'!$A$4,"...")</f>
        <v>...</v>
      </c>
      <c r="B486" s="4" t="str">
        <f>IF($E$441="Y","---&gt;","...")</f>
        <v>...</v>
      </c>
      <c r="C486" s="1" t="str">
        <f>IF($E$441="Y",'Population Definitions'!$A$5,"...")</f>
        <v>...</v>
      </c>
      <c r="E486" s="2"/>
      <c r="F486" s="3"/>
      <c r="G486" s="2"/>
      <c r="H486" s="4" t="str">
        <f>IF($E$441="Y","OR","...")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>
      <c r="A487" s="1" t="str">
        <f>IF($F$441="Y",'Population Definitions'!$A$4,"...")</f>
        <v>...</v>
      </c>
      <c r="B487" s="4" t="str">
        <f>IF($F$441="Y","---&gt;","...")</f>
        <v>...</v>
      </c>
      <c r="C487" s="1" t="str">
        <f>IF($F$441="Y",'Population Definitions'!$A$6,"...")</f>
        <v>...</v>
      </c>
      <c r="E487" s="2"/>
      <c r="F487" s="3"/>
      <c r="G487" s="2"/>
      <c r="H487" s="4" t="str">
        <f>IF($F$441="Y","OR","...")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>
      <c r="A488" s="1" t="str">
        <f>IF($G$441="Y",'Population Definitions'!$A$4,"...")</f>
        <v>...</v>
      </c>
      <c r="B488" s="4" t="str">
        <f>IF($G$441="Y","---&gt;","...")</f>
        <v>...</v>
      </c>
      <c r="C488" s="1" t="str">
        <f>IF($G$441="Y",'Population Definitions'!$A$7,"...")</f>
        <v>...</v>
      </c>
      <c r="E488" s="2"/>
      <c r="F488" s="3"/>
      <c r="G488" s="2"/>
      <c r="H488" s="4" t="str">
        <f>IF($G$441="Y","OR","...")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>
      <c r="A489" s="1" t="str">
        <f>IF($H$441="Y",'Population Definitions'!$A$4,"...")</f>
        <v>...</v>
      </c>
      <c r="B489" s="4" t="str">
        <f>IF($H$441="Y","---&gt;","...")</f>
        <v>...</v>
      </c>
      <c r="C489" s="1" t="str">
        <f>IF($H$441="Y",'Population Definitions'!$A$8,"...")</f>
        <v>...</v>
      </c>
      <c r="E489" s="2"/>
      <c r="F489" s="3"/>
      <c r="G489" s="2"/>
      <c r="H489" s="4" t="str">
        <f>IF($H$441="Y","OR","...")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>
      <c r="A490" s="1" t="str">
        <f>IF($I$441="Y",'Population Definitions'!$A$4,"...")</f>
        <v>...</v>
      </c>
      <c r="B490" s="4" t="str">
        <f>IF($I$441="Y","---&gt;","...")</f>
        <v>...</v>
      </c>
      <c r="C490" s="1" t="str">
        <f>IF($I$441="Y",'Population Definitions'!$A$9,"...")</f>
        <v>...</v>
      </c>
      <c r="E490" s="2"/>
      <c r="F490" s="3"/>
      <c r="G490" s="2"/>
      <c r="H490" s="4" t="str">
        <f>IF($I$441="Y","OR","...")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>
      <c r="A491" s="1" t="str">
        <f>IF($J$441="Y",'Population Definitions'!$A$4,"...")</f>
        <v>...</v>
      </c>
      <c r="B491" s="4" t="str">
        <f>IF($J$441="Y","---&gt;","...")</f>
        <v>...</v>
      </c>
      <c r="C491" s="1" t="str">
        <f>IF($J$441="Y",'Population Definitions'!$A$10,"...")</f>
        <v>...</v>
      </c>
      <c r="E491" s="2"/>
      <c r="F491" s="3"/>
      <c r="G491" s="2"/>
      <c r="H491" s="4" t="str">
        <f>IF($J$441="Y","OR","...")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>
      <c r="A492" s="1" t="str">
        <f>IF($K$441="Y",'Population Definitions'!$A$4,"...")</f>
        <v>...</v>
      </c>
      <c r="B492" s="4" t="str">
        <f>IF($K$441="Y","---&gt;","...")</f>
        <v>...</v>
      </c>
      <c r="C492" s="1" t="str">
        <f>IF($K$441="Y",'Population Definitions'!$A$11,"...")</f>
        <v>...</v>
      </c>
      <c r="E492" s="2"/>
      <c r="F492" s="3"/>
      <c r="G492" s="2"/>
      <c r="H492" s="4" t="str">
        <f>IF($K$441="Y","OR","...")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>
      <c r="A493" s="1" t="str">
        <f>IF($L$441="Y",'Population Definitions'!$A$4,"...")</f>
        <v>...</v>
      </c>
      <c r="B493" s="4" t="str">
        <f>IF($L$441="Y","---&gt;","...")</f>
        <v>...</v>
      </c>
      <c r="C493" s="1" t="str">
        <f>IF($L$441="Y",'Population Definitions'!$A$12,"...")</f>
        <v>...</v>
      </c>
      <c r="E493" s="2"/>
      <c r="F493" s="3"/>
      <c r="G493" s="2"/>
      <c r="H493" s="4" t="str">
        <f>IF($L$441="Y","OR","...")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>
      <c r="A494" s="1" t="str">
        <f>IF($M$441="Y",'Population Definitions'!$A$4,"...")</f>
        <v>...</v>
      </c>
      <c r="B494" s="4" t="str">
        <f>IF($M$441="Y","---&gt;","...")</f>
        <v>...</v>
      </c>
      <c r="C494" s="1" t="str">
        <f>IF($M$441="Y",'Population Definitions'!$A$13,"...")</f>
        <v>...</v>
      </c>
      <c r="E494" s="2"/>
      <c r="F494" s="3"/>
      <c r="G494" s="2"/>
      <c r="H494" s="4" t="str">
        <f>IF($M$441="Y","OR","...")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>
      <c r="A495" s="1" t="str">
        <f>IF($N$441="Y",'Population Definitions'!$A$4,"...")</f>
        <v>...</v>
      </c>
      <c r="B495" s="4" t="str">
        <f>IF($N$441="Y","---&gt;","...")</f>
        <v>...</v>
      </c>
      <c r="C495" s="1" t="str">
        <f>IF($N$441="Y",'Population Definitions'!$A$14,"...")</f>
        <v>...</v>
      </c>
      <c r="E495" s="2"/>
      <c r="F495" s="3"/>
      <c r="G495" s="2"/>
      <c r="H495" s="4" t="str">
        <f>IF($N$441="Y","OR","...")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>
      <c r="A496" s="1" t="str">
        <f>IF($O$441="Y",'Population Definitions'!$A$4,"...")</f>
        <v>...</v>
      </c>
      <c r="B496" s="4" t="str">
        <f>IF($O$441="Y","---&gt;","...")</f>
        <v>...</v>
      </c>
      <c r="C496" s="1" t="str">
        <f>IF($O$441="Y",'Population Definitions'!$A$15,"...")</f>
        <v>...</v>
      </c>
      <c r="E496" s="2"/>
      <c r="F496" s="3"/>
      <c r="G496" s="2"/>
      <c r="H496" s="4" t="str">
        <f>IF($O$441="Y","OR","...")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>
      <c r="A497" s="1" t="str">
        <f>IF($B$442="Y",'Population Definitions'!$A$5,"...")</f>
        <v>...</v>
      </c>
      <c r="B497" s="4" t="str">
        <f>IF($B$442="Y","---&gt;","...")</f>
        <v>...</v>
      </c>
      <c r="C497" s="1" t="str">
        <f>IF($B$442="Y",'Population Definitions'!$A$2,"...")</f>
        <v>...</v>
      </c>
      <c r="E497" s="2"/>
      <c r="F497" s="3"/>
      <c r="G497" s="2"/>
      <c r="H497" s="4" t="str">
        <f>IF($B$442="Y","OR","...")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>
      <c r="A498" s="1" t="str">
        <f>IF($C$442="Y",'Population Definitions'!$A$5,"...")</f>
        <v>...</v>
      </c>
      <c r="B498" s="4" t="str">
        <f>IF($C$442="Y","---&gt;","...")</f>
        <v>...</v>
      </c>
      <c r="C498" s="1" t="str">
        <f>IF($C$442="Y",'Population Definitions'!$A$3,"...")</f>
        <v>...</v>
      </c>
      <c r="E498" s="2"/>
      <c r="F498" s="3"/>
      <c r="G498" s="2"/>
      <c r="H498" s="4" t="str">
        <f>IF($C$442="Y","OR","...")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>
      <c r="A499" s="1" t="str">
        <f>IF($D$442="Y",'Population Definitions'!$A$5,"...")</f>
        <v>...</v>
      </c>
      <c r="B499" s="4" t="str">
        <f>IF($D$442="Y","---&gt;","...")</f>
        <v>...</v>
      </c>
      <c r="C499" s="1" t="str">
        <f>IF($D$442="Y",'Population Definitions'!$A$4,"...")</f>
        <v>...</v>
      </c>
      <c r="E499" s="2"/>
      <c r="F499" s="3"/>
      <c r="G499" s="2"/>
      <c r="H499" s="4" t="str">
        <f>IF($D$442="Y","OR","...")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>
      <c r="A500" s="1" t="str">
        <f>IF($E$442="Y",'Population Definitions'!$A$5,"...")</f>
        <v>...</v>
      </c>
      <c r="B500" s="4" t="str">
        <f>IF($E$442="Y","---&gt;","...")</f>
        <v>...</v>
      </c>
      <c r="C500" s="1" t="str">
        <f>IF($E$442="Y",'Population Definitions'!$A$5,"...")</f>
        <v>...</v>
      </c>
      <c r="E500" s="2"/>
      <c r="F500" s="3"/>
      <c r="G500" s="2"/>
      <c r="H500" s="4" t="str">
        <f>IF($E$442="Y","OR","...")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>
      <c r="A501" s="1" t="str">
        <f>IF($F$442="Y",'Population Definitions'!$A$5,"...")</f>
        <v>...</v>
      </c>
      <c r="B501" s="4" t="str">
        <f>IF($F$442="Y","---&gt;","...")</f>
        <v>...</v>
      </c>
      <c r="C501" s="1" t="str">
        <f>IF($F$442="Y",'Population Definitions'!$A$6,"...")</f>
        <v>...</v>
      </c>
      <c r="E501" s="2"/>
      <c r="F501" s="3"/>
      <c r="G501" s="2"/>
      <c r="H501" s="4" t="str">
        <f>IF($F$442="Y","OR","...")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>
      <c r="A502" s="1" t="str">
        <f>IF($G$442="Y",'Population Definitions'!$A$5,"...")</f>
        <v>...</v>
      </c>
      <c r="B502" s="4" t="str">
        <f>IF($G$442="Y","---&gt;","...")</f>
        <v>...</v>
      </c>
      <c r="C502" s="1" t="str">
        <f>IF($G$442="Y",'Population Definitions'!$A$7,"...")</f>
        <v>...</v>
      </c>
      <c r="E502" s="2"/>
      <c r="F502" s="3"/>
      <c r="G502" s="2"/>
      <c r="H502" s="4" t="str">
        <f>IF($G$442="Y","OR","...")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>
      <c r="A503" s="1" t="str">
        <f>IF($H$442="Y",'Population Definitions'!$A$5,"...")</f>
        <v>...</v>
      </c>
      <c r="B503" s="4" t="str">
        <f>IF($H$442="Y","---&gt;","...")</f>
        <v>...</v>
      </c>
      <c r="C503" s="1" t="str">
        <f>IF($H$442="Y",'Population Definitions'!$A$8,"...")</f>
        <v>...</v>
      </c>
      <c r="E503" s="2"/>
      <c r="F503" s="3"/>
      <c r="G503" s="2"/>
      <c r="H503" s="4" t="str">
        <f>IF($H$442="Y","OR","...")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>
      <c r="A504" s="1" t="str">
        <f>IF($I$442="Y",'Population Definitions'!$A$5,"...")</f>
        <v>...</v>
      </c>
      <c r="B504" s="4" t="str">
        <f>IF($I$442="Y","---&gt;","...")</f>
        <v>...</v>
      </c>
      <c r="C504" s="1" t="str">
        <f>IF($I$442="Y",'Population Definitions'!$A$9,"...")</f>
        <v>...</v>
      </c>
      <c r="E504" s="2"/>
      <c r="F504" s="3"/>
      <c r="G504" s="2"/>
      <c r="H504" s="4" t="str">
        <f>IF($I$442="Y","OR","...")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>
      <c r="A505" s="1" t="str">
        <f>IF($J$442="Y",'Population Definitions'!$A$5,"...")</f>
        <v>...</v>
      </c>
      <c r="B505" s="4" t="str">
        <f>IF($J$442="Y","---&gt;","...")</f>
        <v>...</v>
      </c>
      <c r="C505" s="1" t="str">
        <f>IF($J$442="Y",'Population Definitions'!$A$10,"...")</f>
        <v>...</v>
      </c>
      <c r="E505" s="2"/>
      <c r="F505" s="3"/>
      <c r="G505" s="2"/>
      <c r="H505" s="4" t="str">
        <f>IF($J$442="Y","OR","...")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>
      <c r="A506" s="1" t="str">
        <f>IF($K$442="Y",'Population Definitions'!$A$5,"...")</f>
        <v>...</v>
      </c>
      <c r="B506" s="4" t="str">
        <f>IF($K$442="Y","---&gt;","...")</f>
        <v>...</v>
      </c>
      <c r="C506" s="1" t="str">
        <f>IF($K$442="Y",'Population Definitions'!$A$11,"...")</f>
        <v>...</v>
      </c>
      <c r="E506" s="2"/>
      <c r="F506" s="3"/>
      <c r="G506" s="2"/>
      <c r="H506" s="4" t="str">
        <f>IF($K$442="Y","OR","...")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>
      <c r="A507" s="1" t="str">
        <f>IF($L$442="Y",'Population Definitions'!$A$5,"...")</f>
        <v>...</v>
      </c>
      <c r="B507" s="4" t="str">
        <f>IF($L$442="Y","---&gt;","...")</f>
        <v>...</v>
      </c>
      <c r="C507" s="1" t="str">
        <f>IF($L$442="Y",'Population Definitions'!$A$12,"...")</f>
        <v>...</v>
      </c>
      <c r="E507" s="2"/>
      <c r="F507" s="3"/>
      <c r="G507" s="2"/>
      <c r="H507" s="4" t="str">
        <f>IF($L$442="Y","OR","...")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>
      <c r="A508" s="1" t="str">
        <f>IF($M$442="Y",'Population Definitions'!$A$5,"...")</f>
        <v>...</v>
      </c>
      <c r="B508" s="4" t="str">
        <f>IF($M$442="Y","---&gt;","...")</f>
        <v>...</v>
      </c>
      <c r="C508" s="1" t="str">
        <f>IF($M$442="Y",'Population Definitions'!$A$13,"...")</f>
        <v>...</v>
      </c>
      <c r="E508" s="2"/>
      <c r="F508" s="3"/>
      <c r="G508" s="2"/>
      <c r="H508" s="4" t="str">
        <f>IF($M$442="Y","OR","...")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>
      <c r="A509" s="1" t="str">
        <f>IF($N$442="Y",'Population Definitions'!$A$5,"...")</f>
        <v>...</v>
      </c>
      <c r="B509" s="4" t="str">
        <f>IF($N$442="Y","---&gt;","...")</f>
        <v>...</v>
      </c>
      <c r="C509" s="1" t="str">
        <f>IF($N$442="Y",'Population Definitions'!$A$14,"...")</f>
        <v>...</v>
      </c>
      <c r="E509" s="2"/>
      <c r="F509" s="3"/>
      <c r="G509" s="2"/>
      <c r="H509" s="4" t="str">
        <f>IF($N$442="Y","OR","...")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>
      <c r="A510" s="1" t="str">
        <f>IF($O$442="Y",'Population Definitions'!$A$5,"...")</f>
        <v>...</v>
      </c>
      <c r="B510" s="4" t="str">
        <f>IF($O$442="Y","---&gt;","...")</f>
        <v>...</v>
      </c>
      <c r="C510" s="1" t="str">
        <f>IF($O$442="Y",'Population Definitions'!$A$15,"...")</f>
        <v>...</v>
      </c>
      <c r="E510" s="2"/>
      <c r="F510" s="3"/>
      <c r="G510" s="2"/>
      <c r="H510" s="4" t="str">
        <f>IF($O$442="Y","OR","...")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>
      <c r="A511" s="1" t="str">
        <f>IF($B$443="Y",'Population Definitions'!$A$6,"...")</f>
        <v>...</v>
      </c>
      <c r="B511" s="4" t="str">
        <f>IF($B$443="Y","---&gt;","...")</f>
        <v>...</v>
      </c>
      <c r="C511" s="1" t="str">
        <f>IF($B$443="Y",'Population Definitions'!$A$2,"...")</f>
        <v>...</v>
      </c>
      <c r="E511" s="2"/>
      <c r="F511" s="3"/>
      <c r="G511" s="2"/>
      <c r="H511" s="4" t="str">
        <f>IF($B$443="Y","OR","...")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>
      <c r="A512" s="1" t="str">
        <f>IF($C$443="Y",'Population Definitions'!$A$6,"...")</f>
        <v>...</v>
      </c>
      <c r="B512" s="4" t="str">
        <f>IF($C$443="Y","---&gt;","...")</f>
        <v>...</v>
      </c>
      <c r="C512" s="1" t="str">
        <f>IF($C$443="Y",'Population Definitions'!$A$3,"...")</f>
        <v>...</v>
      </c>
      <c r="E512" s="2"/>
      <c r="F512" s="3"/>
      <c r="G512" s="2"/>
      <c r="H512" s="4" t="str">
        <f>IF($C$443="Y","OR","...")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>
      <c r="A513" s="1" t="str">
        <f>IF($D$443="Y",'Population Definitions'!$A$6,"...")</f>
        <v>...</v>
      </c>
      <c r="B513" s="4" t="str">
        <f>IF($D$443="Y","---&gt;","...")</f>
        <v>...</v>
      </c>
      <c r="C513" s="1" t="str">
        <f>IF($D$443="Y",'Population Definitions'!$A$4,"...")</f>
        <v>...</v>
      </c>
      <c r="E513" s="2"/>
      <c r="F513" s="3"/>
      <c r="G513" s="2"/>
      <c r="H513" s="4" t="str">
        <f>IF($D$443="Y","OR","...")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>
      <c r="A514" s="1" t="str">
        <f>IF($E$443="Y",'Population Definitions'!$A$6,"...")</f>
        <v>...</v>
      </c>
      <c r="B514" s="4" t="str">
        <f>IF($E$443="Y","---&gt;","...")</f>
        <v>...</v>
      </c>
      <c r="C514" s="1" t="str">
        <f>IF($E$443="Y",'Population Definitions'!$A$5,"...")</f>
        <v>...</v>
      </c>
      <c r="E514" s="2"/>
      <c r="F514" s="3"/>
      <c r="G514" s="2"/>
      <c r="H514" s="4" t="str">
        <f>IF($E$443="Y","OR","...")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>
      <c r="A515" s="1" t="str">
        <f>IF($F$443="Y",'Population Definitions'!$A$6,"...")</f>
        <v>...</v>
      </c>
      <c r="B515" s="4" t="str">
        <f>IF($F$443="Y","---&gt;","...")</f>
        <v>...</v>
      </c>
      <c r="C515" s="1" t="str">
        <f>IF($F$443="Y",'Population Definitions'!$A$6,"...")</f>
        <v>...</v>
      </c>
      <c r="E515" s="2"/>
      <c r="F515" s="3"/>
      <c r="G515" s="2"/>
      <c r="H515" s="4" t="str">
        <f>IF($F$443="Y","OR","...")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>
      <c r="A516" s="1" t="str">
        <f>IF($G$443="Y",'Population Definitions'!$A$6,"...")</f>
        <v>...</v>
      </c>
      <c r="B516" s="4" t="str">
        <f>IF($G$443="Y","---&gt;","...")</f>
        <v>...</v>
      </c>
      <c r="C516" s="1" t="str">
        <f>IF($G$443="Y",'Population Definitions'!$A$7,"...")</f>
        <v>...</v>
      </c>
      <c r="E516" s="2"/>
      <c r="F516" s="3"/>
      <c r="G516" s="2"/>
      <c r="H516" s="4" t="str">
        <f>IF($G$443="Y","OR","...")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>
      <c r="A517" s="1" t="str">
        <f>IF($H$443="Y",'Population Definitions'!$A$6,"...")</f>
        <v>...</v>
      </c>
      <c r="B517" s="4" t="str">
        <f>IF($H$443="Y","---&gt;","...")</f>
        <v>...</v>
      </c>
      <c r="C517" s="1" t="str">
        <f>IF($H$443="Y",'Population Definitions'!$A$8,"...")</f>
        <v>...</v>
      </c>
      <c r="E517" s="2"/>
      <c r="F517" s="3"/>
      <c r="G517" s="2"/>
      <c r="H517" s="4" t="str">
        <f>IF($H$443="Y","OR","...")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>
      <c r="A518" s="1" t="str">
        <f>IF($I$443="Y",'Population Definitions'!$A$6,"...")</f>
        <v>...</v>
      </c>
      <c r="B518" s="4" t="str">
        <f>IF($I$443="Y","---&gt;","...")</f>
        <v>...</v>
      </c>
      <c r="C518" s="1" t="str">
        <f>IF($I$443="Y",'Population Definitions'!$A$9,"...")</f>
        <v>...</v>
      </c>
      <c r="E518" s="2"/>
      <c r="F518" s="3"/>
      <c r="G518" s="2"/>
      <c r="H518" s="4" t="str">
        <f>IF($I$443="Y","OR","...")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>
      <c r="A519" s="1" t="str">
        <f>IF($J$443="Y",'Population Definitions'!$A$6,"...")</f>
        <v>...</v>
      </c>
      <c r="B519" s="4" t="str">
        <f>IF($J$443="Y","---&gt;","...")</f>
        <v>...</v>
      </c>
      <c r="C519" s="1" t="str">
        <f>IF($J$443="Y",'Population Definitions'!$A$10,"...")</f>
        <v>...</v>
      </c>
      <c r="E519" s="2"/>
      <c r="F519" s="3"/>
      <c r="G519" s="2"/>
      <c r="H519" s="4" t="str">
        <f>IF($J$443="Y","OR","...")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>
      <c r="A520" s="1" t="str">
        <f>IF($K$443="Y",'Population Definitions'!$A$6,"...")</f>
        <v>...</v>
      </c>
      <c r="B520" s="4" t="str">
        <f>IF($K$443="Y","---&gt;","...")</f>
        <v>...</v>
      </c>
      <c r="C520" s="1" t="str">
        <f>IF($K$443="Y",'Population Definitions'!$A$11,"...")</f>
        <v>...</v>
      </c>
      <c r="E520" s="2"/>
      <c r="F520" s="3"/>
      <c r="G520" s="2"/>
      <c r="H520" s="4" t="str">
        <f>IF($K$443="Y","OR","...")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>
      <c r="A521" s="1" t="str">
        <f>IF($L$443="Y",'Population Definitions'!$A$6,"...")</f>
        <v>...</v>
      </c>
      <c r="B521" s="4" t="str">
        <f>IF($L$443="Y","---&gt;","...")</f>
        <v>...</v>
      </c>
      <c r="C521" s="1" t="str">
        <f>IF($L$443="Y",'Population Definitions'!$A$12,"...")</f>
        <v>...</v>
      </c>
      <c r="E521" s="2"/>
      <c r="F521" s="3"/>
      <c r="G521" s="2"/>
      <c r="H521" s="4" t="str">
        <f>IF($L$443="Y","OR","...")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>
      <c r="A522" s="1" t="str">
        <f>IF($M$443="Y",'Population Definitions'!$A$6,"...")</f>
        <v>...</v>
      </c>
      <c r="B522" s="4" t="str">
        <f>IF($M$443="Y","---&gt;","...")</f>
        <v>...</v>
      </c>
      <c r="C522" s="1" t="str">
        <f>IF($M$443="Y",'Population Definitions'!$A$13,"...")</f>
        <v>...</v>
      </c>
      <c r="E522" s="2"/>
      <c r="F522" s="3"/>
      <c r="G522" s="2"/>
      <c r="H522" s="4" t="str">
        <f>IF($M$443="Y","OR","...")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>
      <c r="A523" s="1" t="str">
        <f>IF($N$443="Y",'Population Definitions'!$A$6,"...")</f>
        <v>...</v>
      </c>
      <c r="B523" s="4" t="str">
        <f>IF($N$443="Y","---&gt;","...")</f>
        <v>...</v>
      </c>
      <c r="C523" s="1" t="str">
        <f>IF($N$443="Y",'Population Definitions'!$A$14,"...")</f>
        <v>...</v>
      </c>
      <c r="E523" s="2"/>
      <c r="F523" s="3"/>
      <c r="G523" s="2"/>
      <c r="H523" s="4" t="str">
        <f>IF($N$443="Y","OR","...")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>
      <c r="A524" s="1" t="str">
        <f>IF($O$443="Y",'Population Definitions'!$A$6,"...")</f>
        <v>...</v>
      </c>
      <c r="B524" s="4" t="str">
        <f>IF($O$443="Y","---&gt;","...")</f>
        <v>...</v>
      </c>
      <c r="C524" s="1" t="str">
        <f>IF($O$443="Y",'Population Definitions'!$A$15,"...")</f>
        <v>...</v>
      </c>
      <c r="E524" s="2"/>
      <c r="F524" s="3"/>
      <c r="G524" s="2"/>
      <c r="H524" s="4" t="str">
        <f>IF($O$443="Y","OR","...")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>
      <c r="A525" s="1" t="str">
        <f>IF($B$444="Y",'Population Definitions'!$A$7,"...")</f>
        <v>...</v>
      </c>
      <c r="B525" s="4" t="str">
        <f>IF($B$444="Y","---&gt;","...")</f>
        <v>...</v>
      </c>
      <c r="C525" s="1" t="str">
        <f>IF($B$444="Y",'Population Definitions'!$A$2,"...")</f>
        <v>...</v>
      </c>
      <c r="E525" s="2"/>
      <c r="F525" s="3"/>
      <c r="G525" s="2"/>
      <c r="H525" s="4" t="str">
        <f>IF($B$444="Y","OR","...")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>
      <c r="A526" s="1" t="str">
        <f>IF($C$444="Y",'Population Definitions'!$A$7,"...")</f>
        <v>...</v>
      </c>
      <c r="B526" s="4" t="str">
        <f>IF($C$444="Y","---&gt;","...")</f>
        <v>...</v>
      </c>
      <c r="C526" s="1" t="str">
        <f>IF($C$444="Y",'Population Definitions'!$A$3,"...")</f>
        <v>...</v>
      </c>
      <c r="E526" s="2"/>
      <c r="F526" s="3"/>
      <c r="G526" s="2"/>
      <c r="H526" s="4" t="str">
        <f>IF($C$444="Y","OR","...")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>
      <c r="A527" s="1" t="str">
        <f>IF($D$444="Y",'Population Definitions'!$A$7,"...")</f>
        <v>...</v>
      </c>
      <c r="B527" s="4" t="str">
        <f>IF($D$444="Y","---&gt;","...")</f>
        <v>...</v>
      </c>
      <c r="C527" s="1" t="str">
        <f>IF($D$444="Y",'Population Definitions'!$A$4,"...")</f>
        <v>...</v>
      </c>
      <c r="E527" s="2"/>
      <c r="F527" s="3"/>
      <c r="G527" s="2"/>
      <c r="H527" s="4" t="str">
        <f>IF($D$444="Y","OR","...")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>
      <c r="A528" s="1" t="str">
        <f>IF($E$444="Y",'Population Definitions'!$A$7,"...")</f>
        <v>...</v>
      </c>
      <c r="B528" s="4" t="str">
        <f>IF($E$444="Y","---&gt;","...")</f>
        <v>...</v>
      </c>
      <c r="C528" s="1" t="str">
        <f>IF($E$444="Y",'Population Definitions'!$A$5,"...")</f>
        <v>...</v>
      </c>
      <c r="E528" s="2"/>
      <c r="F528" s="3"/>
      <c r="G528" s="2"/>
      <c r="H528" s="4" t="str">
        <f>IF($E$444="Y","OR","...")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>
      <c r="A529" s="1" t="str">
        <f>IF($F$444="Y",'Population Definitions'!$A$7,"...")</f>
        <v>...</v>
      </c>
      <c r="B529" s="4" t="str">
        <f>IF($F$444="Y","---&gt;","...")</f>
        <v>...</v>
      </c>
      <c r="C529" s="1" t="str">
        <f>IF($F$444="Y",'Population Definitions'!$A$6,"...")</f>
        <v>...</v>
      </c>
      <c r="E529" s="2"/>
      <c r="F529" s="3"/>
      <c r="G529" s="2"/>
      <c r="H529" s="4" t="str">
        <f>IF($F$444="Y","OR","...")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>
      <c r="A530" s="1" t="str">
        <f>IF($G$444="Y",'Population Definitions'!$A$7,"...")</f>
        <v>...</v>
      </c>
      <c r="B530" s="4" t="str">
        <f>IF($G$444="Y","---&gt;","...")</f>
        <v>...</v>
      </c>
      <c r="C530" s="1" t="str">
        <f>IF($G$444="Y",'Population Definitions'!$A$7,"...")</f>
        <v>...</v>
      </c>
      <c r="E530" s="2"/>
      <c r="F530" s="3"/>
      <c r="G530" s="2"/>
      <c r="H530" s="4" t="str">
        <f>IF($G$444="Y","OR","...")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>
      <c r="A531" s="1" t="str">
        <f>IF($H$444="Y",'Population Definitions'!$A$7,"...")</f>
        <v>...</v>
      </c>
      <c r="B531" s="4" t="str">
        <f>IF($H$444="Y","---&gt;","...")</f>
        <v>...</v>
      </c>
      <c r="C531" s="1" t="str">
        <f>IF($H$444="Y",'Population Definitions'!$A$8,"...")</f>
        <v>...</v>
      </c>
      <c r="E531" s="2"/>
      <c r="F531" s="3"/>
      <c r="G531" s="2"/>
      <c r="H531" s="4" t="str">
        <f>IF($H$444="Y","OR","...")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>
      <c r="A532" s="1" t="str">
        <f>IF($I$444="Y",'Population Definitions'!$A$7,"...")</f>
        <v>...</v>
      </c>
      <c r="B532" s="4" t="str">
        <f>IF($I$444="Y","---&gt;","...")</f>
        <v>...</v>
      </c>
      <c r="C532" s="1" t="str">
        <f>IF($I$444="Y",'Population Definitions'!$A$9,"...")</f>
        <v>...</v>
      </c>
      <c r="E532" s="2"/>
      <c r="F532" s="3"/>
      <c r="G532" s="2"/>
      <c r="H532" s="4" t="str">
        <f>IF($I$444="Y","OR","...")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>
      <c r="A533" s="1" t="str">
        <f>IF($J$444="Y",'Population Definitions'!$A$7,"...")</f>
        <v>...</v>
      </c>
      <c r="B533" s="4" t="str">
        <f>IF($J$444="Y","---&gt;","...")</f>
        <v>...</v>
      </c>
      <c r="C533" s="1" t="str">
        <f>IF($J$444="Y",'Population Definitions'!$A$10,"...")</f>
        <v>...</v>
      </c>
      <c r="E533" s="2"/>
      <c r="F533" s="3"/>
      <c r="G533" s="2"/>
      <c r="H533" s="4" t="str">
        <f>IF($J$444="Y","OR","...")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>
      <c r="A534" s="1" t="str">
        <f>IF($K$444="Y",'Population Definitions'!$A$7,"...")</f>
        <v>...</v>
      </c>
      <c r="B534" s="4" t="str">
        <f>IF($K$444="Y","---&gt;","...")</f>
        <v>...</v>
      </c>
      <c r="C534" s="1" t="str">
        <f>IF($K$444="Y",'Population Definitions'!$A$11,"...")</f>
        <v>...</v>
      </c>
      <c r="E534" s="2"/>
      <c r="F534" s="3"/>
      <c r="G534" s="2"/>
      <c r="H534" s="4" t="str">
        <f>IF($K$444="Y","OR","...")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>
      <c r="A535" s="1" t="str">
        <f>IF($L$444="Y",'Population Definitions'!$A$7,"...")</f>
        <v>...</v>
      </c>
      <c r="B535" s="4" t="str">
        <f>IF($L$444="Y","---&gt;","...")</f>
        <v>...</v>
      </c>
      <c r="C535" s="1" t="str">
        <f>IF($L$444="Y",'Population Definitions'!$A$12,"...")</f>
        <v>...</v>
      </c>
      <c r="E535" s="2"/>
      <c r="F535" s="3"/>
      <c r="G535" s="2"/>
      <c r="H535" s="4" t="str">
        <f>IF($L$444="Y","OR","...")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>
      <c r="A536" s="1" t="str">
        <f>IF($M$444="Y",'Population Definitions'!$A$7,"...")</f>
        <v>...</v>
      </c>
      <c r="B536" s="4" t="str">
        <f>IF($M$444="Y","---&gt;","...")</f>
        <v>...</v>
      </c>
      <c r="C536" s="1" t="str">
        <f>IF($M$444="Y",'Population Definitions'!$A$13,"...")</f>
        <v>...</v>
      </c>
      <c r="E536" s="2"/>
      <c r="F536" s="3"/>
      <c r="G536" s="2"/>
      <c r="H536" s="4" t="str">
        <f>IF($M$444="Y","OR","...")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>
      <c r="A537" s="1" t="str">
        <f>IF($N$444="Y",'Population Definitions'!$A$7,"...")</f>
        <v>...</v>
      </c>
      <c r="B537" s="4" t="str">
        <f>IF($N$444="Y","---&gt;","...")</f>
        <v>...</v>
      </c>
      <c r="C537" s="1" t="str">
        <f>IF($N$444="Y",'Population Definitions'!$A$14,"...")</f>
        <v>...</v>
      </c>
      <c r="E537" s="2"/>
      <c r="F537" s="3"/>
      <c r="G537" s="2"/>
      <c r="H537" s="4" t="str">
        <f>IF($N$444="Y","OR","...")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>
      <c r="A538" s="1" t="str">
        <f>IF($O$444="Y",'Population Definitions'!$A$7,"...")</f>
        <v>...</v>
      </c>
      <c r="B538" s="4" t="str">
        <f>IF($O$444="Y","---&gt;","...")</f>
        <v>...</v>
      </c>
      <c r="C538" s="1" t="str">
        <f>IF($O$444="Y",'Population Definitions'!$A$15,"...")</f>
        <v>...</v>
      </c>
      <c r="E538" s="2"/>
      <c r="F538" s="3"/>
      <c r="G538" s="2"/>
      <c r="H538" s="4" t="str">
        <f>IF($O$444="Y","OR","...")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>
      <c r="A539" s="1" t="str">
        <f>IF($B$445="Y",'Population Definitions'!$A$8,"...")</f>
        <v>...</v>
      </c>
      <c r="B539" s="4" t="str">
        <f>IF($B$445="Y","---&gt;","...")</f>
        <v>...</v>
      </c>
      <c r="C539" s="1" t="str">
        <f>IF($B$445="Y",'Population Definitions'!$A$2,"...")</f>
        <v>...</v>
      </c>
      <c r="E539" s="2"/>
      <c r="F539" s="3"/>
      <c r="G539" s="2"/>
      <c r="H539" s="4" t="str">
        <f>IF($B$445="Y","OR","...")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>
      <c r="A540" s="1" t="str">
        <f>IF($C$445="Y",'Population Definitions'!$A$8,"...")</f>
        <v>...</v>
      </c>
      <c r="B540" s="4" t="str">
        <f>IF($C$445="Y","---&gt;","...")</f>
        <v>...</v>
      </c>
      <c r="C540" s="1" t="str">
        <f>IF($C$445="Y",'Population Definitions'!$A$3,"...")</f>
        <v>...</v>
      </c>
      <c r="E540" s="2"/>
      <c r="F540" s="3"/>
      <c r="G540" s="2"/>
      <c r="H540" s="4" t="str">
        <f>IF($C$445="Y","OR","...")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>
      <c r="A541" s="1" t="str">
        <f>IF($D$445="Y",'Population Definitions'!$A$8,"...")</f>
        <v>...</v>
      </c>
      <c r="B541" s="4" t="str">
        <f>IF($D$445="Y","---&gt;","...")</f>
        <v>...</v>
      </c>
      <c r="C541" s="1" t="str">
        <f>IF($D$445="Y",'Population Definitions'!$A$4,"...")</f>
        <v>...</v>
      </c>
      <c r="E541" s="2"/>
      <c r="F541" s="3"/>
      <c r="G541" s="2"/>
      <c r="H541" s="4" t="str">
        <f>IF($D$445="Y","OR","...")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>
      <c r="A542" s="1" t="str">
        <f>IF($E$445="Y",'Population Definitions'!$A$8,"...")</f>
        <v>...</v>
      </c>
      <c r="B542" s="4" t="str">
        <f>IF($E$445="Y","---&gt;","...")</f>
        <v>...</v>
      </c>
      <c r="C542" s="1" t="str">
        <f>IF($E$445="Y",'Population Definitions'!$A$5,"...")</f>
        <v>...</v>
      </c>
      <c r="E542" s="2"/>
      <c r="F542" s="3"/>
      <c r="G542" s="2"/>
      <c r="H542" s="4" t="str">
        <f>IF($E$445="Y","OR","...")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>
      <c r="A543" s="1" t="str">
        <f>IF($F$445="Y",'Population Definitions'!$A$8,"...")</f>
        <v>...</v>
      </c>
      <c r="B543" s="4" t="str">
        <f>IF($F$445="Y","---&gt;","...")</f>
        <v>...</v>
      </c>
      <c r="C543" s="1" t="str">
        <f>IF($F$445="Y",'Population Definitions'!$A$6,"...")</f>
        <v>...</v>
      </c>
      <c r="E543" s="2"/>
      <c r="F543" s="3"/>
      <c r="G543" s="2"/>
      <c r="H543" s="4" t="str">
        <f>IF($F$445="Y","OR","...")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>
      <c r="A544" s="1" t="str">
        <f>IF($G$445="Y",'Population Definitions'!$A$8,"...")</f>
        <v>...</v>
      </c>
      <c r="B544" s="4" t="str">
        <f>IF($G$445="Y","---&gt;","...")</f>
        <v>...</v>
      </c>
      <c r="C544" s="1" t="str">
        <f>IF($G$445="Y",'Population Definitions'!$A$7,"...")</f>
        <v>...</v>
      </c>
      <c r="E544" s="2"/>
      <c r="F544" s="3"/>
      <c r="G544" s="2"/>
      <c r="H544" s="4" t="str">
        <f>IF($G$445="Y","OR","...")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>
      <c r="A545" s="1" t="str">
        <f>IF($H$445="Y",'Population Definitions'!$A$8,"...")</f>
        <v>...</v>
      </c>
      <c r="B545" s="4" t="str">
        <f>IF($H$445="Y","---&gt;","...")</f>
        <v>...</v>
      </c>
      <c r="C545" s="1" t="str">
        <f>IF($H$445="Y",'Population Definitions'!$A$8,"...")</f>
        <v>...</v>
      </c>
      <c r="E545" s="2"/>
      <c r="F545" s="3"/>
      <c r="G545" s="2"/>
      <c r="H545" s="4" t="str">
        <f>IF($H$445="Y","OR","...")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>
      <c r="A546" s="1" t="str">
        <f>IF($I$445="Y",'Population Definitions'!$A$8,"...")</f>
        <v>...</v>
      </c>
      <c r="B546" s="4" t="str">
        <f>IF($I$445="Y","---&gt;","...")</f>
        <v>...</v>
      </c>
      <c r="C546" s="1" t="str">
        <f>IF($I$445="Y",'Population Definitions'!$A$9,"...")</f>
        <v>...</v>
      </c>
      <c r="E546" s="2"/>
      <c r="F546" s="3"/>
      <c r="G546" s="2"/>
      <c r="H546" s="4" t="str">
        <f>IF($I$445="Y","OR","...")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>
      <c r="A547" s="1" t="str">
        <f>IF($J$445="Y",'Population Definitions'!$A$8,"...")</f>
        <v>...</v>
      </c>
      <c r="B547" s="4" t="str">
        <f>IF($J$445="Y","---&gt;","...")</f>
        <v>...</v>
      </c>
      <c r="C547" s="1" t="str">
        <f>IF($J$445="Y",'Population Definitions'!$A$10,"...")</f>
        <v>...</v>
      </c>
      <c r="E547" s="2"/>
      <c r="F547" s="3"/>
      <c r="G547" s="2"/>
      <c r="H547" s="4" t="str">
        <f>IF($J$445="Y","OR","...")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>
      <c r="A548" s="1" t="str">
        <f>IF($K$445="Y",'Population Definitions'!$A$8,"...")</f>
        <v>...</v>
      </c>
      <c r="B548" s="4" t="str">
        <f>IF($K$445="Y","---&gt;","...")</f>
        <v>...</v>
      </c>
      <c r="C548" s="1" t="str">
        <f>IF($K$445="Y",'Population Definitions'!$A$11,"...")</f>
        <v>...</v>
      </c>
      <c r="E548" s="2"/>
      <c r="F548" s="3"/>
      <c r="G548" s="2"/>
      <c r="H548" s="4" t="str">
        <f>IF($K$445="Y","OR","...")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>
      <c r="A549" s="1" t="str">
        <f>IF($L$445="Y",'Population Definitions'!$A$8,"...")</f>
        <v>18-64_males</v>
      </c>
      <c r="B549" s="4" t="str">
        <f>IF($L$445="Y","---&gt;","...")</f>
        <v>---&gt;</v>
      </c>
      <c r="C549" s="1" t="str">
        <f>IF($L$445="Y",'Population Definitions'!$A$12,"...")</f>
        <v>Prisoners_males</v>
      </c>
      <c r="E549" s="3" t="s">
        <v>55</v>
      </c>
      <c r="F549" s="3"/>
      <c r="G549" s="3">
        <v>0.0004502356512499333</v>
      </c>
      <c r="H549" s="4" t="str">
        <f>IF($L$445="Y","OR","...")</f>
        <v>OR</v>
      </c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</row>
    <row r="550" spans="1:59">
      <c r="A550" s="1" t="str">
        <f>IF($M$445="Y",'Population Definitions'!$A$8,"...")</f>
        <v>...</v>
      </c>
      <c r="B550" s="4" t="str">
        <f>IF($M$445="Y","---&gt;","...")</f>
        <v>...</v>
      </c>
      <c r="C550" s="1" t="str">
        <f>IF($M$445="Y",'Population Definitions'!$A$13,"...")</f>
        <v>...</v>
      </c>
      <c r="E550" s="2"/>
      <c r="F550" s="3"/>
      <c r="G550" s="2"/>
      <c r="H550" s="4" t="str">
        <f>IF($M$445="Y","OR","...")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>
      <c r="A551" s="1" t="str">
        <f>IF($N$445="Y",'Population Definitions'!$A$8,"...")</f>
        <v>...</v>
      </c>
      <c r="B551" s="4" t="str">
        <f>IF($N$445="Y","---&gt;","...")</f>
        <v>...</v>
      </c>
      <c r="C551" s="1" t="str">
        <f>IF($N$445="Y",'Population Definitions'!$A$14,"...")</f>
        <v>...</v>
      </c>
      <c r="E551" s="2"/>
      <c r="F551" s="3"/>
      <c r="G551" s="2"/>
      <c r="H551" s="4" t="str">
        <f>IF($N$445="Y","OR","...")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>
      <c r="A552" s="1" t="str">
        <f>IF($O$445="Y",'Population Definitions'!$A$8,"...")</f>
        <v>...</v>
      </c>
      <c r="B552" s="4" t="str">
        <f>IF($O$445="Y","---&gt;","...")</f>
        <v>...</v>
      </c>
      <c r="C552" s="1" t="str">
        <f>IF($O$445="Y",'Population Definitions'!$A$15,"...")</f>
        <v>...</v>
      </c>
      <c r="E552" s="2"/>
      <c r="F552" s="3"/>
      <c r="G552" s="2"/>
      <c r="H552" s="4" t="str">
        <f>IF($O$445="Y","OR","...")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>
      <c r="A553" s="1" t="str">
        <f>IF($B$446="Y",'Population Definitions'!$A$9,"...")</f>
        <v>...</v>
      </c>
      <c r="B553" s="4" t="str">
        <f>IF($B$446="Y","---&gt;","...")</f>
        <v>...</v>
      </c>
      <c r="C553" s="1" t="str">
        <f>IF($B$446="Y",'Population Definitions'!$A$2,"...")</f>
        <v>...</v>
      </c>
      <c r="E553" s="2"/>
      <c r="F553" s="3"/>
      <c r="G553" s="2"/>
      <c r="H553" s="4" t="str">
        <f>IF($B$446="Y","OR","...")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>
      <c r="A554" s="1" t="str">
        <f>IF($C$446="Y",'Population Definitions'!$A$9,"...")</f>
        <v>...</v>
      </c>
      <c r="B554" s="4" t="str">
        <f>IF($C$446="Y","---&gt;","...")</f>
        <v>...</v>
      </c>
      <c r="C554" s="1" t="str">
        <f>IF($C$446="Y",'Population Definitions'!$A$3,"...")</f>
        <v>...</v>
      </c>
      <c r="E554" s="2"/>
      <c r="F554" s="3"/>
      <c r="G554" s="2"/>
      <c r="H554" s="4" t="str">
        <f>IF($C$446="Y","OR","...")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>
      <c r="A555" s="1" t="str">
        <f>IF($D$446="Y",'Population Definitions'!$A$9,"...")</f>
        <v>...</v>
      </c>
      <c r="B555" s="4" t="str">
        <f>IF($D$446="Y","---&gt;","...")</f>
        <v>...</v>
      </c>
      <c r="C555" s="1" t="str">
        <f>IF($D$446="Y",'Population Definitions'!$A$4,"...")</f>
        <v>...</v>
      </c>
      <c r="E555" s="2"/>
      <c r="F555" s="3"/>
      <c r="G555" s="2"/>
      <c r="H555" s="4" t="str">
        <f>IF($D$446="Y","OR","...")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>
      <c r="A556" s="1" t="str">
        <f>IF($E$446="Y",'Population Definitions'!$A$9,"...")</f>
        <v>...</v>
      </c>
      <c r="B556" s="4" t="str">
        <f>IF($E$446="Y","---&gt;","...")</f>
        <v>...</v>
      </c>
      <c r="C556" s="1" t="str">
        <f>IF($E$446="Y",'Population Definitions'!$A$5,"...")</f>
        <v>...</v>
      </c>
      <c r="E556" s="2"/>
      <c r="F556" s="3"/>
      <c r="G556" s="2"/>
      <c r="H556" s="4" t="str">
        <f>IF($E$446="Y","OR","...")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>
      <c r="A557" s="1" t="str">
        <f>IF($F$446="Y",'Population Definitions'!$A$9,"...")</f>
        <v>...</v>
      </c>
      <c r="B557" s="4" t="str">
        <f>IF($F$446="Y","---&gt;","...")</f>
        <v>...</v>
      </c>
      <c r="C557" s="1" t="str">
        <f>IF($F$446="Y",'Population Definitions'!$A$6,"...")</f>
        <v>...</v>
      </c>
      <c r="E557" s="2"/>
      <c r="F557" s="3"/>
      <c r="G557" s="2"/>
      <c r="H557" s="4" t="str">
        <f>IF($F$446="Y","OR","...")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>
      <c r="A558" s="1" t="str">
        <f>IF($G$446="Y",'Population Definitions'!$A$9,"...")</f>
        <v>...</v>
      </c>
      <c r="B558" s="4" t="str">
        <f>IF($G$446="Y","---&gt;","...")</f>
        <v>...</v>
      </c>
      <c r="C558" s="1" t="str">
        <f>IF($G$446="Y",'Population Definitions'!$A$7,"...")</f>
        <v>...</v>
      </c>
      <c r="E558" s="2"/>
      <c r="F558" s="3"/>
      <c r="G558" s="2"/>
      <c r="H558" s="4" t="str">
        <f>IF($G$446="Y","OR","...")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>
      <c r="A559" s="1" t="str">
        <f>IF($H$446="Y",'Population Definitions'!$A$9,"...")</f>
        <v>...</v>
      </c>
      <c r="B559" s="4" t="str">
        <f>IF($H$446="Y","---&gt;","...")</f>
        <v>...</v>
      </c>
      <c r="C559" s="1" t="str">
        <f>IF($H$446="Y",'Population Definitions'!$A$8,"...")</f>
        <v>...</v>
      </c>
      <c r="E559" s="2"/>
      <c r="F559" s="3"/>
      <c r="G559" s="2"/>
      <c r="H559" s="4" t="str">
        <f>IF($H$446="Y","OR","...")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>
      <c r="A560" s="1" t="str">
        <f>IF($I$446="Y",'Population Definitions'!$A$9,"...")</f>
        <v>...</v>
      </c>
      <c r="B560" s="4" t="str">
        <f>IF($I$446="Y","---&gt;","...")</f>
        <v>...</v>
      </c>
      <c r="C560" s="1" t="str">
        <f>IF($I$446="Y",'Population Definitions'!$A$9,"...")</f>
        <v>...</v>
      </c>
      <c r="E560" s="2"/>
      <c r="F560" s="3"/>
      <c r="G560" s="2"/>
      <c r="H560" s="4" t="str">
        <f>IF($I$446="Y","OR","...")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>
      <c r="A561" s="1" t="str">
        <f>IF($J$446="Y",'Population Definitions'!$A$9,"...")</f>
        <v>...</v>
      </c>
      <c r="B561" s="4" t="str">
        <f>IF($J$446="Y","---&gt;","...")</f>
        <v>...</v>
      </c>
      <c r="C561" s="1" t="str">
        <f>IF($J$446="Y",'Population Definitions'!$A$10,"...")</f>
        <v>...</v>
      </c>
      <c r="E561" s="2"/>
      <c r="F561" s="3"/>
      <c r="G561" s="2"/>
      <c r="H561" s="4" t="str">
        <f>IF($J$446="Y","OR","...")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>
      <c r="A562" s="1" t="str">
        <f>IF($K$446="Y",'Population Definitions'!$A$9,"...")</f>
        <v>...</v>
      </c>
      <c r="B562" s="4" t="str">
        <f>IF($K$446="Y","---&gt;","...")</f>
        <v>...</v>
      </c>
      <c r="C562" s="1" t="str">
        <f>IF($K$446="Y",'Population Definitions'!$A$11,"...")</f>
        <v>...</v>
      </c>
      <c r="E562" s="2"/>
      <c r="F562" s="3"/>
      <c r="G562" s="2"/>
      <c r="H562" s="4" t="str">
        <f>IF($K$446="Y","OR","...")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>
      <c r="A563" s="1" t="str">
        <f>IF($L$446="Y",'Population Definitions'!$A$9,"...")</f>
        <v>...</v>
      </c>
      <c r="B563" s="4" t="str">
        <f>IF($L$446="Y","---&gt;","...")</f>
        <v>...</v>
      </c>
      <c r="C563" s="1" t="str">
        <f>IF($L$446="Y",'Population Definitions'!$A$12,"...")</f>
        <v>...</v>
      </c>
      <c r="E563" s="2"/>
      <c r="F563" s="3"/>
      <c r="G563" s="2"/>
      <c r="H563" s="4" t="str">
        <f>IF($L$446="Y","OR","...")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>
      <c r="A564" s="1" t="str">
        <f>IF($M$446="Y",'Population Definitions'!$A$9,"...")</f>
        <v>18-64_females</v>
      </c>
      <c r="B564" s="4" t="str">
        <f>IF($M$446="Y","---&gt;","...")</f>
        <v>---&gt;</v>
      </c>
      <c r="C564" s="1" t="str">
        <f>IF($M$446="Y",'Population Definitions'!$A$13,"...")</f>
        <v>Prisoners_females</v>
      </c>
      <c r="E564" s="3" t="s">
        <v>55</v>
      </c>
      <c r="F564" s="3"/>
      <c r="G564" s="3">
        <v>0.0001105805727760125</v>
      </c>
      <c r="H564" s="4" t="str">
        <f>IF($M$446="Y","OR","...")</f>
        <v>OR</v>
      </c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</row>
    <row r="565" spans="1:59">
      <c r="A565" s="1" t="str">
        <f>IF($N$446="Y",'Population Definitions'!$A$9,"...")</f>
        <v>...</v>
      </c>
      <c r="B565" s="4" t="str">
        <f>IF($N$446="Y","---&gt;","...")</f>
        <v>...</v>
      </c>
      <c r="C565" s="1" t="str">
        <f>IF($N$446="Y",'Population Definitions'!$A$14,"...")</f>
        <v>...</v>
      </c>
      <c r="E565" s="2"/>
      <c r="F565" s="3"/>
      <c r="G565" s="2"/>
      <c r="H565" s="4" t="str">
        <f>IF($N$446="Y","OR","...")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>
      <c r="A566" s="1" t="str">
        <f>IF($O$446="Y",'Population Definitions'!$A$9,"...")</f>
        <v>...</v>
      </c>
      <c r="B566" s="4" t="str">
        <f>IF($O$446="Y","---&gt;","...")</f>
        <v>...</v>
      </c>
      <c r="C566" s="1" t="str">
        <f>IF($O$446="Y",'Population Definitions'!$A$15,"...")</f>
        <v>...</v>
      </c>
      <c r="E566" s="2"/>
      <c r="F566" s="3"/>
      <c r="G566" s="2"/>
      <c r="H566" s="4" t="str">
        <f>IF($O$446="Y","OR","...")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>
      <c r="A567" s="1" t="str">
        <f>IF($B$447="Y",'Population Definitions'!$A$10,"...")</f>
        <v>...</v>
      </c>
      <c r="B567" s="4" t="str">
        <f>IF($B$447="Y","---&gt;","...")</f>
        <v>...</v>
      </c>
      <c r="C567" s="1" t="str">
        <f>IF($B$447="Y",'Population Definitions'!$A$2,"...")</f>
        <v>...</v>
      </c>
      <c r="E567" s="2"/>
      <c r="F567" s="3"/>
      <c r="G567" s="2"/>
      <c r="H567" s="4" t="str">
        <f>IF($B$447="Y","OR","...")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>
      <c r="A568" s="1" t="str">
        <f>IF($C$447="Y",'Population Definitions'!$A$10,"...")</f>
        <v>...</v>
      </c>
      <c r="B568" s="4" t="str">
        <f>IF($C$447="Y","---&gt;","...")</f>
        <v>...</v>
      </c>
      <c r="C568" s="1" t="str">
        <f>IF($C$447="Y",'Population Definitions'!$A$3,"...")</f>
        <v>...</v>
      </c>
      <c r="E568" s="2"/>
      <c r="F568" s="3"/>
      <c r="G568" s="2"/>
      <c r="H568" s="4" t="str">
        <f>IF($C$447="Y","OR","...")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>
      <c r="A569" s="1" t="str">
        <f>IF($D$447="Y",'Population Definitions'!$A$10,"...")</f>
        <v>...</v>
      </c>
      <c r="B569" s="4" t="str">
        <f>IF($D$447="Y","---&gt;","...")</f>
        <v>...</v>
      </c>
      <c r="C569" s="1" t="str">
        <f>IF($D$447="Y",'Population Definitions'!$A$4,"...")</f>
        <v>...</v>
      </c>
      <c r="E569" s="2"/>
      <c r="F569" s="3"/>
      <c r="G569" s="2"/>
      <c r="H569" s="4" t="str">
        <f>IF($D$447="Y","OR","...")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>
      <c r="A570" s="1" t="str">
        <f>IF($E$447="Y",'Population Definitions'!$A$10,"...")</f>
        <v>...</v>
      </c>
      <c r="B570" s="4" t="str">
        <f>IF($E$447="Y","---&gt;","...")</f>
        <v>...</v>
      </c>
      <c r="C570" s="1" t="str">
        <f>IF($E$447="Y",'Population Definitions'!$A$5,"...")</f>
        <v>...</v>
      </c>
      <c r="E570" s="2"/>
      <c r="F570" s="3"/>
      <c r="G570" s="2"/>
      <c r="H570" s="4" t="str">
        <f>IF($E$447="Y","OR","...")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>
      <c r="A571" s="1" t="str">
        <f>IF($F$447="Y",'Population Definitions'!$A$10,"...")</f>
        <v>...</v>
      </c>
      <c r="B571" s="4" t="str">
        <f>IF($F$447="Y","---&gt;","...")</f>
        <v>...</v>
      </c>
      <c r="C571" s="1" t="str">
        <f>IF($F$447="Y",'Population Definitions'!$A$6,"...")</f>
        <v>...</v>
      </c>
      <c r="E571" s="2"/>
      <c r="F571" s="3"/>
      <c r="G571" s="2"/>
      <c r="H571" s="4" t="str">
        <f>IF($F$447="Y","OR","...")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>
      <c r="A572" s="1" t="str">
        <f>IF($G$447="Y",'Population Definitions'!$A$10,"...")</f>
        <v>...</v>
      </c>
      <c r="B572" s="4" t="str">
        <f>IF($G$447="Y","---&gt;","...")</f>
        <v>...</v>
      </c>
      <c r="C572" s="1" t="str">
        <f>IF($G$447="Y",'Population Definitions'!$A$7,"...")</f>
        <v>...</v>
      </c>
      <c r="E572" s="2"/>
      <c r="F572" s="3"/>
      <c r="G572" s="2"/>
      <c r="H572" s="4" t="str">
        <f>IF($G$447="Y","OR","...")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>
      <c r="A573" s="1" t="str">
        <f>IF($H$447="Y",'Population Definitions'!$A$10,"...")</f>
        <v>...</v>
      </c>
      <c r="B573" s="4" t="str">
        <f>IF($H$447="Y","---&gt;","...")</f>
        <v>...</v>
      </c>
      <c r="C573" s="1" t="str">
        <f>IF($H$447="Y",'Population Definitions'!$A$8,"...")</f>
        <v>...</v>
      </c>
      <c r="E573" s="2"/>
      <c r="F573" s="3"/>
      <c r="G573" s="2"/>
      <c r="H573" s="4" t="str">
        <f>IF($H$447="Y","OR","...")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>
      <c r="A574" s="1" t="str">
        <f>IF($I$447="Y",'Population Definitions'!$A$10,"...")</f>
        <v>...</v>
      </c>
      <c r="B574" s="4" t="str">
        <f>IF($I$447="Y","---&gt;","...")</f>
        <v>...</v>
      </c>
      <c r="C574" s="1" t="str">
        <f>IF($I$447="Y",'Population Definitions'!$A$9,"...")</f>
        <v>...</v>
      </c>
      <c r="E574" s="2"/>
      <c r="F574" s="3"/>
      <c r="G574" s="2"/>
      <c r="H574" s="4" t="str">
        <f>IF($I$447="Y","OR","...")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>
      <c r="A575" s="1" t="str">
        <f>IF($J$447="Y",'Population Definitions'!$A$10,"...")</f>
        <v>...</v>
      </c>
      <c r="B575" s="4" t="str">
        <f>IF($J$447="Y","---&gt;","...")</f>
        <v>...</v>
      </c>
      <c r="C575" s="1" t="str">
        <f>IF($J$447="Y",'Population Definitions'!$A$10,"...")</f>
        <v>...</v>
      </c>
      <c r="E575" s="2"/>
      <c r="F575" s="3"/>
      <c r="G575" s="2"/>
      <c r="H575" s="4" t="str">
        <f>IF($J$447="Y","OR","...")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>
      <c r="A576" s="1" t="str">
        <f>IF($K$447="Y",'Population Definitions'!$A$10,"...")</f>
        <v>...</v>
      </c>
      <c r="B576" s="4" t="str">
        <f>IF($K$447="Y","---&gt;","...")</f>
        <v>...</v>
      </c>
      <c r="C576" s="1" t="str">
        <f>IF($K$447="Y",'Population Definitions'!$A$11,"...")</f>
        <v>...</v>
      </c>
      <c r="E576" s="2"/>
      <c r="F576" s="3"/>
      <c r="G576" s="2"/>
      <c r="H576" s="4" t="str">
        <f>IF($K$447="Y","OR","...")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>
      <c r="A577" s="1" t="str">
        <f>IF($L$447="Y",'Population Definitions'!$A$10,"...")</f>
        <v>...</v>
      </c>
      <c r="B577" s="4" t="str">
        <f>IF($L$447="Y","---&gt;","...")</f>
        <v>...</v>
      </c>
      <c r="C577" s="1" t="str">
        <f>IF($L$447="Y",'Population Definitions'!$A$12,"...")</f>
        <v>...</v>
      </c>
      <c r="E577" s="2"/>
      <c r="F577" s="3"/>
      <c r="G577" s="2"/>
      <c r="H577" s="4" t="str">
        <f>IF($L$447="Y","OR","...")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>
      <c r="A578" s="1" t="str">
        <f>IF($M$447="Y",'Population Definitions'!$A$10,"...")</f>
        <v>...</v>
      </c>
      <c r="B578" s="4" t="str">
        <f>IF($M$447="Y","---&gt;","...")</f>
        <v>...</v>
      </c>
      <c r="C578" s="1" t="str">
        <f>IF($M$447="Y",'Population Definitions'!$A$13,"...")</f>
        <v>...</v>
      </c>
      <c r="E578" s="2"/>
      <c r="F578" s="3"/>
      <c r="G578" s="2"/>
      <c r="H578" s="4" t="str">
        <f>IF($M$447="Y","OR","...")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>
      <c r="A579" s="1" t="str">
        <f>IF($N$447="Y",'Population Definitions'!$A$10,"...")</f>
        <v>...</v>
      </c>
      <c r="B579" s="4" t="str">
        <f>IF($N$447="Y","---&gt;","...")</f>
        <v>...</v>
      </c>
      <c r="C579" s="1" t="str">
        <f>IF($N$447="Y",'Population Definitions'!$A$14,"...")</f>
        <v>...</v>
      </c>
      <c r="E579" s="2"/>
      <c r="F579" s="3"/>
      <c r="G579" s="2"/>
      <c r="H579" s="4" t="str">
        <f>IF($N$447="Y","OR","...")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>
      <c r="A580" s="1" t="str">
        <f>IF($O$447="Y",'Population Definitions'!$A$10,"...")</f>
        <v>...</v>
      </c>
      <c r="B580" s="4" t="str">
        <f>IF($O$447="Y","---&gt;","...")</f>
        <v>...</v>
      </c>
      <c r="C580" s="1" t="str">
        <f>IF($O$447="Y",'Population Definitions'!$A$15,"...")</f>
        <v>...</v>
      </c>
      <c r="E580" s="2"/>
      <c r="F580" s="3"/>
      <c r="G580" s="2"/>
      <c r="H580" s="4" t="str">
        <f>IF($O$447="Y","OR","...")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>
      <c r="A581" s="1" t="str">
        <f>IF($B$448="Y",'Population Definitions'!$A$11,"...")</f>
        <v>...</v>
      </c>
      <c r="B581" s="4" t="str">
        <f>IF($B$448="Y","---&gt;","...")</f>
        <v>...</v>
      </c>
      <c r="C581" s="1" t="str">
        <f>IF($B$448="Y",'Population Definitions'!$A$2,"...")</f>
        <v>...</v>
      </c>
      <c r="E581" s="2"/>
      <c r="F581" s="3"/>
      <c r="G581" s="2"/>
      <c r="H581" s="4" t="str">
        <f>IF($B$448="Y","OR","...")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>
      <c r="A582" s="1" t="str">
        <f>IF($C$448="Y",'Population Definitions'!$A$11,"...")</f>
        <v>...</v>
      </c>
      <c r="B582" s="4" t="str">
        <f>IF($C$448="Y","---&gt;","...")</f>
        <v>...</v>
      </c>
      <c r="C582" s="1" t="str">
        <f>IF($C$448="Y",'Population Definitions'!$A$3,"...")</f>
        <v>...</v>
      </c>
      <c r="E582" s="2"/>
      <c r="F582" s="3"/>
      <c r="G582" s="2"/>
      <c r="H582" s="4" t="str">
        <f>IF($C$448="Y","OR","...")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>
      <c r="A583" s="1" t="str">
        <f>IF($D$448="Y",'Population Definitions'!$A$11,"...")</f>
        <v>...</v>
      </c>
      <c r="B583" s="4" t="str">
        <f>IF($D$448="Y","---&gt;","...")</f>
        <v>...</v>
      </c>
      <c r="C583" s="1" t="str">
        <f>IF($D$448="Y",'Population Definitions'!$A$4,"...")</f>
        <v>...</v>
      </c>
      <c r="E583" s="2"/>
      <c r="F583" s="3"/>
      <c r="G583" s="2"/>
      <c r="H583" s="4" t="str">
        <f>IF($D$448="Y","OR","...")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>
      <c r="A584" s="1" t="str">
        <f>IF($E$448="Y",'Population Definitions'!$A$11,"...")</f>
        <v>...</v>
      </c>
      <c r="B584" s="4" t="str">
        <f>IF($E$448="Y","---&gt;","...")</f>
        <v>...</v>
      </c>
      <c r="C584" s="1" t="str">
        <f>IF($E$448="Y",'Population Definitions'!$A$5,"...")</f>
        <v>...</v>
      </c>
      <c r="E584" s="2"/>
      <c r="F584" s="3"/>
      <c r="G584" s="2"/>
      <c r="H584" s="4" t="str">
        <f>IF($E$448="Y","OR","...")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>
      <c r="A585" s="1" t="str">
        <f>IF($F$448="Y",'Population Definitions'!$A$11,"...")</f>
        <v>...</v>
      </c>
      <c r="B585" s="4" t="str">
        <f>IF($F$448="Y","---&gt;","...")</f>
        <v>...</v>
      </c>
      <c r="C585" s="1" t="str">
        <f>IF($F$448="Y",'Population Definitions'!$A$6,"...")</f>
        <v>...</v>
      </c>
      <c r="E585" s="2"/>
      <c r="F585" s="3"/>
      <c r="G585" s="2"/>
      <c r="H585" s="4" t="str">
        <f>IF($F$448="Y","OR","...")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>
      <c r="A586" s="1" t="str">
        <f>IF($G$448="Y",'Population Definitions'!$A$11,"...")</f>
        <v>...</v>
      </c>
      <c r="B586" s="4" t="str">
        <f>IF($G$448="Y","---&gt;","...")</f>
        <v>...</v>
      </c>
      <c r="C586" s="1" t="str">
        <f>IF($G$448="Y",'Population Definitions'!$A$7,"...")</f>
        <v>...</v>
      </c>
      <c r="E586" s="2"/>
      <c r="F586" s="3"/>
      <c r="G586" s="2"/>
      <c r="H586" s="4" t="str">
        <f>IF($G$448="Y","OR","...")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>
      <c r="A587" s="1" t="str">
        <f>IF($H$448="Y",'Population Definitions'!$A$11,"...")</f>
        <v>...</v>
      </c>
      <c r="B587" s="4" t="str">
        <f>IF($H$448="Y","---&gt;","...")</f>
        <v>...</v>
      </c>
      <c r="C587" s="1" t="str">
        <f>IF($H$448="Y",'Population Definitions'!$A$8,"...")</f>
        <v>...</v>
      </c>
      <c r="E587" s="2"/>
      <c r="F587" s="3"/>
      <c r="G587" s="2"/>
      <c r="H587" s="4" t="str">
        <f>IF($H$448="Y","OR","...")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>
      <c r="A588" s="1" t="str">
        <f>IF($I$448="Y",'Population Definitions'!$A$11,"...")</f>
        <v>...</v>
      </c>
      <c r="B588" s="4" t="str">
        <f>IF($I$448="Y","---&gt;","...")</f>
        <v>...</v>
      </c>
      <c r="C588" s="1" t="str">
        <f>IF($I$448="Y",'Population Definitions'!$A$9,"...")</f>
        <v>...</v>
      </c>
      <c r="E588" s="2"/>
      <c r="F588" s="3"/>
      <c r="G588" s="2"/>
      <c r="H588" s="4" t="str">
        <f>IF($I$448="Y","OR","...")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>
      <c r="A589" s="1" t="str">
        <f>IF($J$448="Y",'Population Definitions'!$A$11,"...")</f>
        <v>...</v>
      </c>
      <c r="B589" s="4" t="str">
        <f>IF($J$448="Y","---&gt;","...")</f>
        <v>...</v>
      </c>
      <c r="C589" s="1" t="str">
        <f>IF($J$448="Y",'Population Definitions'!$A$10,"...")</f>
        <v>...</v>
      </c>
      <c r="E589" s="2"/>
      <c r="F589" s="3"/>
      <c r="G589" s="2"/>
      <c r="H589" s="4" t="str">
        <f>IF($J$448="Y","OR","...")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>
      <c r="A590" s="1" t="str">
        <f>IF($K$448="Y",'Population Definitions'!$A$11,"...")</f>
        <v>...</v>
      </c>
      <c r="B590" s="4" t="str">
        <f>IF($K$448="Y","---&gt;","...")</f>
        <v>...</v>
      </c>
      <c r="C590" s="1" t="str">
        <f>IF($K$448="Y",'Population Definitions'!$A$11,"...")</f>
        <v>...</v>
      </c>
      <c r="E590" s="2"/>
      <c r="F590" s="3"/>
      <c r="G590" s="2"/>
      <c r="H590" s="4" t="str">
        <f>IF($K$448="Y","OR","...")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>
      <c r="A591" s="1" t="str">
        <f>IF($L$448="Y",'Population Definitions'!$A$11,"...")</f>
        <v>...</v>
      </c>
      <c r="B591" s="4" t="str">
        <f>IF($L$448="Y","---&gt;","...")</f>
        <v>...</v>
      </c>
      <c r="C591" s="1" t="str">
        <f>IF($L$448="Y",'Population Definitions'!$A$12,"...")</f>
        <v>...</v>
      </c>
      <c r="E591" s="2"/>
      <c r="F591" s="3"/>
      <c r="G591" s="2"/>
      <c r="H591" s="4" t="str">
        <f>IF($L$448="Y","OR","...")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>
      <c r="A592" s="1" t="str">
        <f>IF($M$448="Y",'Population Definitions'!$A$11,"...")</f>
        <v>...</v>
      </c>
      <c r="B592" s="4" t="str">
        <f>IF($M$448="Y","---&gt;","...")</f>
        <v>...</v>
      </c>
      <c r="C592" s="1" t="str">
        <f>IF($M$448="Y",'Population Definitions'!$A$13,"...")</f>
        <v>...</v>
      </c>
      <c r="E592" s="2"/>
      <c r="F592" s="3"/>
      <c r="G592" s="2"/>
      <c r="H592" s="4" t="str">
        <f>IF($M$448="Y","OR","...")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>
      <c r="A593" s="1" t="str">
        <f>IF($N$448="Y",'Population Definitions'!$A$11,"...")</f>
        <v>...</v>
      </c>
      <c r="B593" s="4" t="str">
        <f>IF($N$448="Y","---&gt;","...")</f>
        <v>...</v>
      </c>
      <c r="C593" s="1" t="str">
        <f>IF($N$448="Y",'Population Definitions'!$A$14,"...")</f>
        <v>...</v>
      </c>
      <c r="E593" s="2"/>
      <c r="F593" s="3"/>
      <c r="G593" s="2"/>
      <c r="H593" s="4" t="str">
        <f>IF($N$448="Y","OR","...")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>
      <c r="A594" s="1" t="str">
        <f>IF($O$448="Y",'Population Definitions'!$A$11,"...")</f>
        <v>...</v>
      </c>
      <c r="B594" s="4" t="str">
        <f>IF($O$448="Y","---&gt;","...")</f>
        <v>...</v>
      </c>
      <c r="C594" s="1" t="str">
        <f>IF($O$448="Y",'Population Definitions'!$A$15,"...")</f>
        <v>...</v>
      </c>
      <c r="E594" s="2"/>
      <c r="F594" s="3"/>
      <c r="G594" s="2"/>
      <c r="H594" s="4" t="str">
        <f>IF($O$448="Y","OR","...")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>
      <c r="A595" s="1" t="str">
        <f>IF($B$449="Y",'Population Definitions'!$A$12,"...")</f>
        <v>...</v>
      </c>
      <c r="B595" s="4" t="str">
        <f>IF($B$449="Y","---&gt;","...")</f>
        <v>...</v>
      </c>
      <c r="C595" s="1" t="str">
        <f>IF($B$449="Y",'Population Definitions'!$A$2,"...")</f>
        <v>...</v>
      </c>
      <c r="E595" s="2"/>
      <c r="F595" s="3"/>
      <c r="G595" s="2"/>
      <c r="H595" s="4" t="str">
        <f>IF($B$449="Y","OR","...")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>
      <c r="A596" s="1" t="str">
        <f>IF($C$449="Y",'Population Definitions'!$A$12,"...")</f>
        <v>...</v>
      </c>
      <c r="B596" s="4" t="str">
        <f>IF($C$449="Y","---&gt;","...")</f>
        <v>...</v>
      </c>
      <c r="C596" s="1" t="str">
        <f>IF($C$449="Y",'Population Definitions'!$A$3,"...")</f>
        <v>...</v>
      </c>
      <c r="E596" s="2"/>
      <c r="F596" s="3"/>
      <c r="G596" s="2"/>
      <c r="H596" s="4" t="str">
        <f>IF($C$449="Y","OR","...")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>
      <c r="A597" s="1" t="str">
        <f>IF($D$449="Y",'Population Definitions'!$A$12,"...")</f>
        <v>...</v>
      </c>
      <c r="B597" s="4" t="str">
        <f>IF($D$449="Y","---&gt;","...")</f>
        <v>...</v>
      </c>
      <c r="C597" s="1" t="str">
        <f>IF($D$449="Y",'Population Definitions'!$A$4,"...")</f>
        <v>...</v>
      </c>
      <c r="E597" s="2"/>
      <c r="F597" s="3"/>
      <c r="G597" s="2"/>
      <c r="H597" s="4" t="str">
        <f>IF($D$449="Y","OR","...")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>
      <c r="A598" s="1" t="str">
        <f>IF($E$449="Y",'Population Definitions'!$A$12,"...")</f>
        <v>...</v>
      </c>
      <c r="B598" s="4" t="str">
        <f>IF($E$449="Y","---&gt;","...")</f>
        <v>...</v>
      </c>
      <c r="C598" s="1" t="str">
        <f>IF($E$449="Y",'Population Definitions'!$A$5,"...")</f>
        <v>...</v>
      </c>
      <c r="E598" s="2"/>
      <c r="F598" s="3"/>
      <c r="G598" s="2"/>
      <c r="H598" s="4" t="str">
        <f>IF($E$449="Y","OR","...")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>
      <c r="A599" s="1" t="str">
        <f>IF($F$449="Y",'Population Definitions'!$A$12,"...")</f>
        <v>...</v>
      </c>
      <c r="B599" s="4" t="str">
        <f>IF($F$449="Y","---&gt;","...")</f>
        <v>...</v>
      </c>
      <c r="C599" s="1" t="str">
        <f>IF($F$449="Y",'Population Definitions'!$A$6,"...")</f>
        <v>...</v>
      </c>
      <c r="E599" s="2"/>
      <c r="F599" s="3"/>
      <c r="G599" s="2"/>
      <c r="H599" s="4" t="str">
        <f>IF($F$449="Y","OR","...")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>
      <c r="A600" s="1" t="str">
        <f>IF($G$449="Y",'Population Definitions'!$A$12,"...")</f>
        <v>...</v>
      </c>
      <c r="B600" s="4" t="str">
        <f>IF($G$449="Y","---&gt;","...")</f>
        <v>...</v>
      </c>
      <c r="C600" s="1" t="str">
        <f>IF($G$449="Y",'Population Definitions'!$A$7,"...")</f>
        <v>...</v>
      </c>
      <c r="E600" s="2"/>
      <c r="F600" s="3"/>
      <c r="G600" s="2"/>
      <c r="H600" s="4" t="str">
        <f>IF($G$449="Y","OR","...")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>
      <c r="A601" s="1" t="str">
        <f>IF($H$449="Y",'Population Definitions'!$A$12,"...")</f>
        <v>Prisoners_males</v>
      </c>
      <c r="B601" s="4" t="str">
        <f>IF($H$449="Y","---&gt;","...")</f>
        <v>---&gt;</v>
      </c>
      <c r="C601" s="1" t="str">
        <f>IF($H$449="Y",'Population Definitions'!$A$8,"...")</f>
        <v>18-64_males</v>
      </c>
      <c r="E601" s="3" t="s">
        <v>55</v>
      </c>
      <c r="F601" s="3"/>
      <c r="G601" s="3">
        <v>2.235849056603774</v>
      </c>
      <c r="H601" s="4" t="str">
        <f>IF($H$449="Y","OR","...")</f>
        <v>OR</v>
      </c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</row>
    <row r="602" spans="1:59">
      <c r="A602" s="1" t="str">
        <f>IF($I$449="Y",'Population Definitions'!$A$12,"...")</f>
        <v>...</v>
      </c>
      <c r="B602" s="4" t="str">
        <f>IF($I$449="Y","---&gt;","...")</f>
        <v>...</v>
      </c>
      <c r="C602" s="1" t="str">
        <f>IF($I$449="Y",'Population Definitions'!$A$9,"...")</f>
        <v>...</v>
      </c>
      <c r="E602" s="2"/>
      <c r="F602" s="3"/>
      <c r="G602" s="2"/>
      <c r="H602" s="4" t="str">
        <f>IF($I$449="Y","OR","...")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>
      <c r="A603" s="1" t="str">
        <f>IF($J$449="Y",'Population Definitions'!$A$12,"...")</f>
        <v>...</v>
      </c>
      <c r="B603" s="4" t="str">
        <f>IF($J$449="Y","---&gt;","...")</f>
        <v>...</v>
      </c>
      <c r="C603" s="1" t="str">
        <f>IF($J$449="Y",'Population Definitions'!$A$10,"...")</f>
        <v>...</v>
      </c>
      <c r="E603" s="2"/>
      <c r="F603" s="3"/>
      <c r="G603" s="2"/>
      <c r="H603" s="4" t="str">
        <f>IF($J$449="Y","OR","...")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>
      <c r="A604" s="1" t="str">
        <f>IF($K$449="Y",'Population Definitions'!$A$12,"...")</f>
        <v>...</v>
      </c>
      <c r="B604" s="4" t="str">
        <f>IF($K$449="Y","---&gt;","...")</f>
        <v>...</v>
      </c>
      <c r="C604" s="1" t="str">
        <f>IF($K$449="Y",'Population Definitions'!$A$11,"...")</f>
        <v>...</v>
      </c>
      <c r="E604" s="2"/>
      <c r="F604" s="3"/>
      <c r="G604" s="2"/>
      <c r="H604" s="4" t="str">
        <f>IF($K$449="Y","OR","...")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>
      <c r="A605" s="1" t="str">
        <f>IF($L$449="Y",'Population Definitions'!$A$12,"...")</f>
        <v>...</v>
      </c>
      <c r="B605" s="4" t="str">
        <f>IF($L$449="Y","---&gt;","...")</f>
        <v>...</v>
      </c>
      <c r="C605" s="1" t="str">
        <f>IF($L$449="Y",'Population Definitions'!$A$12,"...")</f>
        <v>...</v>
      </c>
      <c r="E605" s="2"/>
      <c r="F605" s="3"/>
      <c r="G605" s="2"/>
      <c r="H605" s="4" t="str">
        <f>IF($L$449="Y","OR","...")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>
      <c r="A606" s="1" t="str">
        <f>IF($M$449="Y",'Population Definitions'!$A$12,"...")</f>
        <v>...</v>
      </c>
      <c r="B606" s="4" t="str">
        <f>IF($M$449="Y","---&gt;","...")</f>
        <v>...</v>
      </c>
      <c r="C606" s="1" t="str">
        <f>IF($M$449="Y",'Population Definitions'!$A$13,"...")</f>
        <v>...</v>
      </c>
      <c r="E606" s="2"/>
      <c r="F606" s="3"/>
      <c r="G606" s="2"/>
      <c r="H606" s="4" t="str">
        <f>IF($M$449="Y","OR","...")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>
      <c r="A607" s="1" t="str">
        <f>IF($N$449="Y",'Population Definitions'!$A$12,"...")</f>
        <v>...</v>
      </c>
      <c r="B607" s="4" t="str">
        <f>IF($N$449="Y","---&gt;","...")</f>
        <v>...</v>
      </c>
      <c r="C607" s="1" t="str">
        <f>IF($N$449="Y",'Population Definitions'!$A$14,"...")</f>
        <v>...</v>
      </c>
      <c r="E607" s="2"/>
      <c r="F607" s="3"/>
      <c r="G607" s="2"/>
      <c r="H607" s="4" t="str">
        <f>IF($N$449="Y","OR","...")</f>
        <v>...</v>
      </c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>
      <c r="A608" s="1" t="str">
        <f>IF($O$449="Y",'Population Definitions'!$A$12,"...")</f>
        <v>...</v>
      </c>
      <c r="B608" s="4" t="str">
        <f>IF($O$449="Y","---&gt;","...")</f>
        <v>...</v>
      </c>
      <c r="C608" s="1" t="str">
        <f>IF($O$449="Y",'Population Definitions'!$A$15,"...")</f>
        <v>...</v>
      </c>
      <c r="E608" s="2"/>
      <c r="F608" s="3"/>
      <c r="G608" s="2"/>
      <c r="H608" s="4" t="str">
        <f>IF($O$449="Y","OR","...")</f>
        <v>...</v>
      </c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>
      <c r="A609" s="1" t="str">
        <f>IF($B$450="Y",'Population Definitions'!$A$13,"...")</f>
        <v>...</v>
      </c>
      <c r="B609" s="4" t="str">
        <f>IF($B$450="Y","---&gt;","...")</f>
        <v>...</v>
      </c>
      <c r="C609" s="1" t="str">
        <f>IF($B$450="Y",'Population Definitions'!$A$2,"...")</f>
        <v>...</v>
      </c>
      <c r="E609" s="2"/>
      <c r="F609" s="3"/>
      <c r="G609" s="2"/>
      <c r="H609" s="4" t="str">
        <f>IF($B$450="Y","OR","...")</f>
        <v>...</v>
      </c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>
      <c r="A610" s="1" t="str">
        <f>IF($C$450="Y",'Population Definitions'!$A$13,"...")</f>
        <v>...</v>
      </c>
      <c r="B610" s="4" t="str">
        <f>IF($C$450="Y","---&gt;","...")</f>
        <v>...</v>
      </c>
      <c r="C610" s="1" t="str">
        <f>IF($C$450="Y",'Population Definitions'!$A$3,"...")</f>
        <v>...</v>
      </c>
      <c r="E610" s="2"/>
      <c r="F610" s="3"/>
      <c r="G610" s="2"/>
      <c r="H610" s="4" t="str">
        <f>IF($C$450="Y","OR","...")</f>
        <v>...</v>
      </c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>
      <c r="A611" s="1" t="str">
        <f>IF($D$450="Y",'Population Definitions'!$A$13,"...")</f>
        <v>...</v>
      </c>
      <c r="B611" s="4" t="str">
        <f>IF($D$450="Y","---&gt;","...")</f>
        <v>...</v>
      </c>
      <c r="C611" s="1" t="str">
        <f>IF($D$450="Y",'Population Definitions'!$A$4,"...")</f>
        <v>...</v>
      </c>
      <c r="E611" s="2"/>
      <c r="F611" s="3"/>
      <c r="G611" s="2"/>
      <c r="H611" s="4" t="str">
        <f>IF($D$450="Y","OR","...")</f>
        <v>...</v>
      </c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>
      <c r="A612" s="1" t="str">
        <f>IF($E$450="Y",'Population Definitions'!$A$13,"...")</f>
        <v>...</v>
      </c>
      <c r="B612" s="4" t="str">
        <f>IF($E$450="Y","---&gt;","...")</f>
        <v>...</v>
      </c>
      <c r="C612" s="1" t="str">
        <f>IF($E$450="Y",'Population Definitions'!$A$5,"...")</f>
        <v>...</v>
      </c>
      <c r="E612" s="2"/>
      <c r="F612" s="3"/>
      <c r="G612" s="2"/>
      <c r="H612" s="4" t="str">
        <f>IF($E$450="Y","OR","...")</f>
        <v>...</v>
      </c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>
      <c r="A613" s="1" t="str">
        <f>IF($F$450="Y",'Population Definitions'!$A$13,"...")</f>
        <v>...</v>
      </c>
      <c r="B613" s="4" t="str">
        <f>IF($F$450="Y","---&gt;","...")</f>
        <v>...</v>
      </c>
      <c r="C613" s="1" t="str">
        <f>IF($F$450="Y",'Population Definitions'!$A$6,"...")</f>
        <v>...</v>
      </c>
      <c r="E613" s="2"/>
      <c r="F613" s="3"/>
      <c r="G613" s="2"/>
      <c r="H613" s="4" t="str">
        <f>IF($F$450="Y","OR","...")</f>
        <v>...</v>
      </c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>
      <c r="A614" s="1" t="str">
        <f>IF($G$450="Y",'Population Definitions'!$A$13,"...")</f>
        <v>...</v>
      </c>
      <c r="B614" s="4" t="str">
        <f>IF($G$450="Y","---&gt;","...")</f>
        <v>...</v>
      </c>
      <c r="C614" s="1" t="str">
        <f>IF($G$450="Y",'Population Definitions'!$A$7,"...")</f>
        <v>...</v>
      </c>
      <c r="E614" s="2"/>
      <c r="F614" s="3"/>
      <c r="G614" s="2"/>
      <c r="H614" s="4" t="str">
        <f>IF($G$450="Y","OR","...")</f>
        <v>...</v>
      </c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>
      <c r="A615" s="1" t="str">
        <f>IF($H$450="Y",'Population Definitions'!$A$13,"...")</f>
        <v>...</v>
      </c>
      <c r="B615" s="4" t="str">
        <f>IF($H$450="Y","---&gt;","...")</f>
        <v>...</v>
      </c>
      <c r="C615" s="1" t="str">
        <f>IF($H$450="Y",'Population Definitions'!$A$8,"...")</f>
        <v>...</v>
      </c>
      <c r="E615" s="2"/>
      <c r="F615" s="3"/>
      <c r="G615" s="2"/>
      <c r="H615" s="4" t="str">
        <f>IF($H$450="Y","OR","...")</f>
        <v>...</v>
      </c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>
      <c r="A616" s="1" t="str">
        <f>IF($I$450="Y",'Population Definitions'!$A$13,"...")</f>
        <v>Prisoners_females</v>
      </c>
      <c r="B616" s="4" t="str">
        <f>IF($I$450="Y","---&gt;","...")</f>
        <v>---&gt;</v>
      </c>
      <c r="C616" s="1" t="str">
        <f>IF($I$450="Y",'Population Definitions'!$A$9,"...")</f>
        <v>18-64_females</v>
      </c>
      <c r="E616" s="3" t="s">
        <v>55</v>
      </c>
      <c r="F616" s="3"/>
      <c r="G616" s="3">
        <v>2.235849056603774</v>
      </c>
      <c r="H616" s="4" t="str">
        <f>IF($I$450="Y","OR","...")</f>
        <v>OR</v>
      </c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</row>
    <row r="617" spans="1:59">
      <c r="A617" s="1" t="str">
        <f>IF($J$450="Y",'Population Definitions'!$A$13,"...")</f>
        <v>...</v>
      </c>
      <c r="B617" s="4" t="str">
        <f>IF($J$450="Y","---&gt;","...")</f>
        <v>...</v>
      </c>
      <c r="C617" s="1" t="str">
        <f>IF($J$450="Y",'Population Definitions'!$A$10,"...")</f>
        <v>...</v>
      </c>
      <c r="E617" s="2"/>
      <c r="F617" s="3"/>
      <c r="G617" s="2"/>
      <c r="H617" s="4" t="str">
        <f>IF($J$450="Y","OR","...")</f>
        <v>...</v>
      </c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>
      <c r="A618" s="1" t="str">
        <f>IF($K$450="Y",'Population Definitions'!$A$13,"...")</f>
        <v>...</v>
      </c>
      <c r="B618" s="4" t="str">
        <f>IF($K$450="Y","---&gt;","...")</f>
        <v>...</v>
      </c>
      <c r="C618" s="1" t="str">
        <f>IF($K$450="Y",'Population Definitions'!$A$11,"...")</f>
        <v>...</v>
      </c>
      <c r="E618" s="2"/>
      <c r="F618" s="3"/>
      <c r="G618" s="2"/>
      <c r="H618" s="4" t="str">
        <f>IF($K$450="Y","OR","...")</f>
        <v>...</v>
      </c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>
      <c r="A619" s="1" t="str">
        <f>IF($L$450="Y",'Population Definitions'!$A$13,"...")</f>
        <v>...</v>
      </c>
      <c r="B619" s="4" t="str">
        <f>IF($L$450="Y","---&gt;","...")</f>
        <v>...</v>
      </c>
      <c r="C619" s="1" t="str">
        <f>IF($L$450="Y",'Population Definitions'!$A$12,"...")</f>
        <v>...</v>
      </c>
      <c r="E619" s="2"/>
      <c r="F619" s="3"/>
      <c r="G619" s="2"/>
      <c r="H619" s="4" t="str">
        <f>IF($L$450="Y","OR","...")</f>
        <v>...</v>
      </c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>
      <c r="A620" s="1" t="str">
        <f>IF($M$450="Y",'Population Definitions'!$A$13,"...")</f>
        <v>...</v>
      </c>
      <c r="B620" s="4" t="str">
        <f>IF($M$450="Y","---&gt;","...")</f>
        <v>...</v>
      </c>
      <c r="C620" s="1" t="str">
        <f>IF($M$450="Y",'Population Definitions'!$A$13,"...")</f>
        <v>...</v>
      </c>
      <c r="E620" s="2"/>
      <c r="F620" s="3"/>
      <c r="G620" s="2"/>
      <c r="H620" s="4" t="str">
        <f>IF($M$450="Y","OR","...")</f>
        <v>...</v>
      </c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>
      <c r="A621" s="1" t="str">
        <f>IF($N$450="Y",'Population Definitions'!$A$13,"...")</f>
        <v>...</v>
      </c>
      <c r="B621" s="4" t="str">
        <f>IF($N$450="Y","---&gt;","...")</f>
        <v>...</v>
      </c>
      <c r="C621" s="1" t="str">
        <f>IF($N$450="Y",'Population Definitions'!$A$14,"...")</f>
        <v>...</v>
      </c>
      <c r="E621" s="2"/>
      <c r="F621" s="3"/>
      <c r="G621" s="2"/>
      <c r="H621" s="4" t="str">
        <f>IF($N$450="Y","OR","...")</f>
        <v>...</v>
      </c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>
      <c r="A622" s="1" t="str">
        <f>IF($O$450="Y",'Population Definitions'!$A$13,"...")</f>
        <v>...</v>
      </c>
      <c r="B622" s="4" t="str">
        <f>IF($O$450="Y","---&gt;","...")</f>
        <v>...</v>
      </c>
      <c r="C622" s="1" t="str">
        <f>IF($O$450="Y",'Population Definitions'!$A$15,"...")</f>
        <v>...</v>
      </c>
      <c r="E622" s="2"/>
      <c r="F622" s="3"/>
      <c r="G622" s="2"/>
      <c r="H622" s="4" t="str">
        <f>IF($O$450="Y","OR","...")</f>
        <v>...</v>
      </c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>
      <c r="A623" s="1" t="str">
        <f>IF($B$451="Y",'Population Definitions'!$A$14,"...")</f>
        <v>Prisoners_PWID_males</v>
      </c>
      <c r="B623" s="4" t="str">
        <f>IF($B$451="Y","---&gt;","...")</f>
        <v>---&gt;</v>
      </c>
      <c r="C623" s="1" t="str">
        <f>IF($B$451="Y",'Population Definitions'!$A$2,"...")</f>
        <v>PWID_males</v>
      </c>
      <c r="E623" s="3" t="s">
        <v>55</v>
      </c>
      <c r="F623" s="3"/>
      <c r="G623" s="3">
        <v>2.235849056603774</v>
      </c>
      <c r="H623" s="4" t="str">
        <f>IF($B$451="Y","OR","...")</f>
        <v>OR</v>
      </c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</row>
    <row r="624" spans="1:59">
      <c r="A624" s="1" t="str">
        <f>IF($C$451="Y",'Population Definitions'!$A$14,"...")</f>
        <v>...</v>
      </c>
      <c r="B624" s="4" t="str">
        <f>IF($C$451="Y","---&gt;","...")</f>
        <v>...</v>
      </c>
      <c r="C624" s="1" t="str">
        <f>IF($C$451="Y",'Population Definitions'!$A$3,"...")</f>
        <v>...</v>
      </c>
      <c r="E624" s="2"/>
      <c r="F624" s="3"/>
      <c r="G624" s="2"/>
      <c r="H624" s="4" t="str">
        <f>IF($C$451="Y","OR","...")</f>
        <v>...</v>
      </c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>
      <c r="A625" s="1" t="str">
        <f>IF($D$451="Y",'Population Definitions'!$A$14,"...")</f>
        <v>...</v>
      </c>
      <c r="B625" s="4" t="str">
        <f>IF($D$451="Y","---&gt;","...")</f>
        <v>...</v>
      </c>
      <c r="C625" s="1" t="str">
        <f>IF($D$451="Y",'Population Definitions'!$A$4,"...")</f>
        <v>...</v>
      </c>
      <c r="E625" s="2"/>
      <c r="F625" s="3"/>
      <c r="G625" s="2"/>
      <c r="H625" s="4" t="str">
        <f>IF($D$451="Y","OR","...")</f>
        <v>...</v>
      </c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>
      <c r="A626" s="1" t="str">
        <f>IF($E$451="Y",'Population Definitions'!$A$14,"...")</f>
        <v>...</v>
      </c>
      <c r="B626" s="4" t="str">
        <f>IF($E$451="Y","---&gt;","...")</f>
        <v>...</v>
      </c>
      <c r="C626" s="1" t="str">
        <f>IF($E$451="Y",'Population Definitions'!$A$5,"...")</f>
        <v>...</v>
      </c>
      <c r="E626" s="2"/>
      <c r="F626" s="3"/>
      <c r="G626" s="2"/>
      <c r="H626" s="4" t="str">
        <f>IF($E$451="Y","OR","...")</f>
        <v>...</v>
      </c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>
      <c r="A627" s="1" t="str">
        <f>IF($F$451="Y",'Population Definitions'!$A$14,"...")</f>
        <v>...</v>
      </c>
      <c r="B627" s="4" t="str">
        <f>IF($F$451="Y","---&gt;","...")</f>
        <v>...</v>
      </c>
      <c r="C627" s="1" t="str">
        <f>IF($F$451="Y",'Population Definitions'!$A$6,"...")</f>
        <v>...</v>
      </c>
      <c r="E627" s="2"/>
      <c r="F627" s="3"/>
      <c r="G627" s="2"/>
      <c r="H627" s="4" t="str">
        <f>IF($F$451="Y","OR","...")</f>
        <v>...</v>
      </c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>
      <c r="A628" s="1" t="str">
        <f>IF($G$451="Y",'Population Definitions'!$A$14,"...")</f>
        <v>...</v>
      </c>
      <c r="B628" s="4" t="str">
        <f>IF($G$451="Y","---&gt;","...")</f>
        <v>...</v>
      </c>
      <c r="C628" s="1" t="str">
        <f>IF($G$451="Y",'Population Definitions'!$A$7,"...")</f>
        <v>...</v>
      </c>
      <c r="E628" s="2"/>
      <c r="F628" s="3"/>
      <c r="G628" s="2"/>
      <c r="H628" s="4" t="str">
        <f>IF($G$451="Y","OR","...")</f>
        <v>...</v>
      </c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>
      <c r="A629" s="1" t="str">
        <f>IF($H$451="Y",'Population Definitions'!$A$14,"...")</f>
        <v>...</v>
      </c>
      <c r="B629" s="4" t="str">
        <f>IF($H$451="Y","---&gt;","...")</f>
        <v>...</v>
      </c>
      <c r="C629" s="1" t="str">
        <f>IF($H$451="Y",'Population Definitions'!$A$8,"...")</f>
        <v>...</v>
      </c>
      <c r="E629" s="2"/>
      <c r="F629" s="3"/>
      <c r="G629" s="2"/>
      <c r="H629" s="4" t="str">
        <f>IF($H$451="Y","OR","...")</f>
        <v>...</v>
      </c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>
      <c r="A630" s="1" t="str">
        <f>IF($I$451="Y",'Population Definitions'!$A$14,"...")</f>
        <v>...</v>
      </c>
      <c r="B630" s="4" t="str">
        <f>IF($I$451="Y","---&gt;","...")</f>
        <v>...</v>
      </c>
      <c r="C630" s="1" t="str">
        <f>IF($I$451="Y",'Population Definitions'!$A$9,"...")</f>
        <v>...</v>
      </c>
      <c r="E630" s="2"/>
      <c r="F630" s="3"/>
      <c r="G630" s="2"/>
      <c r="H630" s="4" t="str">
        <f>IF($I$451="Y","OR","...")</f>
        <v>...</v>
      </c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>
      <c r="A631" s="1" t="str">
        <f>IF($J$451="Y",'Population Definitions'!$A$14,"...")</f>
        <v>...</v>
      </c>
      <c r="B631" s="4" t="str">
        <f>IF($J$451="Y","---&gt;","...")</f>
        <v>...</v>
      </c>
      <c r="C631" s="1" t="str">
        <f>IF($J$451="Y",'Population Definitions'!$A$10,"...")</f>
        <v>...</v>
      </c>
      <c r="E631" s="2"/>
      <c r="F631" s="3"/>
      <c r="G631" s="2"/>
      <c r="H631" s="4" t="str">
        <f>IF($J$451="Y","OR","...")</f>
        <v>...</v>
      </c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>
      <c r="A632" s="1" t="str">
        <f>IF($K$451="Y",'Population Definitions'!$A$14,"...")</f>
        <v>...</v>
      </c>
      <c r="B632" s="4" t="str">
        <f>IF($K$451="Y","---&gt;","...")</f>
        <v>...</v>
      </c>
      <c r="C632" s="1" t="str">
        <f>IF($K$451="Y",'Population Definitions'!$A$11,"...")</f>
        <v>...</v>
      </c>
      <c r="E632" s="2"/>
      <c r="F632" s="3"/>
      <c r="G632" s="2"/>
      <c r="H632" s="4" t="str">
        <f>IF($K$451="Y","OR","...")</f>
        <v>...</v>
      </c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>
      <c r="A633" s="1" t="str">
        <f>IF($L$451="Y",'Population Definitions'!$A$14,"...")</f>
        <v>...</v>
      </c>
      <c r="B633" s="4" t="str">
        <f>IF($L$451="Y","---&gt;","...")</f>
        <v>...</v>
      </c>
      <c r="C633" s="1" t="str">
        <f>IF($L$451="Y",'Population Definitions'!$A$12,"...")</f>
        <v>...</v>
      </c>
      <c r="E633" s="2"/>
      <c r="F633" s="3"/>
      <c r="G633" s="2"/>
      <c r="H633" s="4" t="str">
        <f>IF($L$451="Y","OR","...")</f>
        <v>...</v>
      </c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>
      <c r="A634" s="1" t="str">
        <f>IF($M$451="Y",'Population Definitions'!$A$14,"...")</f>
        <v>...</v>
      </c>
      <c r="B634" s="4" t="str">
        <f>IF($M$451="Y","---&gt;","...")</f>
        <v>...</v>
      </c>
      <c r="C634" s="1" t="str">
        <f>IF($M$451="Y",'Population Definitions'!$A$13,"...")</f>
        <v>...</v>
      </c>
      <c r="E634" s="2"/>
      <c r="F634" s="3"/>
      <c r="G634" s="2"/>
      <c r="H634" s="4" t="str">
        <f>IF($M$451="Y","OR","...")</f>
        <v>...</v>
      </c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>
      <c r="A635" s="1" t="str">
        <f>IF($N$451="Y",'Population Definitions'!$A$14,"...")</f>
        <v>...</v>
      </c>
      <c r="B635" s="4" t="str">
        <f>IF($N$451="Y","---&gt;","...")</f>
        <v>...</v>
      </c>
      <c r="C635" s="1" t="str">
        <f>IF($N$451="Y",'Population Definitions'!$A$14,"...")</f>
        <v>...</v>
      </c>
      <c r="E635" s="2"/>
      <c r="F635" s="3"/>
      <c r="G635" s="2"/>
      <c r="H635" s="4" t="str">
        <f>IF($N$451="Y","OR","...")</f>
        <v>...</v>
      </c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>
      <c r="A636" s="1" t="str">
        <f>IF($O$451="Y",'Population Definitions'!$A$14,"...")</f>
        <v>...</v>
      </c>
      <c r="B636" s="4" t="str">
        <f>IF($O$451="Y","---&gt;","...")</f>
        <v>...</v>
      </c>
      <c r="C636" s="1" t="str">
        <f>IF($O$451="Y",'Population Definitions'!$A$15,"...")</f>
        <v>...</v>
      </c>
      <c r="E636" s="2"/>
      <c r="F636" s="3"/>
      <c r="G636" s="2"/>
      <c r="H636" s="4" t="str">
        <f>IF($O$451="Y","OR","...")</f>
        <v>...</v>
      </c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>
      <c r="A637" s="1" t="str">
        <f>IF($B$452="Y",'Population Definitions'!$A$15,"...")</f>
        <v>...</v>
      </c>
      <c r="B637" s="4" t="str">
        <f>IF($B$452="Y","---&gt;","...")</f>
        <v>...</v>
      </c>
      <c r="C637" s="1" t="str">
        <f>IF($B$452="Y",'Population Definitions'!$A$2,"...")</f>
        <v>...</v>
      </c>
      <c r="E637" s="2"/>
      <c r="F637" s="3"/>
      <c r="G637" s="2"/>
      <c r="H637" s="4" t="str">
        <f>IF($B$452="Y","OR","...")</f>
        <v>...</v>
      </c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>
      <c r="A638" s="1" t="str">
        <f>IF($C$452="Y",'Population Definitions'!$A$15,"...")</f>
        <v>Prisoners_PWID_females</v>
      </c>
      <c r="B638" s="4" t="str">
        <f>IF($C$452="Y","---&gt;","...")</f>
        <v>---&gt;</v>
      </c>
      <c r="C638" s="1" t="str">
        <f>IF($C$452="Y",'Population Definitions'!$A$3,"...")</f>
        <v>PWID_females</v>
      </c>
      <c r="E638" s="3" t="s">
        <v>55</v>
      </c>
      <c r="F638" s="3"/>
      <c r="G638" s="3">
        <v>2.235849056603773</v>
      </c>
      <c r="H638" s="4" t="str">
        <f>IF($C$452="Y","OR","...")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</row>
    <row r="639" spans="1:59">
      <c r="A639" s="1" t="str">
        <f>IF($D$452="Y",'Population Definitions'!$A$15,"...")</f>
        <v>...</v>
      </c>
      <c r="B639" s="4" t="str">
        <f>IF($D$452="Y","---&gt;","...")</f>
        <v>...</v>
      </c>
      <c r="C639" s="1" t="str">
        <f>IF($D$452="Y",'Population Definitions'!$A$4,"...")</f>
        <v>...</v>
      </c>
      <c r="E639" s="2"/>
      <c r="F639" s="3"/>
      <c r="G639" s="2"/>
      <c r="H639" s="4" t="str">
        <f>IF($D$452="Y","OR","...")</f>
        <v>...</v>
      </c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>
      <c r="A640" s="1" t="str">
        <f>IF($E$452="Y",'Population Definitions'!$A$15,"...")</f>
        <v>...</v>
      </c>
      <c r="B640" s="4" t="str">
        <f>IF($E$452="Y","---&gt;","...")</f>
        <v>...</v>
      </c>
      <c r="C640" s="1" t="str">
        <f>IF($E$452="Y",'Population Definitions'!$A$5,"...")</f>
        <v>...</v>
      </c>
      <c r="E640" s="2"/>
      <c r="F640" s="3"/>
      <c r="G640" s="2"/>
      <c r="H640" s="4" t="str">
        <f>IF($E$452="Y","OR","...")</f>
        <v>...</v>
      </c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>
      <c r="A641" s="1" t="str">
        <f>IF($F$452="Y",'Population Definitions'!$A$15,"...")</f>
        <v>...</v>
      </c>
      <c r="B641" s="4" t="str">
        <f>IF($F$452="Y","---&gt;","...")</f>
        <v>...</v>
      </c>
      <c r="C641" s="1" t="str">
        <f>IF($F$452="Y",'Population Definitions'!$A$6,"...")</f>
        <v>...</v>
      </c>
      <c r="E641" s="2"/>
      <c r="F641" s="3"/>
      <c r="G641" s="2"/>
      <c r="H641" s="4" t="str">
        <f>IF($F$452="Y","OR","...")</f>
        <v>...</v>
      </c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>
      <c r="A642" s="1" t="str">
        <f>IF($G$452="Y",'Population Definitions'!$A$15,"...")</f>
        <v>...</v>
      </c>
      <c r="B642" s="4" t="str">
        <f>IF($G$452="Y","---&gt;","...")</f>
        <v>...</v>
      </c>
      <c r="C642" s="1" t="str">
        <f>IF($G$452="Y",'Population Definitions'!$A$7,"...")</f>
        <v>...</v>
      </c>
      <c r="E642" s="2"/>
      <c r="F642" s="3"/>
      <c r="G642" s="2"/>
      <c r="H642" s="4" t="str">
        <f>IF($G$452="Y","OR","...")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>
      <c r="A643" s="1" t="str">
        <f>IF($H$452="Y",'Population Definitions'!$A$15,"...")</f>
        <v>...</v>
      </c>
      <c r="B643" s="4" t="str">
        <f>IF($H$452="Y","---&gt;","...")</f>
        <v>...</v>
      </c>
      <c r="C643" s="1" t="str">
        <f>IF($H$452="Y",'Population Definitions'!$A$8,"...")</f>
        <v>...</v>
      </c>
      <c r="E643" s="2"/>
      <c r="F643" s="3"/>
      <c r="G643" s="2"/>
      <c r="H643" s="4" t="str">
        <f>IF($H$452="Y","OR","...")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>
      <c r="A644" s="1" t="str">
        <f>IF($I$452="Y",'Population Definitions'!$A$15,"...")</f>
        <v>...</v>
      </c>
      <c r="B644" s="4" t="str">
        <f>IF($I$452="Y","---&gt;","...")</f>
        <v>...</v>
      </c>
      <c r="C644" s="1" t="str">
        <f>IF($I$452="Y",'Population Definitions'!$A$9,"...")</f>
        <v>...</v>
      </c>
      <c r="E644" s="2"/>
      <c r="F644" s="3"/>
      <c r="G644" s="2"/>
      <c r="H644" s="4" t="str">
        <f>IF($I$452="Y","OR","...")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>
      <c r="A645" s="1" t="str">
        <f>IF($J$452="Y",'Population Definitions'!$A$15,"...")</f>
        <v>...</v>
      </c>
      <c r="B645" s="4" t="str">
        <f>IF($J$452="Y","---&gt;","...")</f>
        <v>...</v>
      </c>
      <c r="C645" s="1" t="str">
        <f>IF($J$452="Y",'Population Definitions'!$A$10,"...")</f>
        <v>...</v>
      </c>
      <c r="E645" s="2"/>
      <c r="F645" s="3"/>
      <c r="G645" s="2"/>
      <c r="H645" s="4" t="str">
        <f>IF($J$452="Y","OR","...")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>
      <c r="A646" s="1" t="str">
        <f>IF($K$452="Y",'Population Definitions'!$A$15,"...")</f>
        <v>...</v>
      </c>
      <c r="B646" s="4" t="str">
        <f>IF($K$452="Y","---&gt;","...")</f>
        <v>...</v>
      </c>
      <c r="C646" s="1" t="str">
        <f>IF($K$452="Y",'Population Definitions'!$A$11,"...")</f>
        <v>...</v>
      </c>
      <c r="E646" s="2"/>
      <c r="F646" s="3"/>
      <c r="G646" s="2"/>
      <c r="H646" s="4" t="str">
        <f>IF($K$452="Y","OR","...")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>
      <c r="A647" s="1" t="str">
        <f>IF($L$452="Y",'Population Definitions'!$A$15,"...")</f>
        <v>...</v>
      </c>
      <c r="B647" s="4" t="str">
        <f>IF($L$452="Y","---&gt;","...")</f>
        <v>...</v>
      </c>
      <c r="C647" s="1" t="str">
        <f>IF($L$452="Y",'Population Definitions'!$A$12,"...")</f>
        <v>...</v>
      </c>
      <c r="E647" s="2"/>
      <c r="F647" s="3"/>
      <c r="G647" s="2"/>
      <c r="H647" s="4" t="str">
        <f>IF($L$452="Y","OR","...")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>
      <c r="A648" s="1" t="str">
        <f>IF($M$452="Y",'Population Definitions'!$A$15,"...")</f>
        <v>...</v>
      </c>
      <c r="B648" s="4" t="str">
        <f>IF($M$452="Y","---&gt;","...")</f>
        <v>...</v>
      </c>
      <c r="C648" s="1" t="str">
        <f>IF($M$452="Y",'Population Definitions'!$A$13,"...")</f>
        <v>...</v>
      </c>
      <c r="E648" s="2"/>
      <c r="F648" s="3"/>
      <c r="G648" s="2"/>
      <c r="H648" s="4" t="str">
        <f>IF($M$452="Y","OR","...")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>
      <c r="A649" s="1" t="str">
        <f>IF($N$452="Y",'Population Definitions'!$A$15,"...")</f>
        <v>...</v>
      </c>
      <c r="B649" s="4" t="str">
        <f>IF($N$452="Y","---&gt;","...")</f>
        <v>...</v>
      </c>
      <c r="C649" s="1" t="str">
        <f>IF($N$452="Y",'Population Definitions'!$A$14,"...")</f>
        <v>...</v>
      </c>
      <c r="E649" s="2"/>
      <c r="F649" s="3"/>
      <c r="G649" s="2"/>
      <c r="H649" s="4" t="str">
        <f>IF($N$452="Y","OR","...")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>
      <c r="A650" s="1" t="str">
        <f>IF($O$452="Y",'Population Definitions'!$A$15,"...")</f>
        <v>...</v>
      </c>
      <c r="B650" s="4" t="str">
        <f>IF($O$452="Y","---&gt;","...")</f>
        <v>...</v>
      </c>
      <c r="C650" s="1" t="str">
        <f>IF($O$452="Y",'Population Definitions'!$A$15,"...")</f>
        <v>...</v>
      </c>
      <c r="E650" s="2"/>
      <c r="F650" s="3"/>
      <c r="G650" s="2"/>
      <c r="H650" s="4" t="str">
        <f>IF($O$452="Y","OR","...")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</sheetData>
  <conditionalFormatting sqref="B10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B11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B12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B13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B14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B15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B16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B17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B18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B223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B224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B225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B226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B2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B229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B230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B231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B232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B233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B234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B235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B440">
    <cfRule type="cellIs" dxfId="2" priority="1931" operator="equal">
      <formula>"Y"</formula>
    </cfRule>
    <cfRule type="cellIs" dxfId="3" priority="1932" operator="equal">
      <formula>"N"</formula>
    </cfRule>
  </conditionalFormatting>
  <conditionalFormatting sqref="B441">
    <cfRule type="cellIs" dxfId="2" priority="1957" operator="equal">
      <formula>"Y"</formula>
    </cfRule>
    <cfRule type="cellIs" dxfId="3" priority="1958" operator="equal">
      <formula>"N"</formula>
    </cfRule>
  </conditionalFormatting>
  <conditionalFormatting sqref="B442">
    <cfRule type="cellIs" dxfId="2" priority="1983" operator="equal">
      <formula>"Y"</formula>
    </cfRule>
    <cfRule type="cellIs" dxfId="3" priority="1984" operator="equal">
      <formula>"N"</formula>
    </cfRule>
  </conditionalFormatting>
  <conditionalFormatting sqref="B443">
    <cfRule type="cellIs" dxfId="2" priority="2009" operator="equal">
      <formula>"Y"</formula>
    </cfRule>
    <cfRule type="cellIs" dxfId="3" priority="2010" operator="equal">
      <formula>"N"</formula>
    </cfRule>
  </conditionalFormatting>
  <conditionalFormatting sqref="B444">
    <cfRule type="cellIs" dxfId="2" priority="2035" operator="equal">
      <formula>"Y"</formula>
    </cfRule>
    <cfRule type="cellIs" dxfId="3" priority="2036" operator="equal">
      <formula>"N"</formula>
    </cfRule>
  </conditionalFormatting>
  <conditionalFormatting sqref="B445">
    <cfRule type="cellIs" dxfId="2" priority="2061" operator="equal">
      <formula>"Y"</formula>
    </cfRule>
    <cfRule type="cellIs" dxfId="3" priority="2062" operator="equal">
      <formula>"N"</formula>
    </cfRule>
  </conditionalFormatting>
  <conditionalFormatting sqref="B446">
    <cfRule type="cellIs" dxfId="2" priority="2087" operator="equal">
      <formula>"Y"</formula>
    </cfRule>
    <cfRule type="cellIs" dxfId="3" priority="2088" operator="equal">
      <formula>"N"</formula>
    </cfRule>
  </conditionalFormatting>
  <conditionalFormatting sqref="B447">
    <cfRule type="cellIs" dxfId="2" priority="2113" operator="equal">
      <formula>"Y"</formula>
    </cfRule>
    <cfRule type="cellIs" dxfId="3" priority="2114" operator="equal">
      <formula>"N"</formula>
    </cfRule>
  </conditionalFormatting>
  <conditionalFormatting sqref="B448">
    <cfRule type="cellIs" dxfId="2" priority="2139" operator="equal">
      <formula>"Y"</formula>
    </cfRule>
    <cfRule type="cellIs" dxfId="3" priority="2140" operator="equal">
      <formula>"N"</formula>
    </cfRule>
  </conditionalFormatting>
  <conditionalFormatting sqref="B449">
    <cfRule type="cellIs" dxfId="2" priority="2165" operator="equal">
      <formula>"Y"</formula>
    </cfRule>
    <cfRule type="cellIs" dxfId="3" priority="2166" operator="equal">
      <formula>"N"</formula>
    </cfRule>
  </conditionalFormatting>
  <conditionalFormatting sqref="B450">
    <cfRule type="cellIs" dxfId="2" priority="2191" operator="equal">
      <formula>"Y"</formula>
    </cfRule>
    <cfRule type="cellIs" dxfId="3" priority="2192" operator="equal">
      <formula>"N"</formula>
    </cfRule>
  </conditionalFormatting>
  <conditionalFormatting sqref="B451">
    <cfRule type="cellIs" dxfId="2" priority="2217" operator="equal">
      <formula>"Y"</formula>
    </cfRule>
    <cfRule type="cellIs" dxfId="3" priority="2218" operator="equal">
      <formula>"N"</formula>
    </cfRule>
  </conditionalFormatting>
  <conditionalFormatting sqref="B452">
    <cfRule type="cellIs" dxfId="2" priority="2243" operator="equal">
      <formula>"Y"</formula>
    </cfRule>
    <cfRule type="cellIs" dxfId="3" priority="2244" operator="equal">
      <formula>"N"</formula>
    </cfRule>
  </conditionalFormatting>
  <conditionalFormatting sqref="B6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B7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B8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B9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C10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C11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C12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3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C14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C15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C16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C17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C18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C222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C224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C225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C226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C2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C229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C230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C231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C232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C233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C234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C235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C439">
    <cfRule type="cellIs" dxfId="2" priority="1905" operator="equal">
      <formula>"Y"</formula>
    </cfRule>
    <cfRule type="cellIs" dxfId="3" priority="1906" operator="equal">
      <formula>"N"</formula>
    </cfRule>
  </conditionalFormatting>
  <conditionalFormatting sqref="C441">
    <cfRule type="cellIs" dxfId="2" priority="1959" operator="equal">
      <formula>"Y"</formula>
    </cfRule>
    <cfRule type="cellIs" dxfId="3" priority="1960" operator="equal">
      <formula>"N"</formula>
    </cfRule>
  </conditionalFormatting>
  <conditionalFormatting sqref="C442">
    <cfRule type="cellIs" dxfId="2" priority="1985" operator="equal">
      <formula>"Y"</formula>
    </cfRule>
    <cfRule type="cellIs" dxfId="3" priority="1986" operator="equal">
      <formula>"N"</formula>
    </cfRule>
  </conditionalFormatting>
  <conditionalFormatting sqref="C443">
    <cfRule type="cellIs" dxfId="2" priority="2011" operator="equal">
      <formula>"Y"</formula>
    </cfRule>
    <cfRule type="cellIs" dxfId="3" priority="2012" operator="equal">
      <formula>"N"</formula>
    </cfRule>
  </conditionalFormatting>
  <conditionalFormatting sqref="C444">
    <cfRule type="cellIs" dxfId="2" priority="2037" operator="equal">
      <formula>"Y"</formula>
    </cfRule>
    <cfRule type="cellIs" dxfId="3" priority="2038" operator="equal">
      <formula>"N"</formula>
    </cfRule>
  </conditionalFormatting>
  <conditionalFormatting sqref="C445">
    <cfRule type="cellIs" dxfId="2" priority="2063" operator="equal">
      <formula>"Y"</formula>
    </cfRule>
    <cfRule type="cellIs" dxfId="3" priority="2064" operator="equal">
      <formula>"N"</formula>
    </cfRule>
  </conditionalFormatting>
  <conditionalFormatting sqref="C446">
    <cfRule type="cellIs" dxfId="2" priority="2089" operator="equal">
      <formula>"Y"</formula>
    </cfRule>
    <cfRule type="cellIs" dxfId="3" priority="2090" operator="equal">
      <formula>"N"</formula>
    </cfRule>
  </conditionalFormatting>
  <conditionalFormatting sqref="C447">
    <cfRule type="cellIs" dxfId="2" priority="2115" operator="equal">
      <formula>"Y"</formula>
    </cfRule>
    <cfRule type="cellIs" dxfId="3" priority="2116" operator="equal">
      <formula>"N"</formula>
    </cfRule>
  </conditionalFormatting>
  <conditionalFormatting sqref="C448">
    <cfRule type="cellIs" dxfId="2" priority="2141" operator="equal">
      <formula>"Y"</formula>
    </cfRule>
    <cfRule type="cellIs" dxfId="3" priority="2142" operator="equal">
      <formula>"N"</formula>
    </cfRule>
  </conditionalFormatting>
  <conditionalFormatting sqref="C449">
    <cfRule type="cellIs" dxfId="2" priority="2167" operator="equal">
      <formula>"Y"</formula>
    </cfRule>
    <cfRule type="cellIs" dxfId="3" priority="2168" operator="equal">
      <formula>"N"</formula>
    </cfRule>
  </conditionalFormatting>
  <conditionalFormatting sqref="C450">
    <cfRule type="cellIs" dxfId="2" priority="2193" operator="equal">
      <formula>"Y"</formula>
    </cfRule>
    <cfRule type="cellIs" dxfId="3" priority="2194" operator="equal">
      <formula>"N"</formula>
    </cfRule>
  </conditionalFormatting>
  <conditionalFormatting sqref="C451">
    <cfRule type="cellIs" dxfId="2" priority="2219" operator="equal">
      <formula>"Y"</formula>
    </cfRule>
    <cfRule type="cellIs" dxfId="3" priority="2220" operator="equal">
      <formula>"N"</formula>
    </cfRule>
  </conditionalFormatting>
  <conditionalFormatting sqref="C452">
    <cfRule type="cellIs" dxfId="2" priority="2245" operator="equal">
      <formula>"Y"</formula>
    </cfRule>
    <cfRule type="cellIs" dxfId="3" priority="2246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C8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C9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D10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D100:BG100">
    <cfRule type="expression" dxfId="4" priority="604">
      <formula>$K$10&lt;&gt;"Y"</formula>
    </cfRule>
  </conditionalFormatting>
  <conditionalFormatting sqref="D101:BG101">
    <cfRule type="expression" dxfId="4" priority="607">
      <formula>$L$10&lt;&gt;"Y"</formula>
    </cfRule>
  </conditionalFormatting>
  <conditionalFormatting sqref="D102:BG102">
    <cfRule type="expression" dxfId="4" priority="610">
      <formula>$M$10&lt;&gt;"Y"</formula>
    </cfRule>
  </conditionalFormatting>
  <conditionalFormatting sqref="D103:BG103">
    <cfRule type="expression" dxfId="4" priority="613">
      <formula>$N$10&lt;&gt;"Y"</formula>
    </cfRule>
  </conditionalFormatting>
  <conditionalFormatting sqref="D104:BG104">
    <cfRule type="expression" dxfId="4" priority="616">
      <formula>$O$10&lt;&gt;"Y"</formula>
    </cfRule>
  </conditionalFormatting>
  <conditionalFormatting sqref="D105:BG105">
    <cfRule type="expression" dxfId="4" priority="619">
      <formula>$B$11&lt;&gt;"Y"</formula>
    </cfRule>
  </conditionalFormatting>
  <conditionalFormatting sqref="D106:BG106">
    <cfRule type="expression" dxfId="4" priority="622">
      <formula>$C$11&lt;&gt;"Y"</formula>
    </cfRule>
  </conditionalFormatting>
  <conditionalFormatting sqref="D107:BG107">
    <cfRule type="expression" dxfId="4" priority="625">
      <formula>$D$11&lt;&gt;"Y"</formula>
    </cfRule>
  </conditionalFormatting>
  <conditionalFormatting sqref="D108:BG108">
    <cfRule type="expression" dxfId="4" priority="628">
      <formula>$E$11&lt;&gt;"Y"</formula>
    </cfRule>
  </conditionalFormatting>
  <conditionalFormatting sqref="D109:BG109">
    <cfRule type="expression" dxfId="4" priority="631">
      <formula>$F$11&lt;&gt;"Y"</formula>
    </cfRule>
  </conditionalFormatting>
  <conditionalFormatting sqref="D11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D110:BG110">
    <cfRule type="expression" dxfId="4" priority="634">
      <formula>$G$11&lt;&gt;"Y"</formula>
    </cfRule>
  </conditionalFormatting>
  <conditionalFormatting sqref="D111:BG111">
    <cfRule type="expression" dxfId="4" priority="637">
      <formula>$H$11&lt;&gt;"Y"</formula>
    </cfRule>
  </conditionalFormatting>
  <conditionalFormatting sqref="D112:BG112">
    <cfRule type="expression" dxfId="4" priority="640">
      <formula>$I$11&lt;&gt;"Y"</formula>
    </cfRule>
  </conditionalFormatting>
  <conditionalFormatting sqref="D113:BG113">
    <cfRule type="expression" dxfId="4" priority="643">
      <formula>$J$11&lt;&gt;"Y"</formula>
    </cfRule>
  </conditionalFormatting>
  <conditionalFormatting sqref="D114:BG114">
    <cfRule type="expression" dxfId="4" priority="646">
      <formula>$K$11&lt;&gt;"Y"</formula>
    </cfRule>
  </conditionalFormatting>
  <conditionalFormatting sqref="D115:BG115">
    <cfRule type="expression" dxfId="4" priority="649">
      <formula>$L$11&lt;&gt;"Y"</formula>
    </cfRule>
  </conditionalFormatting>
  <conditionalFormatting sqref="D116:BG116">
    <cfRule type="expression" dxfId="4" priority="652">
      <formula>$M$11&lt;&gt;"Y"</formula>
    </cfRule>
  </conditionalFormatting>
  <conditionalFormatting sqref="D117:BG117">
    <cfRule type="expression" dxfId="4" priority="655">
      <formula>$N$11&lt;&gt;"Y"</formula>
    </cfRule>
  </conditionalFormatting>
  <conditionalFormatting sqref="D118:BG118">
    <cfRule type="expression" dxfId="4" priority="658">
      <formula>$O$11&lt;&gt;"Y"</formula>
    </cfRule>
  </conditionalFormatting>
  <conditionalFormatting sqref="D119:BG119">
    <cfRule type="expression" dxfId="4" priority="661">
      <formula>$B$12&lt;&gt;"Y"</formula>
    </cfRule>
  </conditionalFormatting>
  <conditionalFormatting sqref="D12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20:BG120">
    <cfRule type="expression" dxfId="4" priority="664">
      <formula>$C$12&lt;&gt;"Y"</formula>
    </cfRule>
  </conditionalFormatting>
  <conditionalFormatting sqref="D121:BG121">
    <cfRule type="expression" dxfId="4" priority="667">
      <formula>$D$12&lt;&gt;"Y"</formula>
    </cfRule>
  </conditionalFormatting>
  <conditionalFormatting sqref="D122:BG122">
    <cfRule type="expression" dxfId="4" priority="670">
      <formula>$E$12&lt;&gt;"Y"</formula>
    </cfRule>
  </conditionalFormatting>
  <conditionalFormatting sqref="D123:BG123">
    <cfRule type="expression" dxfId="4" priority="673">
      <formula>$F$12&lt;&gt;"Y"</formula>
    </cfRule>
  </conditionalFormatting>
  <conditionalFormatting sqref="D124:BG124">
    <cfRule type="expression" dxfId="4" priority="676">
      <formula>$G$12&lt;&gt;"Y"</formula>
    </cfRule>
  </conditionalFormatting>
  <conditionalFormatting sqref="D125:BG125">
    <cfRule type="expression" dxfId="4" priority="679">
      <formula>$H$12&lt;&gt;"Y"</formula>
    </cfRule>
  </conditionalFormatting>
  <conditionalFormatting sqref="D126:BG126">
    <cfRule type="expression" dxfId="4" priority="682">
      <formula>$I$12&lt;&gt;"Y"</formula>
    </cfRule>
  </conditionalFormatting>
  <conditionalFormatting sqref="D127:BG127">
    <cfRule type="expression" dxfId="4" priority="685">
      <formula>$J$12&lt;&gt;"Y"</formula>
    </cfRule>
  </conditionalFormatting>
  <conditionalFormatting sqref="D128:BG128">
    <cfRule type="expression" dxfId="4" priority="688">
      <formula>$K$12&lt;&gt;"Y"</formula>
    </cfRule>
  </conditionalFormatting>
  <conditionalFormatting sqref="D129:BG129">
    <cfRule type="expression" dxfId="4" priority="691">
      <formula>$L$12&lt;&gt;"Y"</formula>
    </cfRule>
  </conditionalFormatting>
  <conditionalFormatting sqref="D13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D130:BG130">
    <cfRule type="expression" dxfId="4" priority="694">
      <formula>$M$12&lt;&gt;"Y"</formula>
    </cfRule>
  </conditionalFormatting>
  <conditionalFormatting sqref="D131:BG131">
    <cfRule type="expression" dxfId="4" priority="697">
      <formula>$N$12&lt;&gt;"Y"</formula>
    </cfRule>
  </conditionalFormatting>
  <conditionalFormatting sqref="D132:BG132">
    <cfRule type="expression" dxfId="4" priority="700">
      <formula>$O$12&lt;&gt;"Y"</formula>
    </cfRule>
  </conditionalFormatting>
  <conditionalFormatting sqref="D133:BG133">
    <cfRule type="expression" dxfId="4" priority="703">
      <formula>$B$13&lt;&gt;"Y"</formula>
    </cfRule>
  </conditionalFormatting>
  <conditionalFormatting sqref="D134:BG134">
    <cfRule type="expression" dxfId="4" priority="706">
      <formula>$C$13&lt;&gt;"Y"</formula>
    </cfRule>
  </conditionalFormatting>
  <conditionalFormatting sqref="D135:BG135">
    <cfRule type="expression" dxfId="4" priority="709">
      <formula>$D$13&lt;&gt;"Y"</formula>
    </cfRule>
  </conditionalFormatting>
  <conditionalFormatting sqref="D136:BG136">
    <cfRule type="expression" dxfId="4" priority="712">
      <formula>$E$13&lt;&gt;"Y"</formula>
    </cfRule>
  </conditionalFormatting>
  <conditionalFormatting sqref="D137:BG137">
    <cfRule type="expression" dxfId="4" priority="715">
      <formula>$F$13&lt;&gt;"Y"</formula>
    </cfRule>
  </conditionalFormatting>
  <conditionalFormatting sqref="D138:BG138">
    <cfRule type="expression" dxfId="4" priority="718">
      <formula>$G$13&lt;&gt;"Y"</formula>
    </cfRule>
  </conditionalFormatting>
  <conditionalFormatting sqref="D139:BG139">
    <cfRule type="expression" dxfId="4" priority="721">
      <formula>$H$13&lt;&gt;"Y"</formula>
    </cfRule>
  </conditionalFormatting>
  <conditionalFormatting sqref="D14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D140:BG140">
    <cfRule type="expression" dxfId="4" priority="724">
      <formula>$I$13&lt;&gt;"Y"</formula>
    </cfRule>
  </conditionalFormatting>
  <conditionalFormatting sqref="D141:BG141">
    <cfRule type="expression" dxfId="4" priority="727">
      <formula>$J$13&lt;&gt;"Y"</formula>
    </cfRule>
  </conditionalFormatting>
  <conditionalFormatting sqref="D142:BG142">
    <cfRule type="expression" dxfId="4" priority="730">
      <formula>$K$13&lt;&gt;"Y"</formula>
    </cfRule>
  </conditionalFormatting>
  <conditionalFormatting sqref="D143:BG143">
    <cfRule type="expression" dxfId="4" priority="733">
      <formula>$L$13&lt;&gt;"Y"</formula>
    </cfRule>
  </conditionalFormatting>
  <conditionalFormatting sqref="D144:BG144">
    <cfRule type="expression" dxfId="4" priority="736">
      <formula>$M$13&lt;&gt;"Y"</formula>
    </cfRule>
  </conditionalFormatting>
  <conditionalFormatting sqref="D145:BG145">
    <cfRule type="expression" dxfId="4" priority="739">
      <formula>$N$13&lt;&gt;"Y"</formula>
    </cfRule>
  </conditionalFormatting>
  <conditionalFormatting sqref="D146:BG146">
    <cfRule type="expression" dxfId="4" priority="742">
      <formula>$O$13&lt;&gt;"Y"</formula>
    </cfRule>
  </conditionalFormatting>
  <conditionalFormatting sqref="D147:BG147">
    <cfRule type="expression" dxfId="4" priority="745">
      <formula>$B$14&lt;&gt;"Y"</formula>
    </cfRule>
  </conditionalFormatting>
  <conditionalFormatting sqref="D148:BG148">
    <cfRule type="expression" dxfId="4" priority="748">
      <formula>$C$14&lt;&gt;"Y"</formula>
    </cfRule>
  </conditionalFormatting>
  <conditionalFormatting sqref="D149:BG149">
    <cfRule type="expression" dxfId="4" priority="751">
      <formula>$D$14&lt;&gt;"Y"</formula>
    </cfRule>
  </conditionalFormatting>
  <conditionalFormatting sqref="D15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D150:BG150">
    <cfRule type="expression" dxfId="4" priority="754">
      <formula>$E$14&lt;&gt;"Y"</formula>
    </cfRule>
  </conditionalFormatting>
  <conditionalFormatting sqref="D151:BG151">
    <cfRule type="expression" dxfId="4" priority="757">
      <formula>$F$14&lt;&gt;"Y"</formula>
    </cfRule>
  </conditionalFormatting>
  <conditionalFormatting sqref="D152:BG152">
    <cfRule type="expression" dxfId="4" priority="760">
      <formula>$G$14&lt;&gt;"Y"</formula>
    </cfRule>
  </conditionalFormatting>
  <conditionalFormatting sqref="D153:BG153">
    <cfRule type="expression" dxfId="4" priority="763">
      <formula>$H$14&lt;&gt;"Y"</formula>
    </cfRule>
  </conditionalFormatting>
  <conditionalFormatting sqref="D154:BG154">
    <cfRule type="expression" dxfId="4" priority="766">
      <formula>$I$14&lt;&gt;"Y"</formula>
    </cfRule>
  </conditionalFormatting>
  <conditionalFormatting sqref="D155:BG155">
    <cfRule type="expression" dxfId="4" priority="769">
      <formula>$J$14&lt;&gt;"Y"</formula>
    </cfRule>
  </conditionalFormatting>
  <conditionalFormatting sqref="D156:BG156">
    <cfRule type="expression" dxfId="4" priority="772">
      <formula>$K$14&lt;&gt;"Y"</formula>
    </cfRule>
  </conditionalFormatting>
  <conditionalFormatting sqref="D157:BG157">
    <cfRule type="expression" dxfId="4" priority="775">
      <formula>$L$14&lt;&gt;"Y"</formula>
    </cfRule>
  </conditionalFormatting>
  <conditionalFormatting sqref="D158:BG158">
    <cfRule type="expression" dxfId="4" priority="778">
      <formula>$M$14&lt;&gt;"Y"</formula>
    </cfRule>
  </conditionalFormatting>
  <conditionalFormatting sqref="D159:BG159">
    <cfRule type="expression" dxfId="4" priority="781">
      <formula>$N$14&lt;&gt;"Y"</formula>
    </cfRule>
  </conditionalFormatting>
  <conditionalFormatting sqref="D16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D160:BG160">
    <cfRule type="expression" dxfId="4" priority="784">
      <formula>$O$14&lt;&gt;"Y"</formula>
    </cfRule>
  </conditionalFormatting>
  <conditionalFormatting sqref="D161:BG161">
    <cfRule type="expression" dxfId="4" priority="787">
      <formula>$B$15&lt;&gt;"Y"</formula>
    </cfRule>
  </conditionalFormatting>
  <conditionalFormatting sqref="D162:BG162">
    <cfRule type="expression" dxfId="4" priority="790">
      <formula>$C$15&lt;&gt;"Y"</formula>
    </cfRule>
  </conditionalFormatting>
  <conditionalFormatting sqref="D163:BG163">
    <cfRule type="expression" dxfId="4" priority="793">
      <formula>$D$15&lt;&gt;"Y"</formula>
    </cfRule>
  </conditionalFormatting>
  <conditionalFormatting sqref="D164:BG164">
    <cfRule type="expression" dxfId="4" priority="796">
      <formula>$E$15&lt;&gt;"Y"</formula>
    </cfRule>
  </conditionalFormatting>
  <conditionalFormatting sqref="D165:BG165">
    <cfRule type="expression" dxfId="4" priority="799">
      <formula>$F$15&lt;&gt;"Y"</formula>
    </cfRule>
  </conditionalFormatting>
  <conditionalFormatting sqref="D166:BG166">
    <cfRule type="expression" dxfId="4" priority="802">
      <formula>$G$15&lt;&gt;"Y"</formula>
    </cfRule>
  </conditionalFormatting>
  <conditionalFormatting sqref="D167:BG167">
    <cfRule type="expression" dxfId="4" priority="805">
      <formula>$H$15&lt;&gt;"Y"</formula>
    </cfRule>
  </conditionalFormatting>
  <conditionalFormatting sqref="D168:BG168">
    <cfRule type="expression" dxfId="4" priority="808">
      <formula>$I$15&lt;&gt;"Y"</formula>
    </cfRule>
  </conditionalFormatting>
  <conditionalFormatting sqref="D169:BG169">
    <cfRule type="expression" dxfId="4" priority="811">
      <formula>$J$15&lt;&gt;"Y"</formula>
    </cfRule>
  </conditionalFormatting>
  <conditionalFormatting sqref="D17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D170:BG170">
    <cfRule type="expression" dxfId="4" priority="814">
      <formula>$K$15&lt;&gt;"Y"</formula>
    </cfRule>
  </conditionalFormatting>
  <conditionalFormatting sqref="D171:BG171">
    <cfRule type="expression" dxfId="4" priority="817">
      <formula>$L$15&lt;&gt;"Y"</formula>
    </cfRule>
  </conditionalFormatting>
  <conditionalFormatting sqref="D172:BG172">
    <cfRule type="expression" dxfId="4" priority="820">
      <formula>$M$15&lt;&gt;"Y"</formula>
    </cfRule>
  </conditionalFormatting>
  <conditionalFormatting sqref="D173:BG173">
    <cfRule type="expression" dxfId="4" priority="823">
      <formula>$N$15&lt;&gt;"Y"</formula>
    </cfRule>
  </conditionalFormatting>
  <conditionalFormatting sqref="D174:BG174">
    <cfRule type="expression" dxfId="4" priority="826">
      <formula>$O$15&lt;&gt;"Y"</formula>
    </cfRule>
  </conditionalFormatting>
  <conditionalFormatting sqref="D175:BG175">
    <cfRule type="expression" dxfId="4" priority="829">
      <formula>$B$16&lt;&gt;"Y"</formula>
    </cfRule>
  </conditionalFormatting>
  <conditionalFormatting sqref="D176:BG176">
    <cfRule type="expression" dxfId="4" priority="832">
      <formula>$C$16&lt;&gt;"Y"</formula>
    </cfRule>
  </conditionalFormatting>
  <conditionalFormatting sqref="D177:BG177">
    <cfRule type="expression" dxfId="4" priority="835">
      <formula>$D$16&lt;&gt;"Y"</formula>
    </cfRule>
  </conditionalFormatting>
  <conditionalFormatting sqref="D178:BG178">
    <cfRule type="expression" dxfId="4" priority="838">
      <formula>$E$16&lt;&gt;"Y"</formula>
    </cfRule>
  </conditionalFormatting>
  <conditionalFormatting sqref="D179:BG179">
    <cfRule type="expression" dxfId="4" priority="841">
      <formula>$F$16&lt;&gt;"Y"</formula>
    </cfRule>
  </conditionalFormatting>
  <conditionalFormatting sqref="D18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D180:BG180">
    <cfRule type="expression" dxfId="4" priority="844">
      <formula>$G$16&lt;&gt;"Y"</formula>
    </cfRule>
  </conditionalFormatting>
  <conditionalFormatting sqref="D181:BG181">
    <cfRule type="expression" dxfId="4" priority="847">
      <formula>$H$16&lt;&gt;"Y"</formula>
    </cfRule>
  </conditionalFormatting>
  <conditionalFormatting sqref="D182:BG182">
    <cfRule type="expression" dxfId="4" priority="850">
      <formula>$I$16&lt;&gt;"Y"</formula>
    </cfRule>
  </conditionalFormatting>
  <conditionalFormatting sqref="D183:BG183">
    <cfRule type="expression" dxfId="4" priority="853">
      <formula>$J$16&lt;&gt;"Y"</formula>
    </cfRule>
  </conditionalFormatting>
  <conditionalFormatting sqref="D184:BG184">
    <cfRule type="expression" dxfId="4" priority="856">
      <formula>$K$16&lt;&gt;"Y"</formula>
    </cfRule>
  </conditionalFormatting>
  <conditionalFormatting sqref="D185:BG185">
    <cfRule type="expression" dxfId="4" priority="859">
      <formula>$L$16&lt;&gt;"Y"</formula>
    </cfRule>
  </conditionalFormatting>
  <conditionalFormatting sqref="D186:BG186">
    <cfRule type="expression" dxfId="4" priority="862">
      <formula>$M$16&lt;&gt;"Y"</formula>
    </cfRule>
  </conditionalFormatting>
  <conditionalFormatting sqref="D187:BG187">
    <cfRule type="expression" dxfId="4" priority="865">
      <formula>$N$16&lt;&gt;"Y"</formula>
    </cfRule>
  </conditionalFormatting>
  <conditionalFormatting sqref="D188:BG188">
    <cfRule type="expression" dxfId="4" priority="868">
      <formula>$O$16&lt;&gt;"Y"</formula>
    </cfRule>
  </conditionalFormatting>
  <conditionalFormatting sqref="D189:BG189">
    <cfRule type="expression" dxfId="4" priority="871">
      <formula>$B$17&lt;&gt;"Y"</formula>
    </cfRule>
  </conditionalFormatting>
  <conditionalFormatting sqref="D190:BG190">
    <cfRule type="expression" dxfId="4" priority="874">
      <formula>$C$17&lt;&gt;"Y"</formula>
    </cfRule>
  </conditionalFormatting>
  <conditionalFormatting sqref="D191:BG191">
    <cfRule type="expression" dxfId="4" priority="877">
      <formula>$D$17&lt;&gt;"Y"</formula>
    </cfRule>
  </conditionalFormatting>
  <conditionalFormatting sqref="D192:BG192">
    <cfRule type="expression" dxfId="4" priority="880">
      <formula>$E$17&lt;&gt;"Y"</formula>
    </cfRule>
  </conditionalFormatting>
  <conditionalFormatting sqref="D193:BG193">
    <cfRule type="expression" dxfId="4" priority="883">
      <formula>$F$17&lt;&gt;"Y"</formula>
    </cfRule>
  </conditionalFormatting>
  <conditionalFormatting sqref="D194:BG194">
    <cfRule type="expression" dxfId="4" priority="886">
      <formula>$G$17&lt;&gt;"Y"</formula>
    </cfRule>
  </conditionalFormatting>
  <conditionalFormatting sqref="D195:BG195">
    <cfRule type="expression" dxfId="4" priority="889">
      <formula>$H$17&lt;&gt;"Y"</formula>
    </cfRule>
  </conditionalFormatting>
  <conditionalFormatting sqref="D196:BG196">
    <cfRule type="expression" dxfId="4" priority="892">
      <formula>$I$17&lt;&gt;"Y"</formula>
    </cfRule>
  </conditionalFormatting>
  <conditionalFormatting sqref="D197:BG197">
    <cfRule type="expression" dxfId="4" priority="895">
      <formula>$J$17&lt;&gt;"Y"</formula>
    </cfRule>
  </conditionalFormatting>
  <conditionalFormatting sqref="D198:BG198">
    <cfRule type="expression" dxfId="4" priority="898">
      <formula>$K$17&lt;&gt;"Y"</formula>
    </cfRule>
  </conditionalFormatting>
  <conditionalFormatting sqref="D199:BG199">
    <cfRule type="expression" dxfId="4" priority="901">
      <formula>$L$17&lt;&gt;"Y"</formula>
    </cfRule>
  </conditionalFormatting>
  <conditionalFormatting sqref="D200:BG200">
    <cfRule type="expression" dxfId="4" priority="904">
      <formula>$M$17&lt;&gt;"Y"</formula>
    </cfRule>
  </conditionalFormatting>
  <conditionalFormatting sqref="D201:BG201">
    <cfRule type="expression" dxfId="4" priority="907">
      <formula>$N$17&lt;&gt;"Y"</formula>
    </cfRule>
  </conditionalFormatting>
  <conditionalFormatting sqref="D202:BG202">
    <cfRule type="expression" dxfId="4" priority="910">
      <formula>$O$17&lt;&gt;"Y"</formula>
    </cfRule>
  </conditionalFormatting>
  <conditionalFormatting sqref="D203:BG203">
    <cfRule type="expression" dxfId="4" priority="913">
      <formula>$B$18&lt;&gt;"Y"</formula>
    </cfRule>
  </conditionalFormatting>
  <conditionalFormatting sqref="D204:BG204">
    <cfRule type="expression" dxfId="4" priority="916">
      <formula>$C$18&lt;&gt;"Y"</formula>
    </cfRule>
  </conditionalFormatting>
  <conditionalFormatting sqref="D205:BG205">
    <cfRule type="expression" dxfId="4" priority="919">
      <formula>$D$18&lt;&gt;"Y"</formula>
    </cfRule>
  </conditionalFormatting>
  <conditionalFormatting sqref="D206:BG206">
    <cfRule type="expression" dxfId="4" priority="922">
      <formula>$E$18&lt;&gt;"Y"</formula>
    </cfRule>
  </conditionalFormatting>
  <conditionalFormatting sqref="D207:BG207">
    <cfRule type="expression" dxfId="4" priority="925">
      <formula>$F$18&lt;&gt;"Y"</formula>
    </cfRule>
  </conditionalFormatting>
  <conditionalFormatting sqref="D208:BG208">
    <cfRule type="expression" dxfId="4" priority="928">
      <formula>$G$18&lt;&gt;"Y"</formula>
    </cfRule>
  </conditionalFormatting>
  <conditionalFormatting sqref="D209:BG209">
    <cfRule type="expression" dxfId="4" priority="931">
      <formula>$H$18&lt;&gt;"Y"</formula>
    </cfRule>
  </conditionalFormatting>
  <conditionalFormatting sqref="D210:BG210">
    <cfRule type="expression" dxfId="4" priority="934">
      <formula>$I$18&lt;&gt;"Y"</formula>
    </cfRule>
  </conditionalFormatting>
  <conditionalFormatting sqref="D211:BG211">
    <cfRule type="expression" dxfId="4" priority="937">
      <formula>$J$18&lt;&gt;"Y"</formula>
    </cfRule>
  </conditionalFormatting>
  <conditionalFormatting sqref="D212:BG212">
    <cfRule type="expression" dxfId="4" priority="940">
      <formula>$K$18&lt;&gt;"Y"</formula>
    </cfRule>
  </conditionalFormatting>
  <conditionalFormatting sqref="D213:BG213">
    <cfRule type="expression" dxfId="4" priority="943">
      <formula>$L$18&lt;&gt;"Y"</formula>
    </cfRule>
  </conditionalFormatting>
  <conditionalFormatting sqref="D214:BG214">
    <cfRule type="expression" dxfId="4" priority="946">
      <formula>$M$18&lt;&gt;"Y"</formula>
    </cfRule>
  </conditionalFormatting>
  <conditionalFormatting sqref="D215:BG215">
    <cfRule type="expression" dxfId="4" priority="949">
      <formula>$N$18&lt;&gt;"Y"</formula>
    </cfRule>
  </conditionalFormatting>
  <conditionalFormatting sqref="D216:BG216">
    <cfRule type="expression" dxfId="4" priority="952">
      <formula>$O$18&lt;&gt;"Y"</formula>
    </cfRule>
  </conditionalFormatting>
  <conditionalFormatting sqref="D21:BG21">
    <cfRule type="expression" dxfId="4" priority="367">
      <formula>$B$5&lt;&gt;"Y"</formula>
    </cfRule>
  </conditionalFormatting>
  <conditionalFormatting sqref="D222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D223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D225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D226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D2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D229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D22:BG22">
    <cfRule type="expression" dxfId="4" priority="370">
      <formula>$C$5&lt;&gt;"Y"</formula>
    </cfRule>
  </conditionalFormatting>
  <conditionalFormatting sqref="D230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D231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D232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D233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D234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D235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D238:BG238">
    <cfRule type="expression" dxfId="4" priority="1319">
      <formula>$B$222&lt;&gt;"Y"</formula>
    </cfRule>
  </conditionalFormatting>
  <conditionalFormatting sqref="D239:BG239">
    <cfRule type="expression" dxfId="4" priority="1322">
      <formula>$C$222&lt;&gt;"Y"</formula>
    </cfRule>
  </conditionalFormatting>
  <conditionalFormatting sqref="D23:BG23">
    <cfRule type="expression" dxfId="4" priority="373">
      <formula>$D$5&lt;&gt;"Y"</formula>
    </cfRule>
  </conditionalFormatting>
  <conditionalFormatting sqref="D240:BG240">
    <cfRule type="expression" dxfId="4" priority="1325">
      <formula>$D$222&lt;&gt;"Y"</formula>
    </cfRule>
  </conditionalFormatting>
  <conditionalFormatting sqref="D241:BG241">
    <cfRule type="expression" dxfId="4" priority="1328">
      <formula>$E$222&lt;&gt;"Y"</formula>
    </cfRule>
  </conditionalFormatting>
  <conditionalFormatting sqref="D242:BG242">
    <cfRule type="expression" dxfId="4" priority="1331">
      <formula>$F$222&lt;&gt;"Y"</formula>
    </cfRule>
  </conditionalFormatting>
  <conditionalFormatting sqref="D243:BG243">
    <cfRule type="expression" dxfId="4" priority="1334">
      <formula>$G$222&lt;&gt;"Y"</formula>
    </cfRule>
  </conditionalFormatting>
  <conditionalFormatting sqref="D244:BG244">
    <cfRule type="expression" dxfId="4" priority="1337">
      <formula>$H$222&lt;&gt;"Y"</formula>
    </cfRule>
  </conditionalFormatting>
  <conditionalFormatting sqref="D245:BG245">
    <cfRule type="expression" dxfId="4" priority="1340">
      <formula>$I$222&lt;&gt;"Y"</formula>
    </cfRule>
  </conditionalFormatting>
  <conditionalFormatting sqref="D246:BG246">
    <cfRule type="expression" dxfId="4" priority="1343">
      <formula>$J$222&lt;&gt;"Y"</formula>
    </cfRule>
  </conditionalFormatting>
  <conditionalFormatting sqref="D247:BG247">
    <cfRule type="expression" dxfId="4" priority="1346">
      <formula>$K$222&lt;&gt;"Y"</formula>
    </cfRule>
  </conditionalFormatting>
  <conditionalFormatting sqref="D248:BG248">
    <cfRule type="expression" dxfId="4" priority="1349">
      <formula>$L$222&lt;&gt;"Y"</formula>
    </cfRule>
  </conditionalFormatting>
  <conditionalFormatting sqref="D249:BG249">
    <cfRule type="expression" dxfId="4" priority="1352">
      <formula>$M$222&lt;&gt;"Y"</formula>
    </cfRule>
  </conditionalFormatting>
  <conditionalFormatting sqref="D24:BG24">
    <cfRule type="expression" dxfId="4" priority="376">
      <formula>$E$5&lt;&gt;"Y"</formula>
    </cfRule>
  </conditionalFormatting>
  <conditionalFormatting sqref="D250:BG250">
    <cfRule type="expression" dxfId="4" priority="1355">
      <formula>$N$222&lt;&gt;"Y"</formula>
    </cfRule>
  </conditionalFormatting>
  <conditionalFormatting sqref="D251:BG251">
    <cfRule type="expression" dxfId="4" priority="1358">
      <formula>$O$222&lt;&gt;"Y"</formula>
    </cfRule>
  </conditionalFormatting>
  <conditionalFormatting sqref="D252:BG252">
    <cfRule type="expression" dxfId="4" priority="1361">
      <formula>$B$223&lt;&gt;"Y"</formula>
    </cfRule>
  </conditionalFormatting>
  <conditionalFormatting sqref="D253:BG253">
    <cfRule type="expression" dxfId="4" priority="1364">
      <formula>$C$223&lt;&gt;"Y"</formula>
    </cfRule>
  </conditionalFormatting>
  <conditionalFormatting sqref="D254:BG254">
    <cfRule type="expression" dxfId="4" priority="1367">
      <formula>$D$223&lt;&gt;"Y"</formula>
    </cfRule>
  </conditionalFormatting>
  <conditionalFormatting sqref="D255:BG255">
    <cfRule type="expression" dxfId="4" priority="1370">
      <formula>$E$223&lt;&gt;"Y"</formula>
    </cfRule>
  </conditionalFormatting>
  <conditionalFormatting sqref="D256:BG256">
    <cfRule type="expression" dxfId="4" priority="1373">
      <formula>$F$223&lt;&gt;"Y"</formula>
    </cfRule>
  </conditionalFormatting>
  <conditionalFormatting sqref="D257:BG257">
    <cfRule type="expression" dxfId="4" priority="1376">
      <formula>$G$223&lt;&gt;"Y"</formula>
    </cfRule>
  </conditionalFormatting>
  <conditionalFormatting sqref="D258:BG258">
    <cfRule type="expression" dxfId="4" priority="1379">
      <formula>$H$223&lt;&gt;"Y"</formula>
    </cfRule>
  </conditionalFormatting>
  <conditionalFormatting sqref="D259:BG259">
    <cfRule type="expression" dxfId="4" priority="1382">
      <formula>$I$223&lt;&gt;"Y"</formula>
    </cfRule>
  </conditionalFormatting>
  <conditionalFormatting sqref="D25:BG25">
    <cfRule type="expression" dxfId="4" priority="379">
      <formula>$F$5&lt;&gt;"Y"</formula>
    </cfRule>
  </conditionalFormatting>
  <conditionalFormatting sqref="D260:BG260">
    <cfRule type="expression" dxfId="4" priority="1385">
      <formula>$J$223&lt;&gt;"Y"</formula>
    </cfRule>
  </conditionalFormatting>
  <conditionalFormatting sqref="D261:BG261">
    <cfRule type="expression" dxfId="4" priority="1388">
      <formula>$K$223&lt;&gt;"Y"</formula>
    </cfRule>
  </conditionalFormatting>
  <conditionalFormatting sqref="D262:BG262">
    <cfRule type="expression" dxfId="4" priority="1391">
      <formula>$L$223&lt;&gt;"Y"</formula>
    </cfRule>
  </conditionalFormatting>
  <conditionalFormatting sqref="D263:BG263">
    <cfRule type="expression" dxfId="4" priority="1394">
      <formula>$M$223&lt;&gt;"Y"</formula>
    </cfRule>
  </conditionalFormatting>
  <conditionalFormatting sqref="D264:BG264">
    <cfRule type="expression" dxfId="4" priority="1397">
      <formula>$N$223&lt;&gt;"Y"</formula>
    </cfRule>
  </conditionalFormatting>
  <conditionalFormatting sqref="D265:BG265">
    <cfRule type="expression" dxfId="4" priority="1400">
      <formula>$O$223&lt;&gt;"Y"</formula>
    </cfRule>
  </conditionalFormatting>
  <conditionalFormatting sqref="D266:BG266">
    <cfRule type="expression" dxfId="4" priority="1403">
      <formula>$B$224&lt;&gt;"Y"</formula>
    </cfRule>
  </conditionalFormatting>
  <conditionalFormatting sqref="D267:BG267">
    <cfRule type="expression" dxfId="4" priority="1406">
      <formula>$C$224&lt;&gt;"Y"</formula>
    </cfRule>
  </conditionalFormatting>
  <conditionalFormatting sqref="D268:BG268">
    <cfRule type="expression" dxfId="4" priority="1409">
      <formula>$D$224&lt;&gt;"Y"</formula>
    </cfRule>
  </conditionalFormatting>
  <conditionalFormatting sqref="D269:BG269">
    <cfRule type="expression" dxfId="4" priority="1412">
      <formula>$E$224&lt;&gt;"Y"</formula>
    </cfRule>
  </conditionalFormatting>
  <conditionalFormatting sqref="D26:BG26">
    <cfRule type="expression" dxfId="4" priority="382">
      <formula>$G$5&lt;&gt;"Y"</formula>
    </cfRule>
  </conditionalFormatting>
  <conditionalFormatting sqref="D270:BG270">
    <cfRule type="expression" dxfId="4" priority="1415">
      <formula>$F$224&lt;&gt;"Y"</formula>
    </cfRule>
  </conditionalFormatting>
  <conditionalFormatting sqref="D271:BG271">
    <cfRule type="expression" dxfId="4" priority="1418">
      <formula>$G$224&lt;&gt;"Y"</formula>
    </cfRule>
  </conditionalFormatting>
  <conditionalFormatting sqref="D272:BG272">
    <cfRule type="expression" dxfId="4" priority="1421">
      <formula>$H$224&lt;&gt;"Y"</formula>
    </cfRule>
  </conditionalFormatting>
  <conditionalFormatting sqref="D273:BG273">
    <cfRule type="expression" dxfId="4" priority="1424">
      <formula>$I$224&lt;&gt;"Y"</formula>
    </cfRule>
  </conditionalFormatting>
  <conditionalFormatting sqref="D274:BG274">
    <cfRule type="expression" dxfId="4" priority="1427">
      <formula>$J$224&lt;&gt;"Y"</formula>
    </cfRule>
  </conditionalFormatting>
  <conditionalFormatting sqref="D275:BG275">
    <cfRule type="expression" dxfId="4" priority="1430">
      <formula>$K$224&lt;&gt;"Y"</formula>
    </cfRule>
  </conditionalFormatting>
  <conditionalFormatting sqref="D276:BG276">
    <cfRule type="expression" dxfId="4" priority="1433">
      <formula>$L$224&lt;&gt;"Y"</formula>
    </cfRule>
  </conditionalFormatting>
  <conditionalFormatting sqref="D277:BG277">
    <cfRule type="expression" dxfId="4" priority="1436">
      <formula>$M$224&lt;&gt;"Y"</formula>
    </cfRule>
  </conditionalFormatting>
  <conditionalFormatting sqref="D278:BG278">
    <cfRule type="expression" dxfId="4" priority="1439">
      <formula>$N$224&lt;&gt;"Y"</formula>
    </cfRule>
  </conditionalFormatting>
  <conditionalFormatting sqref="D279:BG279">
    <cfRule type="expression" dxfId="4" priority="1442">
      <formula>$O$224&lt;&gt;"Y"</formula>
    </cfRule>
  </conditionalFormatting>
  <conditionalFormatting sqref="D27:BG27">
    <cfRule type="expression" dxfId="4" priority="385">
      <formula>$H$5&lt;&gt;"Y"</formula>
    </cfRule>
  </conditionalFormatting>
  <conditionalFormatting sqref="D280:BG280">
    <cfRule type="expression" dxfId="4" priority="1445">
      <formula>$B$225&lt;&gt;"Y"</formula>
    </cfRule>
  </conditionalFormatting>
  <conditionalFormatting sqref="D281:BG281">
    <cfRule type="expression" dxfId="4" priority="1448">
      <formula>$C$225&lt;&gt;"Y"</formula>
    </cfRule>
  </conditionalFormatting>
  <conditionalFormatting sqref="D282:BG282">
    <cfRule type="expression" dxfId="4" priority="1451">
      <formula>$D$225&lt;&gt;"Y"</formula>
    </cfRule>
  </conditionalFormatting>
  <conditionalFormatting sqref="D283:BG283">
    <cfRule type="expression" dxfId="4" priority="1454">
      <formula>$E$225&lt;&gt;"Y"</formula>
    </cfRule>
  </conditionalFormatting>
  <conditionalFormatting sqref="D284:BG284">
    <cfRule type="expression" dxfId="4" priority="1457">
      <formula>$F$225&lt;&gt;"Y"</formula>
    </cfRule>
  </conditionalFormatting>
  <conditionalFormatting sqref="D285:BG285">
    <cfRule type="expression" dxfId="4" priority="1460">
      <formula>$G$225&lt;&gt;"Y"</formula>
    </cfRule>
  </conditionalFormatting>
  <conditionalFormatting sqref="D286:BG286">
    <cfRule type="expression" dxfId="4" priority="1463">
      <formula>$H$225&lt;&gt;"Y"</formula>
    </cfRule>
  </conditionalFormatting>
  <conditionalFormatting sqref="D287:BG287">
    <cfRule type="expression" dxfId="4" priority="1466">
      <formula>$I$225&lt;&gt;"Y"</formula>
    </cfRule>
  </conditionalFormatting>
  <conditionalFormatting sqref="D288:BG288">
    <cfRule type="expression" dxfId="4" priority="1469">
      <formula>$J$225&lt;&gt;"Y"</formula>
    </cfRule>
  </conditionalFormatting>
  <conditionalFormatting sqref="D289:BG289">
    <cfRule type="expression" dxfId="4" priority="1472">
      <formula>$K$225&lt;&gt;"Y"</formula>
    </cfRule>
  </conditionalFormatting>
  <conditionalFormatting sqref="D28:BG28">
    <cfRule type="expression" dxfId="4" priority="388">
      <formula>$I$5&lt;&gt;"Y"</formula>
    </cfRule>
  </conditionalFormatting>
  <conditionalFormatting sqref="D290:BG290">
    <cfRule type="expression" dxfId="4" priority="1475">
      <formula>$L$225&lt;&gt;"Y"</formula>
    </cfRule>
  </conditionalFormatting>
  <conditionalFormatting sqref="D291:BG291">
    <cfRule type="expression" dxfId="4" priority="1478">
      <formula>$M$225&lt;&gt;"Y"</formula>
    </cfRule>
  </conditionalFormatting>
  <conditionalFormatting sqref="D292:BG292">
    <cfRule type="expression" dxfId="4" priority="1481">
      <formula>$N$225&lt;&gt;"Y"</formula>
    </cfRule>
  </conditionalFormatting>
  <conditionalFormatting sqref="D293:BG293">
    <cfRule type="expression" dxfId="4" priority="1484">
      <formula>$O$225&lt;&gt;"Y"</formula>
    </cfRule>
  </conditionalFormatting>
  <conditionalFormatting sqref="D294:BG294">
    <cfRule type="expression" dxfId="4" priority="1487">
      <formula>$B$226&lt;&gt;"Y"</formula>
    </cfRule>
  </conditionalFormatting>
  <conditionalFormatting sqref="D295:BG295">
    <cfRule type="expression" dxfId="4" priority="1490">
      <formula>$C$226&lt;&gt;"Y"</formula>
    </cfRule>
  </conditionalFormatting>
  <conditionalFormatting sqref="D296:BG296">
    <cfRule type="expression" dxfId="4" priority="1493">
      <formula>$D$226&lt;&gt;"Y"</formula>
    </cfRule>
  </conditionalFormatting>
  <conditionalFormatting sqref="D297:BG297">
    <cfRule type="expression" dxfId="4" priority="1496">
      <formula>$E$226&lt;&gt;"Y"</formula>
    </cfRule>
  </conditionalFormatting>
  <conditionalFormatting sqref="D298:BG298">
    <cfRule type="expression" dxfId="4" priority="1499">
      <formula>$F$226&lt;&gt;"Y"</formula>
    </cfRule>
  </conditionalFormatting>
  <conditionalFormatting sqref="D299:BG299">
    <cfRule type="expression" dxfId="4" priority="1502">
      <formula>$G$226&lt;&gt;"Y"</formula>
    </cfRule>
  </conditionalFormatting>
  <conditionalFormatting sqref="D29:BG29">
    <cfRule type="expression" dxfId="4" priority="391">
      <formula>$J$5&lt;&gt;"Y"</formula>
    </cfRule>
  </conditionalFormatting>
  <conditionalFormatting sqref="D300:BG300">
    <cfRule type="expression" dxfId="4" priority="1505">
      <formula>$H$226&lt;&gt;"Y"</formula>
    </cfRule>
  </conditionalFormatting>
  <conditionalFormatting sqref="D301:BG301">
    <cfRule type="expression" dxfId="4" priority="1508">
      <formula>$I$226&lt;&gt;"Y"</formula>
    </cfRule>
  </conditionalFormatting>
  <conditionalFormatting sqref="D302:BG302">
    <cfRule type="expression" dxfId="4" priority="1511">
      <formula>$J$226&lt;&gt;"Y"</formula>
    </cfRule>
  </conditionalFormatting>
  <conditionalFormatting sqref="D303:BG303">
    <cfRule type="expression" dxfId="4" priority="1514">
      <formula>$K$226&lt;&gt;"Y"</formula>
    </cfRule>
  </conditionalFormatting>
  <conditionalFormatting sqref="D304:BG304">
    <cfRule type="expression" dxfId="4" priority="1517">
      <formula>$L$226&lt;&gt;"Y"</formula>
    </cfRule>
  </conditionalFormatting>
  <conditionalFormatting sqref="D305:BG305">
    <cfRule type="expression" dxfId="4" priority="1520">
      <formula>$M$226&lt;&gt;"Y"</formula>
    </cfRule>
  </conditionalFormatting>
  <conditionalFormatting sqref="D306:BG306">
    <cfRule type="expression" dxfId="4" priority="1523">
      <formula>$N$226&lt;&gt;"Y"</formula>
    </cfRule>
  </conditionalFormatting>
  <conditionalFormatting sqref="D307:BG307">
    <cfRule type="expression" dxfId="4" priority="1526">
      <formula>$O$226&lt;&gt;"Y"</formula>
    </cfRule>
  </conditionalFormatting>
  <conditionalFormatting sqref="D308:BG308">
    <cfRule type="expression" dxfId="4" priority="1529">
      <formula>$B$227&lt;&gt;"Y"</formula>
    </cfRule>
  </conditionalFormatting>
  <conditionalFormatting sqref="D309:BG309">
    <cfRule type="expression" dxfId="4" priority="1532">
      <formula>$C$227&lt;&gt;"Y"</formula>
    </cfRule>
  </conditionalFormatting>
  <conditionalFormatting sqref="D30:BG30">
    <cfRule type="expression" dxfId="4" priority="394">
      <formula>$K$5&lt;&gt;"Y"</formula>
    </cfRule>
  </conditionalFormatting>
  <conditionalFormatting sqref="D310:BG310">
    <cfRule type="expression" dxfId="4" priority="1535">
      <formula>$D$227&lt;&gt;"Y"</formula>
    </cfRule>
  </conditionalFormatting>
  <conditionalFormatting sqref="D311:BG311">
    <cfRule type="expression" dxfId="4" priority="1538">
      <formula>$E$227&lt;&gt;"Y"</formula>
    </cfRule>
  </conditionalFormatting>
  <conditionalFormatting sqref="D312:BG312">
    <cfRule type="expression" dxfId="4" priority="1541">
      <formula>$F$227&lt;&gt;"Y"</formula>
    </cfRule>
  </conditionalFormatting>
  <conditionalFormatting sqref="D313:BG313">
    <cfRule type="expression" dxfId="4" priority="1544">
      <formula>$G$227&lt;&gt;"Y"</formula>
    </cfRule>
  </conditionalFormatting>
  <conditionalFormatting sqref="D314:BG314">
    <cfRule type="expression" dxfId="4" priority="1547">
      <formula>$H$227&lt;&gt;"Y"</formula>
    </cfRule>
  </conditionalFormatting>
  <conditionalFormatting sqref="D315:BG315">
    <cfRule type="expression" dxfId="4" priority="1550">
      <formula>$I$227&lt;&gt;"Y"</formula>
    </cfRule>
  </conditionalFormatting>
  <conditionalFormatting sqref="D316:BG316">
    <cfRule type="expression" dxfId="4" priority="1553">
      <formula>$J$227&lt;&gt;"Y"</formula>
    </cfRule>
  </conditionalFormatting>
  <conditionalFormatting sqref="D317:BG317">
    <cfRule type="expression" dxfId="4" priority="1556">
      <formula>$K$227&lt;&gt;"Y"</formula>
    </cfRule>
  </conditionalFormatting>
  <conditionalFormatting sqref="D318:BG318">
    <cfRule type="expression" dxfId="4" priority="1559">
      <formula>$L$227&lt;&gt;"Y"</formula>
    </cfRule>
  </conditionalFormatting>
  <conditionalFormatting sqref="D319:BG319">
    <cfRule type="expression" dxfId="4" priority="1562">
      <formula>$M$227&lt;&gt;"Y"</formula>
    </cfRule>
  </conditionalFormatting>
  <conditionalFormatting sqref="D31:BG31">
    <cfRule type="expression" dxfId="4" priority="397">
      <formula>$L$5&lt;&gt;"Y"</formula>
    </cfRule>
  </conditionalFormatting>
  <conditionalFormatting sqref="D320:BG320">
    <cfRule type="expression" dxfId="4" priority="1565">
      <formula>$N$227&lt;&gt;"Y"</formula>
    </cfRule>
  </conditionalFormatting>
  <conditionalFormatting sqref="D321:BG321">
    <cfRule type="expression" dxfId="4" priority="1568">
      <formula>$O$227&lt;&gt;"Y"</formula>
    </cfRule>
  </conditionalFormatting>
  <conditionalFormatting sqref="D322:BG322">
    <cfRule type="expression" dxfId="4" priority="1571">
      <formula>$B$228&lt;&gt;"Y"</formula>
    </cfRule>
  </conditionalFormatting>
  <conditionalFormatting sqref="D323:BG323">
    <cfRule type="expression" dxfId="4" priority="1574">
      <formula>$C$228&lt;&gt;"Y"</formula>
    </cfRule>
  </conditionalFormatting>
  <conditionalFormatting sqref="D324:BG324">
    <cfRule type="expression" dxfId="4" priority="1577">
      <formula>$D$228&lt;&gt;"Y"</formula>
    </cfRule>
  </conditionalFormatting>
  <conditionalFormatting sqref="D325:BG325">
    <cfRule type="expression" dxfId="4" priority="1580">
      <formula>$E$228&lt;&gt;"Y"</formula>
    </cfRule>
  </conditionalFormatting>
  <conditionalFormatting sqref="D326:BG326">
    <cfRule type="expression" dxfId="4" priority="1583">
      <formula>$F$228&lt;&gt;"Y"</formula>
    </cfRule>
  </conditionalFormatting>
  <conditionalFormatting sqref="D327:BG327">
    <cfRule type="expression" dxfId="4" priority="1586">
      <formula>$G$228&lt;&gt;"Y"</formula>
    </cfRule>
  </conditionalFormatting>
  <conditionalFormatting sqref="D328:BG328">
    <cfRule type="expression" dxfId="4" priority="1589">
      <formula>$H$228&lt;&gt;"Y"</formula>
    </cfRule>
  </conditionalFormatting>
  <conditionalFormatting sqref="D329:BG329">
    <cfRule type="expression" dxfId="4" priority="1592">
      <formula>$I$228&lt;&gt;"Y"</formula>
    </cfRule>
  </conditionalFormatting>
  <conditionalFormatting sqref="D32:BG32">
    <cfRule type="expression" dxfId="4" priority="400">
      <formula>$M$5&lt;&gt;"Y"</formula>
    </cfRule>
  </conditionalFormatting>
  <conditionalFormatting sqref="D330:BG330">
    <cfRule type="expression" dxfId="4" priority="1595">
      <formula>$J$228&lt;&gt;"Y"</formula>
    </cfRule>
  </conditionalFormatting>
  <conditionalFormatting sqref="D331:BG331">
    <cfRule type="expression" dxfId="4" priority="1598">
      <formula>$K$228&lt;&gt;"Y"</formula>
    </cfRule>
  </conditionalFormatting>
  <conditionalFormatting sqref="D332:BG332">
    <cfRule type="expression" dxfId="4" priority="1601">
      <formula>$L$228&lt;&gt;"Y"</formula>
    </cfRule>
  </conditionalFormatting>
  <conditionalFormatting sqref="D333:BG333">
    <cfRule type="expression" dxfId="4" priority="1604">
      <formula>$M$228&lt;&gt;"Y"</formula>
    </cfRule>
  </conditionalFormatting>
  <conditionalFormatting sqref="D334:BG334">
    <cfRule type="expression" dxfId="4" priority="1607">
      <formula>$N$228&lt;&gt;"Y"</formula>
    </cfRule>
  </conditionalFormatting>
  <conditionalFormatting sqref="D335:BG335">
    <cfRule type="expression" dxfId="4" priority="1610">
      <formula>$O$228&lt;&gt;"Y"</formula>
    </cfRule>
  </conditionalFormatting>
  <conditionalFormatting sqref="D336:BG336">
    <cfRule type="expression" dxfId="4" priority="1613">
      <formula>$B$229&lt;&gt;"Y"</formula>
    </cfRule>
  </conditionalFormatting>
  <conditionalFormatting sqref="D337:BG337">
    <cfRule type="expression" dxfId="4" priority="1616">
      <formula>$C$229&lt;&gt;"Y"</formula>
    </cfRule>
  </conditionalFormatting>
  <conditionalFormatting sqref="D338:BG338">
    <cfRule type="expression" dxfId="4" priority="1619">
      <formula>$D$229&lt;&gt;"Y"</formula>
    </cfRule>
  </conditionalFormatting>
  <conditionalFormatting sqref="D339:BG339">
    <cfRule type="expression" dxfId="4" priority="1622">
      <formula>$E$229&lt;&gt;"Y"</formula>
    </cfRule>
  </conditionalFormatting>
  <conditionalFormatting sqref="D33:BG33">
    <cfRule type="expression" dxfId="4" priority="403">
      <formula>$N$5&lt;&gt;"Y"</formula>
    </cfRule>
  </conditionalFormatting>
  <conditionalFormatting sqref="D340:BG340">
    <cfRule type="expression" dxfId="4" priority="1625">
      <formula>$F$229&lt;&gt;"Y"</formula>
    </cfRule>
  </conditionalFormatting>
  <conditionalFormatting sqref="D341:BG341">
    <cfRule type="expression" dxfId="4" priority="1628">
      <formula>$G$229&lt;&gt;"Y"</formula>
    </cfRule>
  </conditionalFormatting>
  <conditionalFormatting sqref="D342:BG342">
    <cfRule type="expression" dxfId="4" priority="1631">
      <formula>$H$229&lt;&gt;"Y"</formula>
    </cfRule>
  </conditionalFormatting>
  <conditionalFormatting sqref="D343:BG343">
    <cfRule type="expression" dxfId="4" priority="1634">
      <formula>$I$229&lt;&gt;"Y"</formula>
    </cfRule>
  </conditionalFormatting>
  <conditionalFormatting sqref="D344:BG344">
    <cfRule type="expression" dxfId="4" priority="1637">
      <formula>$J$229&lt;&gt;"Y"</formula>
    </cfRule>
  </conditionalFormatting>
  <conditionalFormatting sqref="D345:BG345">
    <cfRule type="expression" dxfId="4" priority="1640">
      <formula>$K$229&lt;&gt;"Y"</formula>
    </cfRule>
  </conditionalFormatting>
  <conditionalFormatting sqref="D346:BG346">
    <cfRule type="expression" dxfId="4" priority="1643">
      <formula>$L$229&lt;&gt;"Y"</formula>
    </cfRule>
  </conditionalFormatting>
  <conditionalFormatting sqref="D347:BG347">
    <cfRule type="expression" dxfId="4" priority="1646">
      <formula>$M$229&lt;&gt;"Y"</formula>
    </cfRule>
  </conditionalFormatting>
  <conditionalFormatting sqref="D348:BG348">
    <cfRule type="expression" dxfId="4" priority="1649">
      <formula>$N$229&lt;&gt;"Y"</formula>
    </cfRule>
  </conditionalFormatting>
  <conditionalFormatting sqref="D349:BG349">
    <cfRule type="expression" dxfId="4" priority="1652">
      <formula>$O$229&lt;&gt;"Y"</formula>
    </cfRule>
  </conditionalFormatting>
  <conditionalFormatting sqref="D34:BG34">
    <cfRule type="expression" dxfId="4" priority="406">
      <formula>$O$5&lt;&gt;"Y"</formula>
    </cfRule>
  </conditionalFormatting>
  <conditionalFormatting sqref="D350:BG350">
    <cfRule type="expression" dxfId="4" priority="1655">
      <formula>$B$230&lt;&gt;"Y"</formula>
    </cfRule>
  </conditionalFormatting>
  <conditionalFormatting sqref="D351:BG351">
    <cfRule type="expression" dxfId="4" priority="1658">
      <formula>$C$230&lt;&gt;"Y"</formula>
    </cfRule>
  </conditionalFormatting>
  <conditionalFormatting sqref="D352:BG352">
    <cfRule type="expression" dxfId="4" priority="1661">
      <formula>$D$230&lt;&gt;"Y"</formula>
    </cfRule>
  </conditionalFormatting>
  <conditionalFormatting sqref="D353:BG353">
    <cfRule type="expression" dxfId="4" priority="1664">
      <formula>$E$230&lt;&gt;"Y"</formula>
    </cfRule>
  </conditionalFormatting>
  <conditionalFormatting sqref="D354:BG354">
    <cfRule type="expression" dxfId="4" priority="1667">
      <formula>$F$230&lt;&gt;"Y"</formula>
    </cfRule>
  </conditionalFormatting>
  <conditionalFormatting sqref="D355:BG355">
    <cfRule type="expression" dxfId="4" priority="1670">
      <formula>$G$230&lt;&gt;"Y"</formula>
    </cfRule>
  </conditionalFormatting>
  <conditionalFormatting sqref="D356:BG356">
    <cfRule type="expression" dxfId="4" priority="1673">
      <formula>$H$230&lt;&gt;"Y"</formula>
    </cfRule>
  </conditionalFormatting>
  <conditionalFormatting sqref="D357:BG357">
    <cfRule type="expression" dxfId="4" priority="1676">
      <formula>$I$230&lt;&gt;"Y"</formula>
    </cfRule>
  </conditionalFormatting>
  <conditionalFormatting sqref="D358:BG358">
    <cfRule type="expression" dxfId="4" priority="1679">
      <formula>$J$230&lt;&gt;"Y"</formula>
    </cfRule>
  </conditionalFormatting>
  <conditionalFormatting sqref="D359:BG359">
    <cfRule type="expression" dxfId="4" priority="1682">
      <formula>$K$230&lt;&gt;"Y"</formula>
    </cfRule>
  </conditionalFormatting>
  <conditionalFormatting sqref="D35:BG35">
    <cfRule type="expression" dxfId="4" priority="409">
      <formula>$B$6&lt;&gt;"Y"</formula>
    </cfRule>
  </conditionalFormatting>
  <conditionalFormatting sqref="D360:BG360">
    <cfRule type="expression" dxfId="4" priority="1685">
      <formula>$L$230&lt;&gt;"Y"</formula>
    </cfRule>
  </conditionalFormatting>
  <conditionalFormatting sqref="D361:BG361">
    <cfRule type="expression" dxfId="4" priority="1688">
      <formula>$M$230&lt;&gt;"Y"</formula>
    </cfRule>
  </conditionalFormatting>
  <conditionalFormatting sqref="D362:BG362">
    <cfRule type="expression" dxfId="4" priority="1691">
      <formula>$N$230&lt;&gt;"Y"</formula>
    </cfRule>
  </conditionalFormatting>
  <conditionalFormatting sqref="D363:BG363">
    <cfRule type="expression" dxfId="4" priority="1694">
      <formula>$O$230&lt;&gt;"Y"</formula>
    </cfRule>
  </conditionalFormatting>
  <conditionalFormatting sqref="D364:BG364">
    <cfRule type="expression" dxfId="4" priority="1697">
      <formula>$B$231&lt;&gt;"Y"</formula>
    </cfRule>
  </conditionalFormatting>
  <conditionalFormatting sqref="D365:BG365">
    <cfRule type="expression" dxfId="4" priority="1700">
      <formula>$C$231&lt;&gt;"Y"</formula>
    </cfRule>
  </conditionalFormatting>
  <conditionalFormatting sqref="D366:BG366">
    <cfRule type="expression" dxfId="4" priority="1703">
      <formula>$D$231&lt;&gt;"Y"</formula>
    </cfRule>
  </conditionalFormatting>
  <conditionalFormatting sqref="D367:BG367">
    <cfRule type="expression" dxfId="4" priority="1706">
      <formula>$E$231&lt;&gt;"Y"</formula>
    </cfRule>
  </conditionalFormatting>
  <conditionalFormatting sqref="D368:BG368">
    <cfRule type="expression" dxfId="4" priority="1709">
      <formula>$F$231&lt;&gt;"Y"</formula>
    </cfRule>
  </conditionalFormatting>
  <conditionalFormatting sqref="D369:BG369">
    <cfRule type="expression" dxfId="4" priority="1712">
      <formula>$G$231&lt;&gt;"Y"</formula>
    </cfRule>
  </conditionalFormatting>
  <conditionalFormatting sqref="D36:BG36">
    <cfRule type="expression" dxfId="4" priority="412">
      <formula>$C$6&lt;&gt;"Y"</formula>
    </cfRule>
  </conditionalFormatting>
  <conditionalFormatting sqref="D370:BG370">
    <cfRule type="expression" dxfId="4" priority="1715">
      <formula>$H$231&lt;&gt;"Y"</formula>
    </cfRule>
  </conditionalFormatting>
  <conditionalFormatting sqref="D371:BG371">
    <cfRule type="expression" dxfId="4" priority="1718">
      <formula>$I$231&lt;&gt;"Y"</formula>
    </cfRule>
  </conditionalFormatting>
  <conditionalFormatting sqref="D372:BG372">
    <cfRule type="expression" dxfId="4" priority="1721">
      <formula>$J$231&lt;&gt;"Y"</formula>
    </cfRule>
  </conditionalFormatting>
  <conditionalFormatting sqref="D373:BG373">
    <cfRule type="expression" dxfId="4" priority="1724">
      <formula>$K$231&lt;&gt;"Y"</formula>
    </cfRule>
  </conditionalFormatting>
  <conditionalFormatting sqref="D374:BG374">
    <cfRule type="expression" dxfId="4" priority="1727">
      <formula>$L$231&lt;&gt;"Y"</formula>
    </cfRule>
  </conditionalFormatting>
  <conditionalFormatting sqref="D375:BG375">
    <cfRule type="expression" dxfId="4" priority="1730">
      <formula>$M$231&lt;&gt;"Y"</formula>
    </cfRule>
  </conditionalFormatting>
  <conditionalFormatting sqref="D376:BG376">
    <cfRule type="expression" dxfId="4" priority="1733">
      <formula>$N$231&lt;&gt;"Y"</formula>
    </cfRule>
  </conditionalFormatting>
  <conditionalFormatting sqref="D377:BG377">
    <cfRule type="expression" dxfId="4" priority="1736">
      <formula>$O$231&lt;&gt;"Y"</formula>
    </cfRule>
  </conditionalFormatting>
  <conditionalFormatting sqref="D378:BG378">
    <cfRule type="expression" dxfId="4" priority="1739">
      <formula>$B$232&lt;&gt;"Y"</formula>
    </cfRule>
  </conditionalFormatting>
  <conditionalFormatting sqref="D379:BG379">
    <cfRule type="expression" dxfId="4" priority="1742">
      <formula>$C$232&lt;&gt;"Y"</formula>
    </cfRule>
  </conditionalFormatting>
  <conditionalFormatting sqref="D37:BG37">
    <cfRule type="expression" dxfId="4" priority="415">
      <formula>$D$6&lt;&gt;"Y"</formula>
    </cfRule>
  </conditionalFormatting>
  <conditionalFormatting sqref="D380:BG380">
    <cfRule type="expression" dxfId="4" priority="1745">
      <formula>$D$232&lt;&gt;"Y"</formula>
    </cfRule>
  </conditionalFormatting>
  <conditionalFormatting sqref="D381:BG381">
    <cfRule type="expression" dxfId="4" priority="1748">
      <formula>$E$232&lt;&gt;"Y"</formula>
    </cfRule>
  </conditionalFormatting>
  <conditionalFormatting sqref="D382:BG382">
    <cfRule type="expression" dxfId="4" priority="1751">
      <formula>$F$232&lt;&gt;"Y"</formula>
    </cfRule>
  </conditionalFormatting>
  <conditionalFormatting sqref="D383:BG383">
    <cfRule type="expression" dxfId="4" priority="1754">
      <formula>$G$232&lt;&gt;"Y"</formula>
    </cfRule>
  </conditionalFormatting>
  <conditionalFormatting sqref="D384:BG384">
    <cfRule type="expression" dxfId="4" priority="1757">
      <formula>$H$232&lt;&gt;"Y"</formula>
    </cfRule>
  </conditionalFormatting>
  <conditionalFormatting sqref="D385:BG385">
    <cfRule type="expression" dxfId="4" priority="1760">
      <formula>$I$232&lt;&gt;"Y"</formula>
    </cfRule>
  </conditionalFormatting>
  <conditionalFormatting sqref="D386:BG386">
    <cfRule type="expression" dxfId="4" priority="1763">
      <formula>$J$232&lt;&gt;"Y"</formula>
    </cfRule>
  </conditionalFormatting>
  <conditionalFormatting sqref="D387:BG387">
    <cfRule type="expression" dxfId="4" priority="1766">
      <formula>$K$232&lt;&gt;"Y"</formula>
    </cfRule>
  </conditionalFormatting>
  <conditionalFormatting sqref="D388:BG388">
    <cfRule type="expression" dxfId="4" priority="1769">
      <formula>$L$232&lt;&gt;"Y"</formula>
    </cfRule>
  </conditionalFormatting>
  <conditionalFormatting sqref="D389:BG389">
    <cfRule type="expression" dxfId="4" priority="1772">
      <formula>$M$232&lt;&gt;"Y"</formula>
    </cfRule>
  </conditionalFormatting>
  <conditionalFormatting sqref="D38:BG38">
    <cfRule type="expression" dxfId="4" priority="418">
      <formula>$E$6&lt;&gt;"Y"</formula>
    </cfRule>
  </conditionalFormatting>
  <conditionalFormatting sqref="D390:BG390">
    <cfRule type="expression" dxfId="4" priority="1775">
      <formula>$N$232&lt;&gt;"Y"</formula>
    </cfRule>
  </conditionalFormatting>
  <conditionalFormatting sqref="D391:BG391">
    <cfRule type="expression" dxfId="4" priority="1778">
      <formula>$O$232&lt;&gt;"Y"</formula>
    </cfRule>
  </conditionalFormatting>
  <conditionalFormatting sqref="D392:BG392">
    <cfRule type="expression" dxfId="4" priority="1781">
      <formula>$B$233&lt;&gt;"Y"</formula>
    </cfRule>
  </conditionalFormatting>
  <conditionalFormatting sqref="D393:BG393">
    <cfRule type="expression" dxfId="4" priority="1784">
      <formula>$C$233&lt;&gt;"Y"</formula>
    </cfRule>
  </conditionalFormatting>
  <conditionalFormatting sqref="D394:BG394">
    <cfRule type="expression" dxfId="4" priority="1787">
      <formula>$D$233&lt;&gt;"Y"</formula>
    </cfRule>
  </conditionalFormatting>
  <conditionalFormatting sqref="D395:BG395">
    <cfRule type="expression" dxfId="4" priority="1790">
      <formula>$E$233&lt;&gt;"Y"</formula>
    </cfRule>
  </conditionalFormatting>
  <conditionalFormatting sqref="D396:BG396">
    <cfRule type="expression" dxfId="4" priority="1793">
      <formula>$F$233&lt;&gt;"Y"</formula>
    </cfRule>
  </conditionalFormatting>
  <conditionalFormatting sqref="D397:BG397">
    <cfRule type="expression" dxfId="4" priority="1796">
      <formula>$G$233&lt;&gt;"Y"</formula>
    </cfRule>
  </conditionalFormatting>
  <conditionalFormatting sqref="D398:BG398">
    <cfRule type="expression" dxfId="4" priority="1799">
      <formula>$H$233&lt;&gt;"Y"</formula>
    </cfRule>
  </conditionalFormatting>
  <conditionalFormatting sqref="D399:BG399">
    <cfRule type="expression" dxfId="4" priority="1802">
      <formula>$I$233&lt;&gt;"Y"</formula>
    </cfRule>
  </conditionalFormatting>
  <conditionalFormatting sqref="D39:BG39">
    <cfRule type="expression" dxfId="4" priority="421">
      <formula>$F$6&lt;&gt;"Y"</formula>
    </cfRule>
  </conditionalFormatting>
  <conditionalFormatting sqref="D400:BG400">
    <cfRule type="expression" dxfId="4" priority="1805">
      <formula>$J$233&lt;&gt;"Y"</formula>
    </cfRule>
  </conditionalFormatting>
  <conditionalFormatting sqref="D401:BG401">
    <cfRule type="expression" dxfId="4" priority="1808">
      <formula>$K$233&lt;&gt;"Y"</formula>
    </cfRule>
  </conditionalFormatting>
  <conditionalFormatting sqref="D402:BG402">
    <cfRule type="expression" dxfId="4" priority="1811">
      <formula>$L$233&lt;&gt;"Y"</formula>
    </cfRule>
  </conditionalFormatting>
  <conditionalFormatting sqref="D403:BG403">
    <cfRule type="expression" dxfId="4" priority="1814">
      <formula>$M$233&lt;&gt;"Y"</formula>
    </cfRule>
  </conditionalFormatting>
  <conditionalFormatting sqref="D404:BG404">
    <cfRule type="expression" dxfId="4" priority="1817">
      <formula>$N$233&lt;&gt;"Y"</formula>
    </cfRule>
  </conditionalFormatting>
  <conditionalFormatting sqref="D405:BG405">
    <cfRule type="expression" dxfId="4" priority="1820">
      <formula>$O$233&lt;&gt;"Y"</formula>
    </cfRule>
  </conditionalFormatting>
  <conditionalFormatting sqref="D406:BG406">
    <cfRule type="expression" dxfId="4" priority="1823">
      <formula>$B$234&lt;&gt;"Y"</formula>
    </cfRule>
  </conditionalFormatting>
  <conditionalFormatting sqref="D407:BG407">
    <cfRule type="expression" dxfId="4" priority="1826">
      <formula>$C$234&lt;&gt;"Y"</formula>
    </cfRule>
  </conditionalFormatting>
  <conditionalFormatting sqref="D408:BG408">
    <cfRule type="expression" dxfId="4" priority="1829">
      <formula>$D$234&lt;&gt;"Y"</formula>
    </cfRule>
  </conditionalFormatting>
  <conditionalFormatting sqref="D409:BG409">
    <cfRule type="expression" dxfId="4" priority="1832">
      <formula>$E$234&lt;&gt;"Y"</formula>
    </cfRule>
  </conditionalFormatting>
  <conditionalFormatting sqref="D40:BG40">
    <cfRule type="expression" dxfId="4" priority="424">
      <formula>$G$6&lt;&gt;"Y"</formula>
    </cfRule>
  </conditionalFormatting>
  <conditionalFormatting sqref="D410:BG410">
    <cfRule type="expression" dxfId="4" priority="1835">
      <formula>$F$234&lt;&gt;"Y"</formula>
    </cfRule>
  </conditionalFormatting>
  <conditionalFormatting sqref="D411:BG411">
    <cfRule type="expression" dxfId="4" priority="1838">
      <formula>$G$234&lt;&gt;"Y"</formula>
    </cfRule>
  </conditionalFormatting>
  <conditionalFormatting sqref="D412:BG412">
    <cfRule type="expression" dxfId="4" priority="1841">
      <formula>$H$234&lt;&gt;"Y"</formula>
    </cfRule>
  </conditionalFormatting>
  <conditionalFormatting sqref="D413:BG413">
    <cfRule type="expression" dxfId="4" priority="1844">
      <formula>$I$234&lt;&gt;"Y"</formula>
    </cfRule>
  </conditionalFormatting>
  <conditionalFormatting sqref="D414:BG414">
    <cfRule type="expression" dxfId="4" priority="1847">
      <formula>$J$234&lt;&gt;"Y"</formula>
    </cfRule>
  </conditionalFormatting>
  <conditionalFormatting sqref="D415:BG415">
    <cfRule type="expression" dxfId="4" priority="1850">
      <formula>$K$234&lt;&gt;"Y"</formula>
    </cfRule>
  </conditionalFormatting>
  <conditionalFormatting sqref="D416:BG416">
    <cfRule type="expression" dxfId="4" priority="1853">
      <formula>$L$234&lt;&gt;"Y"</formula>
    </cfRule>
  </conditionalFormatting>
  <conditionalFormatting sqref="D417:BG417">
    <cfRule type="expression" dxfId="4" priority="1856">
      <formula>$M$234&lt;&gt;"Y"</formula>
    </cfRule>
  </conditionalFormatting>
  <conditionalFormatting sqref="D418:BG418">
    <cfRule type="expression" dxfId="4" priority="1859">
      <formula>$N$234&lt;&gt;"Y"</formula>
    </cfRule>
  </conditionalFormatting>
  <conditionalFormatting sqref="D419:BG419">
    <cfRule type="expression" dxfId="4" priority="1862">
      <formula>$O$234&lt;&gt;"Y"</formula>
    </cfRule>
  </conditionalFormatting>
  <conditionalFormatting sqref="D41:BG41">
    <cfRule type="expression" dxfId="4" priority="427">
      <formula>$H$6&lt;&gt;"Y"</formula>
    </cfRule>
  </conditionalFormatting>
  <conditionalFormatting sqref="D420:BG420">
    <cfRule type="expression" dxfId="4" priority="1865">
      <formula>$B$235&lt;&gt;"Y"</formula>
    </cfRule>
  </conditionalFormatting>
  <conditionalFormatting sqref="D421:BG421">
    <cfRule type="expression" dxfId="4" priority="1868">
      <formula>$C$235&lt;&gt;"Y"</formula>
    </cfRule>
  </conditionalFormatting>
  <conditionalFormatting sqref="D422:BG422">
    <cfRule type="expression" dxfId="4" priority="1871">
      <formula>$D$235&lt;&gt;"Y"</formula>
    </cfRule>
  </conditionalFormatting>
  <conditionalFormatting sqref="D423:BG423">
    <cfRule type="expression" dxfId="4" priority="1874">
      <formula>$E$235&lt;&gt;"Y"</formula>
    </cfRule>
  </conditionalFormatting>
  <conditionalFormatting sqref="D424:BG424">
    <cfRule type="expression" dxfId="4" priority="1877">
      <formula>$F$235&lt;&gt;"Y"</formula>
    </cfRule>
  </conditionalFormatting>
  <conditionalFormatting sqref="D425:BG425">
    <cfRule type="expression" dxfId="4" priority="1880">
      <formula>$G$235&lt;&gt;"Y"</formula>
    </cfRule>
  </conditionalFormatting>
  <conditionalFormatting sqref="D426:BG426">
    <cfRule type="expression" dxfId="4" priority="1883">
      <formula>$H$235&lt;&gt;"Y"</formula>
    </cfRule>
  </conditionalFormatting>
  <conditionalFormatting sqref="D427:BG427">
    <cfRule type="expression" dxfId="4" priority="1886">
      <formula>$I$235&lt;&gt;"Y"</formula>
    </cfRule>
  </conditionalFormatting>
  <conditionalFormatting sqref="D428:BG428">
    <cfRule type="expression" dxfId="4" priority="1889">
      <formula>$J$235&lt;&gt;"Y"</formula>
    </cfRule>
  </conditionalFormatting>
  <conditionalFormatting sqref="D429:BG429">
    <cfRule type="expression" dxfId="4" priority="1892">
      <formula>$K$235&lt;&gt;"Y"</formula>
    </cfRule>
  </conditionalFormatting>
  <conditionalFormatting sqref="D42:BG42">
    <cfRule type="expression" dxfId="4" priority="430">
      <formula>$I$6&lt;&gt;"Y"</formula>
    </cfRule>
  </conditionalFormatting>
  <conditionalFormatting sqref="D430:BG430">
    <cfRule type="expression" dxfId="4" priority="1895">
      <formula>$L$235&lt;&gt;"Y"</formula>
    </cfRule>
  </conditionalFormatting>
  <conditionalFormatting sqref="D431:BG431">
    <cfRule type="expression" dxfId="4" priority="1898">
      <formula>$M$235&lt;&gt;"Y"</formula>
    </cfRule>
  </conditionalFormatting>
  <conditionalFormatting sqref="D432:BG432">
    <cfRule type="expression" dxfId="4" priority="1901">
      <formula>$N$235&lt;&gt;"Y"</formula>
    </cfRule>
  </conditionalFormatting>
  <conditionalFormatting sqref="D433:BG433">
    <cfRule type="expression" dxfId="4" priority="1904">
      <formula>$O$235&lt;&gt;"Y"</formula>
    </cfRule>
  </conditionalFormatting>
  <conditionalFormatting sqref="D439">
    <cfRule type="cellIs" dxfId="2" priority="1907" operator="equal">
      <formula>"Y"</formula>
    </cfRule>
    <cfRule type="cellIs" dxfId="3" priority="1908" operator="equal">
      <formula>"N"</formula>
    </cfRule>
  </conditionalFormatting>
  <conditionalFormatting sqref="D43:BG43">
    <cfRule type="expression" dxfId="4" priority="433">
      <formula>$J$6&lt;&gt;"Y"</formula>
    </cfRule>
  </conditionalFormatting>
  <conditionalFormatting sqref="D440">
    <cfRule type="cellIs" dxfId="2" priority="1933" operator="equal">
      <formula>"Y"</formula>
    </cfRule>
    <cfRule type="cellIs" dxfId="3" priority="1934" operator="equal">
      <formula>"N"</formula>
    </cfRule>
  </conditionalFormatting>
  <conditionalFormatting sqref="D442">
    <cfRule type="cellIs" dxfId="2" priority="1987" operator="equal">
      <formula>"Y"</formula>
    </cfRule>
    <cfRule type="cellIs" dxfId="3" priority="1988" operator="equal">
      <formula>"N"</formula>
    </cfRule>
  </conditionalFormatting>
  <conditionalFormatting sqref="D443">
    <cfRule type="cellIs" dxfId="2" priority="2013" operator="equal">
      <formula>"Y"</formula>
    </cfRule>
    <cfRule type="cellIs" dxfId="3" priority="2014" operator="equal">
      <formula>"N"</formula>
    </cfRule>
  </conditionalFormatting>
  <conditionalFormatting sqref="D444">
    <cfRule type="cellIs" dxfId="2" priority="2039" operator="equal">
      <formula>"Y"</formula>
    </cfRule>
    <cfRule type="cellIs" dxfId="3" priority="2040" operator="equal">
      <formula>"N"</formula>
    </cfRule>
  </conditionalFormatting>
  <conditionalFormatting sqref="D445">
    <cfRule type="cellIs" dxfId="2" priority="2065" operator="equal">
      <formula>"Y"</formula>
    </cfRule>
    <cfRule type="cellIs" dxfId="3" priority="2066" operator="equal">
      <formula>"N"</formula>
    </cfRule>
  </conditionalFormatting>
  <conditionalFormatting sqref="D446">
    <cfRule type="cellIs" dxfId="2" priority="2091" operator="equal">
      <formula>"Y"</formula>
    </cfRule>
    <cfRule type="cellIs" dxfId="3" priority="2092" operator="equal">
      <formula>"N"</formula>
    </cfRule>
  </conditionalFormatting>
  <conditionalFormatting sqref="D447">
    <cfRule type="cellIs" dxfId="2" priority="2117" operator="equal">
      <formula>"Y"</formula>
    </cfRule>
    <cfRule type="cellIs" dxfId="3" priority="2118" operator="equal">
      <formula>"N"</formula>
    </cfRule>
  </conditionalFormatting>
  <conditionalFormatting sqref="D448">
    <cfRule type="cellIs" dxfId="2" priority="2143" operator="equal">
      <formula>"Y"</formula>
    </cfRule>
    <cfRule type="cellIs" dxfId="3" priority="2144" operator="equal">
      <formula>"N"</formula>
    </cfRule>
  </conditionalFormatting>
  <conditionalFormatting sqref="D449">
    <cfRule type="cellIs" dxfId="2" priority="2169" operator="equal">
      <formula>"Y"</formula>
    </cfRule>
    <cfRule type="cellIs" dxfId="3" priority="2170" operator="equal">
      <formula>"N"</formula>
    </cfRule>
  </conditionalFormatting>
  <conditionalFormatting sqref="D44:BG44">
    <cfRule type="expression" dxfId="4" priority="436">
      <formula>$K$6&lt;&gt;"Y"</formula>
    </cfRule>
  </conditionalFormatting>
  <conditionalFormatting sqref="D450">
    <cfRule type="cellIs" dxfId="2" priority="2195" operator="equal">
      <formula>"Y"</formula>
    </cfRule>
    <cfRule type="cellIs" dxfId="3" priority="2196" operator="equal">
      <formula>"N"</formula>
    </cfRule>
  </conditionalFormatting>
  <conditionalFormatting sqref="D451">
    <cfRule type="cellIs" dxfId="2" priority="2221" operator="equal">
      <formula>"Y"</formula>
    </cfRule>
    <cfRule type="cellIs" dxfId="3" priority="2222" operator="equal">
      <formula>"N"</formula>
    </cfRule>
  </conditionalFormatting>
  <conditionalFormatting sqref="D452">
    <cfRule type="cellIs" dxfId="2" priority="2247" operator="equal">
      <formula>"Y"</formula>
    </cfRule>
    <cfRule type="cellIs" dxfId="3" priority="2248" operator="equal">
      <formula>"N"</formula>
    </cfRule>
  </conditionalFormatting>
  <conditionalFormatting sqref="D455:BG455">
    <cfRule type="expression" dxfId="4" priority="2271">
      <formula>$B$439&lt;&gt;"Y"</formula>
    </cfRule>
  </conditionalFormatting>
  <conditionalFormatting sqref="D456:BG456">
    <cfRule type="expression" dxfId="4" priority="2274">
      <formula>$C$439&lt;&gt;"Y"</formula>
    </cfRule>
  </conditionalFormatting>
  <conditionalFormatting sqref="D457:BG457">
    <cfRule type="expression" dxfId="4" priority="2277">
      <formula>$D$439&lt;&gt;"Y"</formula>
    </cfRule>
  </conditionalFormatting>
  <conditionalFormatting sqref="D458:BG458">
    <cfRule type="expression" dxfId="4" priority="2280">
      <formula>$E$439&lt;&gt;"Y"</formula>
    </cfRule>
  </conditionalFormatting>
  <conditionalFormatting sqref="D459:BG459">
    <cfRule type="expression" dxfId="4" priority="2283">
      <formula>$F$439&lt;&gt;"Y"</formula>
    </cfRule>
  </conditionalFormatting>
  <conditionalFormatting sqref="D45:BG45">
    <cfRule type="expression" dxfId="4" priority="439">
      <formula>$L$6&lt;&gt;"Y"</formula>
    </cfRule>
  </conditionalFormatting>
  <conditionalFormatting sqref="D460:BG460">
    <cfRule type="expression" dxfId="4" priority="2286">
      <formula>$G$439&lt;&gt;"Y"</formula>
    </cfRule>
  </conditionalFormatting>
  <conditionalFormatting sqref="D461:BG461">
    <cfRule type="expression" dxfId="4" priority="2289">
      <formula>$H$439&lt;&gt;"Y"</formula>
    </cfRule>
  </conditionalFormatting>
  <conditionalFormatting sqref="D462:BG462">
    <cfRule type="expression" dxfId="4" priority="2292">
      <formula>$I$439&lt;&gt;"Y"</formula>
    </cfRule>
  </conditionalFormatting>
  <conditionalFormatting sqref="D463:BG463">
    <cfRule type="expression" dxfId="4" priority="2295">
      <formula>$J$439&lt;&gt;"Y"</formula>
    </cfRule>
  </conditionalFormatting>
  <conditionalFormatting sqref="D464:BG464">
    <cfRule type="expression" dxfId="4" priority="2298">
      <formula>$K$439&lt;&gt;"Y"</formula>
    </cfRule>
  </conditionalFormatting>
  <conditionalFormatting sqref="D465:BG465">
    <cfRule type="expression" dxfId="4" priority="2301">
      <formula>$L$439&lt;&gt;"Y"</formula>
    </cfRule>
  </conditionalFormatting>
  <conditionalFormatting sqref="D466:BG466">
    <cfRule type="expression" dxfId="4" priority="2304">
      <formula>$M$439&lt;&gt;"Y"</formula>
    </cfRule>
  </conditionalFormatting>
  <conditionalFormatting sqref="D467:BG467">
    <cfRule type="expression" dxfId="4" priority="2307">
      <formula>$N$439&lt;&gt;"Y"</formula>
    </cfRule>
  </conditionalFormatting>
  <conditionalFormatting sqref="D468:BG468">
    <cfRule type="expression" dxfId="4" priority="2310">
      <formula>$O$439&lt;&gt;"Y"</formula>
    </cfRule>
  </conditionalFormatting>
  <conditionalFormatting sqref="D469:BG469">
    <cfRule type="expression" dxfId="4" priority="2313">
      <formula>$B$440&lt;&gt;"Y"</formula>
    </cfRule>
  </conditionalFormatting>
  <conditionalFormatting sqref="D46:BG46">
    <cfRule type="expression" dxfId="4" priority="442">
      <formula>$M$6&lt;&gt;"Y"</formula>
    </cfRule>
  </conditionalFormatting>
  <conditionalFormatting sqref="D470:BG470">
    <cfRule type="expression" dxfId="4" priority="2316">
      <formula>$C$440&lt;&gt;"Y"</formula>
    </cfRule>
  </conditionalFormatting>
  <conditionalFormatting sqref="D471:BG471">
    <cfRule type="expression" dxfId="4" priority="2319">
      <formula>$D$440&lt;&gt;"Y"</formula>
    </cfRule>
  </conditionalFormatting>
  <conditionalFormatting sqref="D472:BG472">
    <cfRule type="expression" dxfId="4" priority="2322">
      <formula>$E$440&lt;&gt;"Y"</formula>
    </cfRule>
  </conditionalFormatting>
  <conditionalFormatting sqref="D473:BG473">
    <cfRule type="expression" dxfId="4" priority="2325">
      <formula>$F$440&lt;&gt;"Y"</formula>
    </cfRule>
  </conditionalFormatting>
  <conditionalFormatting sqref="D474:BG474">
    <cfRule type="expression" dxfId="4" priority="2328">
      <formula>$G$440&lt;&gt;"Y"</formula>
    </cfRule>
  </conditionalFormatting>
  <conditionalFormatting sqref="D475:BG475">
    <cfRule type="expression" dxfId="4" priority="2331">
      <formula>$H$440&lt;&gt;"Y"</formula>
    </cfRule>
  </conditionalFormatting>
  <conditionalFormatting sqref="D476:BG476">
    <cfRule type="expression" dxfId="4" priority="2334">
      <formula>$I$440&lt;&gt;"Y"</formula>
    </cfRule>
  </conditionalFormatting>
  <conditionalFormatting sqref="D477:BG477">
    <cfRule type="expression" dxfId="4" priority="2337">
      <formula>$J$440&lt;&gt;"Y"</formula>
    </cfRule>
  </conditionalFormatting>
  <conditionalFormatting sqref="D478:BG478">
    <cfRule type="expression" dxfId="4" priority="2340">
      <formula>$K$440&lt;&gt;"Y"</formula>
    </cfRule>
  </conditionalFormatting>
  <conditionalFormatting sqref="D479:BG479">
    <cfRule type="expression" dxfId="4" priority="2343">
      <formula>$L$440&lt;&gt;"Y"</formula>
    </cfRule>
  </conditionalFormatting>
  <conditionalFormatting sqref="D47:BG47">
    <cfRule type="expression" dxfId="4" priority="445">
      <formula>$N$6&lt;&gt;"Y"</formula>
    </cfRule>
  </conditionalFormatting>
  <conditionalFormatting sqref="D480:BG480">
    <cfRule type="expression" dxfId="4" priority="2346">
      <formula>$M$440&lt;&gt;"Y"</formula>
    </cfRule>
  </conditionalFormatting>
  <conditionalFormatting sqref="D481:BG481">
    <cfRule type="expression" dxfId="4" priority="2349">
      <formula>$N$440&lt;&gt;"Y"</formula>
    </cfRule>
  </conditionalFormatting>
  <conditionalFormatting sqref="D482:BG482">
    <cfRule type="expression" dxfId="4" priority="2352">
      <formula>$O$440&lt;&gt;"Y"</formula>
    </cfRule>
  </conditionalFormatting>
  <conditionalFormatting sqref="D483:BG483">
    <cfRule type="expression" dxfId="4" priority="2355">
      <formula>$B$441&lt;&gt;"Y"</formula>
    </cfRule>
  </conditionalFormatting>
  <conditionalFormatting sqref="D484:BG484">
    <cfRule type="expression" dxfId="4" priority="2358">
      <formula>$C$441&lt;&gt;"Y"</formula>
    </cfRule>
  </conditionalFormatting>
  <conditionalFormatting sqref="D485:BG485">
    <cfRule type="expression" dxfId="4" priority="2361">
      <formula>$D$441&lt;&gt;"Y"</formula>
    </cfRule>
  </conditionalFormatting>
  <conditionalFormatting sqref="D486:BG486">
    <cfRule type="expression" dxfId="4" priority="2364">
      <formula>$E$441&lt;&gt;"Y"</formula>
    </cfRule>
  </conditionalFormatting>
  <conditionalFormatting sqref="D487:BG487">
    <cfRule type="expression" dxfId="4" priority="2367">
      <formula>$F$441&lt;&gt;"Y"</formula>
    </cfRule>
  </conditionalFormatting>
  <conditionalFormatting sqref="D488:BG488">
    <cfRule type="expression" dxfId="4" priority="2370">
      <formula>$G$441&lt;&gt;"Y"</formula>
    </cfRule>
  </conditionalFormatting>
  <conditionalFormatting sqref="D489:BG489">
    <cfRule type="expression" dxfId="4" priority="2373">
      <formula>$H$441&lt;&gt;"Y"</formula>
    </cfRule>
  </conditionalFormatting>
  <conditionalFormatting sqref="D48:BG48">
    <cfRule type="expression" dxfId="4" priority="448">
      <formula>$O$6&lt;&gt;"Y"</formula>
    </cfRule>
  </conditionalFormatting>
  <conditionalFormatting sqref="D490:BG490">
    <cfRule type="expression" dxfId="4" priority="2376">
      <formula>$I$441&lt;&gt;"Y"</formula>
    </cfRule>
  </conditionalFormatting>
  <conditionalFormatting sqref="D491:BG491">
    <cfRule type="expression" dxfId="4" priority="2379">
      <formula>$J$441&lt;&gt;"Y"</formula>
    </cfRule>
  </conditionalFormatting>
  <conditionalFormatting sqref="D492:BG492">
    <cfRule type="expression" dxfId="4" priority="2382">
      <formula>$K$441&lt;&gt;"Y"</formula>
    </cfRule>
  </conditionalFormatting>
  <conditionalFormatting sqref="D493:BG493">
    <cfRule type="expression" dxfId="4" priority="2385">
      <formula>$L$441&lt;&gt;"Y"</formula>
    </cfRule>
  </conditionalFormatting>
  <conditionalFormatting sqref="D494:BG494">
    <cfRule type="expression" dxfId="4" priority="2388">
      <formula>$M$441&lt;&gt;"Y"</formula>
    </cfRule>
  </conditionalFormatting>
  <conditionalFormatting sqref="D495:BG495">
    <cfRule type="expression" dxfId="4" priority="2391">
      <formula>$N$441&lt;&gt;"Y"</formula>
    </cfRule>
  </conditionalFormatting>
  <conditionalFormatting sqref="D496:BG496">
    <cfRule type="expression" dxfId="4" priority="2394">
      <formula>$O$441&lt;&gt;"Y"</formula>
    </cfRule>
  </conditionalFormatting>
  <conditionalFormatting sqref="D497:BG497">
    <cfRule type="expression" dxfId="4" priority="2397">
      <formula>$B$442&lt;&gt;"Y"</formula>
    </cfRule>
  </conditionalFormatting>
  <conditionalFormatting sqref="D498:BG498">
    <cfRule type="expression" dxfId="4" priority="2400">
      <formula>$C$442&lt;&gt;"Y"</formula>
    </cfRule>
  </conditionalFormatting>
  <conditionalFormatting sqref="D499:BG499">
    <cfRule type="expression" dxfId="4" priority="2403">
      <formula>$D$442&lt;&gt;"Y"</formula>
    </cfRule>
  </conditionalFormatting>
  <conditionalFormatting sqref="D49:BG49">
    <cfRule type="expression" dxfId="4" priority="451">
      <formula>$B$7&lt;&gt;"Y"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BG500">
    <cfRule type="expression" dxfId="4" priority="2406">
      <formula>$E$442&lt;&gt;"Y"</formula>
    </cfRule>
  </conditionalFormatting>
  <conditionalFormatting sqref="D501:BG501">
    <cfRule type="expression" dxfId="4" priority="2409">
      <formula>$F$442&lt;&gt;"Y"</formula>
    </cfRule>
  </conditionalFormatting>
  <conditionalFormatting sqref="D502:BG502">
    <cfRule type="expression" dxfId="4" priority="2412">
      <formula>$G$442&lt;&gt;"Y"</formula>
    </cfRule>
  </conditionalFormatting>
  <conditionalFormatting sqref="D503:BG503">
    <cfRule type="expression" dxfId="4" priority="2415">
      <formula>$H$442&lt;&gt;"Y"</formula>
    </cfRule>
  </conditionalFormatting>
  <conditionalFormatting sqref="D504:BG504">
    <cfRule type="expression" dxfId="4" priority="2418">
      <formula>$I$442&lt;&gt;"Y"</formula>
    </cfRule>
  </conditionalFormatting>
  <conditionalFormatting sqref="D505:BG505">
    <cfRule type="expression" dxfId="4" priority="2421">
      <formula>$J$442&lt;&gt;"Y"</formula>
    </cfRule>
  </conditionalFormatting>
  <conditionalFormatting sqref="D506:BG506">
    <cfRule type="expression" dxfId="4" priority="2424">
      <formula>$K$442&lt;&gt;"Y"</formula>
    </cfRule>
  </conditionalFormatting>
  <conditionalFormatting sqref="D507:BG507">
    <cfRule type="expression" dxfId="4" priority="2427">
      <formula>$L$442&lt;&gt;"Y"</formula>
    </cfRule>
  </conditionalFormatting>
  <conditionalFormatting sqref="D508:BG508">
    <cfRule type="expression" dxfId="4" priority="2430">
      <formula>$M$442&lt;&gt;"Y"</formula>
    </cfRule>
  </conditionalFormatting>
  <conditionalFormatting sqref="D509:BG509">
    <cfRule type="expression" dxfId="4" priority="2433">
      <formula>$N$442&lt;&gt;"Y"</formula>
    </cfRule>
  </conditionalFormatting>
  <conditionalFormatting sqref="D50:BG50">
    <cfRule type="expression" dxfId="4" priority="454">
      <formula>$C$7&lt;&gt;"Y"</formula>
    </cfRule>
  </conditionalFormatting>
  <conditionalFormatting sqref="D510:BG510">
    <cfRule type="expression" dxfId="4" priority="2436">
      <formula>$O$442&lt;&gt;"Y"</formula>
    </cfRule>
  </conditionalFormatting>
  <conditionalFormatting sqref="D511:BG511">
    <cfRule type="expression" dxfId="4" priority="2439">
      <formula>$B$443&lt;&gt;"Y"</formula>
    </cfRule>
  </conditionalFormatting>
  <conditionalFormatting sqref="D512:BG512">
    <cfRule type="expression" dxfId="4" priority="2442">
      <formula>$C$443&lt;&gt;"Y"</formula>
    </cfRule>
  </conditionalFormatting>
  <conditionalFormatting sqref="D513:BG513">
    <cfRule type="expression" dxfId="4" priority="2445">
      <formula>$D$443&lt;&gt;"Y"</formula>
    </cfRule>
  </conditionalFormatting>
  <conditionalFormatting sqref="D514:BG514">
    <cfRule type="expression" dxfId="4" priority="2448">
      <formula>$E$443&lt;&gt;"Y"</formula>
    </cfRule>
  </conditionalFormatting>
  <conditionalFormatting sqref="D515:BG515">
    <cfRule type="expression" dxfId="4" priority="2451">
      <formula>$F$443&lt;&gt;"Y"</formula>
    </cfRule>
  </conditionalFormatting>
  <conditionalFormatting sqref="D516:BG516">
    <cfRule type="expression" dxfId="4" priority="2454">
      <formula>$G$443&lt;&gt;"Y"</formula>
    </cfRule>
  </conditionalFormatting>
  <conditionalFormatting sqref="D517:BG517">
    <cfRule type="expression" dxfId="4" priority="2457">
      <formula>$H$443&lt;&gt;"Y"</formula>
    </cfRule>
  </conditionalFormatting>
  <conditionalFormatting sqref="D518:BG518">
    <cfRule type="expression" dxfId="4" priority="2460">
      <formula>$I$443&lt;&gt;"Y"</formula>
    </cfRule>
  </conditionalFormatting>
  <conditionalFormatting sqref="D519:BG519">
    <cfRule type="expression" dxfId="4" priority="2463">
      <formula>$J$443&lt;&gt;"Y"</formula>
    </cfRule>
  </conditionalFormatting>
  <conditionalFormatting sqref="D51:BG51">
    <cfRule type="expression" dxfId="4" priority="457">
      <formula>$D$7&lt;&gt;"Y"</formula>
    </cfRule>
  </conditionalFormatting>
  <conditionalFormatting sqref="D520:BG520">
    <cfRule type="expression" dxfId="4" priority="2466">
      <formula>$K$443&lt;&gt;"Y"</formula>
    </cfRule>
  </conditionalFormatting>
  <conditionalFormatting sqref="D521:BG521">
    <cfRule type="expression" dxfId="4" priority="2469">
      <formula>$L$443&lt;&gt;"Y"</formula>
    </cfRule>
  </conditionalFormatting>
  <conditionalFormatting sqref="D522:BG522">
    <cfRule type="expression" dxfId="4" priority="2472">
      <formula>$M$443&lt;&gt;"Y"</formula>
    </cfRule>
  </conditionalFormatting>
  <conditionalFormatting sqref="D523:BG523">
    <cfRule type="expression" dxfId="4" priority="2475">
      <formula>$N$443&lt;&gt;"Y"</formula>
    </cfRule>
  </conditionalFormatting>
  <conditionalFormatting sqref="D524:BG524">
    <cfRule type="expression" dxfId="4" priority="2478">
      <formula>$O$443&lt;&gt;"Y"</formula>
    </cfRule>
  </conditionalFormatting>
  <conditionalFormatting sqref="D525:BG525">
    <cfRule type="expression" dxfId="4" priority="2481">
      <formula>$B$444&lt;&gt;"Y"</formula>
    </cfRule>
  </conditionalFormatting>
  <conditionalFormatting sqref="D526:BG526">
    <cfRule type="expression" dxfId="4" priority="2484">
      <formula>$C$444&lt;&gt;"Y"</formula>
    </cfRule>
  </conditionalFormatting>
  <conditionalFormatting sqref="D527:BG527">
    <cfRule type="expression" dxfId="4" priority="2487">
      <formula>$D$444&lt;&gt;"Y"</formula>
    </cfRule>
  </conditionalFormatting>
  <conditionalFormatting sqref="D528:BG528">
    <cfRule type="expression" dxfId="4" priority="2490">
      <formula>$E$444&lt;&gt;"Y"</formula>
    </cfRule>
  </conditionalFormatting>
  <conditionalFormatting sqref="D529:BG529">
    <cfRule type="expression" dxfId="4" priority="2493">
      <formula>$F$444&lt;&gt;"Y"</formula>
    </cfRule>
  </conditionalFormatting>
  <conditionalFormatting sqref="D52:BG52">
    <cfRule type="expression" dxfId="4" priority="460">
      <formula>$E$7&lt;&gt;"Y"</formula>
    </cfRule>
  </conditionalFormatting>
  <conditionalFormatting sqref="D530:BG530">
    <cfRule type="expression" dxfId="4" priority="2496">
      <formula>$G$444&lt;&gt;"Y"</formula>
    </cfRule>
  </conditionalFormatting>
  <conditionalFormatting sqref="D531:BG531">
    <cfRule type="expression" dxfId="4" priority="2499">
      <formula>$H$444&lt;&gt;"Y"</formula>
    </cfRule>
  </conditionalFormatting>
  <conditionalFormatting sqref="D532:BG532">
    <cfRule type="expression" dxfId="4" priority="2502">
      <formula>$I$444&lt;&gt;"Y"</formula>
    </cfRule>
  </conditionalFormatting>
  <conditionalFormatting sqref="D533:BG533">
    <cfRule type="expression" dxfId="4" priority="2505">
      <formula>$J$444&lt;&gt;"Y"</formula>
    </cfRule>
  </conditionalFormatting>
  <conditionalFormatting sqref="D534:BG534">
    <cfRule type="expression" dxfId="4" priority="2508">
      <formula>$K$444&lt;&gt;"Y"</formula>
    </cfRule>
  </conditionalFormatting>
  <conditionalFormatting sqref="D535:BG535">
    <cfRule type="expression" dxfId="4" priority="2511">
      <formula>$L$444&lt;&gt;"Y"</formula>
    </cfRule>
  </conditionalFormatting>
  <conditionalFormatting sqref="D536:BG536">
    <cfRule type="expression" dxfId="4" priority="2514">
      <formula>$M$444&lt;&gt;"Y"</formula>
    </cfRule>
  </conditionalFormatting>
  <conditionalFormatting sqref="D537:BG537">
    <cfRule type="expression" dxfId="4" priority="2517">
      <formula>$N$444&lt;&gt;"Y"</formula>
    </cfRule>
  </conditionalFormatting>
  <conditionalFormatting sqref="D538:BG538">
    <cfRule type="expression" dxfId="4" priority="2520">
      <formula>$O$444&lt;&gt;"Y"</formula>
    </cfRule>
  </conditionalFormatting>
  <conditionalFormatting sqref="D539:BG539">
    <cfRule type="expression" dxfId="4" priority="2523">
      <formula>$B$445&lt;&gt;"Y"</formula>
    </cfRule>
  </conditionalFormatting>
  <conditionalFormatting sqref="D53:BG53">
    <cfRule type="expression" dxfId="4" priority="463">
      <formula>$F$7&lt;&gt;"Y"</formula>
    </cfRule>
  </conditionalFormatting>
  <conditionalFormatting sqref="D540:BG540">
    <cfRule type="expression" dxfId="4" priority="2526">
      <formula>$C$445&lt;&gt;"Y"</formula>
    </cfRule>
  </conditionalFormatting>
  <conditionalFormatting sqref="D541:BG541">
    <cfRule type="expression" dxfId="4" priority="2529">
      <formula>$D$445&lt;&gt;"Y"</formula>
    </cfRule>
  </conditionalFormatting>
  <conditionalFormatting sqref="D542:BG542">
    <cfRule type="expression" dxfId="4" priority="2532">
      <formula>$E$445&lt;&gt;"Y"</formula>
    </cfRule>
  </conditionalFormatting>
  <conditionalFormatting sqref="D543:BG543">
    <cfRule type="expression" dxfId="4" priority="2535">
      <formula>$F$445&lt;&gt;"Y"</formula>
    </cfRule>
  </conditionalFormatting>
  <conditionalFormatting sqref="D544:BG544">
    <cfRule type="expression" dxfId="4" priority="2538">
      <formula>$G$445&lt;&gt;"Y"</formula>
    </cfRule>
  </conditionalFormatting>
  <conditionalFormatting sqref="D545:BG545">
    <cfRule type="expression" dxfId="4" priority="2541">
      <formula>$H$445&lt;&gt;"Y"</formula>
    </cfRule>
  </conditionalFormatting>
  <conditionalFormatting sqref="D546:BG546">
    <cfRule type="expression" dxfId="4" priority="2544">
      <formula>$I$445&lt;&gt;"Y"</formula>
    </cfRule>
  </conditionalFormatting>
  <conditionalFormatting sqref="D547:BG547">
    <cfRule type="expression" dxfId="4" priority="2547">
      <formula>$J$445&lt;&gt;"Y"</formula>
    </cfRule>
  </conditionalFormatting>
  <conditionalFormatting sqref="D548:BG548">
    <cfRule type="expression" dxfId="4" priority="2550">
      <formula>$K$445&lt;&gt;"Y"</formula>
    </cfRule>
  </conditionalFormatting>
  <conditionalFormatting sqref="D549:BG549">
    <cfRule type="expression" dxfId="4" priority="2553">
      <formula>$L$445&lt;&gt;"Y"</formula>
    </cfRule>
  </conditionalFormatting>
  <conditionalFormatting sqref="D54:BG54">
    <cfRule type="expression" dxfId="4" priority="466">
      <formula>$G$7&lt;&gt;"Y"</formula>
    </cfRule>
  </conditionalFormatting>
  <conditionalFormatting sqref="D550:BG550">
    <cfRule type="expression" dxfId="4" priority="2556">
      <formula>$M$445&lt;&gt;"Y"</formula>
    </cfRule>
  </conditionalFormatting>
  <conditionalFormatting sqref="D551:BG551">
    <cfRule type="expression" dxfId="4" priority="2559">
      <formula>$N$445&lt;&gt;"Y"</formula>
    </cfRule>
  </conditionalFormatting>
  <conditionalFormatting sqref="D552:BG552">
    <cfRule type="expression" dxfId="4" priority="2562">
      <formula>$O$445&lt;&gt;"Y"</formula>
    </cfRule>
  </conditionalFormatting>
  <conditionalFormatting sqref="D553:BG553">
    <cfRule type="expression" dxfId="4" priority="2565">
      <formula>$B$446&lt;&gt;"Y"</formula>
    </cfRule>
  </conditionalFormatting>
  <conditionalFormatting sqref="D554:BG554">
    <cfRule type="expression" dxfId="4" priority="2568">
      <formula>$C$446&lt;&gt;"Y"</formula>
    </cfRule>
  </conditionalFormatting>
  <conditionalFormatting sqref="D555:BG555">
    <cfRule type="expression" dxfId="4" priority="2571">
      <formula>$D$446&lt;&gt;"Y"</formula>
    </cfRule>
  </conditionalFormatting>
  <conditionalFormatting sqref="D556:BG556">
    <cfRule type="expression" dxfId="4" priority="2574">
      <formula>$E$446&lt;&gt;"Y"</formula>
    </cfRule>
  </conditionalFormatting>
  <conditionalFormatting sqref="D557:BG557">
    <cfRule type="expression" dxfId="4" priority="2577">
      <formula>$F$446&lt;&gt;"Y"</formula>
    </cfRule>
  </conditionalFormatting>
  <conditionalFormatting sqref="D558:BG558">
    <cfRule type="expression" dxfId="4" priority="2580">
      <formula>$G$446&lt;&gt;"Y"</formula>
    </cfRule>
  </conditionalFormatting>
  <conditionalFormatting sqref="D559:BG559">
    <cfRule type="expression" dxfId="4" priority="2583">
      <formula>$H$446&lt;&gt;"Y"</formula>
    </cfRule>
  </conditionalFormatting>
  <conditionalFormatting sqref="D55:BG55">
    <cfRule type="expression" dxfId="4" priority="469">
      <formula>$H$7&lt;&gt;"Y"</formula>
    </cfRule>
  </conditionalFormatting>
  <conditionalFormatting sqref="D560:BG560">
    <cfRule type="expression" dxfId="4" priority="2586">
      <formula>$I$446&lt;&gt;"Y"</formula>
    </cfRule>
  </conditionalFormatting>
  <conditionalFormatting sqref="D561:BG561">
    <cfRule type="expression" dxfId="4" priority="2589">
      <formula>$J$446&lt;&gt;"Y"</formula>
    </cfRule>
  </conditionalFormatting>
  <conditionalFormatting sqref="D562:BG562">
    <cfRule type="expression" dxfId="4" priority="2592">
      <formula>$K$446&lt;&gt;"Y"</formula>
    </cfRule>
  </conditionalFormatting>
  <conditionalFormatting sqref="D563:BG563">
    <cfRule type="expression" dxfId="4" priority="2595">
      <formula>$L$446&lt;&gt;"Y"</formula>
    </cfRule>
  </conditionalFormatting>
  <conditionalFormatting sqref="D564:BG564">
    <cfRule type="expression" dxfId="4" priority="2598">
      <formula>$M$446&lt;&gt;"Y"</formula>
    </cfRule>
  </conditionalFormatting>
  <conditionalFormatting sqref="D565:BG565">
    <cfRule type="expression" dxfId="4" priority="2601">
      <formula>$N$446&lt;&gt;"Y"</formula>
    </cfRule>
  </conditionalFormatting>
  <conditionalFormatting sqref="D566:BG566">
    <cfRule type="expression" dxfId="4" priority="2604">
      <formula>$O$446&lt;&gt;"Y"</formula>
    </cfRule>
  </conditionalFormatting>
  <conditionalFormatting sqref="D567:BG567">
    <cfRule type="expression" dxfId="4" priority="2607">
      <formula>$B$447&lt;&gt;"Y"</formula>
    </cfRule>
  </conditionalFormatting>
  <conditionalFormatting sqref="D568:BG568">
    <cfRule type="expression" dxfId="4" priority="2610">
      <formula>$C$447&lt;&gt;"Y"</formula>
    </cfRule>
  </conditionalFormatting>
  <conditionalFormatting sqref="D569:BG569">
    <cfRule type="expression" dxfId="4" priority="2613">
      <formula>$D$447&lt;&gt;"Y"</formula>
    </cfRule>
  </conditionalFormatting>
  <conditionalFormatting sqref="D56:BG56">
    <cfRule type="expression" dxfId="4" priority="472">
      <formula>$I$7&lt;&gt;"Y"</formula>
    </cfRule>
  </conditionalFormatting>
  <conditionalFormatting sqref="D570:BG570">
    <cfRule type="expression" dxfId="4" priority="2616">
      <formula>$E$447&lt;&gt;"Y"</formula>
    </cfRule>
  </conditionalFormatting>
  <conditionalFormatting sqref="D571:BG571">
    <cfRule type="expression" dxfId="4" priority="2619">
      <formula>$F$447&lt;&gt;"Y"</formula>
    </cfRule>
  </conditionalFormatting>
  <conditionalFormatting sqref="D572:BG572">
    <cfRule type="expression" dxfId="4" priority="2622">
      <formula>$G$447&lt;&gt;"Y"</formula>
    </cfRule>
  </conditionalFormatting>
  <conditionalFormatting sqref="D573:BG573">
    <cfRule type="expression" dxfId="4" priority="2625">
      <formula>$H$447&lt;&gt;"Y"</formula>
    </cfRule>
  </conditionalFormatting>
  <conditionalFormatting sqref="D574:BG574">
    <cfRule type="expression" dxfId="4" priority="2628">
      <formula>$I$447&lt;&gt;"Y"</formula>
    </cfRule>
  </conditionalFormatting>
  <conditionalFormatting sqref="D575:BG575">
    <cfRule type="expression" dxfId="4" priority="2631">
      <formula>$J$447&lt;&gt;"Y"</formula>
    </cfRule>
  </conditionalFormatting>
  <conditionalFormatting sqref="D576:BG576">
    <cfRule type="expression" dxfId="4" priority="2634">
      <formula>$K$447&lt;&gt;"Y"</formula>
    </cfRule>
  </conditionalFormatting>
  <conditionalFormatting sqref="D577:BG577">
    <cfRule type="expression" dxfId="4" priority="2637">
      <formula>$L$447&lt;&gt;"Y"</formula>
    </cfRule>
  </conditionalFormatting>
  <conditionalFormatting sqref="D578:BG578">
    <cfRule type="expression" dxfId="4" priority="2640">
      <formula>$M$447&lt;&gt;"Y"</formula>
    </cfRule>
  </conditionalFormatting>
  <conditionalFormatting sqref="D579:BG579">
    <cfRule type="expression" dxfId="4" priority="2643">
      <formula>$N$447&lt;&gt;"Y"</formula>
    </cfRule>
  </conditionalFormatting>
  <conditionalFormatting sqref="D57:BG57">
    <cfRule type="expression" dxfId="4" priority="475">
      <formula>$J$7&lt;&gt;"Y"</formula>
    </cfRule>
  </conditionalFormatting>
  <conditionalFormatting sqref="D580:BG580">
    <cfRule type="expression" dxfId="4" priority="2646">
      <formula>$O$447&lt;&gt;"Y"</formula>
    </cfRule>
  </conditionalFormatting>
  <conditionalFormatting sqref="D581:BG581">
    <cfRule type="expression" dxfId="4" priority="2649">
      <formula>$B$448&lt;&gt;"Y"</formula>
    </cfRule>
  </conditionalFormatting>
  <conditionalFormatting sqref="D582:BG582">
    <cfRule type="expression" dxfId="4" priority="2652">
      <formula>$C$448&lt;&gt;"Y"</formula>
    </cfRule>
  </conditionalFormatting>
  <conditionalFormatting sqref="D583:BG583">
    <cfRule type="expression" dxfId="4" priority="2655">
      <formula>$D$448&lt;&gt;"Y"</formula>
    </cfRule>
  </conditionalFormatting>
  <conditionalFormatting sqref="D584:BG584">
    <cfRule type="expression" dxfId="4" priority="2658">
      <formula>$E$448&lt;&gt;"Y"</formula>
    </cfRule>
  </conditionalFormatting>
  <conditionalFormatting sqref="D585:BG585">
    <cfRule type="expression" dxfId="4" priority="2661">
      <formula>$F$448&lt;&gt;"Y"</formula>
    </cfRule>
  </conditionalFormatting>
  <conditionalFormatting sqref="D586:BG586">
    <cfRule type="expression" dxfId="4" priority="2664">
      <formula>$G$448&lt;&gt;"Y"</formula>
    </cfRule>
  </conditionalFormatting>
  <conditionalFormatting sqref="D587:BG587">
    <cfRule type="expression" dxfId="4" priority="2667">
      <formula>$H$448&lt;&gt;"Y"</formula>
    </cfRule>
  </conditionalFormatting>
  <conditionalFormatting sqref="D588:BG588">
    <cfRule type="expression" dxfId="4" priority="2670">
      <formula>$I$448&lt;&gt;"Y"</formula>
    </cfRule>
  </conditionalFormatting>
  <conditionalFormatting sqref="D589:BG589">
    <cfRule type="expression" dxfId="4" priority="2673">
      <formula>$J$448&lt;&gt;"Y"</formula>
    </cfRule>
  </conditionalFormatting>
  <conditionalFormatting sqref="D58:BG58">
    <cfRule type="expression" dxfId="4" priority="478">
      <formula>$K$7&lt;&gt;"Y"</formula>
    </cfRule>
  </conditionalFormatting>
  <conditionalFormatting sqref="D590:BG590">
    <cfRule type="expression" dxfId="4" priority="2676">
      <formula>$K$448&lt;&gt;"Y"</formula>
    </cfRule>
  </conditionalFormatting>
  <conditionalFormatting sqref="D591:BG591">
    <cfRule type="expression" dxfId="4" priority="2679">
      <formula>$L$448&lt;&gt;"Y"</formula>
    </cfRule>
  </conditionalFormatting>
  <conditionalFormatting sqref="D592:BG592">
    <cfRule type="expression" dxfId="4" priority="2682">
      <formula>$M$448&lt;&gt;"Y"</formula>
    </cfRule>
  </conditionalFormatting>
  <conditionalFormatting sqref="D593:BG593">
    <cfRule type="expression" dxfId="4" priority="2685">
      <formula>$N$448&lt;&gt;"Y"</formula>
    </cfRule>
  </conditionalFormatting>
  <conditionalFormatting sqref="D594:BG594">
    <cfRule type="expression" dxfId="4" priority="2688">
      <formula>$O$448&lt;&gt;"Y"</formula>
    </cfRule>
  </conditionalFormatting>
  <conditionalFormatting sqref="D595:BG595">
    <cfRule type="expression" dxfId="4" priority="2691">
      <formula>$B$449&lt;&gt;"Y"</formula>
    </cfRule>
  </conditionalFormatting>
  <conditionalFormatting sqref="D596:BG596">
    <cfRule type="expression" dxfId="4" priority="2694">
      <formula>$C$449&lt;&gt;"Y"</formula>
    </cfRule>
  </conditionalFormatting>
  <conditionalFormatting sqref="D597:BG597">
    <cfRule type="expression" dxfId="4" priority="2697">
      <formula>$D$449&lt;&gt;"Y"</formula>
    </cfRule>
  </conditionalFormatting>
  <conditionalFormatting sqref="D598:BG598">
    <cfRule type="expression" dxfId="4" priority="2700">
      <formula>$E$449&lt;&gt;"Y"</formula>
    </cfRule>
  </conditionalFormatting>
  <conditionalFormatting sqref="D599:BG599">
    <cfRule type="expression" dxfId="4" priority="2703">
      <formula>$F$449&lt;&gt;"Y"</formula>
    </cfRule>
  </conditionalFormatting>
  <conditionalFormatting sqref="D59:BG59">
    <cfRule type="expression" dxfId="4" priority="481">
      <formula>$L$7&lt;&gt;"Y"</formula>
    </cfRule>
  </conditionalFormatting>
  <conditionalFormatting sqref="D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D600:BG600">
    <cfRule type="expression" dxfId="4" priority="2706">
      <formula>$G$449&lt;&gt;"Y"</formula>
    </cfRule>
  </conditionalFormatting>
  <conditionalFormatting sqref="D601:BG601">
    <cfRule type="expression" dxfId="4" priority="2709">
      <formula>$H$449&lt;&gt;"Y"</formula>
    </cfRule>
  </conditionalFormatting>
  <conditionalFormatting sqref="D602:BG602">
    <cfRule type="expression" dxfId="4" priority="2712">
      <formula>$I$449&lt;&gt;"Y"</formula>
    </cfRule>
  </conditionalFormatting>
  <conditionalFormatting sqref="D603:BG603">
    <cfRule type="expression" dxfId="4" priority="2715">
      <formula>$J$449&lt;&gt;"Y"</formula>
    </cfRule>
  </conditionalFormatting>
  <conditionalFormatting sqref="D604:BG604">
    <cfRule type="expression" dxfId="4" priority="2718">
      <formula>$K$449&lt;&gt;"Y"</formula>
    </cfRule>
  </conditionalFormatting>
  <conditionalFormatting sqref="D605:BG605">
    <cfRule type="expression" dxfId="4" priority="2721">
      <formula>$L$449&lt;&gt;"Y"</formula>
    </cfRule>
  </conditionalFormatting>
  <conditionalFormatting sqref="D606:BG606">
    <cfRule type="expression" dxfId="4" priority="2724">
      <formula>$M$449&lt;&gt;"Y"</formula>
    </cfRule>
  </conditionalFormatting>
  <conditionalFormatting sqref="D607:BG607">
    <cfRule type="expression" dxfId="4" priority="2727">
      <formula>$N$449&lt;&gt;"Y"</formula>
    </cfRule>
  </conditionalFormatting>
  <conditionalFormatting sqref="D608:BG608">
    <cfRule type="expression" dxfId="4" priority="2730">
      <formula>$O$449&lt;&gt;"Y"</formula>
    </cfRule>
  </conditionalFormatting>
  <conditionalFormatting sqref="D609:BG609">
    <cfRule type="expression" dxfId="4" priority="2733">
      <formula>$B$450&lt;&gt;"Y"</formula>
    </cfRule>
  </conditionalFormatting>
  <conditionalFormatting sqref="D60:BG60">
    <cfRule type="expression" dxfId="4" priority="484">
      <formula>$M$7&lt;&gt;"Y"</formula>
    </cfRule>
  </conditionalFormatting>
  <conditionalFormatting sqref="D610:BG610">
    <cfRule type="expression" dxfId="4" priority="2736">
      <formula>$C$450&lt;&gt;"Y"</formula>
    </cfRule>
  </conditionalFormatting>
  <conditionalFormatting sqref="D611:BG611">
    <cfRule type="expression" dxfId="4" priority="2739">
      <formula>$D$450&lt;&gt;"Y"</formula>
    </cfRule>
  </conditionalFormatting>
  <conditionalFormatting sqref="D612:BG612">
    <cfRule type="expression" dxfId="4" priority="2742">
      <formula>$E$450&lt;&gt;"Y"</formula>
    </cfRule>
  </conditionalFormatting>
  <conditionalFormatting sqref="D613:BG613">
    <cfRule type="expression" dxfId="4" priority="2745">
      <formula>$F$450&lt;&gt;"Y"</formula>
    </cfRule>
  </conditionalFormatting>
  <conditionalFormatting sqref="D614:BG614">
    <cfRule type="expression" dxfId="4" priority="2748">
      <formula>$G$450&lt;&gt;"Y"</formula>
    </cfRule>
  </conditionalFormatting>
  <conditionalFormatting sqref="D615:BG615">
    <cfRule type="expression" dxfId="4" priority="2751">
      <formula>$H$450&lt;&gt;"Y"</formula>
    </cfRule>
  </conditionalFormatting>
  <conditionalFormatting sqref="D616:BG616">
    <cfRule type="expression" dxfId="4" priority="2754">
      <formula>$I$450&lt;&gt;"Y"</formula>
    </cfRule>
  </conditionalFormatting>
  <conditionalFormatting sqref="D617:BG617">
    <cfRule type="expression" dxfId="4" priority="2757">
      <formula>$J$450&lt;&gt;"Y"</formula>
    </cfRule>
  </conditionalFormatting>
  <conditionalFormatting sqref="D618:BG618">
    <cfRule type="expression" dxfId="4" priority="2760">
      <formula>$K$450&lt;&gt;"Y"</formula>
    </cfRule>
  </conditionalFormatting>
  <conditionalFormatting sqref="D619:BG619">
    <cfRule type="expression" dxfId="4" priority="2763">
      <formula>$L$450&lt;&gt;"Y"</formula>
    </cfRule>
  </conditionalFormatting>
  <conditionalFormatting sqref="D61:BG61">
    <cfRule type="expression" dxfId="4" priority="487">
      <formula>$N$7&lt;&gt;"Y"</formula>
    </cfRule>
  </conditionalFormatting>
  <conditionalFormatting sqref="D620:BG620">
    <cfRule type="expression" dxfId="4" priority="2766">
      <formula>$M$450&lt;&gt;"Y"</formula>
    </cfRule>
  </conditionalFormatting>
  <conditionalFormatting sqref="D621:BG621">
    <cfRule type="expression" dxfId="4" priority="2769">
      <formula>$N$450&lt;&gt;"Y"</formula>
    </cfRule>
  </conditionalFormatting>
  <conditionalFormatting sqref="D622:BG622">
    <cfRule type="expression" dxfId="4" priority="2772">
      <formula>$O$450&lt;&gt;"Y"</formula>
    </cfRule>
  </conditionalFormatting>
  <conditionalFormatting sqref="D623:BG623">
    <cfRule type="expression" dxfId="4" priority="2775">
      <formula>$B$451&lt;&gt;"Y"</formula>
    </cfRule>
  </conditionalFormatting>
  <conditionalFormatting sqref="D624:BG624">
    <cfRule type="expression" dxfId="4" priority="2778">
      <formula>$C$451&lt;&gt;"Y"</formula>
    </cfRule>
  </conditionalFormatting>
  <conditionalFormatting sqref="D625:BG625">
    <cfRule type="expression" dxfId="4" priority="2781">
      <formula>$D$451&lt;&gt;"Y"</formula>
    </cfRule>
  </conditionalFormatting>
  <conditionalFormatting sqref="D626:BG626">
    <cfRule type="expression" dxfId="4" priority="2784">
      <formula>$E$451&lt;&gt;"Y"</formula>
    </cfRule>
  </conditionalFormatting>
  <conditionalFormatting sqref="D627:BG627">
    <cfRule type="expression" dxfId="4" priority="2787">
      <formula>$F$451&lt;&gt;"Y"</formula>
    </cfRule>
  </conditionalFormatting>
  <conditionalFormatting sqref="D628:BG628">
    <cfRule type="expression" dxfId="4" priority="2790">
      <formula>$G$451&lt;&gt;"Y"</formula>
    </cfRule>
  </conditionalFormatting>
  <conditionalFormatting sqref="D629:BG629">
    <cfRule type="expression" dxfId="4" priority="2793">
      <formula>$H$451&lt;&gt;"Y"</formula>
    </cfRule>
  </conditionalFormatting>
  <conditionalFormatting sqref="D62:BG62">
    <cfRule type="expression" dxfId="4" priority="490">
      <formula>$O$7&lt;&gt;"Y"</formula>
    </cfRule>
  </conditionalFormatting>
  <conditionalFormatting sqref="D630:BG630">
    <cfRule type="expression" dxfId="4" priority="2796">
      <formula>$I$451&lt;&gt;"Y"</formula>
    </cfRule>
  </conditionalFormatting>
  <conditionalFormatting sqref="D631:BG631">
    <cfRule type="expression" dxfId="4" priority="2799">
      <formula>$J$451&lt;&gt;"Y"</formula>
    </cfRule>
  </conditionalFormatting>
  <conditionalFormatting sqref="D632:BG632">
    <cfRule type="expression" dxfId="4" priority="2802">
      <formula>$K$451&lt;&gt;"Y"</formula>
    </cfRule>
  </conditionalFormatting>
  <conditionalFormatting sqref="D633:BG633">
    <cfRule type="expression" dxfId="4" priority="2805">
      <formula>$L$451&lt;&gt;"Y"</formula>
    </cfRule>
  </conditionalFormatting>
  <conditionalFormatting sqref="D634:BG634">
    <cfRule type="expression" dxfId="4" priority="2808">
      <formula>$M$451&lt;&gt;"Y"</formula>
    </cfRule>
  </conditionalFormatting>
  <conditionalFormatting sqref="D635:BG635">
    <cfRule type="expression" dxfId="4" priority="2811">
      <formula>$N$451&lt;&gt;"Y"</formula>
    </cfRule>
  </conditionalFormatting>
  <conditionalFormatting sqref="D636:BG636">
    <cfRule type="expression" dxfId="4" priority="2814">
      <formula>$O$451&lt;&gt;"Y"</formula>
    </cfRule>
  </conditionalFormatting>
  <conditionalFormatting sqref="D637:BG637">
    <cfRule type="expression" dxfId="4" priority="2817">
      <formula>$B$452&lt;&gt;"Y"</formula>
    </cfRule>
  </conditionalFormatting>
  <conditionalFormatting sqref="D638:BG638">
    <cfRule type="expression" dxfId="4" priority="2820">
      <formula>$C$452&lt;&gt;"Y"</formula>
    </cfRule>
  </conditionalFormatting>
  <conditionalFormatting sqref="D639:BG639">
    <cfRule type="expression" dxfId="4" priority="2823">
      <formula>$D$452&lt;&gt;"Y"</formula>
    </cfRule>
  </conditionalFormatting>
  <conditionalFormatting sqref="D63:BG63">
    <cfRule type="expression" dxfId="4" priority="493">
      <formula>$B$8&lt;&gt;"Y"</formula>
    </cfRule>
  </conditionalFormatting>
  <conditionalFormatting sqref="D640:BG640">
    <cfRule type="expression" dxfId="4" priority="2826">
      <formula>$E$452&lt;&gt;"Y"</formula>
    </cfRule>
  </conditionalFormatting>
  <conditionalFormatting sqref="D641:BG641">
    <cfRule type="expression" dxfId="4" priority="2829">
      <formula>$F$452&lt;&gt;"Y"</formula>
    </cfRule>
  </conditionalFormatting>
  <conditionalFormatting sqref="D642:BG642">
    <cfRule type="expression" dxfId="4" priority="2832">
      <formula>$G$452&lt;&gt;"Y"</formula>
    </cfRule>
  </conditionalFormatting>
  <conditionalFormatting sqref="D643:BG643">
    <cfRule type="expression" dxfId="4" priority="2835">
      <formula>$H$452&lt;&gt;"Y"</formula>
    </cfRule>
  </conditionalFormatting>
  <conditionalFormatting sqref="D644:BG644">
    <cfRule type="expression" dxfId="4" priority="2838">
      <formula>$I$452&lt;&gt;"Y"</formula>
    </cfRule>
  </conditionalFormatting>
  <conditionalFormatting sqref="D645:BG645">
    <cfRule type="expression" dxfId="4" priority="2841">
      <formula>$J$452&lt;&gt;"Y"</formula>
    </cfRule>
  </conditionalFormatting>
  <conditionalFormatting sqref="D646:BG646">
    <cfRule type="expression" dxfId="4" priority="2844">
      <formula>$K$452&lt;&gt;"Y"</formula>
    </cfRule>
  </conditionalFormatting>
  <conditionalFormatting sqref="D647:BG647">
    <cfRule type="expression" dxfId="4" priority="2847">
      <formula>$L$452&lt;&gt;"Y"</formula>
    </cfRule>
  </conditionalFormatting>
  <conditionalFormatting sqref="D648:BG648">
    <cfRule type="expression" dxfId="4" priority="2850">
      <formula>$M$452&lt;&gt;"Y"</formula>
    </cfRule>
  </conditionalFormatting>
  <conditionalFormatting sqref="D649:BG649">
    <cfRule type="expression" dxfId="4" priority="2853">
      <formula>$N$452&lt;&gt;"Y"</formula>
    </cfRule>
  </conditionalFormatting>
  <conditionalFormatting sqref="D64:BG64">
    <cfRule type="expression" dxfId="4" priority="496">
      <formula>$C$8&lt;&gt;"Y"</formula>
    </cfRule>
  </conditionalFormatting>
  <conditionalFormatting sqref="D650:BG650">
    <cfRule type="expression" dxfId="4" priority="2856">
      <formula>$O$452&lt;&gt;"Y"</formula>
    </cfRule>
  </conditionalFormatting>
  <conditionalFormatting sqref="D65:BG65">
    <cfRule type="expression" dxfId="4" priority="499">
      <formula>$D$8&lt;&gt;"Y"</formula>
    </cfRule>
  </conditionalFormatting>
  <conditionalFormatting sqref="D66:BG66">
    <cfRule type="expression" dxfId="4" priority="502">
      <formula>$E$8&lt;&gt;"Y"</formula>
    </cfRule>
  </conditionalFormatting>
  <conditionalFormatting sqref="D67:BG67">
    <cfRule type="expression" dxfId="4" priority="505">
      <formula>$F$8&lt;&gt;"Y"</formula>
    </cfRule>
  </conditionalFormatting>
  <conditionalFormatting sqref="D68:BG68">
    <cfRule type="expression" dxfId="4" priority="508">
      <formula>$G$8&lt;&gt;"Y"</formula>
    </cfRule>
  </conditionalFormatting>
  <conditionalFormatting sqref="D69:BG69">
    <cfRule type="expression" dxfId="4" priority="511">
      <formula>$H$8&lt;&gt;"Y"</formula>
    </cfRule>
  </conditionalFormatting>
  <conditionalFormatting sqref="D70:BG70">
    <cfRule type="expression" dxfId="4" priority="514">
      <formula>$I$8&lt;&gt;"Y"</formula>
    </cfRule>
  </conditionalFormatting>
  <conditionalFormatting sqref="D71:BG71">
    <cfRule type="expression" dxfId="4" priority="517">
      <formula>$J$8&lt;&gt;"Y"</formula>
    </cfRule>
  </conditionalFormatting>
  <conditionalFormatting sqref="D72:BG72">
    <cfRule type="expression" dxfId="4" priority="520">
      <formula>$K$8&lt;&gt;"Y"</formula>
    </cfRule>
  </conditionalFormatting>
  <conditionalFormatting sqref="D73:BG73">
    <cfRule type="expression" dxfId="4" priority="523">
      <formula>$L$8&lt;&gt;"Y"</formula>
    </cfRule>
  </conditionalFormatting>
  <conditionalFormatting sqref="D74:BG74">
    <cfRule type="expression" dxfId="4" priority="526">
      <formula>$M$8&lt;&gt;"Y"</formula>
    </cfRule>
  </conditionalFormatting>
  <conditionalFormatting sqref="D75:BG75">
    <cfRule type="expression" dxfId="4" priority="529">
      <formula>$N$8&lt;&gt;"Y"</formula>
    </cfRule>
  </conditionalFormatting>
  <conditionalFormatting sqref="D76:BG76">
    <cfRule type="expression" dxfId="4" priority="532">
      <formula>$O$8&lt;&gt;"Y"</formula>
    </cfRule>
  </conditionalFormatting>
  <conditionalFormatting sqref="D77:BG77">
    <cfRule type="expression" dxfId="4" priority="535">
      <formula>$B$9&lt;&gt;"Y"</formula>
    </cfRule>
  </conditionalFormatting>
  <conditionalFormatting sqref="D78:BG78">
    <cfRule type="expression" dxfId="4" priority="538">
      <formula>$C$9&lt;&gt;"Y"</formula>
    </cfRule>
  </conditionalFormatting>
  <conditionalFormatting sqref="D79:BG79">
    <cfRule type="expression" dxfId="4" priority="541">
      <formula>$D$9&lt;&gt;"Y"</formula>
    </cfRule>
  </conditionalFormatting>
  <conditionalFormatting sqref="D8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D80:BG80">
    <cfRule type="expression" dxfId="4" priority="544">
      <formula>$E$9&lt;&gt;"Y"</formula>
    </cfRule>
  </conditionalFormatting>
  <conditionalFormatting sqref="D81:BG81">
    <cfRule type="expression" dxfId="4" priority="547">
      <formula>$F$9&lt;&gt;"Y"</formula>
    </cfRule>
  </conditionalFormatting>
  <conditionalFormatting sqref="D82:BG82">
    <cfRule type="expression" dxfId="4" priority="550">
      <formula>$G$9&lt;&gt;"Y"</formula>
    </cfRule>
  </conditionalFormatting>
  <conditionalFormatting sqref="D83:BG83">
    <cfRule type="expression" dxfId="4" priority="553">
      <formula>$H$9&lt;&gt;"Y"</formula>
    </cfRule>
  </conditionalFormatting>
  <conditionalFormatting sqref="D84:BG84">
    <cfRule type="expression" dxfId="4" priority="556">
      <formula>$I$9&lt;&gt;"Y"</formula>
    </cfRule>
  </conditionalFormatting>
  <conditionalFormatting sqref="D85:BG85">
    <cfRule type="expression" dxfId="4" priority="559">
      <formula>$J$9&lt;&gt;"Y"</formula>
    </cfRule>
  </conditionalFormatting>
  <conditionalFormatting sqref="D86:BG86">
    <cfRule type="expression" dxfId="4" priority="562">
      <formula>$K$9&lt;&gt;"Y"</formula>
    </cfRule>
  </conditionalFormatting>
  <conditionalFormatting sqref="D87:BG87">
    <cfRule type="expression" dxfId="4" priority="565">
      <formula>$L$9&lt;&gt;"Y"</formula>
    </cfRule>
  </conditionalFormatting>
  <conditionalFormatting sqref="D88:BG88">
    <cfRule type="expression" dxfId="4" priority="568">
      <formula>$M$9&lt;&gt;"Y"</formula>
    </cfRule>
  </conditionalFormatting>
  <conditionalFormatting sqref="D89:BG89">
    <cfRule type="expression" dxfId="4" priority="571">
      <formula>$N$9&lt;&gt;"Y"</formula>
    </cfRule>
  </conditionalFormatting>
  <conditionalFormatting sqref="D9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D90:BG90">
    <cfRule type="expression" dxfId="4" priority="574">
      <formula>$O$9&lt;&gt;"Y"</formula>
    </cfRule>
  </conditionalFormatting>
  <conditionalFormatting sqref="D91:BG91">
    <cfRule type="expression" dxfId="4" priority="577">
      <formula>$B$10&lt;&gt;"Y"</formula>
    </cfRule>
  </conditionalFormatting>
  <conditionalFormatting sqref="D92:BG92">
    <cfRule type="expression" dxfId="4" priority="580">
      <formula>$C$10&lt;&gt;"Y"</formula>
    </cfRule>
  </conditionalFormatting>
  <conditionalFormatting sqref="D93:BG93">
    <cfRule type="expression" dxfId="4" priority="583">
      <formula>$D$10&lt;&gt;"Y"</formula>
    </cfRule>
  </conditionalFormatting>
  <conditionalFormatting sqref="D94:BG94">
    <cfRule type="expression" dxfId="4" priority="586">
      <formula>$E$10&lt;&gt;"Y"</formula>
    </cfRule>
  </conditionalFormatting>
  <conditionalFormatting sqref="D95:BG95">
    <cfRule type="expression" dxfId="4" priority="589">
      <formula>$F$10&lt;&gt;"Y"</formula>
    </cfRule>
  </conditionalFormatting>
  <conditionalFormatting sqref="D96:BG96">
    <cfRule type="expression" dxfId="4" priority="592">
      <formula>$G$10&lt;&gt;"Y"</formula>
    </cfRule>
  </conditionalFormatting>
  <conditionalFormatting sqref="D97:BG97">
    <cfRule type="expression" dxfId="4" priority="595">
      <formula>$H$10&lt;&gt;"Y"</formula>
    </cfRule>
  </conditionalFormatting>
  <conditionalFormatting sqref="D98:BG98">
    <cfRule type="expression" dxfId="4" priority="598">
      <formula>$I$10&lt;&gt;"Y"</formula>
    </cfRule>
  </conditionalFormatting>
  <conditionalFormatting sqref="D99:BG99">
    <cfRule type="expression" dxfId="4" priority="601">
      <formula>$J$10&lt;&gt;"Y"</formula>
    </cfRule>
  </conditionalFormatting>
  <conditionalFormatting sqref="E10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E11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E12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E13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E14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E15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E16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E17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E18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E222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E223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E224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E226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E2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E229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E230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E231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E232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E233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E234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E235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E439">
    <cfRule type="cellIs" dxfId="2" priority="1909" operator="equal">
      <formula>"Y"</formula>
    </cfRule>
    <cfRule type="cellIs" dxfId="3" priority="1910" operator="equal">
      <formula>"N"</formula>
    </cfRule>
  </conditionalFormatting>
  <conditionalFormatting sqref="E440">
    <cfRule type="cellIs" dxfId="2" priority="1935" operator="equal">
      <formula>"Y"</formula>
    </cfRule>
    <cfRule type="cellIs" dxfId="3" priority="1936" operator="equal">
      <formula>"N"</formula>
    </cfRule>
  </conditionalFormatting>
  <conditionalFormatting sqref="E441">
    <cfRule type="cellIs" dxfId="2" priority="1961" operator="equal">
      <formula>"Y"</formula>
    </cfRule>
    <cfRule type="cellIs" dxfId="3" priority="1962" operator="equal">
      <formula>"N"</formula>
    </cfRule>
  </conditionalFormatting>
  <conditionalFormatting sqref="E443">
    <cfRule type="cellIs" dxfId="2" priority="2015" operator="equal">
      <formula>"Y"</formula>
    </cfRule>
    <cfRule type="cellIs" dxfId="3" priority="2016" operator="equal">
      <formula>"N"</formula>
    </cfRule>
  </conditionalFormatting>
  <conditionalFormatting sqref="E444">
    <cfRule type="cellIs" dxfId="2" priority="2041" operator="equal">
      <formula>"Y"</formula>
    </cfRule>
    <cfRule type="cellIs" dxfId="3" priority="2042" operator="equal">
      <formula>"N"</formula>
    </cfRule>
  </conditionalFormatting>
  <conditionalFormatting sqref="E445">
    <cfRule type="cellIs" dxfId="2" priority="2067" operator="equal">
      <formula>"Y"</formula>
    </cfRule>
    <cfRule type="cellIs" dxfId="3" priority="2068" operator="equal">
      <formula>"N"</formula>
    </cfRule>
  </conditionalFormatting>
  <conditionalFormatting sqref="E446">
    <cfRule type="cellIs" dxfId="2" priority="2093" operator="equal">
      <formula>"Y"</formula>
    </cfRule>
    <cfRule type="cellIs" dxfId="3" priority="2094" operator="equal">
      <formula>"N"</formula>
    </cfRule>
  </conditionalFormatting>
  <conditionalFormatting sqref="E447">
    <cfRule type="cellIs" dxfId="2" priority="2119" operator="equal">
      <formula>"Y"</formula>
    </cfRule>
    <cfRule type="cellIs" dxfId="3" priority="2120" operator="equal">
      <formula>"N"</formula>
    </cfRule>
  </conditionalFormatting>
  <conditionalFormatting sqref="E448">
    <cfRule type="cellIs" dxfId="2" priority="2145" operator="equal">
      <formula>"Y"</formula>
    </cfRule>
    <cfRule type="cellIs" dxfId="3" priority="2146" operator="equal">
      <formula>"N"</formula>
    </cfRule>
  </conditionalFormatting>
  <conditionalFormatting sqref="E449">
    <cfRule type="cellIs" dxfId="2" priority="2171" operator="equal">
      <formula>"Y"</formula>
    </cfRule>
    <cfRule type="cellIs" dxfId="3" priority="2172" operator="equal">
      <formula>"N"</formula>
    </cfRule>
  </conditionalFormatting>
  <conditionalFormatting sqref="E450">
    <cfRule type="cellIs" dxfId="2" priority="2197" operator="equal">
      <formula>"Y"</formula>
    </cfRule>
    <cfRule type="cellIs" dxfId="3" priority="2198" operator="equal">
      <formula>"N"</formula>
    </cfRule>
  </conditionalFormatting>
  <conditionalFormatting sqref="E451">
    <cfRule type="cellIs" dxfId="2" priority="2223" operator="equal">
      <formula>"Y"</formula>
    </cfRule>
    <cfRule type="cellIs" dxfId="3" priority="2224" operator="equal">
      <formula>"N"</formula>
    </cfRule>
  </conditionalFormatting>
  <conditionalFormatting sqref="E452">
    <cfRule type="cellIs" dxfId="2" priority="2249" operator="equal">
      <formula>"Y"</formula>
    </cfRule>
    <cfRule type="cellIs" dxfId="3" priority="2250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E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E9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F10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F11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F12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3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F14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F15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F16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F17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F18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F222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F223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F224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F225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F2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F2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F229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F230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F231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F232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F233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F234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F235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F439">
    <cfRule type="cellIs" dxfId="2" priority="1911" operator="equal">
      <formula>"Y"</formula>
    </cfRule>
    <cfRule type="cellIs" dxfId="3" priority="1912" operator="equal">
      <formula>"N"</formula>
    </cfRule>
  </conditionalFormatting>
  <conditionalFormatting sqref="F440">
    <cfRule type="cellIs" dxfId="2" priority="1937" operator="equal">
      <formula>"Y"</formula>
    </cfRule>
    <cfRule type="cellIs" dxfId="3" priority="1938" operator="equal">
      <formula>"N"</formula>
    </cfRule>
  </conditionalFormatting>
  <conditionalFormatting sqref="F441">
    <cfRule type="cellIs" dxfId="2" priority="1963" operator="equal">
      <formula>"Y"</formula>
    </cfRule>
    <cfRule type="cellIs" dxfId="3" priority="1964" operator="equal">
      <formula>"N"</formula>
    </cfRule>
  </conditionalFormatting>
  <conditionalFormatting sqref="F442">
    <cfRule type="cellIs" dxfId="2" priority="1989" operator="equal">
      <formula>"Y"</formula>
    </cfRule>
    <cfRule type="cellIs" dxfId="3" priority="1990" operator="equal">
      <formula>"N"</formula>
    </cfRule>
  </conditionalFormatting>
  <conditionalFormatting sqref="F444">
    <cfRule type="cellIs" dxfId="2" priority="2043" operator="equal">
      <formula>"Y"</formula>
    </cfRule>
    <cfRule type="cellIs" dxfId="3" priority="2044" operator="equal">
      <formula>"N"</formula>
    </cfRule>
  </conditionalFormatting>
  <conditionalFormatting sqref="F445">
    <cfRule type="cellIs" dxfId="2" priority="2069" operator="equal">
      <formula>"Y"</formula>
    </cfRule>
    <cfRule type="cellIs" dxfId="3" priority="2070" operator="equal">
      <formula>"N"</formula>
    </cfRule>
  </conditionalFormatting>
  <conditionalFormatting sqref="F446">
    <cfRule type="cellIs" dxfId="2" priority="2095" operator="equal">
      <formula>"Y"</formula>
    </cfRule>
    <cfRule type="cellIs" dxfId="3" priority="2096" operator="equal">
      <formula>"N"</formula>
    </cfRule>
  </conditionalFormatting>
  <conditionalFormatting sqref="F447">
    <cfRule type="cellIs" dxfId="2" priority="2121" operator="equal">
      <formula>"Y"</formula>
    </cfRule>
    <cfRule type="cellIs" dxfId="3" priority="2122" operator="equal">
      <formula>"N"</formula>
    </cfRule>
  </conditionalFormatting>
  <conditionalFormatting sqref="F448">
    <cfRule type="cellIs" dxfId="2" priority="2147" operator="equal">
      <formula>"Y"</formula>
    </cfRule>
    <cfRule type="cellIs" dxfId="3" priority="2148" operator="equal">
      <formula>"N"</formula>
    </cfRule>
  </conditionalFormatting>
  <conditionalFormatting sqref="F449">
    <cfRule type="cellIs" dxfId="2" priority="2173" operator="equal">
      <formula>"Y"</formula>
    </cfRule>
    <cfRule type="cellIs" dxfId="3" priority="2174" operator="equal">
      <formula>"N"</formula>
    </cfRule>
  </conditionalFormatting>
  <conditionalFormatting sqref="F450">
    <cfRule type="cellIs" dxfId="2" priority="2199" operator="equal">
      <formula>"Y"</formula>
    </cfRule>
    <cfRule type="cellIs" dxfId="3" priority="2200" operator="equal">
      <formula>"N"</formula>
    </cfRule>
  </conditionalFormatting>
  <conditionalFormatting sqref="F451">
    <cfRule type="cellIs" dxfId="2" priority="2225" operator="equal">
      <formula>"Y"</formula>
    </cfRule>
    <cfRule type="cellIs" dxfId="3" priority="2226" operator="equal">
      <formula>"N"</formula>
    </cfRule>
  </conditionalFormatting>
  <conditionalFormatting sqref="F452">
    <cfRule type="cellIs" dxfId="2" priority="2251" operator="equal">
      <formula>"Y"</formula>
    </cfRule>
    <cfRule type="cellIs" dxfId="3" priority="2252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F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F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G100">
    <cfRule type="expression" dxfId="0" priority="602">
      <formula>COUNTIF(I100:BG100,"&lt;&gt;" &amp; "")&gt;0</formula>
    </cfRule>
    <cfRule type="expression" dxfId="1" priority="603">
      <formula>AND(COUNTIF(I100:BG100,"&lt;&gt;" &amp; "")&gt;0,NOT(ISBLANK(G100)))</formula>
    </cfRule>
  </conditionalFormatting>
  <conditionalFormatting sqref="G101">
    <cfRule type="expression" dxfId="0" priority="605">
      <formula>COUNTIF(I101:BG101,"&lt;&gt;" &amp; "")&gt;0</formula>
    </cfRule>
    <cfRule type="expression" dxfId="1" priority="606">
      <formula>AND(COUNTIF(I101:BG101,"&lt;&gt;" &amp; "")&gt;0,NOT(ISBLANK(G101)))</formula>
    </cfRule>
  </conditionalFormatting>
  <conditionalFormatting sqref="G102">
    <cfRule type="expression" dxfId="0" priority="608">
      <formula>COUNTIF(I102:BG102,"&lt;&gt;" &amp; "")&gt;0</formula>
    </cfRule>
    <cfRule type="expression" dxfId="1" priority="609">
      <formula>AND(COUNTIF(I102:BG102,"&lt;&gt;" &amp; "")&gt;0,NOT(ISBLANK(G102)))</formula>
    </cfRule>
  </conditionalFormatting>
  <conditionalFormatting sqref="G103">
    <cfRule type="expression" dxfId="0" priority="611">
      <formula>COUNTIF(I103:BG103,"&lt;&gt;" &amp; "")&gt;0</formula>
    </cfRule>
    <cfRule type="expression" dxfId="1" priority="612">
      <formula>AND(COUNTIF(I103:BG103,"&lt;&gt;" &amp; "")&gt;0,NOT(ISBLANK(G103)))</formula>
    </cfRule>
  </conditionalFormatting>
  <conditionalFormatting sqref="G104">
    <cfRule type="expression" dxfId="0" priority="614">
      <formula>COUNTIF(I104:BG104,"&lt;&gt;" &amp; "")&gt;0</formula>
    </cfRule>
    <cfRule type="expression" dxfId="1" priority="615">
      <formula>AND(COUNTIF(I104:BG104,"&lt;&gt;" &amp; "")&gt;0,NOT(ISBLANK(G104)))</formula>
    </cfRule>
  </conditionalFormatting>
  <conditionalFormatting sqref="G105">
    <cfRule type="expression" dxfId="0" priority="617">
      <formula>COUNTIF(I105:BG105,"&lt;&gt;" &amp; "")&gt;0</formula>
    </cfRule>
    <cfRule type="expression" dxfId="1" priority="618">
      <formula>AND(COUNTIF(I105:BG105,"&lt;&gt;" &amp; "")&gt;0,NOT(ISBLANK(G105)))</formula>
    </cfRule>
  </conditionalFormatting>
  <conditionalFormatting sqref="G106">
    <cfRule type="expression" dxfId="0" priority="620">
      <formula>COUNTIF(I106:BG106,"&lt;&gt;" &amp; "")&gt;0</formula>
    </cfRule>
    <cfRule type="expression" dxfId="1" priority="621">
      <formula>AND(COUNTIF(I106:BG106,"&lt;&gt;" &amp; "")&gt;0,NOT(ISBLANK(G106)))</formula>
    </cfRule>
  </conditionalFormatting>
  <conditionalFormatting sqref="G107">
    <cfRule type="expression" dxfId="0" priority="623">
      <formula>COUNTIF(I107:BG107,"&lt;&gt;" &amp; "")&gt;0</formula>
    </cfRule>
    <cfRule type="expression" dxfId="1" priority="624">
      <formula>AND(COUNTIF(I107:BG107,"&lt;&gt;" &amp; "")&gt;0,NOT(ISBLANK(G107)))</formula>
    </cfRule>
  </conditionalFormatting>
  <conditionalFormatting sqref="G108">
    <cfRule type="expression" dxfId="0" priority="626">
      <formula>COUNTIF(I108:BG108,"&lt;&gt;" &amp; "")&gt;0</formula>
    </cfRule>
    <cfRule type="expression" dxfId="1" priority="627">
      <formula>AND(COUNTIF(I108:BG108,"&lt;&gt;" &amp; "")&gt;0,NOT(ISBLANK(G108)))</formula>
    </cfRule>
  </conditionalFormatting>
  <conditionalFormatting sqref="G109">
    <cfRule type="expression" dxfId="0" priority="629">
      <formula>COUNTIF(I109:BG109,"&lt;&gt;" &amp; "")&gt;0</formula>
    </cfRule>
    <cfRule type="expression" dxfId="1" priority="630">
      <formula>AND(COUNTIF(I109:BG109,"&lt;&gt;" &amp; "")&gt;0,NOT(ISBLANK(G109)))</formula>
    </cfRule>
  </conditionalFormatting>
  <conditionalFormatting sqref="G11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G110">
    <cfRule type="expression" dxfId="0" priority="632">
      <formula>COUNTIF(I110:BG110,"&lt;&gt;" &amp; "")&gt;0</formula>
    </cfRule>
    <cfRule type="expression" dxfId="1" priority="633">
      <formula>AND(COUNTIF(I110:BG110,"&lt;&gt;" &amp; "")&gt;0,NOT(ISBLANK(G110)))</formula>
    </cfRule>
  </conditionalFormatting>
  <conditionalFormatting sqref="G111">
    <cfRule type="expression" dxfId="0" priority="635">
      <formula>COUNTIF(I111:BG111,"&lt;&gt;" &amp; "")&gt;0</formula>
    </cfRule>
    <cfRule type="expression" dxfId="1" priority="636">
      <formula>AND(COUNTIF(I111:BG111,"&lt;&gt;" &amp; "")&gt;0,NOT(ISBLANK(G111)))</formula>
    </cfRule>
  </conditionalFormatting>
  <conditionalFormatting sqref="G112">
    <cfRule type="expression" dxfId="0" priority="638">
      <formula>COUNTIF(I112:BG112,"&lt;&gt;" &amp; "")&gt;0</formula>
    </cfRule>
    <cfRule type="expression" dxfId="1" priority="639">
      <formula>AND(COUNTIF(I112:BG112,"&lt;&gt;" &amp; "")&gt;0,NOT(ISBLANK(G112)))</formula>
    </cfRule>
  </conditionalFormatting>
  <conditionalFormatting sqref="G113">
    <cfRule type="expression" dxfId="0" priority="641">
      <formula>COUNTIF(I113:BG113,"&lt;&gt;" &amp; "")&gt;0</formula>
    </cfRule>
    <cfRule type="expression" dxfId="1" priority="642">
      <formula>AND(COUNTIF(I113:BG113,"&lt;&gt;" &amp; "")&gt;0,NOT(ISBLANK(G113)))</formula>
    </cfRule>
  </conditionalFormatting>
  <conditionalFormatting sqref="G114">
    <cfRule type="expression" dxfId="0" priority="644">
      <formula>COUNTIF(I114:BG114,"&lt;&gt;" &amp; "")&gt;0</formula>
    </cfRule>
    <cfRule type="expression" dxfId="1" priority="645">
      <formula>AND(COUNTIF(I114:BG114,"&lt;&gt;" &amp; "")&gt;0,NOT(ISBLANK(G114)))</formula>
    </cfRule>
  </conditionalFormatting>
  <conditionalFormatting sqref="G115">
    <cfRule type="expression" dxfId="0" priority="647">
      <formula>COUNTIF(I115:BG115,"&lt;&gt;" &amp; "")&gt;0</formula>
    </cfRule>
    <cfRule type="expression" dxfId="1" priority="648">
      <formula>AND(COUNTIF(I115:BG115,"&lt;&gt;" &amp; "")&gt;0,NOT(ISBLANK(G115)))</formula>
    </cfRule>
  </conditionalFormatting>
  <conditionalFormatting sqref="G116">
    <cfRule type="expression" dxfId="0" priority="650">
      <formula>COUNTIF(I116:BG116,"&lt;&gt;" &amp; "")&gt;0</formula>
    </cfRule>
    <cfRule type="expression" dxfId="1" priority="651">
      <formula>AND(COUNTIF(I116:BG116,"&lt;&gt;" &amp; "")&gt;0,NOT(ISBLANK(G116)))</formula>
    </cfRule>
  </conditionalFormatting>
  <conditionalFormatting sqref="G117">
    <cfRule type="expression" dxfId="0" priority="653">
      <formula>COUNTIF(I117:BG117,"&lt;&gt;" &amp; "")&gt;0</formula>
    </cfRule>
    <cfRule type="expression" dxfId="1" priority="654">
      <formula>AND(COUNTIF(I117:BG117,"&lt;&gt;" &amp; "")&gt;0,NOT(ISBLANK(G117)))</formula>
    </cfRule>
  </conditionalFormatting>
  <conditionalFormatting sqref="G118">
    <cfRule type="expression" dxfId="0" priority="656">
      <formula>COUNTIF(I118:BG118,"&lt;&gt;" &amp; "")&gt;0</formula>
    </cfRule>
    <cfRule type="expression" dxfId="1" priority="657">
      <formula>AND(COUNTIF(I118:BG118,"&lt;&gt;" &amp; "")&gt;0,NOT(ISBLANK(G118)))</formula>
    </cfRule>
  </conditionalFormatting>
  <conditionalFormatting sqref="G119">
    <cfRule type="expression" dxfId="0" priority="659">
      <formula>COUNTIF(I119:BG119,"&lt;&gt;" &amp; "")&gt;0</formula>
    </cfRule>
    <cfRule type="expression" dxfId="1" priority="660">
      <formula>AND(COUNTIF(I119:BG119,"&lt;&gt;" &amp; "")&gt;0,NOT(ISBLANK(G119)))</formula>
    </cfRule>
  </conditionalFormatting>
  <conditionalFormatting sqref="G12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120">
    <cfRule type="expression" dxfId="0" priority="662">
      <formula>COUNTIF(I120:BG120,"&lt;&gt;" &amp; "")&gt;0</formula>
    </cfRule>
    <cfRule type="expression" dxfId="1" priority="663">
      <formula>AND(COUNTIF(I120:BG120,"&lt;&gt;" &amp; "")&gt;0,NOT(ISBLANK(G120)))</formula>
    </cfRule>
  </conditionalFormatting>
  <conditionalFormatting sqref="G121">
    <cfRule type="expression" dxfId="0" priority="665">
      <formula>COUNTIF(I121:BG121,"&lt;&gt;" &amp; "")&gt;0</formula>
    </cfRule>
    <cfRule type="expression" dxfId="1" priority="666">
      <formula>AND(COUNTIF(I121:BG121,"&lt;&gt;" &amp; "")&gt;0,NOT(ISBLANK(G121)))</formula>
    </cfRule>
  </conditionalFormatting>
  <conditionalFormatting sqref="G122">
    <cfRule type="expression" dxfId="0" priority="668">
      <formula>COUNTIF(I122:BG122,"&lt;&gt;" &amp; "")&gt;0</formula>
    </cfRule>
    <cfRule type="expression" dxfId="1" priority="669">
      <formula>AND(COUNTIF(I122:BG122,"&lt;&gt;" &amp; "")&gt;0,NOT(ISBLANK(G122)))</formula>
    </cfRule>
  </conditionalFormatting>
  <conditionalFormatting sqref="G123">
    <cfRule type="expression" dxfId="0" priority="671">
      <formula>COUNTIF(I123:BG123,"&lt;&gt;" &amp; "")&gt;0</formula>
    </cfRule>
    <cfRule type="expression" dxfId="1" priority="672">
      <formula>AND(COUNTIF(I123:BG123,"&lt;&gt;" &amp; "")&gt;0,NOT(ISBLANK(G123)))</formula>
    </cfRule>
  </conditionalFormatting>
  <conditionalFormatting sqref="G124">
    <cfRule type="expression" dxfId="0" priority="674">
      <formula>COUNTIF(I124:BG124,"&lt;&gt;" &amp; "")&gt;0</formula>
    </cfRule>
    <cfRule type="expression" dxfId="1" priority="675">
      <formula>AND(COUNTIF(I124:BG124,"&lt;&gt;" &amp; "")&gt;0,NOT(ISBLANK(G124)))</formula>
    </cfRule>
  </conditionalFormatting>
  <conditionalFormatting sqref="G125">
    <cfRule type="expression" dxfId="0" priority="677">
      <formula>COUNTIF(I125:BG125,"&lt;&gt;" &amp; "")&gt;0</formula>
    </cfRule>
    <cfRule type="expression" dxfId="1" priority="678">
      <formula>AND(COUNTIF(I125:BG125,"&lt;&gt;" &amp; "")&gt;0,NOT(ISBLANK(G125)))</formula>
    </cfRule>
  </conditionalFormatting>
  <conditionalFormatting sqref="G126">
    <cfRule type="expression" dxfId="0" priority="680">
      <formula>COUNTIF(I126:BG126,"&lt;&gt;" &amp; "")&gt;0</formula>
    </cfRule>
    <cfRule type="expression" dxfId="1" priority="681">
      <formula>AND(COUNTIF(I126:BG126,"&lt;&gt;" &amp; "")&gt;0,NOT(ISBLANK(G126)))</formula>
    </cfRule>
  </conditionalFormatting>
  <conditionalFormatting sqref="G127">
    <cfRule type="expression" dxfId="0" priority="683">
      <formula>COUNTIF(I127:BG127,"&lt;&gt;" &amp; "")&gt;0</formula>
    </cfRule>
    <cfRule type="expression" dxfId="1" priority="684">
      <formula>AND(COUNTIF(I127:BG127,"&lt;&gt;" &amp; "")&gt;0,NOT(ISBLANK(G127)))</formula>
    </cfRule>
  </conditionalFormatting>
  <conditionalFormatting sqref="G128">
    <cfRule type="expression" dxfId="0" priority="686">
      <formula>COUNTIF(I128:BG128,"&lt;&gt;" &amp; "")&gt;0</formula>
    </cfRule>
    <cfRule type="expression" dxfId="1" priority="687">
      <formula>AND(COUNTIF(I128:BG128,"&lt;&gt;" &amp; "")&gt;0,NOT(ISBLANK(G128)))</formula>
    </cfRule>
  </conditionalFormatting>
  <conditionalFormatting sqref="G129">
    <cfRule type="expression" dxfId="0" priority="689">
      <formula>COUNTIF(I129:BG129,"&lt;&gt;" &amp; "")&gt;0</formula>
    </cfRule>
    <cfRule type="expression" dxfId="1" priority="690">
      <formula>AND(COUNTIF(I129:BG129,"&lt;&gt;" &amp; "")&gt;0,NOT(ISBLANK(G129)))</formula>
    </cfRule>
  </conditionalFormatting>
  <conditionalFormatting sqref="G13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G130">
    <cfRule type="expression" dxfId="0" priority="692">
      <formula>COUNTIF(I130:BG130,"&lt;&gt;" &amp; "")&gt;0</formula>
    </cfRule>
    <cfRule type="expression" dxfId="1" priority="693">
      <formula>AND(COUNTIF(I130:BG130,"&lt;&gt;" &amp; "")&gt;0,NOT(ISBLANK(G130)))</formula>
    </cfRule>
  </conditionalFormatting>
  <conditionalFormatting sqref="G131">
    <cfRule type="expression" dxfId="0" priority="695">
      <formula>COUNTIF(I131:BG131,"&lt;&gt;" &amp; "")&gt;0</formula>
    </cfRule>
    <cfRule type="expression" dxfId="1" priority="696">
      <formula>AND(COUNTIF(I131:BG131,"&lt;&gt;" &amp; "")&gt;0,NOT(ISBLANK(G131)))</formula>
    </cfRule>
  </conditionalFormatting>
  <conditionalFormatting sqref="G132">
    <cfRule type="expression" dxfId="0" priority="698">
      <formula>COUNTIF(I132:BG132,"&lt;&gt;" &amp; "")&gt;0</formula>
    </cfRule>
    <cfRule type="expression" dxfId="1" priority="699">
      <formula>AND(COUNTIF(I132:BG132,"&lt;&gt;" &amp; "")&gt;0,NOT(ISBLANK(G132)))</formula>
    </cfRule>
  </conditionalFormatting>
  <conditionalFormatting sqref="G133">
    <cfRule type="expression" dxfId="0" priority="701">
      <formula>COUNTIF(I133:BG133,"&lt;&gt;" &amp; "")&gt;0</formula>
    </cfRule>
    <cfRule type="expression" dxfId="1" priority="702">
      <formula>AND(COUNTIF(I133:BG133,"&lt;&gt;" &amp; "")&gt;0,NOT(ISBLANK(G133)))</formula>
    </cfRule>
  </conditionalFormatting>
  <conditionalFormatting sqref="G134">
    <cfRule type="expression" dxfId="0" priority="704">
      <formula>COUNTIF(I134:BG134,"&lt;&gt;" &amp; "")&gt;0</formula>
    </cfRule>
    <cfRule type="expression" dxfId="1" priority="705">
      <formula>AND(COUNTIF(I134:BG134,"&lt;&gt;" &amp; "")&gt;0,NOT(ISBLANK(G134)))</formula>
    </cfRule>
  </conditionalFormatting>
  <conditionalFormatting sqref="G135">
    <cfRule type="expression" dxfId="0" priority="707">
      <formula>COUNTIF(I135:BG135,"&lt;&gt;" &amp; "")&gt;0</formula>
    </cfRule>
    <cfRule type="expression" dxfId="1" priority="708">
      <formula>AND(COUNTIF(I135:BG135,"&lt;&gt;" &amp; "")&gt;0,NOT(ISBLANK(G135)))</formula>
    </cfRule>
  </conditionalFormatting>
  <conditionalFormatting sqref="G136">
    <cfRule type="expression" dxfId="0" priority="710">
      <formula>COUNTIF(I136:BG136,"&lt;&gt;" &amp; "")&gt;0</formula>
    </cfRule>
    <cfRule type="expression" dxfId="1" priority="711">
      <formula>AND(COUNTIF(I136:BG136,"&lt;&gt;" &amp; "")&gt;0,NOT(ISBLANK(G136)))</formula>
    </cfRule>
  </conditionalFormatting>
  <conditionalFormatting sqref="G137">
    <cfRule type="expression" dxfId="0" priority="713">
      <formula>COUNTIF(I137:BG137,"&lt;&gt;" &amp; "")&gt;0</formula>
    </cfRule>
    <cfRule type="expression" dxfId="1" priority="714">
      <formula>AND(COUNTIF(I137:BG137,"&lt;&gt;" &amp; "")&gt;0,NOT(ISBLANK(G137)))</formula>
    </cfRule>
  </conditionalFormatting>
  <conditionalFormatting sqref="G138">
    <cfRule type="expression" dxfId="0" priority="716">
      <formula>COUNTIF(I138:BG138,"&lt;&gt;" &amp; "")&gt;0</formula>
    </cfRule>
    <cfRule type="expression" dxfId="1" priority="717">
      <formula>AND(COUNTIF(I138:BG138,"&lt;&gt;" &amp; "")&gt;0,NOT(ISBLANK(G138)))</formula>
    </cfRule>
  </conditionalFormatting>
  <conditionalFormatting sqref="G139">
    <cfRule type="expression" dxfId="0" priority="719">
      <formula>COUNTIF(I139:BG139,"&lt;&gt;" &amp; "")&gt;0</formula>
    </cfRule>
    <cfRule type="expression" dxfId="1" priority="720">
      <formula>AND(COUNTIF(I139:BG139,"&lt;&gt;" &amp; "")&gt;0,NOT(ISBLANK(G139)))</formula>
    </cfRule>
  </conditionalFormatting>
  <conditionalFormatting sqref="G14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G140">
    <cfRule type="expression" dxfId="0" priority="722">
      <formula>COUNTIF(I140:BG140,"&lt;&gt;" &amp; "")&gt;0</formula>
    </cfRule>
    <cfRule type="expression" dxfId="1" priority="723">
      <formula>AND(COUNTIF(I140:BG140,"&lt;&gt;" &amp; "")&gt;0,NOT(ISBLANK(G140)))</formula>
    </cfRule>
  </conditionalFormatting>
  <conditionalFormatting sqref="G141">
    <cfRule type="expression" dxfId="0" priority="725">
      <formula>COUNTIF(I141:BG141,"&lt;&gt;" &amp; "")&gt;0</formula>
    </cfRule>
    <cfRule type="expression" dxfId="1" priority="726">
      <formula>AND(COUNTIF(I141:BG141,"&lt;&gt;" &amp; "")&gt;0,NOT(ISBLANK(G141)))</formula>
    </cfRule>
  </conditionalFormatting>
  <conditionalFormatting sqref="G142">
    <cfRule type="expression" dxfId="0" priority="728">
      <formula>COUNTIF(I142:BG142,"&lt;&gt;" &amp; "")&gt;0</formula>
    </cfRule>
    <cfRule type="expression" dxfId="1" priority="729">
      <formula>AND(COUNTIF(I142:BG142,"&lt;&gt;" &amp; "")&gt;0,NOT(ISBLANK(G142)))</formula>
    </cfRule>
  </conditionalFormatting>
  <conditionalFormatting sqref="G143">
    <cfRule type="expression" dxfId="0" priority="731">
      <formula>COUNTIF(I143:BG143,"&lt;&gt;" &amp; "")&gt;0</formula>
    </cfRule>
    <cfRule type="expression" dxfId="1" priority="732">
      <formula>AND(COUNTIF(I143:BG143,"&lt;&gt;" &amp; "")&gt;0,NOT(ISBLANK(G143)))</formula>
    </cfRule>
  </conditionalFormatting>
  <conditionalFormatting sqref="G144">
    <cfRule type="expression" dxfId="0" priority="734">
      <formula>COUNTIF(I144:BG144,"&lt;&gt;" &amp; "")&gt;0</formula>
    </cfRule>
    <cfRule type="expression" dxfId="1" priority="735">
      <formula>AND(COUNTIF(I144:BG144,"&lt;&gt;" &amp; "")&gt;0,NOT(ISBLANK(G144)))</formula>
    </cfRule>
  </conditionalFormatting>
  <conditionalFormatting sqref="G145">
    <cfRule type="expression" dxfId="0" priority="737">
      <formula>COUNTIF(I145:BG145,"&lt;&gt;" &amp; "")&gt;0</formula>
    </cfRule>
    <cfRule type="expression" dxfId="1" priority="738">
      <formula>AND(COUNTIF(I145:BG145,"&lt;&gt;" &amp; "")&gt;0,NOT(ISBLANK(G145)))</formula>
    </cfRule>
  </conditionalFormatting>
  <conditionalFormatting sqref="G146">
    <cfRule type="expression" dxfId="0" priority="740">
      <formula>COUNTIF(I146:BG146,"&lt;&gt;" &amp; "")&gt;0</formula>
    </cfRule>
    <cfRule type="expression" dxfId="1" priority="741">
      <formula>AND(COUNTIF(I146:BG146,"&lt;&gt;" &amp; "")&gt;0,NOT(ISBLANK(G146)))</formula>
    </cfRule>
  </conditionalFormatting>
  <conditionalFormatting sqref="G147">
    <cfRule type="expression" dxfId="0" priority="743">
      <formula>COUNTIF(I147:BG147,"&lt;&gt;" &amp; "")&gt;0</formula>
    </cfRule>
    <cfRule type="expression" dxfId="1" priority="744">
      <formula>AND(COUNTIF(I147:BG147,"&lt;&gt;" &amp; "")&gt;0,NOT(ISBLANK(G147)))</formula>
    </cfRule>
  </conditionalFormatting>
  <conditionalFormatting sqref="G148">
    <cfRule type="expression" dxfId="0" priority="746">
      <formula>COUNTIF(I148:BG148,"&lt;&gt;" &amp; "")&gt;0</formula>
    </cfRule>
    <cfRule type="expression" dxfId="1" priority="747">
      <formula>AND(COUNTIF(I148:BG148,"&lt;&gt;" &amp; "")&gt;0,NOT(ISBLANK(G148)))</formula>
    </cfRule>
  </conditionalFormatting>
  <conditionalFormatting sqref="G149">
    <cfRule type="expression" dxfId="0" priority="749">
      <formula>COUNTIF(I149:BG149,"&lt;&gt;" &amp; "")&gt;0</formula>
    </cfRule>
    <cfRule type="expression" dxfId="1" priority="750">
      <formula>AND(COUNTIF(I149:BG149,"&lt;&gt;" &amp; "")&gt;0,NOT(ISBLANK(G149)))</formula>
    </cfRule>
  </conditionalFormatting>
  <conditionalFormatting sqref="G15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G150">
    <cfRule type="expression" dxfId="0" priority="752">
      <formula>COUNTIF(I150:BG150,"&lt;&gt;" &amp; "")&gt;0</formula>
    </cfRule>
    <cfRule type="expression" dxfId="1" priority="753">
      <formula>AND(COUNTIF(I150:BG150,"&lt;&gt;" &amp; "")&gt;0,NOT(ISBLANK(G150)))</formula>
    </cfRule>
  </conditionalFormatting>
  <conditionalFormatting sqref="G151">
    <cfRule type="expression" dxfId="0" priority="755">
      <formula>COUNTIF(I151:BG151,"&lt;&gt;" &amp; "")&gt;0</formula>
    </cfRule>
    <cfRule type="expression" dxfId="1" priority="756">
      <formula>AND(COUNTIF(I151:BG151,"&lt;&gt;" &amp; "")&gt;0,NOT(ISBLANK(G151)))</formula>
    </cfRule>
  </conditionalFormatting>
  <conditionalFormatting sqref="G152">
    <cfRule type="expression" dxfId="0" priority="758">
      <formula>COUNTIF(I152:BG152,"&lt;&gt;" &amp; "")&gt;0</formula>
    </cfRule>
    <cfRule type="expression" dxfId="1" priority="759">
      <formula>AND(COUNTIF(I152:BG152,"&lt;&gt;" &amp; "")&gt;0,NOT(ISBLANK(G152)))</formula>
    </cfRule>
  </conditionalFormatting>
  <conditionalFormatting sqref="G153">
    <cfRule type="expression" dxfId="0" priority="761">
      <formula>COUNTIF(I153:BG153,"&lt;&gt;" &amp; "")&gt;0</formula>
    </cfRule>
    <cfRule type="expression" dxfId="1" priority="762">
      <formula>AND(COUNTIF(I153:BG153,"&lt;&gt;" &amp; "")&gt;0,NOT(ISBLANK(G153)))</formula>
    </cfRule>
  </conditionalFormatting>
  <conditionalFormatting sqref="G154">
    <cfRule type="expression" dxfId="0" priority="764">
      <formula>COUNTIF(I154:BG154,"&lt;&gt;" &amp; "")&gt;0</formula>
    </cfRule>
    <cfRule type="expression" dxfId="1" priority="765">
      <formula>AND(COUNTIF(I154:BG154,"&lt;&gt;" &amp; "")&gt;0,NOT(ISBLANK(G154)))</formula>
    </cfRule>
  </conditionalFormatting>
  <conditionalFormatting sqref="G155">
    <cfRule type="expression" dxfId="0" priority="767">
      <formula>COUNTIF(I155:BG155,"&lt;&gt;" &amp; "")&gt;0</formula>
    </cfRule>
    <cfRule type="expression" dxfId="1" priority="768">
      <formula>AND(COUNTIF(I155:BG155,"&lt;&gt;" &amp; "")&gt;0,NOT(ISBLANK(G155)))</formula>
    </cfRule>
  </conditionalFormatting>
  <conditionalFormatting sqref="G156">
    <cfRule type="expression" dxfId="0" priority="770">
      <formula>COUNTIF(I156:BG156,"&lt;&gt;" &amp; "")&gt;0</formula>
    </cfRule>
    <cfRule type="expression" dxfId="1" priority="771">
      <formula>AND(COUNTIF(I156:BG156,"&lt;&gt;" &amp; "")&gt;0,NOT(ISBLANK(G156)))</formula>
    </cfRule>
  </conditionalFormatting>
  <conditionalFormatting sqref="G157">
    <cfRule type="expression" dxfId="0" priority="773">
      <formula>COUNTIF(I157:BG157,"&lt;&gt;" &amp; "")&gt;0</formula>
    </cfRule>
    <cfRule type="expression" dxfId="1" priority="774">
      <formula>AND(COUNTIF(I157:BG157,"&lt;&gt;" &amp; "")&gt;0,NOT(ISBLANK(G157)))</formula>
    </cfRule>
  </conditionalFormatting>
  <conditionalFormatting sqref="G158">
    <cfRule type="expression" dxfId="0" priority="776">
      <formula>COUNTIF(I158:BG158,"&lt;&gt;" &amp; "")&gt;0</formula>
    </cfRule>
    <cfRule type="expression" dxfId="1" priority="777">
      <formula>AND(COUNTIF(I158:BG158,"&lt;&gt;" &amp; "")&gt;0,NOT(ISBLANK(G158)))</formula>
    </cfRule>
  </conditionalFormatting>
  <conditionalFormatting sqref="G159">
    <cfRule type="expression" dxfId="0" priority="779">
      <formula>COUNTIF(I159:BG159,"&lt;&gt;" &amp; "")&gt;0</formula>
    </cfRule>
    <cfRule type="expression" dxfId="1" priority="780">
      <formula>AND(COUNTIF(I159:BG159,"&lt;&gt;" &amp; "")&gt;0,NOT(ISBLANK(G159)))</formula>
    </cfRule>
  </conditionalFormatting>
  <conditionalFormatting sqref="G16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G160">
    <cfRule type="expression" dxfId="0" priority="782">
      <formula>COUNTIF(I160:BG160,"&lt;&gt;" &amp; "")&gt;0</formula>
    </cfRule>
    <cfRule type="expression" dxfId="1" priority="783">
      <formula>AND(COUNTIF(I160:BG160,"&lt;&gt;" &amp; "")&gt;0,NOT(ISBLANK(G160)))</formula>
    </cfRule>
  </conditionalFormatting>
  <conditionalFormatting sqref="G161">
    <cfRule type="expression" dxfId="0" priority="785">
      <formula>COUNTIF(I161:BG161,"&lt;&gt;" &amp; "")&gt;0</formula>
    </cfRule>
    <cfRule type="expression" dxfId="1" priority="786">
      <formula>AND(COUNTIF(I161:BG161,"&lt;&gt;" &amp; "")&gt;0,NOT(ISBLANK(G161)))</formula>
    </cfRule>
  </conditionalFormatting>
  <conditionalFormatting sqref="G162">
    <cfRule type="expression" dxfId="0" priority="788">
      <formula>COUNTIF(I162:BG162,"&lt;&gt;" &amp; "")&gt;0</formula>
    </cfRule>
    <cfRule type="expression" dxfId="1" priority="789">
      <formula>AND(COUNTIF(I162:BG162,"&lt;&gt;" &amp; "")&gt;0,NOT(ISBLANK(G162)))</formula>
    </cfRule>
  </conditionalFormatting>
  <conditionalFormatting sqref="G163">
    <cfRule type="expression" dxfId="0" priority="791">
      <formula>COUNTIF(I163:BG163,"&lt;&gt;" &amp; "")&gt;0</formula>
    </cfRule>
    <cfRule type="expression" dxfId="1" priority="792">
      <formula>AND(COUNTIF(I163:BG163,"&lt;&gt;" &amp; "")&gt;0,NOT(ISBLANK(G163)))</formula>
    </cfRule>
  </conditionalFormatting>
  <conditionalFormatting sqref="G164">
    <cfRule type="expression" dxfId="0" priority="794">
      <formula>COUNTIF(I164:BG164,"&lt;&gt;" &amp; "")&gt;0</formula>
    </cfRule>
    <cfRule type="expression" dxfId="1" priority="795">
      <formula>AND(COUNTIF(I164:BG164,"&lt;&gt;" &amp; "")&gt;0,NOT(ISBLANK(G164)))</formula>
    </cfRule>
  </conditionalFormatting>
  <conditionalFormatting sqref="G165">
    <cfRule type="expression" dxfId="0" priority="797">
      <formula>COUNTIF(I165:BG165,"&lt;&gt;" &amp; "")&gt;0</formula>
    </cfRule>
    <cfRule type="expression" dxfId="1" priority="798">
      <formula>AND(COUNTIF(I165:BG165,"&lt;&gt;" &amp; "")&gt;0,NOT(ISBLANK(G165)))</formula>
    </cfRule>
  </conditionalFormatting>
  <conditionalFormatting sqref="G166">
    <cfRule type="expression" dxfId="0" priority="800">
      <formula>COUNTIF(I166:BG166,"&lt;&gt;" &amp; "")&gt;0</formula>
    </cfRule>
    <cfRule type="expression" dxfId="1" priority="801">
      <formula>AND(COUNTIF(I166:BG166,"&lt;&gt;" &amp; "")&gt;0,NOT(ISBLANK(G166)))</formula>
    </cfRule>
  </conditionalFormatting>
  <conditionalFormatting sqref="G167">
    <cfRule type="expression" dxfId="0" priority="803">
      <formula>COUNTIF(I167:BG167,"&lt;&gt;" &amp; "")&gt;0</formula>
    </cfRule>
    <cfRule type="expression" dxfId="1" priority="804">
      <formula>AND(COUNTIF(I167:BG167,"&lt;&gt;" &amp; "")&gt;0,NOT(ISBLANK(G167)))</formula>
    </cfRule>
  </conditionalFormatting>
  <conditionalFormatting sqref="G168">
    <cfRule type="expression" dxfId="0" priority="806">
      <formula>COUNTIF(I168:BG168,"&lt;&gt;" &amp; "")&gt;0</formula>
    </cfRule>
    <cfRule type="expression" dxfId="1" priority="807">
      <formula>AND(COUNTIF(I168:BG168,"&lt;&gt;" &amp; "")&gt;0,NOT(ISBLANK(G168)))</formula>
    </cfRule>
  </conditionalFormatting>
  <conditionalFormatting sqref="G169">
    <cfRule type="expression" dxfId="0" priority="809">
      <formula>COUNTIF(I169:BG169,"&lt;&gt;" &amp; "")&gt;0</formula>
    </cfRule>
    <cfRule type="expression" dxfId="1" priority="810">
      <formula>AND(COUNTIF(I169:BG169,"&lt;&gt;" &amp; "")&gt;0,NOT(ISBLANK(G169)))</formula>
    </cfRule>
  </conditionalFormatting>
  <conditionalFormatting sqref="G17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G170">
    <cfRule type="expression" dxfId="0" priority="812">
      <formula>COUNTIF(I170:BG170,"&lt;&gt;" &amp; "")&gt;0</formula>
    </cfRule>
    <cfRule type="expression" dxfId="1" priority="813">
      <formula>AND(COUNTIF(I170:BG170,"&lt;&gt;" &amp; "")&gt;0,NOT(ISBLANK(G170)))</formula>
    </cfRule>
  </conditionalFormatting>
  <conditionalFormatting sqref="G171">
    <cfRule type="expression" dxfId="0" priority="815">
      <formula>COUNTIF(I171:BG171,"&lt;&gt;" &amp; "")&gt;0</formula>
    </cfRule>
    <cfRule type="expression" dxfId="1" priority="816">
      <formula>AND(COUNTIF(I171:BG171,"&lt;&gt;" &amp; "")&gt;0,NOT(ISBLANK(G171)))</formula>
    </cfRule>
  </conditionalFormatting>
  <conditionalFormatting sqref="G172">
    <cfRule type="expression" dxfId="0" priority="818">
      <formula>COUNTIF(I172:BG172,"&lt;&gt;" &amp; "")&gt;0</formula>
    </cfRule>
    <cfRule type="expression" dxfId="1" priority="819">
      <formula>AND(COUNTIF(I172:BG172,"&lt;&gt;" &amp; "")&gt;0,NOT(ISBLANK(G172)))</formula>
    </cfRule>
  </conditionalFormatting>
  <conditionalFormatting sqref="G173">
    <cfRule type="expression" dxfId="0" priority="821">
      <formula>COUNTIF(I173:BG173,"&lt;&gt;" &amp; "")&gt;0</formula>
    </cfRule>
    <cfRule type="expression" dxfId="1" priority="822">
      <formula>AND(COUNTIF(I173:BG173,"&lt;&gt;" &amp; "")&gt;0,NOT(ISBLANK(G173)))</formula>
    </cfRule>
  </conditionalFormatting>
  <conditionalFormatting sqref="G174">
    <cfRule type="expression" dxfId="0" priority="824">
      <formula>COUNTIF(I174:BG174,"&lt;&gt;" &amp; "")&gt;0</formula>
    </cfRule>
    <cfRule type="expression" dxfId="1" priority="825">
      <formula>AND(COUNTIF(I174:BG174,"&lt;&gt;" &amp; "")&gt;0,NOT(ISBLANK(G174)))</formula>
    </cfRule>
  </conditionalFormatting>
  <conditionalFormatting sqref="G175">
    <cfRule type="expression" dxfId="0" priority="827">
      <formula>COUNTIF(I175:BG175,"&lt;&gt;" &amp; "")&gt;0</formula>
    </cfRule>
    <cfRule type="expression" dxfId="1" priority="828">
      <formula>AND(COUNTIF(I175:BG175,"&lt;&gt;" &amp; "")&gt;0,NOT(ISBLANK(G175)))</formula>
    </cfRule>
  </conditionalFormatting>
  <conditionalFormatting sqref="G176">
    <cfRule type="expression" dxfId="0" priority="830">
      <formula>COUNTIF(I176:BG176,"&lt;&gt;" &amp; "")&gt;0</formula>
    </cfRule>
    <cfRule type="expression" dxfId="1" priority="831">
      <formula>AND(COUNTIF(I176:BG176,"&lt;&gt;" &amp; "")&gt;0,NOT(ISBLANK(G176)))</formula>
    </cfRule>
  </conditionalFormatting>
  <conditionalFormatting sqref="G177">
    <cfRule type="expression" dxfId="0" priority="833">
      <formula>COUNTIF(I177:BG177,"&lt;&gt;" &amp; "")&gt;0</formula>
    </cfRule>
    <cfRule type="expression" dxfId="1" priority="834">
      <formula>AND(COUNTIF(I177:BG177,"&lt;&gt;" &amp; "")&gt;0,NOT(ISBLANK(G177)))</formula>
    </cfRule>
  </conditionalFormatting>
  <conditionalFormatting sqref="G178">
    <cfRule type="expression" dxfId="0" priority="836">
      <formula>COUNTIF(I178:BG178,"&lt;&gt;" &amp; "")&gt;0</formula>
    </cfRule>
    <cfRule type="expression" dxfId="1" priority="837">
      <formula>AND(COUNTIF(I178:BG178,"&lt;&gt;" &amp; "")&gt;0,NOT(ISBLANK(G178)))</formula>
    </cfRule>
  </conditionalFormatting>
  <conditionalFormatting sqref="G179">
    <cfRule type="expression" dxfId="0" priority="839">
      <formula>COUNTIF(I179:BG179,"&lt;&gt;" &amp; "")&gt;0</formula>
    </cfRule>
    <cfRule type="expression" dxfId="1" priority="840">
      <formula>AND(COUNTIF(I179:BG179,"&lt;&gt;" &amp; "")&gt;0,NOT(ISBLANK(G179)))</formula>
    </cfRule>
  </conditionalFormatting>
  <conditionalFormatting sqref="G18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G180">
    <cfRule type="expression" dxfId="0" priority="842">
      <formula>COUNTIF(I180:BG180,"&lt;&gt;" &amp; "")&gt;0</formula>
    </cfRule>
    <cfRule type="expression" dxfId="1" priority="843">
      <formula>AND(COUNTIF(I180:BG180,"&lt;&gt;" &amp; "")&gt;0,NOT(ISBLANK(G180)))</formula>
    </cfRule>
  </conditionalFormatting>
  <conditionalFormatting sqref="G181">
    <cfRule type="expression" dxfId="0" priority="845">
      <formula>COUNTIF(I181:BG181,"&lt;&gt;" &amp; "")&gt;0</formula>
    </cfRule>
    <cfRule type="expression" dxfId="1" priority="846">
      <formula>AND(COUNTIF(I181:BG181,"&lt;&gt;" &amp; "")&gt;0,NOT(ISBLANK(G181)))</formula>
    </cfRule>
  </conditionalFormatting>
  <conditionalFormatting sqref="G182">
    <cfRule type="expression" dxfId="0" priority="848">
      <formula>COUNTIF(I182:BG182,"&lt;&gt;" &amp; "")&gt;0</formula>
    </cfRule>
    <cfRule type="expression" dxfId="1" priority="849">
      <formula>AND(COUNTIF(I182:BG182,"&lt;&gt;" &amp; "")&gt;0,NOT(ISBLANK(G182)))</formula>
    </cfRule>
  </conditionalFormatting>
  <conditionalFormatting sqref="G183">
    <cfRule type="expression" dxfId="0" priority="851">
      <formula>COUNTIF(I183:BG183,"&lt;&gt;" &amp; "")&gt;0</formula>
    </cfRule>
    <cfRule type="expression" dxfId="1" priority="852">
      <formula>AND(COUNTIF(I183:BG183,"&lt;&gt;" &amp; "")&gt;0,NOT(ISBLANK(G183)))</formula>
    </cfRule>
  </conditionalFormatting>
  <conditionalFormatting sqref="G184">
    <cfRule type="expression" dxfId="0" priority="854">
      <formula>COUNTIF(I184:BG184,"&lt;&gt;" &amp; "")&gt;0</formula>
    </cfRule>
    <cfRule type="expression" dxfId="1" priority="855">
      <formula>AND(COUNTIF(I184:BG184,"&lt;&gt;" &amp; "")&gt;0,NOT(ISBLANK(G184)))</formula>
    </cfRule>
  </conditionalFormatting>
  <conditionalFormatting sqref="G185">
    <cfRule type="expression" dxfId="0" priority="857">
      <formula>COUNTIF(I185:BG185,"&lt;&gt;" &amp; "")&gt;0</formula>
    </cfRule>
    <cfRule type="expression" dxfId="1" priority="858">
      <formula>AND(COUNTIF(I185:BG185,"&lt;&gt;" &amp; "")&gt;0,NOT(ISBLANK(G185)))</formula>
    </cfRule>
  </conditionalFormatting>
  <conditionalFormatting sqref="G186">
    <cfRule type="expression" dxfId="0" priority="860">
      <formula>COUNTIF(I186:BG186,"&lt;&gt;" &amp; "")&gt;0</formula>
    </cfRule>
    <cfRule type="expression" dxfId="1" priority="861">
      <formula>AND(COUNTIF(I186:BG186,"&lt;&gt;" &amp; "")&gt;0,NOT(ISBLANK(G186)))</formula>
    </cfRule>
  </conditionalFormatting>
  <conditionalFormatting sqref="G187">
    <cfRule type="expression" dxfId="0" priority="863">
      <formula>COUNTIF(I187:BG187,"&lt;&gt;" &amp; "")&gt;0</formula>
    </cfRule>
    <cfRule type="expression" dxfId="1" priority="864">
      <formula>AND(COUNTIF(I187:BG187,"&lt;&gt;" &amp; "")&gt;0,NOT(ISBLANK(G187)))</formula>
    </cfRule>
  </conditionalFormatting>
  <conditionalFormatting sqref="G188">
    <cfRule type="expression" dxfId="0" priority="866">
      <formula>COUNTIF(I188:BG188,"&lt;&gt;" &amp; "")&gt;0</formula>
    </cfRule>
    <cfRule type="expression" dxfId="1" priority="867">
      <formula>AND(COUNTIF(I188:BG188,"&lt;&gt;" &amp; "")&gt;0,NOT(ISBLANK(G188)))</formula>
    </cfRule>
  </conditionalFormatting>
  <conditionalFormatting sqref="G189">
    <cfRule type="expression" dxfId="0" priority="869">
      <formula>COUNTIF(I189:BG189,"&lt;&gt;" &amp; "")&gt;0</formula>
    </cfRule>
    <cfRule type="expression" dxfId="1" priority="870">
      <formula>AND(COUNTIF(I189:BG189,"&lt;&gt;" &amp; "")&gt;0,NOT(ISBLANK(G189)))</formula>
    </cfRule>
  </conditionalFormatting>
  <conditionalFormatting sqref="G190">
    <cfRule type="expression" dxfId="0" priority="872">
      <formula>COUNTIF(I190:BG190,"&lt;&gt;" &amp; "")&gt;0</formula>
    </cfRule>
    <cfRule type="expression" dxfId="1" priority="873">
      <formula>AND(COUNTIF(I190:BG190,"&lt;&gt;" &amp; "")&gt;0,NOT(ISBLANK(G190)))</formula>
    </cfRule>
  </conditionalFormatting>
  <conditionalFormatting sqref="G191">
    <cfRule type="expression" dxfId="0" priority="875">
      <formula>COUNTIF(I191:BG191,"&lt;&gt;" &amp; "")&gt;0</formula>
    </cfRule>
    <cfRule type="expression" dxfId="1" priority="876">
      <formula>AND(COUNTIF(I191:BG191,"&lt;&gt;" &amp; "")&gt;0,NOT(ISBLANK(G191)))</formula>
    </cfRule>
  </conditionalFormatting>
  <conditionalFormatting sqref="G192">
    <cfRule type="expression" dxfId="0" priority="878">
      <formula>COUNTIF(I192:BG192,"&lt;&gt;" &amp; "")&gt;0</formula>
    </cfRule>
    <cfRule type="expression" dxfId="1" priority="879">
      <formula>AND(COUNTIF(I192:BG192,"&lt;&gt;" &amp; "")&gt;0,NOT(ISBLANK(G192)))</formula>
    </cfRule>
  </conditionalFormatting>
  <conditionalFormatting sqref="G193">
    <cfRule type="expression" dxfId="0" priority="881">
      <formula>COUNTIF(I193:BG193,"&lt;&gt;" &amp; "")&gt;0</formula>
    </cfRule>
    <cfRule type="expression" dxfId="1" priority="882">
      <formula>AND(COUNTIF(I193:BG193,"&lt;&gt;" &amp; "")&gt;0,NOT(ISBLANK(G193)))</formula>
    </cfRule>
  </conditionalFormatting>
  <conditionalFormatting sqref="G194">
    <cfRule type="expression" dxfId="0" priority="884">
      <formula>COUNTIF(I194:BG194,"&lt;&gt;" &amp; "")&gt;0</formula>
    </cfRule>
    <cfRule type="expression" dxfId="1" priority="885">
      <formula>AND(COUNTIF(I194:BG194,"&lt;&gt;" &amp; "")&gt;0,NOT(ISBLANK(G194)))</formula>
    </cfRule>
  </conditionalFormatting>
  <conditionalFormatting sqref="G195">
    <cfRule type="expression" dxfId="0" priority="887">
      <formula>COUNTIF(I195:BG195,"&lt;&gt;" &amp; "")&gt;0</formula>
    </cfRule>
    <cfRule type="expression" dxfId="1" priority="888">
      <formula>AND(COUNTIF(I195:BG195,"&lt;&gt;" &amp; "")&gt;0,NOT(ISBLANK(G195)))</formula>
    </cfRule>
  </conditionalFormatting>
  <conditionalFormatting sqref="G196">
    <cfRule type="expression" dxfId="0" priority="890">
      <formula>COUNTIF(I196:BG196,"&lt;&gt;" &amp; "")&gt;0</formula>
    </cfRule>
    <cfRule type="expression" dxfId="1" priority="891">
      <formula>AND(COUNTIF(I196:BG196,"&lt;&gt;" &amp; "")&gt;0,NOT(ISBLANK(G196)))</formula>
    </cfRule>
  </conditionalFormatting>
  <conditionalFormatting sqref="G197">
    <cfRule type="expression" dxfId="0" priority="893">
      <formula>COUNTIF(I197:BG197,"&lt;&gt;" &amp; "")&gt;0</formula>
    </cfRule>
    <cfRule type="expression" dxfId="1" priority="894">
      <formula>AND(COUNTIF(I197:BG197,"&lt;&gt;" &amp; "")&gt;0,NOT(ISBLANK(G197)))</formula>
    </cfRule>
  </conditionalFormatting>
  <conditionalFormatting sqref="G198">
    <cfRule type="expression" dxfId="0" priority="896">
      <formula>COUNTIF(I198:BG198,"&lt;&gt;" &amp; "")&gt;0</formula>
    </cfRule>
    <cfRule type="expression" dxfId="1" priority="897">
      <formula>AND(COUNTIF(I198:BG198,"&lt;&gt;" &amp; "")&gt;0,NOT(ISBLANK(G198)))</formula>
    </cfRule>
  </conditionalFormatting>
  <conditionalFormatting sqref="G199">
    <cfRule type="expression" dxfId="0" priority="899">
      <formula>COUNTIF(I199:BG199,"&lt;&gt;" &amp; "")&gt;0</formula>
    </cfRule>
    <cfRule type="expression" dxfId="1" priority="900">
      <formula>AND(COUNTIF(I199:BG199,"&lt;&gt;" &amp; "")&gt;0,NOT(ISBLANK(G199)))</formula>
    </cfRule>
  </conditionalFormatting>
  <conditionalFormatting sqref="G200">
    <cfRule type="expression" dxfId="0" priority="902">
      <formula>COUNTIF(I200:BG200,"&lt;&gt;" &amp; "")&gt;0</formula>
    </cfRule>
    <cfRule type="expression" dxfId="1" priority="903">
      <formula>AND(COUNTIF(I200:BG200,"&lt;&gt;" &amp; "")&gt;0,NOT(ISBLANK(G200)))</formula>
    </cfRule>
  </conditionalFormatting>
  <conditionalFormatting sqref="G201">
    <cfRule type="expression" dxfId="0" priority="905">
      <formula>COUNTIF(I201:BG201,"&lt;&gt;" &amp; "")&gt;0</formula>
    </cfRule>
    <cfRule type="expression" dxfId="1" priority="906">
      <formula>AND(COUNTIF(I201:BG201,"&lt;&gt;" &amp; "")&gt;0,NOT(ISBLANK(G201)))</formula>
    </cfRule>
  </conditionalFormatting>
  <conditionalFormatting sqref="G202">
    <cfRule type="expression" dxfId="0" priority="908">
      <formula>COUNTIF(I202:BG202,"&lt;&gt;" &amp; "")&gt;0</formula>
    </cfRule>
    <cfRule type="expression" dxfId="1" priority="909">
      <formula>AND(COUNTIF(I202:BG202,"&lt;&gt;" &amp; "")&gt;0,NOT(ISBLANK(G202)))</formula>
    </cfRule>
  </conditionalFormatting>
  <conditionalFormatting sqref="G203">
    <cfRule type="expression" dxfId="0" priority="911">
      <formula>COUNTIF(I203:BG203,"&lt;&gt;" &amp; "")&gt;0</formula>
    </cfRule>
    <cfRule type="expression" dxfId="1" priority="912">
      <formula>AND(COUNTIF(I203:BG203,"&lt;&gt;" &amp; "")&gt;0,NOT(ISBLANK(G203)))</formula>
    </cfRule>
  </conditionalFormatting>
  <conditionalFormatting sqref="G204">
    <cfRule type="expression" dxfId="0" priority="914">
      <formula>COUNTIF(I204:BG204,"&lt;&gt;" &amp; "")&gt;0</formula>
    </cfRule>
    <cfRule type="expression" dxfId="1" priority="915">
      <formula>AND(COUNTIF(I204:BG204,"&lt;&gt;" &amp; "")&gt;0,NOT(ISBLANK(G204)))</formula>
    </cfRule>
  </conditionalFormatting>
  <conditionalFormatting sqref="G205">
    <cfRule type="expression" dxfId="0" priority="917">
      <formula>COUNTIF(I205:BG205,"&lt;&gt;" &amp; "")&gt;0</formula>
    </cfRule>
    <cfRule type="expression" dxfId="1" priority="918">
      <formula>AND(COUNTIF(I205:BG205,"&lt;&gt;" &amp; "")&gt;0,NOT(ISBLANK(G205)))</formula>
    </cfRule>
  </conditionalFormatting>
  <conditionalFormatting sqref="G206">
    <cfRule type="expression" dxfId="0" priority="920">
      <formula>COUNTIF(I206:BG206,"&lt;&gt;" &amp; "")&gt;0</formula>
    </cfRule>
    <cfRule type="expression" dxfId="1" priority="921">
      <formula>AND(COUNTIF(I206:BG206,"&lt;&gt;" &amp; "")&gt;0,NOT(ISBLANK(G206)))</formula>
    </cfRule>
  </conditionalFormatting>
  <conditionalFormatting sqref="G207">
    <cfRule type="expression" dxfId="0" priority="923">
      <formula>COUNTIF(I207:BG207,"&lt;&gt;" &amp; "")&gt;0</formula>
    </cfRule>
    <cfRule type="expression" dxfId="1" priority="924">
      <formula>AND(COUNTIF(I207:BG207,"&lt;&gt;" &amp; "")&gt;0,NOT(ISBLANK(G207)))</formula>
    </cfRule>
  </conditionalFormatting>
  <conditionalFormatting sqref="G208">
    <cfRule type="expression" dxfId="0" priority="926">
      <formula>COUNTIF(I208:BG208,"&lt;&gt;" &amp; "")&gt;0</formula>
    </cfRule>
    <cfRule type="expression" dxfId="1" priority="927">
      <formula>AND(COUNTIF(I208:BG208,"&lt;&gt;" &amp; "")&gt;0,NOT(ISBLANK(G208)))</formula>
    </cfRule>
  </conditionalFormatting>
  <conditionalFormatting sqref="G209">
    <cfRule type="expression" dxfId="0" priority="929">
      <formula>COUNTIF(I209:BG209,"&lt;&gt;" &amp; "")&gt;0</formula>
    </cfRule>
    <cfRule type="expression" dxfId="1" priority="930">
      <formula>AND(COUNTIF(I209:BG209,"&lt;&gt;" &amp; "")&gt;0,NOT(ISBLANK(G209)))</formula>
    </cfRule>
  </conditionalFormatting>
  <conditionalFormatting sqref="G21">
    <cfRule type="expression" dxfId="0" priority="365">
      <formula>COUNTIF(I21:BG21,"&lt;&gt;" &amp; "")&gt;0</formula>
    </cfRule>
    <cfRule type="expression" dxfId="1" priority="366">
      <formula>AND(COUNTIF(I21:BG21,"&lt;&gt;" &amp; "")&gt;0,NOT(ISBLANK(G21)))</formula>
    </cfRule>
  </conditionalFormatting>
  <conditionalFormatting sqref="G210">
    <cfRule type="expression" dxfId="0" priority="932">
      <formula>COUNTIF(I210:BG210,"&lt;&gt;" &amp; "")&gt;0</formula>
    </cfRule>
    <cfRule type="expression" dxfId="1" priority="933">
      <formula>AND(COUNTIF(I210:BG210,"&lt;&gt;" &amp; "")&gt;0,NOT(ISBLANK(G210)))</formula>
    </cfRule>
  </conditionalFormatting>
  <conditionalFormatting sqref="G211">
    <cfRule type="expression" dxfId="0" priority="935">
      <formula>COUNTIF(I211:BG211,"&lt;&gt;" &amp; "")&gt;0</formula>
    </cfRule>
    <cfRule type="expression" dxfId="1" priority="936">
      <formula>AND(COUNTIF(I211:BG211,"&lt;&gt;" &amp; "")&gt;0,NOT(ISBLANK(G211)))</formula>
    </cfRule>
  </conditionalFormatting>
  <conditionalFormatting sqref="G212">
    <cfRule type="expression" dxfId="0" priority="938">
      <formula>COUNTIF(I212:BG212,"&lt;&gt;" &amp; "")&gt;0</formula>
    </cfRule>
    <cfRule type="expression" dxfId="1" priority="939">
      <formula>AND(COUNTIF(I212:BG212,"&lt;&gt;" &amp; "")&gt;0,NOT(ISBLANK(G212)))</formula>
    </cfRule>
  </conditionalFormatting>
  <conditionalFormatting sqref="G213">
    <cfRule type="expression" dxfId="0" priority="941">
      <formula>COUNTIF(I213:BG213,"&lt;&gt;" &amp; "")&gt;0</formula>
    </cfRule>
    <cfRule type="expression" dxfId="1" priority="942">
      <formula>AND(COUNTIF(I213:BG213,"&lt;&gt;" &amp; "")&gt;0,NOT(ISBLANK(G213)))</formula>
    </cfRule>
  </conditionalFormatting>
  <conditionalFormatting sqref="G214">
    <cfRule type="expression" dxfId="0" priority="944">
      <formula>COUNTIF(I214:BG214,"&lt;&gt;" &amp; "")&gt;0</formula>
    </cfRule>
    <cfRule type="expression" dxfId="1" priority="945">
      <formula>AND(COUNTIF(I214:BG214,"&lt;&gt;" &amp; "")&gt;0,NOT(ISBLANK(G214)))</formula>
    </cfRule>
  </conditionalFormatting>
  <conditionalFormatting sqref="G215">
    <cfRule type="expression" dxfId="0" priority="947">
      <formula>COUNTIF(I215:BG215,"&lt;&gt;" &amp; "")&gt;0</formula>
    </cfRule>
    <cfRule type="expression" dxfId="1" priority="948">
      <formula>AND(COUNTIF(I215:BG215,"&lt;&gt;" &amp; "")&gt;0,NOT(ISBLANK(G215)))</formula>
    </cfRule>
  </conditionalFormatting>
  <conditionalFormatting sqref="G216">
    <cfRule type="expression" dxfId="0" priority="950">
      <formula>COUNTIF(I216:BG216,"&lt;&gt;" &amp; "")&gt;0</formula>
    </cfRule>
    <cfRule type="expression" dxfId="1" priority="951">
      <formula>AND(COUNTIF(I216:BG216,"&lt;&gt;" &amp; "")&gt;0,NOT(ISBLANK(G216)))</formula>
    </cfRule>
  </conditionalFormatting>
  <conditionalFormatting sqref="G22">
    <cfRule type="expression" dxfId="0" priority="368">
      <formula>COUNTIF(I22:BG22,"&lt;&gt;" &amp; "")&gt;0</formula>
    </cfRule>
    <cfRule type="expression" dxfId="1" priority="369">
      <formula>AND(COUNTIF(I22:BG22,"&lt;&gt;" &amp; "")&gt;0,NOT(ISBLANK(G22)))</formula>
    </cfRule>
  </conditionalFormatting>
  <conditionalFormatting sqref="G222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G223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G224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G225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G226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G2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G229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G23">
    <cfRule type="expression" dxfId="0" priority="371">
      <formula>COUNTIF(I23:BG23,"&lt;&gt;" &amp; "")&gt;0</formula>
    </cfRule>
    <cfRule type="expression" dxfId="1" priority="372">
      <formula>AND(COUNTIF(I23:BG23,"&lt;&gt;" &amp; "")&gt;0,NOT(ISBLANK(G23)))</formula>
    </cfRule>
  </conditionalFormatting>
  <conditionalFormatting sqref="G230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G231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G232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G233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G234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G235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G238">
    <cfRule type="expression" dxfId="0" priority="1317">
      <formula>COUNTIF(I238:BG238,"&lt;&gt;" &amp; "")&gt;0</formula>
    </cfRule>
    <cfRule type="expression" dxfId="1" priority="1318">
      <formula>AND(COUNTIF(I238:BG238,"&lt;&gt;" &amp; "")&gt;0,NOT(ISBLANK(G238)))</formula>
    </cfRule>
  </conditionalFormatting>
  <conditionalFormatting sqref="G239">
    <cfRule type="expression" dxfId="0" priority="1320">
      <formula>COUNTIF(I239:BG239,"&lt;&gt;" &amp; "")&gt;0</formula>
    </cfRule>
    <cfRule type="expression" dxfId="1" priority="1321">
      <formula>AND(COUNTIF(I239:BG239,"&lt;&gt;" &amp; "")&gt;0,NOT(ISBLANK(G239)))</formula>
    </cfRule>
  </conditionalFormatting>
  <conditionalFormatting sqref="G24">
    <cfRule type="expression" dxfId="0" priority="374">
      <formula>COUNTIF(I24:BG24,"&lt;&gt;" &amp; "")&gt;0</formula>
    </cfRule>
    <cfRule type="expression" dxfId="1" priority="375">
      <formula>AND(COUNTIF(I24:BG24,"&lt;&gt;" &amp; "")&gt;0,NOT(ISBLANK(G24)))</formula>
    </cfRule>
  </conditionalFormatting>
  <conditionalFormatting sqref="G240">
    <cfRule type="expression" dxfId="0" priority="1323">
      <formula>COUNTIF(I240:BG240,"&lt;&gt;" &amp; "")&gt;0</formula>
    </cfRule>
    <cfRule type="expression" dxfId="1" priority="1324">
      <formula>AND(COUNTIF(I240:BG240,"&lt;&gt;" &amp; "")&gt;0,NOT(ISBLANK(G240)))</formula>
    </cfRule>
  </conditionalFormatting>
  <conditionalFormatting sqref="G241">
    <cfRule type="expression" dxfId="0" priority="1326">
      <formula>COUNTIF(I241:BG241,"&lt;&gt;" &amp; "")&gt;0</formula>
    </cfRule>
    <cfRule type="expression" dxfId="1" priority="1327">
      <formula>AND(COUNTIF(I241:BG241,"&lt;&gt;" &amp; "")&gt;0,NOT(ISBLANK(G241)))</formula>
    </cfRule>
  </conditionalFormatting>
  <conditionalFormatting sqref="G242">
    <cfRule type="expression" dxfId="0" priority="1329">
      <formula>COUNTIF(I242:BG242,"&lt;&gt;" &amp; "")&gt;0</formula>
    </cfRule>
    <cfRule type="expression" dxfId="1" priority="1330">
      <formula>AND(COUNTIF(I242:BG242,"&lt;&gt;" &amp; "")&gt;0,NOT(ISBLANK(G242)))</formula>
    </cfRule>
  </conditionalFormatting>
  <conditionalFormatting sqref="G243">
    <cfRule type="expression" dxfId="0" priority="1332">
      <formula>COUNTIF(I243:BG243,"&lt;&gt;" &amp; "")&gt;0</formula>
    </cfRule>
    <cfRule type="expression" dxfId="1" priority="1333">
      <formula>AND(COUNTIF(I243:BG243,"&lt;&gt;" &amp; "")&gt;0,NOT(ISBLANK(G243)))</formula>
    </cfRule>
  </conditionalFormatting>
  <conditionalFormatting sqref="G244">
    <cfRule type="expression" dxfId="0" priority="1335">
      <formula>COUNTIF(I244:BG244,"&lt;&gt;" &amp; "")&gt;0</formula>
    </cfRule>
    <cfRule type="expression" dxfId="1" priority="1336">
      <formula>AND(COUNTIF(I244:BG244,"&lt;&gt;" &amp; "")&gt;0,NOT(ISBLANK(G244)))</formula>
    </cfRule>
  </conditionalFormatting>
  <conditionalFormatting sqref="G245">
    <cfRule type="expression" dxfId="0" priority="1338">
      <formula>COUNTIF(I245:BG245,"&lt;&gt;" &amp; "")&gt;0</formula>
    </cfRule>
    <cfRule type="expression" dxfId="1" priority="1339">
      <formula>AND(COUNTIF(I245:BG245,"&lt;&gt;" &amp; "")&gt;0,NOT(ISBLANK(G245)))</formula>
    </cfRule>
  </conditionalFormatting>
  <conditionalFormatting sqref="G246">
    <cfRule type="expression" dxfId="0" priority="1341">
      <formula>COUNTIF(I246:BG246,"&lt;&gt;" &amp; "")&gt;0</formula>
    </cfRule>
    <cfRule type="expression" dxfId="1" priority="1342">
      <formula>AND(COUNTIF(I246:BG246,"&lt;&gt;" &amp; "")&gt;0,NOT(ISBLANK(G246)))</formula>
    </cfRule>
  </conditionalFormatting>
  <conditionalFormatting sqref="G247">
    <cfRule type="expression" dxfId="0" priority="1344">
      <formula>COUNTIF(I247:BG247,"&lt;&gt;" &amp; "")&gt;0</formula>
    </cfRule>
    <cfRule type="expression" dxfId="1" priority="1345">
      <formula>AND(COUNTIF(I247:BG247,"&lt;&gt;" &amp; "")&gt;0,NOT(ISBLANK(G247)))</formula>
    </cfRule>
  </conditionalFormatting>
  <conditionalFormatting sqref="G248">
    <cfRule type="expression" dxfId="0" priority="1347">
      <formula>COUNTIF(I248:BG248,"&lt;&gt;" &amp; "")&gt;0</formula>
    </cfRule>
    <cfRule type="expression" dxfId="1" priority="1348">
      <formula>AND(COUNTIF(I248:BG248,"&lt;&gt;" &amp; "")&gt;0,NOT(ISBLANK(G248)))</formula>
    </cfRule>
  </conditionalFormatting>
  <conditionalFormatting sqref="G249">
    <cfRule type="expression" dxfId="0" priority="1350">
      <formula>COUNTIF(I249:BG249,"&lt;&gt;" &amp; "")&gt;0</formula>
    </cfRule>
    <cfRule type="expression" dxfId="1" priority="1351">
      <formula>AND(COUNTIF(I249:BG249,"&lt;&gt;" &amp; "")&gt;0,NOT(ISBLANK(G249)))</formula>
    </cfRule>
  </conditionalFormatting>
  <conditionalFormatting sqref="G25">
    <cfRule type="expression" dxfId="0" priority="377">
      <formula>COUNTIF(I25:BG25,"&lt;&gt;" &amp; "")&gt;0</formula>
    </cfRule>
    <cfRule type="expression" dxfId="1" priority="378">
      <formula>AND(COUNTIF(I25:BG25,"&lt;&gt;" &amp; "")&gt;0,NOT(ISBLANK(G25)))</formula>
    </cfRule>
  </conditionalFormatting>
  <conditionalFormatting sqref="G250">
    <cfRule type="expression" dxfId="0" priority="1353">
      <formula>COUNTIF(I250:BG250,"&lt;&gt;" &amp; "")&gt;0</formula>
    </cfRule>
    <cfRule type="expression" dxfId="1" priority="1354">
      <formula>AND(COUNTIF(I250:BG250,"&lt;&gt;" &amp; "")&gt;0,NOT(ISBLANK(G250)))</formula>
    </cfRule>
  </conditionalFormatting>
  <conditionalFormatting sqref="G251">
    <cfRule type="expression" dxfId="0" priority="1356">
      <formula>COUNTIF(I251:BG251,"&lt;&gt;" &amp; "")&gt;0</formula>
    </cfRule>
    <cfRule type="expression" dxfId="1" priority="1357">
      <formula>AND(COUNTIF(I251:BG251,"&lt;&gt;" &amp; "")&gt;0,NOT(ISBLANK(G251)))</formula>
    </cfRule>
  </conditionalFormatting>
  <conditionalFormatting sqref="G252">
    <cfRule type="expression" dxfId="0" priority="1359">
      <formula>COUNTIF(I252:BG252,"&lt;&gt;" &amp; "")&gt;0</formula>
    </cfRule>
    <cfRule type="expression" dxfId="1" priority="1360">
      <formula>AND(COUNTIF(I252:BG252,"&lt;&gt;" &amp; "")&gt;0,NOT(ISBLANK(G252)))</formula>
    </cfRule>
  </conditionalFormatting>
  <conditionalFormatting sqref="G253">
    <cfRule type="expression" dxfId="0" priority="1362">
      <formula>COUNTIF(I253:BG253,"&lt;&gt;" &amp; "")&gt;0</formula>
    </cfRule>
    <cfRule type="expression" dxfId="1" priority="1363">
      <formula>AND(COUNTIF(I253:BG253,"&lt;&gt;" &amp; "")&gt;0,NOT(ISBLANK(G253)))</formula>
    </cfRule>
  </conditionalFormatting>
  <conditionalFormatting sqref="G254">
    <cfRule type="expression" dxfId="0" priority="1365">
      <formula>COUNTIF(I254:BG254,"&lt;&gt;" &amp; "")&gt;0</formula>
    </cfRule>
    <cfRule type="expression" dxfId="1" priority="1366">
      <formula>AND(COUNTIF(I254:BG254,"&lt;&gt;" &amp; "")&gt;0,NOT(ISBLANK(G254)))</formula>
    </cfRule>
  </conditionalFormatting>
  <conditionalFormatting sqref="G255">
    <cfRule type="expression" dxfId="0" priority="1368">
      <formula>COUNTIF(I255:BG255,"&lt;&gt;" &amp; "")&gt;0</formula>
    </cfRule>
    <cfRule type="expression" dxfId="1" priority="1369">
      <formula>AND(COUNTIF(I255:BG255,"&lt;&gt;" &amp; "")&gt;0,NOT(ISBLANK(G255)))</formula>
    </cfRule>
  </conditionalFormatting>
  <conditionalFormatting sqref="G256">
    <cfRule type="expression" dxfId="0" priority="1371">
      <formula>COUNTIF(I256:BG256,"&lt;&gt;" &amp; "")&gt;0</formula>
    </cfRule>
    <cfRule type="expression" dxfId="1" priority="1372">
      <formula>AND(COUNTIF(I256:BG256,"&lt;&gt;" &amp; "")&gt;0,NOT(ISBLANK(G256)))</formula>
    </cfRule>
  </conditionalFormatting>
  <conditionalFormatting sqref="G257">
    <cfRule type="expression" dxfId="0" priority="1374">
      <formula>COUNTIF(I257:BG257,"&lt;&gt;" &amp; "")&gt;0</formula>
    </cfRule>
    <cfRule type="expression" dxfId="1" priority="1375">
      <formula>AND(COUNTIF(I257:BG257,"&lt;&gt;" &amp; "")&gt;0,NOT(ISBLANK(G257)))</formula>
    </cfRule>
  </conditionalFormatting>
  <conditionalFormatting sqref="G258">
    <cfRule type="expression" dxfId="0" priority="1377">
      <formula>COUNTIF(I258:BG258,"&lt;&gt;" &amp; "")&gt;0</formula>
    </cfRule>
    <cfRule type="expression" dxfId="1" priority="1378">
      <formula>AND(COUNTIF(I258:BG258,"&lt;&gt;" &amp; "")&gt;0,NOT(ISBLANK(G258)))</formula>
    </cfRule>
  </conditionalFormatting>
  <conditionalFormatting sqref="G259">
    <cfRule type="expression" dxfId="0" priority="1380">
      <formula>COUNTIF(I259:BG259,"&lt;&gt;" &amp; "")&gt;0</formula>
    </cfRule>
    <cfRule type="expression" dxfId="1" priority="1381">
      <formula>AND(COUNTIF(I259:BG259,"&lt;&gt;" &amp; "")&gt;0,NOT(ISBLANK(G259)))</formula>
    </cfRule>
  </conditionalFormatting>
  <conditionalFormatting sqref="G26">
    <cfRule type="expression" dxfId="0" priority="380">
      <formula>COUNTIF(I26:BG26,"&lt;&gt;" &amp; "")&gt;0</formula>
    </cfRule>
    <cfRule type="expression" dxfId="1" priority="381">
      <formula>AND(COUNTIF(I26:BG26,"&lt;&gt;" &amp; "")&gt;0,NOT(ISBLANK(G26)))</formula>
    </cfRule>
  </conditionalFormatting>
  <conditionalFormatting sqref="G260">
    <cfRule type="expression" dxfId="0" priority="1383">
      <formula>COUNTIF(I260:BG260,"&lt;&gt;" &amp; "")&gt;0</formula>
    </cfRule>
    <cfRule type="expression" dxfId="1" priority="1384">
      <formula>AND(COUNTIF(I260:BG260,"&lt;&gt;" &amp; "")&gt;0,NOT(ISBLANK(G260)))</formula>
    </cfRule>
  </conditionalFormatting>
  <conditionalFormatting sqref="G261">
    <cfRule type="expression" dxfId="0" priority="1386">
      <formula>COUNTIF(I261:BG261,"&lt;&gt;" &amp; "")&gt;0</formula>
    </cfRule>
    <cfRule type="expression" dxfId="1" priority="1387">
      <formula>AND(COUNTIF(I261:BG261,"&lt;&gt;" &amp; "")&gt;0,NOT(ISBLANK(G261)))</formula>
    </cfRule>
  </conditionalFormatting>
  <conditionalFormatting sqref="G262">
    <cfRule type="expression" dxfId="0" priority="1389">
      <formula>COUNTIF(I262:BG262,"&lt;&gt;" &amp; "")&gt;0</formula>
    </cfRule>
    <cfRule type="expression" dxfId="1" priority="1390">
      <formula>AND(COUNTIF(I262:BG262,"&lt;&gt;" &amp; "")&gt;0,NOT(ISBLANK(G262)))</formula>
    </cfRule>
  </conditionalFormatting>
  <conditionalFormatting sqref="G263">
    <cfRule type="expression" dxfId="0" priority="1392">
      <formula>COUNTIF(I263:BG263,"&lt;&gt;" &amp; "")&gt;0</formula>
    </cfRule>
    <cfRule type="expression" dxfId="1" priority="1393">
      <formula>AND(COUNTIF(I263:BG263,"&lt;&gt;" &amp; "")&gt;0,NOT(ISBLANK(G263)))</formula>
    </cfRule>
  </conditionalFormatting>
  <conditionalFormatting sqref="G264">
    <cfRule type="expression" dxfId="0" priority="1395">
      <formula>COUNTIF(I264:BG264,"&lt;&gt;" &amp; "")&gt;0</formula>
    </cfRule>
    <cfRule type="expression" dxfId="1" priority="1396">
      <formula>AND(COUNTIF(I264:BG264,"&lt;&gt;" &amp; "")&gt;0,NOT(ISBLANK(G264)))</formula>
    </cfRule>
  </conditionalFormatting>
  <conditionalFormatting sqref="G265">
    <cfRule type="expression" dxfId="0" priority="1398">
      <formula>COUNTIF(I265:BG265,"&lt;&gt;" &amp; "")&gt;0</formula>
    </cfRule>
    <cfRule type="expression" dxfId="1" priority="1399">
      <formula>AND(COUNTIF(I265:BG265,"&lt;&gt;" &amp; "")&gt;0,NOT(ISBLANK(G265)))</formula>
    </cfRule>
  </conditionalFormatting>
  <conditionalFormatting sqref="G266">
    <cfRule type="expression" dxfId="0" priority="1401">
      <formula>COUNTIF(I266:BG266,"&lt;&gt;" &amp; "")&gt;0</formula>
    </cfRule>
    <cfRule type="expression" dxfId="1" priority="1402">
      <formula>AND(COUNTIF(I266:BG266,"&lt;&gt;" &amp; "")&gt;0,NOT(ISBLANK(G266)))</formula>
    </cfRule>
  </conditionalFormatting>
  <conditionalFormatting sqref="G267">
    <cfRule type="expression" dxfId="0" priority="1404">
      <formula>COUNTIF(I267:BG267,"&lt;&gt;" &amp; "")&gt;0</formula>
    </cfRule>
    <cfRule type="expression" dxfId="1" priority="1405">
      <formula>AND(COUNTIF(I267:BG267,"&lt;&gt;" &amp; "")&gt;0,NOT(ISBLANK(G267)))</formula>
    </cfRule>
  </conditionalFormatting>
  <conditionalFormatting sqref="G268">
    <cfRule type="expression" dxfId="0" priority="1407">
      <formula>COUNTIF(I268:BG268,"&lt;&gt;" &amp; "")&gt;0</formula>
    </cfRule>
    <cfRule type="expression" dxfId="1" priority="1408">
      <formula>AND(COUNTIF(I268:BG268,"&lt;&gt;" &amp; "")&gt;0,NOT(ISBLANK(G268)))</formula>
    </cfRule>
  </conditionalFormatting>
  <conditionalFormatting sqref="G269">
    <cfRule type="expression" dxfId="0" priority="1410">
      <formula>COUNTIF(I269:BG269,"&lt;&gt;" &amp; "")&gt;0</formula>
    </cfRule>
    <cfRule type="expression" dxfId="1" priority="1411">
      <formula>AND(COUNTIF(I269:BG269,"&lt;&gt;" &amp; "")&gt;0,NOT(ISBLANK(G269)))</formula>
    </cfRule>
  </conditionalFormatting>
  <conditionalFormatting sqref="G27">
    <cfRule type="expression" dxfId="0" priority="383">
      <formula>COUNTIF(I27:BG27,"&lt;&gt;" &amp; "")&gt;0</formula>
    </cfRule>
    <cfRule type="expression" dxfId="1" priority="384">
      <formula>AND(COUNTIF(I27:BG27,"&lt;&gt;" &amp; "")&gt;0,NOT(ISBLANK(G27)))</formula>
    </cfRule>
  </conditionalFormatting>
  <conditionalFormatting sqref="G270">
    <cfRule type="expression" dxfId="0" priority="1413">
      <formula>COUNTIF(I270:BG270,"&lt;&gt;" &amp; "")&gt;0</formula>
    </cfRule>
    <cfRule type="expression" dxfId="1" priority="1414">
      <formula>AND(COUNTIF(I270:BG270,"&lt;&gt;" &amp; "")&gt;0,NOT(ISBLANK(G270)))</formula>
    </cfRule>
  </conditionalFormatting>
  <conditionalFormatting sqref="G271">
    <cfRule type="expression" dxfId="0" priority="1416">
      <formula>COUNTIF(I271:BG271,"&lt;&gt;" &amp; "")&gt;0</formula>
    </cfRule>
    <cfRule type="expression" dxfId="1" priority="1417">
      <formula>AND(COUNTIF(I271:BG271,"&lt;&gt;" &amp; "")&gt;0,NOT(ISBLANK(G271)))</formula>
    </cfRule>
  </conditionalFormatting>
  <conditionalFormatting sqref="G272">
    <cfRule type="expression" dxfId="0" priority="1419">
      <formula>COUNTIF(I272:BG272,"&lt;&gt;" &amp; "")&gt;0</formula>
    </cfRule>
    <cfRule type="expression" dxfId="1" priority="1420">
      <formula>AND(COUNTIF(I272:BG272,"&lt;&gt;" &amp; "")&gt;0,NOT(ISBLANK(G272)))</formula>
    </cfRule>
  </conditionalFormatting>
  <conditionalFormatting sqref="G273">
    <cfRule type="expression" dxfId="0" priority="1422">
      <formula>COUNTIF(I273:BG273,"&lt;&gt;" &amp; "")&gt;0</formula>
    </cfRule>
    <cfRule type="expression" dxfId="1" priority="1423">
      <formula>AND(COUNTIF(I273:BG273,"&lt;&gt;" &amp; "")&gt;0,NOT(ISBLANK(G273)))</formula>
    </cfRule>
  </conditionalFormatting>
  <conditionalFormatting sqref="G274">
    <cfRule type="expression" dxfId="0" priority="1425">
      <formula>COUNTIF(I274:BG274,"&lt;&gt;" &amp; "")&gt;0</formula>
    </cfRule>
    <cfRule type="expression" dxfId="1" priority="1426">
      <formula>AND(COUNTIF(I274:BG274,"&lt;&gt;" &amp; "")&gt;0,NOT(ISBLANK(G274)))</formula>
    </cfRule>
  </conditionalFormatting>
  <conditionalFormatting sqref="G275">
    <cfRule type="expression" dxfId="0" priority="1428">
      <formula>COUNTIF(I275:BG275,"&lt;&gt;" &amp; "")&gt;0</formula>
    </cfRule>
    <cfRule type="expression" dxfId="1" priority="1429">
      <formula>AND(COUNTIF(I275:BG275,"&lt;&gt;" &amp; "")&gt;0,NOT(ISBLANK(G275)))</formula>
    </cfRule>
  </conditionalFormatting>
  <conditionalFormatting sqref="G276">
    <cfRule type="expression" dxfId="0" priority="1431">
      <formula>COUNTIF(I276:BG276,"&lt;&gt;" &amp; "")&gt;0</formula>
    </cfRule>
    <cfRule type="expression" dxfId="1" priority="1432">
      <formula>AND(COUNTIF(I276:BG276,"&lt;&gt;" &amp; "")&gt;0,NOT(ISBLANK(G276)))</formula>
    </cfRule>
  </conditionalFormatting>
  <conditionalFormatting sqref="G277">
    <cfRule type="expression" dxfId="0" priority="1434">
      <formula>COUNTIF(I277:BG277,"&lt;&gt;" &amp; "")&gt;0</formula>
    </cfRule>
    <cfRule type="expression" dxfId="1" priority="1435">
      <formula>AND(COUNTIF(I277:BG277,"&lt;&gt;" &amp; "")&gt;0,NOT(ISBLANK(G277)))</formula>
    </cfRule>
  </conditionalFormatting>
  <conditionalFormatting sqref="G278">
    <cfRule type="expression" dxfId="0" priority="1437">
      <formula>COUNTIF(I278:BG278,"&lt;&gt;" &amp; "")&gt;0</formula>
    </cfRule>
    <cfRule type="expression" dxfId="1" priority="1438">
      <formula>AND(COUNTIF(I278:BG278,"&lt;&gt;" &amp; "")&gt;0,NOT(ISBLANK(G278)))</formula>
    </cfRule>
  </conditionalFormatting>
  <conditionalFormatting sqref="G279">
    <cfRule type="expression" dxfId="0" priority="1440">
      <formula>COUNTIF(I279:BG279,"&lt;&gt;" &amp; "")&gt;0</formula>
    </cfRule>
    <cfRule type="expression" dxfId="1" priority="1441">
      <formula>AND(COUNTIF(I279:BG279,"&lt;&gt;" &amp; "")&gt;0,NOT(ISBLANK(G279)))</formula>
    </cfRule>
  </conditionalFormatting>
  <conditionalFormatting sqref="G28">
    <cfRule type="expression" dxfId="0" priority="386">
      <formula>COUNTIF(I28:BG28,"&lt;&gt;" &amp; "")&gt;0</formula>
    </cfRule>
    <cfRule type="expression" dxfId="1" priority="387">
      <formula>AND(COUNTIF(I28:BG28,"&lt;&gt;" &amp; "")&gt;0,NOT(ISBLANK(G28)))</formula>
    </cfRule>
  </conditionalFormatting>
  <conditionalFormatting sqref="G280">
    <cfRule type="expression" dxfId="0" priority="1443">
      <formula>COUNTIF(I280:BG280,"&lt;&gt;" &amp; "")&gt;0</formula>
    </cfRule>
    <cfRule type="expression" dxfId="1" priority="1444">
      <formula>AND(COUNTIF(I280:BG280,"&lt;&gt;" &amp; "")&gt;0,NOT(ISBLANK(G280)))</formula>
    </cfRule>
  </conditionalFormatting>
  <conditionalFormatting sqref="G281">
    <cfRule type="expression" dxfId="0" priority="1446">
      <formula>COUNTIF(I281:BG281,"&lt;&gt;" &amp; "")&gt;0</formula>
    </cfRule>
    <cfRule type="expression" dxfId="1" priority="1447">
      <formula>AND(COUNTIF(I281:BG281,"&lt;&gt;" &amp; "")&gt;0,NOT(ISBLANK(G281)))</formula>
    </cfRule>
  </conditionalFormatting>
  <conditionalFormatting sqref="G282">
    <cfRule type="expression" dxfId="0" priority="1449">
      <formula>COUNTIF(I282:BG282,"&lt;&gt;" &amp; "")&gt;0</formula>
    </cfRule>
    <cfRule type="expression" dxfId="1" priority="1450">
      <formula>AND(COUNTIF(I282:BG282,"&lt;&gt;" &amp; "")&gt;0,NOT(ISBLANK(G282)))</formula>
    </cfRule>
  </conditionalFormatting>
  <conditionalFormatting sqref="G283">
    <cfRule type="expression" dxfId="0" priority="1452">
      <formula>COUNTIF(I283:BG283,"&lt;&gt;" &amp; "")&gt;0</formula>
    </cfRule>
    <cfRule type="expression" dxfId="1" priority="1453">
      <formula>AND(COUNTIF(I283:BG283,"&lt;&gt;" &amp; "")&gt;0,NOT(ISBLANK(G283)))</formula>
    </cfRule>
  </conditionalFormatting>
  <conditionalFormatting sqref="G284">
    <cfRule type="expression" dxfId="0" priority="1455">
      <formula>COUNTIF(I284:BG284,"&lt;&gt;" &amp; "")&gt;0</formula>
    </cfRule>
    <cfRule type="expression" dxfId="1" priority="1456">
      <formula>AND(COUNTIF(I284:BG284,"&lt;&gt;" &amp; "")&gt;0,NOT(ISBLANK(G284)))</formula>
    </cfRule>
  </conditionalFormatting>
  <conditionalFormatting sqref="G285">
    <cfRule type="expression" dxfId="0" priority="1458">
      <formula>COUNTIF(I285:BG285,"&lt;&gt;" &amp; "")&gt;0</formula>
    </cfRule>
    <cfRule type="expression" dxfId="1" priority="1459">
      <formula>AND(COUNTIF(I285:BG285,"&lt;&gt;" &amp; "")&gt;0,NOT(ISBLANK(G285)))</formula>
    </cfRule>
  </conditionalFormatting>
  <conditionalFormatting sqref="G286">
    <cfRule type="expression" dxfId="0" priority="1461">
      <formula>COUNTIF(I286:BG286,"&lt;&gt;" &amp; "")&gt;0</formula>
    </cfRule>
    <cfRule type="expression" dxfId="1" priority="1462">
      <formula>AND(COUNTIF(I286:BG286,"&lt;&gt;" &amp; "")&gt;0,NOT(ISBLANK(G286)))</formula>
    </cfRule>
  </conditionalFormatting>
  <conditionalFormatting sqref="G287">
    <cfRule type="expression" dxfId="0" priority="1464">
      <formula>COUNTIF(I287:BG287,"&lt;&gt;" &amp; "")&gt;0</formula>
    </cfRule>
    <cfRule type="expression" dxfId="1" priority="1465">
      <formula>AND(COUNTIF(I287:BG287,"&lt;&gt;" &amp; "")&gt;0,NOT(ISBLANK(G287)))</formula>
    </cfRule>
  </conditionalFormatting>
  <conditionalFormatting sqref="G288">
    <cfRule type="expression" dxfId="0" priority="1467">
      <formula>COUNTIF(I288:BG288,"&lt;&gt;" &amp; "")&gt;0</formula>
    </cfRule>
    <cfRule type="expression" dxfId="1" priority="1468">
      <formula>AND(COUNTIF(I288:BG288,"&lt;&gt;" &amp; "")&gt;0,NOT(ISBLANK(G288)))</formula>
    </cfRule>
  </conditionalFormatting>
  <conditionalFormatting sqref="G289">
    <cfRule type="expression" dxfId="0" priority="1470">
      <formula>COUNTIF(I289:BG289,"&lt;&gt;" &amp; "")&gt;0</formula>
    </cfRule>
    <cfRule type="expression" dxfId="1" priority="1471">
      <formula>AND(COUNTIF(I289:BG289,"&lt;&gt;" &amp; "")&gt;0,NOT(ISBLANK(G289)))</formula>
    </cfRule>
  </conditionalFormatting>
  <conditionalFormatting sqref="G29">
    <cfRule type="expression" dxfId="0" priority="389">
      <formula>COUNTIF(I29:BG29,"&lt;&gt;" &amp; "")&gt;0</formula>
    </cfRule>
    <cfRule type="expression" dxfId="1" priority="390">
      <formula>AND(COUNTIF(I29:BG29,"&lt;&gt;" &amp; "")&gt;0,NOT(ISBLANK(G29)))</formula>
    </cfRule>
  </conditionalFormatting>
  <conditionalFormatting sqref="G290">
    <cfRule type="expression" dxfId="0" priority="1473">
      <formula>COUNTIF(I290:BG290,"&lt;&gt;" &amp; "")&gt;0</formula>
    </cfRule>
    <cfRule type="expression" dxfId="1" priority="1474">
      <formula>AND(COUNTIF(I290:BG290,"&lt;&gt;" &amp; "")&gt;0,NOT(ISBLANK(G290)))</formula>
    </cfRule>
  </conditionalFormatting>
  <conditionalFormatting sqref="G291">
    <cfRule type="expression" dxfId="0" priority="1476">
      <formula>COUNTIF(I291:BG291,"&lt;&gt;" &amp; "")&gt;0</formula>
    </cfRule>
    <cfRule type="expression" dxfId="1" priority="1477">
      <formula>AND(COUNTIF(I291:BG291,"&lt;&gt;" &amp; "")&gt;0,NOT(ISBLANK(G291)))</formula>
    </cfRule>
  </conditionalFormatting>
  <conditionalFormatting sqref="G292">
    <cfRule type="expression" dxfId="0" priority="1479">
      <formula>COUNTIF(I292:BG292,"&lt;&gt;" &amp; "")&gt;0</formula>
    </cfRule>
    <cfRule type="expression" dxfId="1" priority="1480">
      <formula>AND(COUNTIF(I292:BG292,"&lt;&gt;" &amp; "")&gt;0,NOT(ISBLANK(G292)))</formula>
    </cfRule>
  </conditionalFormatting>
  <conditionalFormatting sqref="G293">
    <cfRule type="expression" dxfId="0" priority="1482">
      <formula>COUNTIF(I293:BG293,"&lt;&gt;" &amp; "")&gt;0</formula>
    </cfRule>
    <cfRule type="expression" dxfId="1" priority="1483">
      <formula>AND(COUNTIF(I293:BG293,"&lt;&gt;" &amp; "")&gt;0,NOT(ISBLANK(G293)))</formula>
    </cfRule>
  </conditionalFormatting>
  <conditionalFormatting sqref="G294">
    <cfRule type="expression" dxfId="0" priority="1485">
      <formula>COUNTIF(I294:BG294,"&lt;&gt;" &amp; "")&gt;0</formula>
    </cfRule>
    <cfRule type="expression" dxfId="1" priority="1486">
      <formula>AND(COUNTIF(I294:BG294,"&lt;&gt;" &amp; "")&gt;0,NOT(ISBLANK(G294)))</formula>
    </cfRule>
  </conditionalFormatting>
  <conditionalFormatting sqref="G295">
    <cfRule type="expression" dxfId="0" priority="1488">
      <formula>COUNTIF(I295:BG295,"&lt;&gt;" &amp; "")&gt;0</formula>
    </cfRule>
    <cfRule type="expression" dxfId="1" priority="1489">
      <formula>AND(COUNTIF(I295:BG295,"&lt;&gt;" &amp; "")&gt;0,NOT(ISBLANK(G295)))</formula>
    </cfRule>
  </conditionalFormatting>
  <conditionalFormatting sqref="G296">
    <cfRule type="expression" dxfId="0" priority="1491">
      <formula>COUNTIF(I296:BG296,"&lt;&gt;" &amp; "")&gt;0</formula>
    </cfRule>
    <cfRule type="expression" dxfId="1" priority="1492">
      <formula>AND(COUNTIF(I296:BG296,"&lt;&gt;" &amp; "")&gt;0,NOT(ISBLANK(G296)))</formula>
    </cfRule>
  </conditionalFormatting>
  <conditionalFormatting sqref="G297">
    <cfRule type="expression" dxfId="0" priority="1494">
      <formula>COUNTIF(I297:BG297,"&lt;&gt;" &amp; "")&gt;0</formula>
    </cfRule>
    <cfRule type="expression" dxfId="1" priority="1495">
      <formula>AND(COUNTIF(I297:BG297,"&lt;&gt;" &amp; "")&gt;0,NOT(ISBLANK(G297)))</formula>
    </cfRule>
  </conditionalFormatting>
  <conditionalFormatting sqref="G298">
    <cfRule type="expression" dxfId="0" priority="1497">
      <formula>COUNTIF(I298:BG298,"&lt;&gt;" &amp; "")&gt;0</formula>
    </cfRule>
    <cfRule type="expression" dxfId="1" priority="1498">
      <formula>AND(COUNTIF(I298:BG298,"&lt;&gt;" &amp; "")&gt;0,NOT(ISBLANK(G298)))</formula>
    </cfRule>
  </conditionalFormatting>
  <conditionalFormatting sqref="G299">
    <cfRule type="expression" dxfId="0" priority="1500">
      <formula>COUNTIF(I299:BG299,"&lt;&gt;" &amp; "")&gt;0</formula>
    </cfRule>
    <cfRule type="expression" dxfId="1" priority="1501">
      <formula>AND(COUNTIF(I299:BG299,"&lt;&gt;" &amp; "")&gt;0,NOT(ISBLANK(G299)))</formula>
    </cfRule>
  </conditionalFormatting>
  <conditionalFormatting sqref="G30">
    <cfRule type="expression" dxfId="0" priority="392">
      <formula>COUNTIF(I30:BG30,"&lt;&gt;" &amp; "")&gt;0</formula>
    </cfRule>
    <cfRule type="expression" dxfId="1" priority="393">
      <formula>AND(COUNTIF(I30:BG30,"&lt;&gt;" &amp; "")&gt;0,NOT(ISBLANK(G30)))</formula>
    </cfRule>
  </conditionalFormatting>
  <conditionalFormatting sqref="G300">
    <cfRule type="expression" dxfId="0" priority="1503">
      <formula>COUNTIF(I300:BG300,"&lt;&gt;" &amp; "")&gt;0</formula>
    </cfRule>
    <cfRule type="expression" dxfId="1" priority="1504">
      <formula>AND(COUNTIF(I300:BG300,"&lt;&gt;" &amp; "")&gt;0,NOT(ISBLANK(G300)))</formula>
    </cfRule>
  </conditionalFormatting>
  <conditionalFormatting sqref="G301">
    <cfRule type="expression" dxfId="0" priority="1506">
      <formula>COUNTIF(I301:BG301,"&lt;&gt;" &amp; "")&gt;0</formula>
    </cfRule>
    <cfRule type="expression" dxfId="1" priority="1507">
      <formula>AND(COUNTIF(I301:BG301,"&lt;&gt;" &amp; "")&gt;0,NOT(ISBLANK(G301)))</formula>
    </cfRule>
  </conditionalFormatting>
  <conditionalFormatting sqref="G302">
    <cfRule type="expression" dxfId="0" priority="1509">
      <formula>COUNTIF(I302:BG302,"&lt;&gt;" &amp; "")&gt;0</formula>
    </cfRule>
    <cfRule type="expression" dxfId="1" priority="1510">
      <formula>AND(COUNTIF(I302:BG302,"&lt;&gt;" &amp; "")&gt;0,NOT(ISBLANK(G302)))</formula>
    </cfRule>
  </conditionalFormatting>
  <conditionalFormatting sqref="G303">
    <cfRule type="expression" dxfId="0" priority="1512">
      <formula>COUNTIF(I303:BG303,"&lt;&gt;" &amp; "")&gt;0</formula>
    </cfRule>
    <cfRule type="expression" dxfId="1" priority="1513">
      <formula>AND(COUNTIF(I303:BG303,"&lt;&gt;" &amp; "")&gt;0,NOT(ISBLANK(G303)))</formula>
    </cfRule>
  </conditionalFormatting>
  <conditionalFormatting sqref="G304">
    <cfRule type="expression" dxfId="0" priority="1515">
      <formula>COUNTIF(I304:BG304,"&lt;&gt;" &amp; "")&gt;0</formula>
    </cfRule>
    <cfRule type="expression" dxfId="1" priority="1516">
      <formula>AND(COUNTIF(I304:BG304,"&lt;&gt;" &amp; "")&gt;0,NOT(ISBLANK(G304)))</formula>
    </cfRule>
  </conditionalFormatting>
  <conditionalFormatting sqref="G305">
    <cfRule type="expression" dxfId="0" priority="1518">
      <formula>COUNTIF(I305:BG305,"&lt;&gt;" &amp; "")&gt;0</formula>
    </cfRule>
    <cfRule type="expression" dxfId="1" priority="1519">
      <formula>AND(COUNTIF(I305:BG305,"&lt;&gt;" &amp; "")&gt;0,NOT(ISBLANK(G305)))</formula>
    </cfRule>
  </conditionalFormatting>
  <conditionalFormatting sqref="G306">
    <cfRule type="expression" dxfId="0" priority="1521">
      <formula>COUNTIF(I306:BG306,"&lt;&gt;" &amp; "")&gt;0</formula>
    </cfRule>
    <cfRule type="expression" dxfId="1" priority="1522">
      <formula>AND(COUNTIF(I306:BG306,"&lt;&gt;" &amp; "")&gt;0,NOT(ISBLANK(G306)))</formula>
    </cfRule>
  </conditionalFormatting>
  <conditionalFormatting sqref="G307">
    <cfRule type="expression" dxfId="0" priority="1524">
      <formula>COUNTIF(I307:BG307,"&lt;&gt;" &amp; "")&gt;0</formula>
    </cfRule>
    <cfRule type="expression" dxfId="1" priority="1525">
      <formula>AND(COUNTIF(I307:BG307,"&lt;&gt;" &amp; "")&gt;0,NOT(ISBLANK(G307)))</formula>
    </cfRule>
  </conditionalFormatting>
  <conditionalFormatting sqref="G308">
    <cfRule type="expression" dxfId="0" priority="1527">
      <formula>COUNTIF(I308:BG308,"&lt;&gt;" &amp; "")&gt;0</formula>
    </cfRule>
    <cfRule type="expression" dxfId="1" priority="1528">
      <formula>AND(COUNTIF(I308:BG308,"&lt;&gt;" &amp; "")&gt;0,NOT(ISBLANK(G308)))</formula>
    </cfRule>
  </conditionalFormatting>
  <conditionalFormatting sqref="G309">
    <cfRule type="expression" dxfId="0" priority="1530">
      <formula>COUNTIF(I309:BG309,"&lt;&gt;" &amp; "")&gt;0</formula>
    </cfRule>
    <cfRule type="expression" dxfId="1" priority="1531">
      <formula>AND(COUNTIF(I309:BG309,"&lt;&gt;" &amp; "")&gt;0,NOT(ISBLANK(G309)))</formula>
    </cfRule>
  </conditionalFormatting>
  <conditionalFormatting sqref="G31">
    <cfRule type="expression" dxfId="0" priority="395">
      <formula>COUNTIF(I31:BG31,"&lt;&gt;" &amp; "")&gt;0</formula>
    </cfRule>
    <cfRule type="expression" dxfId="1" priority="396">
      <formula>AND(COUNTIF(I31:BG31,"&lt;&gt;" &amp; "")&gt;0,NOT(ISBLANK(G31)))</formula>
    </cfRule>
  </conditionalFormatting>
  <conditionalFormatting sqref="G310">
    <cfRule type="expression" dxfId="0" priority="1533">
      <formula>COUNTIF(I310:BG310,"&lt;&gt;" &amp; "")&gt;0</formula>
    </cfRule>
    <cfRule type="expression" dxfId="1" priority="1534">
      <formula>AND(COUNTIF(I310:BG310,"&lt;&gt;" &amp; "")&gt;0,NOT(ISBLANK(G310)))</formula>
    </cfRule>
  </conditionalFormatting>
  <conditionalFormatting sqref="G311">
    <cfRule type="expression" dxfId="0" priority="1536">
      <formula>COUNTIF(I311:BG311,"&lt;&gt;" &amp; "")&gt;0</formula>
    </cfRule>
    <cfRule type="expression" dxfId="1" priority="1537">
      <formula>AND(COUNTIF(I311:BG311,"&lt;&gt;" &amp; "")&gt;0,NOT(ISBLANK(G311)))</formula>
    </cfRule>
  </conditionalFormatting>
  <conditionalFormatting sqref="G312">
    <cfRule type="expression" dxfId="0" priority="1539">
      <formula>COUNTIF(I312:BG312,"&lt;&gt;" &amp; "")&gt;0</formula>
    </cfRule>
    <cfRule type="expression" dxfId="1" priority="1540">
      <formula>AND(COUNTIF(I312:BG312,"&lt;&gt;" &amp; "")&gt;0,NOT(ISBLANK(G312)))</formula>
    </cfRule>
  </conditionalFormatting>
  <conditionalFormatting sqref="G313">
    <cfRule type="expression" dxfId="0" priority="1542">
      <formula>COUNTIF(I313:BG313,"&lt;&gt;" &amp; "")&gt;0</formula>
    </cfRule>
    <cfRule type="expression" dxfId="1" priority="1543">
      <formula>AND(COUNTIF(I313:BG313,"&lt;&gt;" &amp; "")&gt;0,NOT(ISBLANK(G313)))</formula>
    </cfRule>
  </conditionalFormatting>
  <conditionalFormatting sqref="G314">
    <cfRule type="expression" dxfId="0" priority="1545">
      <formula>COUNTIF(I314:BG314,"&lt;&gt;" &amp; "")&gt;0</formula>
    </cfRule>
    <cfRule type="expression" dxfId="1" priority="1546">
      <formula>AND(COUNTIF(I314:BG314,"&lt;&gt;" &amp; "")&gt;0,NOT(ISBLANK(G314)))</formula>
    </cfRule>
  </conditionalFormatting>
  <conditionalFormatting sqref="G315">
    <cfRule type="expression" dxfId="0" priority="1548">
      <formula>COUNTIF(I315:BG315,"&lt;&gt;" &amp; "")&gt;0</formula>
    </cfRule>
    <cfRule type="expression" dxfId="1" priority="1549">
      <formula>AND(COUNTIF(I315:BG315,"&lt;&gt;" &amp; "")&gt;0,NOT(ISBLANK(G315)))</formula>
    </cfRule>
  </conditionalFormatting>
  <conditionalFormatting sqref="G316">
    <cfRule type="expression" dxfId="0" priority="1551">
      <formula>COUNTIF(I316:BG316,"&lt;&gt;" &amp; "")&gt;0</formula>
    </cfRule>
    <cfRule type="expression" dxfId="1" priority="1552">
      <formula>AND(COUNTIF(I316:BG316,"&lt;&gt;" &amp; "")&gt;0,NOT(ISBLANK(G316)))</formula>
    </cfRule>
  </conditionalFormatting>
  <conditionalFormatting sqref="G317">
    <cfRule type="expression" dxfId="0" priority="1554">
      <formula>COUNTIF(I317:BG317,"&lt;&gt;" &amp; "")&gt;0</formula>
    </cfRule>
    <cfRule type="expression" dxfId="1" priority="1555">
      <formula>AND(COUNTIF(I317:BG317,"&lt;&gt;" &amp; "")&gt;0,NOT(ISBLANK(G317)))</formula>
    </cfRule>
  </conditionalFormatting>
  <conditionalFormatting sqref="G318">
    <cfRule type="expression" dxfId="0" priority="1557">
      <formula>COUNTIF(I318:BG318,"&lt;&gt;" &amp; "")&gt;0</formula>
    </cfRule>
    <cfRule type="expression" dxfId="1" priority="1558">
      <formula>AND(COUNTIF(I318:BG318,"&lt;&gt;" &amp; "")&gt;0,NOT(ISBLANK(G318)))</formula>
    </cfRule>
  </conditionalFormatting>
  <conditionalFormatting sqref="G319">
    <cfRule type="expression" dxfId="0" priority="1560">
      <formula>COUNTIF(I319:BG319,"&lt;&gt;" &amp; "")&gt;0</formula>
    </cfRule>
    <cfRule type="expression" dxfId="1" priority="1561">
      <formula>AND(COUNTIF(I319:BG319,"&lt;&gt;" &amp; "")&gt;0,NOT(ISBLANK(G319)))</formula>
    </cfRule>
  </conditionalFormatting>
  <conditionalFormatting sqref="G32">
    <cfRule type="expression" dxfId="0" priority="398">
      <formula>COUNTIF(I32:BG32,"&lt;&gt;" &amp; "")&gt;0</formula>
    </cfRule>
    <cfRule type="expression" dxfId="1" priority="399">
      <formula>AND(COUNTIF(I32:BG32,"&lt;&gt;" &amp; "")&gt;0,NOT(ISBLANK(G32)))</formula>
    </cfRule>
  </conditionalFormatting>
  <conditionalFormatting sqref="G320">
    <cfRule type="expression" dxfId="0" priority="1563">
      <formula>COUNTIF(I320:BG320,"&lt;&gt;" &amp; "")&gt;0</formula>
    </cfRule>
    <cfRule type="expression" dxfId="1" priority="1564">
      <formula>AND(COUNTIF(I320:BG320,"&lt;&gt;" &amp; "")&gt;0,NOT(ISBLANK(G320)))</formula>
    </cfRule>
  </conditionalFormatting>
  <conditionalFormatting sqref="G321">
    <cfRule type="expression" dxfId="0" priority="1566">
      <formula>COUNTIF(I321:BG321,"&lt;&gt;" &amp; "")&gt;0</formula>
    </cfRule>
    <cfRule type="expression" dxfId="1" priority="1567">
      <formula>AND(COUNTIF(I321:BG321,"&lt;&gt;" &amp; "")&gt;0,NOT(ISBLANK(G321)))</formula>
    </cfRule>
  </conditionalFormatting>
  <conditionalFormatting sqref="G322">
    <cfRule type="expression" dxfId="0" priority="1569">
      <formula>COUNTIF(I322:BG322,"&lt;&gt;" &amp; "")&gt;0</formula>
    </cfRule>
    <cfRule type="expression" dxfId="1" priority="1570">
      <formula>AND(COUNTIF(I322:BG322,"&lt;&gt;" &amp; "")&gt;0,NOT(ISBLANK(G322)))</formula>
    </cfRule>
  </conditionalFormatting>
  <conditionalFormatting sqref="G323">
    <cfRule type="expression" dxfId="0" priority="1572">
      <formula>COUNTIF(I323:BG323,"&lt;&gt;" &amp; "")&gt;0</formula>
    </cfRule>
    <cfRule type="expression" dxfId="1" priority="1573">
      <formula>AND(COUNTIF(I323:BG323,"&lt;&gt;" &amp; "")&gt;0,NOT(ISBLANK(G323)))</formula>
    </cfRule>
  </conditionalFormatting>
  <conditionalFormatting sqref="G324">
    <cfRule type="expression" dxfId="0" priority="1575">
      <formula>COUNTIF(I324:BG324,"&lt;&gt;" &amp; "")&gt;0</formula>
    </cfRule>
    <cfRule type="expression" dxfId="1" priority="1576">
      <formula>AND(COUNTIF(I324:BG324,"&lt;&gt;" &amp; "")&gt;0,NOT(ISBLANK(G324)))</formula>
    </cfRule>
  </conditionalFormatting>
  <conditionalFormatting sqref="G325">
    <cfRule type="expression" dxfId="0" priority="1578">
      <formula>COUNTIF(I325:BG325,"&lt;&gt;" &amp; "")&gt;0</formula>
    </cfRule>
    <cfRule type="expression" dxfId="1" priority="1579">
      <formula>AND(COUNTIF(I325:BG325,"&lt;&gt;" &amp; "")&gt;0,NOT(ISBLANK(G325)))</formula>
    </cfRule>
  </conditionalFormatting>
  <conditionalFormatting sqref="G326">
    <cfRule type="expression" dxfId="0" priority="1581">
      <formula>COUNTIF(I326:BG326,"&lt;&gt;" &amp; "")&gt;0</formula>
    </cfRule>
    <cfRule type="expression" dxfId="1" priority="1582">
      <formula>AND(COUNTIF(I326:BG326,"&lt;&gt;" &amp; "")&gt;0,NOT(ISBLANK(G326)))</formula>
    </cfRule>
  </conditionalFormatting>
  <conditionalFormatting sqref="G327">
    <cfRule type="expression" dxfId="0" priority="1584">
      <formula>COUNTIF(I327:BG327,"&lt;&gt;" &amp; "")&gt;0</formula>
    </cfRule>
    <cfRule type="expression" dxfId="1" priority="1585">
      <formula>AND(COUNTIF(I327:BG327,"&lt;&gt;" &amp; "")&gt;0,NOT(ISBLANK(G327)))</formula>
    </cfRule>
  </conditionalFormatting>
  <conditionalFormatting sqref="G328">
    <cfRule type="expression" dxfId="0" priority="1587">
      <formula>COUNTIF(I328:BG328,"&lt;&gt;" &amp; "")&gt;0</formula>
    </cfRule>
    <cfRule type="expression" dxfId="1" priority="1588">
      <formula>AND(COUNTIF(I328:BG328,"&lt;&gt;" &amp; "")&gt;0,NOT(ISBLANK(G328)))</formula>
    </cfRule>
  </conditionalFormatting>
  <conditionalFormatting sqref="G329">
    <cfRule type="expression" dxfId="0" priority="1590">
      <formula>COUNTIF(I329:BG329,"&lt;&gt;" &amp; "")&gt;0</formula>
    </cfRule>
    <cfRule type="expression" dxfId="1" priority="1591">
      <formula>AND(COUNTIF(I329:BG329,"&lt;&gt;" &amp; "")&gt;0,NOT(ISBLANK(G329)))</formula>
    </cfRule>
  </conditionalFormatting>
  <conditionalFormatting sqref="G33">
    <cfRule type="expression" dxfId="0" priority="401">
      <formula>COUNTIF(I33:BG33,"&lt;&gt;" &amp; "")&gt;0</formula>
    </cfRule>
    <cfRule type="expression" dxfId="1" priority="402">
      <formula>AND(COUNTIF(I33:BG33,"&lt;&gt;" &amp; "")&gt;0,NOT(ISBLANK(G33)))</formula>
    </cfRule>
  </conditionalFormatting>
  <conditionalFormatting sqref="G330">
    <cfRule type="expression" dxfId="0" priority="1593">
      <formula>COUNTIF(I330:BG330,"&lt;&gt;" &amp; "")&gt;0</formula>
    </cfRule>
    <cfRule type="expression" dxfId="1" priority="1594">
      <formula>AND(COUNTIF(I330:BG330,"&lt;&gt;" &amp; "")&gt;0,NOT(ISBLANK(G330)))</formula>
    </cfRule>
  </conditionalFormatting>
  <conditionalFormatting sqref="G331">
    <cfRule type="expression" dxfId="0" priority="1596">
      <formula>COUNTIF(I331:BG331,"&lt;&gt;" &amp; "")&gt;0</formula>
    </cfRule>
    <cfRule type="expression" dxfId="1" priority="1597">
      <formula>AND(COUNTIF(I331:BG331,"&lt;&gt;" &amp; "")&gt;0,NOT(ISBLANK(G331)))</formula>
    </cfRule>
  </conditionalFormatting>
  <conditionalFormatting sqref="G332">
    <cfRule type="expression" dxfId="0" priority="1599">
      <formula>COUNTIF(I332:BG332,"&lt;&gt;" &amp; "")&gt;0</formula>
    </cfRule>
    <cfRule type="expression" dxfId="1" priority="1600">
      <formula>AND(COUNTIF(I332:BG332,"&lt;&gt;" &amp; "")&gt;0,NOT(ISBLANK(G332)))</formula>
    </cfRule>
  </conditionalFormatting>
  <conditionalFormatting sqref="G333">
    <cfRule type="expression" dxfId="0" priority="1602">
      <formula>COUNTIF(I333:BG333,"&lt;&gt;" &amp; "")&gt;0</formula>
    </cfRule>
    <cfRule type="expression" dxfId="1" priority="1603">
      <formula>AND(COUNTIF(I333:BG333,"&lt;&gt;" &amp; "")&gt;0,NOT(ISBLANK(G333)))</formula>
    </cfRule>
  </conditionalFormatting>
  <conditionalFormatting sqref="G334">
    <cfRule type="expression" dxfId="0" priority="1605">
      <formula>COUNTIF(I334:BG334,"&lt;&gt;" &amp; "")&gt;0</formula>
    </cfRule>
    <cfRule type="expression" dxfId="1" priority="1606">
      <formula>AND(COUNTIF(I334:BG334,"&lt;&gt;" &amp; "")&gt;0,NOT(ISBLANK(G334)))</formula>
    </cfRule>
  </conditionalFormatting>
  <conditionalFormatting sqref="G335">
    <cfRule type="expression" dxfId="0" priority="1608">
      <formula>COUNTIF(I335:BG335,"&lt;&gt;" &amp; "")&gt;0</formula>
    </cfRule>
    <cfRule type="expression" dxfId="1" priority="1609">
      <formula>AND(COUNTIF(I335:BG335,"&lt;&gt;" &amp; "")&gt;0,NOT(ISBLANK(G335)))</formula>
    </cfRule>
  </conditionalFormatting>
  <conditionalFormatting sqref="G336">
    <cfRule type="expression" dxfId="0" priority="1611">
      <formula>COUNTIF(I336:BG336,"&lt;&gt;" &amp; "")&gt;0</formula>
    </cfRule>
    <cfRule type="expression" dxfId="1" priority="1612">
      <formula>AND(COUNTIF(I336:BG336,"&lt;&gt;" &amp; "")&gt;0,NOT(ISBLANK(G336)))</formula>
    </cfRule>
  </conditionalFormatting>
  <conditionalFormatting sqref="G337">
    <cfRule type="expression" dxfId="0" priority="1614">
      <formula>COUNTIF(I337:BG337,"&lt;&gt;" &amp; "")&gt;0</formula>
    </cfRule>
    <cfRule type="expression" dxfId="1" priority="1615">
      <formula>AND(COUNTIF(I337:BG337,"&lt;&gt;" &amp; "")&gt;0,NOT(ISBLANK(G337)))</formula>
    </cfRule>
  </conditionalFormatting>
  <conditionalFormatting sqref="G338">
    <cfRule type="expression" dxfId="0" priority="1617">
      <formula>COUNTIF(I338:BG338,"&lt;&gt;" &amp; "")&gt;0</formula>
    </cfRule>
    <cfRule type="expression" dxfId="1" priority="1618">
      <formula>AND(COUNTIF(I338:BG338,"&lt;&gt;" &amp; "")&gt;0,NOT(ISBLANK(G338)))</formula>
    </cfRule>
  </conditionalFormatting>
  <conditionalFormatting sqref="G339">
    <cfRule type="expression" dxfId="0" priority="1620">
      <formula>COUNTIF(I339:BG339,"&lt;&gt;" &amp; "")&gt;0</formula>
    </cfRule>
    <cfRule type="expression" dxfId="1" priority="1621">
      <formula>AND(COUNTIF(I339:BG339,"&lt;&gt;" &amp; "")&gt;0,NOT(ISBLANK(G339)))</formula>
    </cfRule>
  </conditionalFormatting>
  <conditionalFormatting sqref="G34">
    <cfRule type="expression" dxfId="0" priority="404">
      <formula>COUNTIF(I34:BG34,"&lt;&gt;" &amp; "")&gt;0</formula>
    </cfRule>
    <cfRule type="expression" dxfId="1" priority="405">
      <formula>AND(COUNTIF(I34:BG34,"&lt;&gt;" &amp; "")&gt;0,NOT(ISBLANK(G34)))</formula>
    </cfRule>
  </conditionalFormatting>
  <conditionalFormatting sqref="G340">
    <cfRule type="expression" dxfId="0" priority="1623">
      <formula>COUNTIF(I340:BG340,"&lt;&gt;" &amp; "")&gt;0</formula>
    </cfRule>
    <cfRule type="expression" dxfId="1" priority="1624">
      <formula>AND(COUNTIF(I340:BG340,"&lt;&gt;" &amp; "")&gt;0,NOT(ISBLANK(G340)))</formula>
    </cfRule>
  </conditionalFormatting>
  <conditionalFormatting sqref="G341">
    <cfRule type="expression" dxfId="0" priority="1626">
      <formula>COUNTIF(I341:BG341,"&lt;&gt;" &amp; "")&gt;0</formula>
    </cfRule>
    <cfRule type="expression" dxfId="1" priority="1627">
      <formula>AND(COUNTIF(I341:BG341,"&lt;&gt;" &amp; "")&gt;0,NOT(ISBLANK(G341)))</formula>
    </cfRule>
  </conditionalFormatting>
  <conditionalFormatting sqref="G342">
    <cfRule type="expression" dxfId="0" priority="1629">
      <formula>COUNTIF(I342:BG342,"&lt;&gt;" &amp; "")&gt;0</formula>
    </cfRule>
    <cfRule type="expression" dxfId="1" priority="1630">
      <formula>AND(COUNTIF(I342:BG342,"&lt;&gt;" &amp; "")&gt;0,NOT(ISBLANK(G342)))</formula>
    </cfRule>
  </conditionalFormatting>
  <conditionalFormatting sqref="G343">
    <cfRule type="expression" dxfId="0" priority="1632">
      <formula>COUNTIF(I343:BG343,"&lt;&gt;" &amp; "")&gt;0</formula>
    </cfRule>
    <cfRule type="expression" dxfId="1" priority="1633">
      <formula>AND(COUNTIF(I343:BG343,"&lt;&gt;" &amp; "")&gt;0,NOT(ISBLANK(G343)))</formula>
    </cfRule>
  </conditionalFormatting>
  <conditionalFormatting sqref="G344">
    <cfRule type="expression" dxfId="0" priority="1635">
      <formula>COUNTIF(I344:BG344,"&lt;&gt;" &amp; "")&gt;0</formula>
    </cfRule>
    <cfRule type="expression" dxfId="1" priority="1636">
      <formula>AND(COUNTIF(I344:BG344,"&lt;&gt;" &amp; "")&gt;0,NOT(ISBLANK(G344)))</formula>
    </cfRule>
  </conditionalFormatting>
  <conditionalFormatting sqref="G345">
    <cfRule type="expression" dxfId="0" priority="1638">
      <formula>COUNTIF(I345:BG345,"&lt;&gt;" &amp; "")&gt;0</formula>
    </cfRule>
    <cfRule type="expression" dxfId="1" priority="1639">
      <formula>AND(COUNTIF(I345:BG345,"&lt;&gt;" &amp; "")&gt;0,NOT(ISBLANK(G345)))</formula>
    </cfRule>
  </conditionalFormatting>
  <conditionalFormatting sqref="G346">
    <cfRule type="expression" dxfId="0" priority="1641">
      <formula>COUNTIF(I346:BG346,"&lt;&gt;" &amp; "")&gt;0</formula>
    </cfRule>
    <cfRule type="expression" dxfId="1" priority="1642">
      <formula>AND(COUNTIF(I346:BG346,"&lt;&gt;" &amp; "")&gt;0,NOT(ISBLANK(G346)))</formula>
    </cfRule>
  </conditionalFormatting>
  <conditionalFormatting sqref="G347">
    <cfRule type="expression" dxfId="0" priority="1644">
      <formula>COUNTIF(I347:BG347,"&lt;&gt;" &amp; "")&gt;0</formula>
    </cfRule>
    <cfRule type="expression" dxfId="1" priority="1645">
      <formula>AND(COUNTIF(I347:BG347,"&lt;&gt;" &amp; "")&gt;0,NOT(ISBLANK(G347)))</formula>
    </cfRule>
  </conditionalFormatting>
  <conditionalFormatting sqref="G348">
    <cfRule type="expression" dxfId="0" priority="1647">
      <formula>COUNTIF(I348:BG348,"&lt;&gt;" &amp; "")&gt;0</formula>
    </cfRule>
    <cfRule type="expression" dxfId="1" priority="1648">
      <formula>AND(COUNTIF(I348:BG348,"&lt;&gt;" &amp; "")&gt;0,NOT(ISBLANK(G348)))</formula>
    </cfRule>
  </conditionalFormatting>
  <conditionalFormatting sqref="G349">
    <cfRule type="expression" dxfId="0" priority="1650">
      <formula>COUNTIF(I349:BG349,"&lt;&gt;" &amp; "")&gt;0</formula>
    </cfRule>
    <cfRule type="expression" dxfId="1" priority="1651">
      <formula>AND(COUNTIF(I349:BG349,"&lt;&gt;" &amp; "")&gt;0,NOT(ISBLANK(G349)))</formula>
    </cfRule>
  </conditionalFormatting>
  <conditionalFormatting sqref="G35">
    <cfRule type="expression" dxfId="0" priority="407">
      <formula>COUNTIF(I35:BG35,"&lt;&gt;" &amp; "")&gt;0</formula>
    </cfRule>
    <cfRule type="expression" dxfId="1" priority="408">
      <formula>AND(COUNTIF(I35:BG35,"&lt;&gt;" &amp; "")&gt;0,NOT(ISBLANK(G35)))</formula>
    </cfRule>
  </conditionalFormatting>
  <conditionalFormatting sqref="G350">
    <cfRule type="expression" dxfId="0" priority="1653">
      <formula>COUNTIF(I350:BG350,"&lt;&gt;" &amp; "")&gt;0</formula>
    </cfRule>
    <cfRule type="expression" dxfId="1" priority="1654">
      <formula>AND(COUNTIF(I350:BG350,"&lt;&gt;" &amp; "")&gt;0,NOT(ISBLANK(G350)))</formula>
    </cfRule>
  </conditionalFormatting>
  <conditionalFormatting sqref="G351">
    <cfRule type="expression" dxfId="0" priority="1656">
      <formula>COUNTIF(I351:BG351,"&lt;&gt;" &amp; "")&gt;0</formula>
    </cfRule>
    <cfRule type="expression" dxfId="1" priority="1657">
      <formula>AND(COUNTIF(I351:BG351,"&lt;&gt;" &amp; "")&gt;0,NOT(ISBLANK(G351)))</formula>
    </cfRule>
  </conditionalFormatting>
  <conditionalFormatting sqref="G352">
    <cfRule type="expression" dxfId="0" priority="1659">
      <formula>COUNTIF(I352:BG352,"&lt;&gt;" &amp; "")&gt;0</formula>
    </cfRule>
    <cfRule type="expression" dxfId="1" priority="1660">
      <formula>AND(COUNTIF(I352:BG352,"&lt;&gt;" &amp; "")&gt;0,NOT(ISBLANK(G352)))</formula>
    </cfRule>
  </conditionalFormatting>
  <conditionalFormatting sqref="G353">
    <cfRule type="expression" dxfId="0" priority="1662">
      <formula>COUNTIF(I353:BG353,"&lt;&gt;" &amp; "")&gt;0</formula>
    </cfRule>
    <cfRule type="expression" dxfId="1" priority="1663">
      <formula>AND(COUNTIF(I353:BG353,"&lt;&gt;" &amp; "")&gt;0,NOT(ISBLANK(G353)))</formula>
    </cfRule>
  </conditionalFormatting>
  <conditionalFormatting sqref="G354">
    <cfRule type="expression" dxfId="0" priority="1665">
      <formula>COUNTIF(I354:BG354,"&lt;&gt;" &amp; "")&gt;0</formula>
    </cfRule>
    <cfRule type="expression" dxfId="1" priority="1666">
      <formula>AND(COUNTIF(I354:BG354,"&lt;&gt;" &amp; "")&gt;0,NOT(ISBLANK(G354)))</formula>
    </cfRule>
  </conditionalFormatting>
  <conditionalFormatting sqref="G355">
    <cfRule type="expression" dxfId="0" priority="1668">
      <formula>COUNTIF(I355:BG355,"&lt;&gt;" &amp; "")&gt;0</formula>
    </cfRule>
    <cfRule type="expression" dxfId="1" priority="1669">
      <formula>AND(COUNTIF(I355:BG355,"&lt;&gt;" &amp; "")&gt;0,NOT(ISBLANK(G355)))</formula>
    </cfRule>
  </conditionalFormatting>
  <conditionalFormatting sqref="G356">
    <cfRule type="expression" dxfId="0" priority="1671">
      <formula>COUNTIF(I356:BG356,"&lt;&gt;" &amp; "")&gt;0</formula>
    </cfRule>
    <cfRule type="expression" dxfId="1" priority="1672">
      <formula>AND(COUNTIF(I356:BG356,"&lt;&gt;" &amp; "")&gt;0,NOT(ISBLANK(G356)))</formula>
    </cfRule>
  </conditionalFormatting>
  <conditionalFormatting sqref="G357">
    <cfRule type="expression" dxfId="0" priority="1674">
      <formula>COUNTIF(I357:BG357,"&lt;&gt;" &amp; "")&gt;0</formula>
    </cfRule>
    <cfRule type="expression" dxfId="1" priority="1675">
      <formula>AND(COUNTIF(I357:BG357,"&lt;&gt;" &amp; "")&gt;0,NOT(ISBLANK(G357)))</formula>
    </cfRule>
  </conditionalFormatting>
  <conditionalFormatting sqref="G358">
    <cfRule type="expression" dxfId="0" priority="1677">
      <formula>COUNTIF(I358:BG358,"&lt;&gt;" &amp; "")&gt;0</formula>
    </cfRule>
    <cfRule type="expression" dxfId="1" priority="1678">
      <formula>AND(COUNTIF(I358:BG358,"&lt;&gt;" &amp; "")&gt;0,NOT(ISBLANK(G358)))</formula>
    </cfRule>
  </conditionalFormatting>
  <conditionalFormatting sqref="G359">
    <cfRule type="expression" dxfId="0" priority="1680">
      <formula>COUNTIF(I359:BG359,"&lt;&gt;" &amp; "")&gt;0</formula>
    </cfRule>
    <cfRule type="expression" dxfId="1" priority="1681">
      <formula>AND(COUNTIF(I359:BG359,"&lt;&gt;" &amp; "")&gt;0,NOT(ISBLANK(G359)))</formula>
    </cfRule>
  </conditionalFormatting>
  <conditionalFormatting sqref="G36">
    <cfRule type="expression" dxfId="0" priority="410">
      <formula>COUNTIF(I36:BG36,"&lt;&gt;" &amp; "")&gt;0</formula>
    </cfRule>
    <cfRule type="expression" dxfId="1" priority="411">
      <formula>AND(COUNTIF(I36:BG36,"&lt;&gt;" &amp; "")&gt;0,NOT(ISBLANK(G36)))</formula>
    </cfRule>
  </conditionalFormatting>
  <conditionalFormatting sqref="G360">
    <cfRule type="expression" dxfId="0" priority="1683">
      <formula>COUNTIF(I360:BG360,"&lt;&gt;" &amp; "")&gt;0</formula>
    </cfRule>
    <cfRule type="expression" dxfId="1" priority="1684">
      <formula>AND(COUNTIF(I360:BG360,"&lt;&gt;" &amp; "")&gt;0,NOT(ISBLANK(G360)))</formula>
    </cfRule>
  </conditionalFormatting>
  <conditionalFormatting sqref="G361">
    <cfRule type="expression" dxfId="0" priority="1686">
      <formula>COUNTIF(I361:BG361,"&lt;&gt;" &amp; "")&gt;0</formula>
    </cfRule>
    <cfRule type="expression" dxfId="1" priority="1687">
      <formula>AND(COUNTIF(I361:BG361,"&lt;&gt;" &amp; "")&gt;0,NOT(ISBLANK(G361)))</formula>
    </cfRule>
  </conditionalFormatting>
  <conditionalFormatting sqref="G362">
    <cfRule type="expression" dxfId="0" priority="1689">
      <formula>COUNTIF(I362:BG362,"&lt;&gt;" &amp; "")&gt;0</formula>
    </cfRule>
    <cfRule type="expression" dxfId="1" priority="1690">
      <formula>AND(COUNTIF(I362:BG362,"&lt;&gt;" &amp; "")&gt;0,NOT(ISBLANK(G362)))</formula>
    </cfRule>
  </conditionalFormatting>
  <conditionalFormatting sqref="G363">
    <cfRule type="expression" dxfId="0" priority="1692">
      <formula>COUNTIF(I363:BG363,"&lt;&gt;" &amp; "")&gt;0</formula>
    </cfRule>
    <cfRule type="expression" dxfId="1" priority="1693">
      <formula>AND(COUNTIF(I363:BG363,"&lt;&gt;" &amp; "")&gt;0,NOT(ISBLANK(G363)))</formula>
    </cfRule>
  </conditionalFormatting>
  <conditionalFormatting sqref="G364">
    <cfRule type="expression" dxfId="0" priority="1695">
      <formula>COUNTIF(I364:BG364,"&lt;&gt;" &amp; "")&gt;0</formula>
    </cfRule>
    <cfRule type="expression" dxfId="1" priority="1696">
      <formula>AND(COUNTIF(I364:BG364,"&lt;&gt;" &amp; "")&gt;0,NOT(ISBLANK(G364)))</formula>
    </cfRule>
  </conditionalFormatting>
  <conditionalFormatting sqref="G365">
    <cfRule type="expression" dxfId="0" priority="1698">
      <formula>COUNTIF(I365:BG365,"&lt;&gt;" &amp; "")&gt;0</formula>
    </cfRule>
    <cfRule type="expression" dxfId="1" priority="1699">
      <formula>AND(COUNTIF(I365:BG365,"&lt;&gt;" &amp; "")&gt;0,NOT(ISBLANK(G365)))</formula>
    </cfRule>
  </conditionalFormatting>
  <conditionalFormatting sqref="G366">
    <cfRule type="expression" dxfId="0" priority="1701">
      <formula>COUNTIF(I366:BG366,"&lt;&gt;" &amp; "")&gt;0</formula>
    </cfRule>
    <cfRule type="expression" dxfId="1" priority="1702">
      <formula>AND(COUNTIF(I366:BG366,"&lt;&gt;" &amp; "")&gt;0,NOT(ISBLANK(G366)))</formula>
    </cfRule>
  </conditionalFormatting>
  <conditionalFormatting sqref="G367">
    <cfRule type="expression" dxfId="0" priority="1704">
      <formula>COUNTIF(I367:BG367,"&lt;&gt;" &amp; "")&gt;0</formula>
    </cfRule>
    <cfRule type="expression" dxfId="1" priority="1705">
      <formula>AND(COUNTIF(I367:BG367,"&lt;&gt;" &amp; "")&gt;0,NOT(ISBLANK(G367)))</formula>
    </cfRule>
  </conditionalFormatting>
  <conditionalFormatting sqref="G368">
    <cfRule type="expression" dxfId="0" priority="1707">
      <formula>COUNTIF(I368:BG368,"&lt;&gt;" &amp; "")&gt;0</formula>
    </cfRule>
    <cfRule type="expression" dxfId="1" priority="1708">
      <formula>AND(COUNTIF(I368:BG368,"&lt;&gt;" &amp; "")&gt;0,NOT(ISBLANK(G368)))</formula>
    </cfRule>
  </conditionalFormatting>
  <conditionalFormatting sqref="G369">
    <cfRule type="expression" dxfId="0" priority="1710">
      <formula>COUNTIF(I369:BG369,"&lt;&gt;" &amp; "")&gt;0</formula>
    </cfRule>
    <cfRule type="expression" dxfId="1" priority="1711">
      <formula>AND(COUNTIF(I369:BG369,"&lt;&gt;" &amp; "")&gt;0,NOT(ISBLANK(G369)))</formula>
    </cfRule>
  </conditionalFormatting>
  <conditionalFormatting sqref="G37">
    <cfRule type="expression" dxfId="0" priority="413">
      <formula>COUNTIF(I37:BG37,"&lt;&gt;" &amp; "")&gt;0</formula>
    </cfRule>
    <cfRule type="expression" dxfId="1" priority="414">
      <formula>AND(COUNTIF(I37:BG37,"&lt;&gt;" &amp; "")&gt;0,NOT(ISBLANK(G37)))</formula>
    </cfRule>
  </conditionalFormatting>
  <conditionalFormatting sqref="G370">
    <cfRule type="expression" dxfId="0" priority="1713">
      <formula>COUNTIF(I370:BG370,"&lt;&gt;" &amp; "")&gt;0</formula>
    </cfRule>
    <cfRule type="expression" dxfId="1" priority="1714">
      <formula>AND(COUNTIF(I370:BG370,"&lt;&gt;" &amp; "")&gt;0,NOT(ISBLANK(G370)))</formula>
    </cfRule>
  </conditionalFormatting>
  <conditionalFormatting sqref="G371">
    <cfRule type="expression" dxfId="0" priority="1716">
      <formula>COUNTIF(I371:BG371,"&lt;&gt;" &amp; "")&gt;0</formula>
    </cfRule>
    <cfRule type="expression" dxfId="1" priority="1717">
      <formula>AND(COUNTIF(I371:BG371,"&lt;&gt;" &amp; "")&gt;0,NOT(ISBLANK(G371)))</formula>
    </cfRule>
  </conditionalFormatting>
  <conditionalFormatting sqref="G372">
    <cfRule type="expression" dxfId="0" priority="1719">
      <formula>COUNTIF(I372:BG372,"&lt;&gt;" &amp; "")&gt;0</formula>
    </cfRule>
    <cfRule type="expression" dxfId="1" priority="1720">
      <formula>AND(COUNTIF(I372:BG372,"&lt;&gt;" &amp; "")&gt;0,NOT(ISBLANK(G372)))</formula>
    </cfRule>
  </conditionalFormatting>
  <conditionalFormatting sqref="G373">
    <cfRule type="expression" dxfId="0" priority="1722">
      <formula>COUNTIF(I373:BG373,"&lt;&gt;" &amp; "")&gt;0</formula>
    </cfRule>
    <cfRule type="expression" dxfId="1" priority="1723">
      <formula>AND(COUNTIF(I373:BG373,"&lt;&gt;" &amp; "")&gt;0,NOT(ISBLANK(G373)))</formula>
    </cfRule>
  </conditionalFormatting>
  <conditionalFormatting sqref="G374">
    <cfRule type="expression" dxfId="0" priority="1725">
      <formula>COUNTIF(I374:BG374,"&lt;&gt;" &amp; "")&gt;0</formula>
    </cfRule>
    <cfRule type="expression" dxfId="1" priority="1726">
      <formula>AND(COUNTIF(I374:BG374,"&lt;&gt;" &amp; "")&gt;0,NOT(ISBLANK(G374)))</formula>
    </cfRule>
  </conditionalFormatting>
  <conditionalFormatting sqref="G375">
    <cfRule type="expression" dxfId="0" priority="1728">
      <formula>COUNTIF(I375:BG375,"&lt;&gt;" &amp; "")&gt;0</formula>
    </cfRule>
    <cfRule type="expression" dxfId="1" priority="1729">
      <formula>AND(COUNTIF(I375:BG375,"&lt;&gt;" &amp; "")&gt;0,NOT(ISBLANK(G375)))</formula>
    </cfRule>
  </conditionalFormatting>
  <conditionalFormatting sqref="G376">
    <cfRule type="expression" dxfId="0" priority="1731">
      <formula>COUNTIF(I376:BG376,"&lt;&gt;" &amp; "")&gt;0</formula>
    </cfRule>
    <cfRule type="expression" dxfId="1" priority="1732">
      <formula>AND(COUNTIF(I376:BG376,"&lt;&gt;" &amp; "")&gt;0,NOT(ISBLANK(G376)))</formula>
    </cfRule>
  </conditionalFormatting>
  <conditionalFormatting sqref="G377">
    <cfRule type="expression" dxfId="0" priority="1734">
      <formula>COUNTIF(I377:BG377,"&lt;&gt;" &amp; "")&gt;0</formula>
    </cfRule>
    <cfRule type="expression" dxfId="1" priority="1735">
      <formula>AND(COUNTIF(I377:BG377,"&lt;&gt;" &amp; "")&gt;0,NOT(ISBLANK(G377)))</formula>
    </cfRule>
  </conditionalFormatting>
  <conditionalFormatting sqref="G378">
    <cfRule type="expression" dxfId="0" priority="1737">
      <formula>COUNTIF(I378:BG378,"&lt;&gt;" &amp; "")&gt;0</formula>
    </cfRule>
    <cfRule type="expression" dxfId="1" priority="1738">
      <formula>AND(COUNTIF(I378:BG378,"&lt;&gt;" &amp; "")&gt;0,NOT(ISBLANK(G378)))</formula>
    </cfRule>
  </conditionalFormatting>
  <conditionalFormatting sqref="G379">
    <cfRule type="expression" dxfId="0" priority="1740">
      <formula>COUNTIF(I379:BG379,"&lt;&gt;" &amp; "")&gt;0</formula>
    </cfRule>
    <cfRule type="expression" dxfId="1" priority="1741">
      <formula>AND(COUNTIF(I379:BG379,"&lt;&gt;" &amp; "")&gt;0,NOT(ISBLANK(G379)))</formula>
    </cfRule>
  </conditionalFormatting>
  <conditionalFormatting sqref="G38">
    <cfRule type="expression" dxfId="0" priority="416">
      <formula>COUNTIF(I38:BG38,"&lt;&gt;" &amp; "")&gt;0</formula>
    </cfRule>
    <cfRule type="expression" dxfId="1" priority="417">
      <formula>AND(COUNTIF(I38:BG38,"&lt;&gt;" &amp; "")&gt;0,NOT(ISBLANK(G38)))</formula>
    </cfRule>
  </conditionalFormatting>
  <conditionalFormatting sqref="G380">
    <cfRule type="expression" dxfId="0" priority="1743">
      <formula>COUNTIF(I380:BG380,"&lt;&gt;" &amp; "")&gt;0</formula>
    </cfRule>
    <cfRule type="expression" dxfId="1" priority="1744">
      <formula>AND(COUNTIF(I380:BG380,"&lt;&gt;" &amp; "")&gt;0,NOT(ISBLANK(G380)))</formula>
    </cfRule>
  </conditionalFormatting>
  <conditionalFormatting sqref="G381">
    <cfRule type="expression" dxfId="0" priority="1746">
      <formula>COUNTIF(I381:BG381,"&lt;&gt;" &amp; "")&gt;0</formula>
    </cfRule>
    <cfRule type="expression" dxfId="1" priority="1747">
      <formula>AND(COUNTIF(I381:BG381,"&lt;&gt;" &amp; "")&gt;0,NOT(ISBLANK(G381)))</formula>
    </cfRule>
  </conditionalFormatting>
  <conditionalFormatting sqref="G382">
    <cfRule type="expression" dxfId="0" priority="1749">
      <formula>COUNTIF(I382:BG382,"&lt;&gt;" &amp; "")&gt;0</formula>
    </cfRule>
    <cfRule type="expression" dxfId="1" priority="1750">
      <formula>AND(COUNTIF(I382:BG382,"&lt;&gt;" &amp; "")&gt;0,NOT(ISBLANK(G382)))</formula>
    </cfRule>
  </conditionalFormatting>
  <conditionalFormatting sqref="G383">
    <cfRule type="expression" dxfId="0" priority="1752">
      <formula>COUNTIF(I383:BG383,"&lt;&gt;" &amp; "")&gt;0</formula>
    </cfRule>
    <cfRule type="expression" dxfId="1" priority="1753">
      <formula>AND(COUNTIF(I383:BG383,"&lt;&gt;" &amp; "")&gt;0,NOT(ISBLANK(G383)))</formula>
    </cfRule>
  </conditionalFormatting>
  <conditionalFormatting sqref="G384">
    <cfRule type="expression" dxfId="0" priority="1755">
      <formula>COUNTIF(I384:BG384,"&lt;&gt;" &amp; "")&gt;0</formula>
    </cfRule>
    <cfRule type="expression" dxfId="1" priority="1756">
      <formula>AND(COUNTIF(I384:BG384,"&lt;&gt;" &amp; "")&gt;0,NOT(ISBLANK(G384)))</formula>
    </cfRule>
  </conditionalFormatting>
  <conditionalFormatting sqref="G385">
    <cfRule type="expression" dxfId="0" priority="1758">
      <formula>COUNTIF(I385:BG385,"&lt;&gt;" &amp; "")&gt;0</formula>
    </cfRule>
    <cfRule type="expression" dxfId="1" priority="1759">
      <formula>AND(COUNTIF(I385:BG385,"&lt;&gt;" &amp; "")&gt;0,NOT(ISBLANK(G385)))</formula>
    </cfRule>
  </conditionalFormatting>
  <conditionalFormatting sqref="G386">
    <cfRule type="expression" dxfId="0" priority="1761">
      <formula>COUNTIF(I386:BG386,"&lt;&gt;" &amp; "")&gt;0</formula>
    </cfRule>
    <cfRule type="expression" dxfId="1" priority="1762">
      <formula>AND(COUNTIF(I386:BG386,"&lt;&gt;" &amp; "")&gt;0,NOT(ISBLANK(G386)))</formula>
    </cfRule>
  </conditionalFormatting>
  <conditionalFormatting sqref="G387">
    <cfRule type="expression" dxfId="0" priority="1764">
      <formula>COUNTIF(I387:BG387,"&lt;&gt;" &amp; "")&gt;0</formula>
    </cfRule>
    <cfRule type="expression" dxfId="1" priority="1765">
      <formula>AND(COUNTIF(I387:BG387,"&lt;&gt;" &amp; "")&gt;0,NOT(ISBLANK(G387)))</formula>
    </cfRule>
  </conditionalFormatting>
  <conditionalFormatting sqref="G388">
    <cfRule type="expression" dxfId="0" priority="1767">
      <formula>COUNTIF(I388:BG388,"&lt;&gt;" &amp; "")&gt;0</formula>
    </cfRule>
    <cfRule type="expression" dxfId="1" priority="1768">
      <formula>AND(COUNTIF(I388:BG388,"&lt;&gt;" &amp; "")&gt;0,NOT(ISBLANK(G388)))</formula>
    </cfRule>
  </conditionalFormatting>
  <conditionalFormatting sqref="G389">
    <cfRule type="expression" dxfId="0" priority="1770">
      <formula>COUNTIF(I389:BG389,"&lt;&gt;" &amp; "")&gt;0</formula>
    </cfRule>
    <cfRule type="expression" dxfId="1" priority="1771">
      <formula>AND(COUNTIF(I389:BG389,"&lt;&gt;" &amp; "")&gt;0,NOT(ISBLANK(G389)))</formula>
    </cfRule>
  </conditionalFormatting>
  <conditionalFormatting sqref="G39">
    <cfRule type="expression" dxfId="0" priority="419">
      <formula>COUNTIF(I39:BG39,"&lt;&gt;" &amp; "")&gt;0</formula>
    </cfRule>
    <cfRule type="expression" dxfId="1" priority="420">
      <formula>AND(COUNTIF(I39:BG39,"&lt;&gt;" &amp; "")&gt;0,NOT(ISBLANK(G39)))</formula>
    </cfRule>
  </conditionalFormatting>
  <conditionalFormatting sqref="G390">
    <cfRule type="expression" dxfId="0" priority="1773">
      <formula>COUNTIF(I390:BG390,"&lt;&gt;" &amp; "")&gt;0</formula>
    </cfRule>
    <cfRule type="expression" dxfId="1" priority="1774">
      <formula>AND(COUNTIF(I390:BG390,"&lt;&gt;" &amp; "")&gt;0,NOT(ISBLANK(G390)))</formula>
    </cfRule>
  </conditionalFormatting>
  <conditionalFormatting sqref="G391">
    <cfRule type="expression" dxfId="0" priority="1776">
      <formula>COUNTIF(I391:BG391,"&lt;&gt;" &amp; "")&gt;0</formula>
    </cfRule>
    <cfRule type="expression" dxfId="1" priority="1777">
      <formula>AND(COUNTIF(I391:BG391,"&lt;&gt;" &amp; "")&gt;0,NOT(ISBLANK(G391)))</formula>
    </cfRule>
  </conditionalFormatting>
  <conditionalFormatting sqref="G392">
    <cfRule type="expression" dxfId="0" priority="1779">
      <formula>COUNTIF(I392:BG392,"&lt;&gt;" &amp; "")&gt;0</formula>
    </cfRule>
    <cfRule type="expression" dxfId="1" priority="1780">
      <formula>AND(COUNTIF(I392:BG392,"&lt;&gt;" &amp; "")&gt;0,NOT(ISBLANK(G392)))</formula>
    </cfRule>
  </conditionalFormatting>
  <conditionalFormatting sqref="G393">
    <cfRule type="expression" dxfId="0" priority="1782">
      <formula>COUNTIF(I393:BG393,"&lt;&gt;" &amp; "")&gt;0</formula>
    </cfRule>
    <cfRule type="expression" dxfId="1" priority="1783">
      <formula>AND(COUNTIF(I393:BG393,"&lt;&gt;" &amp; "")&gt;0,NOT(ISBLANK(G393)))</formula>
    </cfRule>
  </conditionalFormatting>
  <conditionalFormatting sqref="G394">
    <cfRule type="expression" dxfId="0" priority="1785">
      <formula>COUNTIF(I394:BG394,"&lt;&gt;" &amp; "")&gt;0</formula>
    </cfRule>
    <cfRule type="expression" dxfId="1" priority="1786">
      <formula>AND(COUNTIF(I394:BG394,"&lt;&gt;" &amp; "")&gt;0,NOT(ISBLANK(G394)))</formula>
    </cfRule>
  </conditionalFormatting>
  <conditionalFormatting sqref="G395">
    <cfRule type="expression" dxfId="0" priority="1788">
      <formula>COUNTIF(I395:BG395,"&lt;&gt;" &amp; "")&gt;0</formula>
    </cfRule>
    <cfRule type="expression" dxfId="1" priority="1789">
      <formula>AND(COUNTIF(I395:BG395,"&lt;&gt;" &amp; "")&gt;0,NOT(ISBLANK(G395)))</formula>
    </cfRule>
  </conditionalFormatting>
  <conditionalFormatting sqref="G396">
    <cfRule type="expression" dxfId="0" priority="1791">
      <formula>COUNTIF(I396:BG396,"&lt;&gt;" &amp; "")&gt;0</formula>
    </cfRule>
    <cfRule type="expression" dxfId="1" priority="1792">
      <formula>AND(COUNTIF(I396:BG396,"&lt;&gt;" &amp; "")&gt;0,NOT(ISBLANK(G396)))</formula>
    </cfRule>
  </conditionalFormatting>
  <conditionalFormatting sqref="G397">
    <cfRule type="expression" dxfId="0" priority="1794">
      <formula>COUNTIF(I397:BG397,"&lt;&gt;" &amp; "")&gt;0</formula>
    </cfRule>
    <cfRule type="expression" dxfId="1" priority="1795">
      <formula>AND(COUNTIF(I397:BG397,"&lt;&gt;" &amp; "")&gt;0,NOT(ISBLANK(G397)))</formula>
    </cfRule>
  </conditionalFormatting>
  <conditionalFormatting sqref="G398">
    <cfRule type="expression" dxfId="0" priority="1797">
      <formula>COUNTIF(I398:BG398,"&lt;&gt;" &amp; "")&gt;0</formula>
    </cfRule>
    <cfRule type="expression" dxfId="1" priority="1798">
      <formula>AND(COUNTIF(I398:BG398,"&lt;&gt;" &amp; "")&gt;0,NOT(ISBLANK(G398)))</formula>
    </cfRule>
  </conditionalFormatting>
  <conditionalFormatting sqref="G399">
    <cfRule type="expression" dxfId="0" priority="1800">
      <formula>COUNTIF(I399:BG399,"&lt;&gt;" &amp; "")&gt;0</formula>
    </cfRule>
    <cfRule type="expression" dxfId="1" priority="1801">
      <formula>AND(COUNTIF(I399:BG399,"&lt;&gt;" &amp; "")&gt;0,NOT(ISBLANK(G399)))</formula>
    </cfRule>
  </conditionalFormatting>
  <conditionalFormatting sqref="G40">
    <cfRule type="expression" dxfId="0" priority="422">
      <formula>COUNTIF(I40:BG40,"&lt;&gt;" &amp; "")&gt;0</formula>
    </cfRule>
    <cfRule type="expression" dxfId="1" priority="423">
      <formula>AND(COUNTIF(I40:BG40,"&lt;&gt;" &amp; "")&gt;0,NOT(ISBLANK(G40)))</formula>
    </cfRule>
  </conditionalFormatting>
  <conditionalFormatting sqref="G400">
    <cfRule type="expression" dxfId="0" priority="1803">
      <formula>COUNTIF(I400:BG400,"&lt;&gt;" &amp; "")&gt;0</formula>
    </cfRule>
    <cfRule type="expression" dxfId="1" priority="1804">
      <formula>AND(COUNTIF(I400:BG400,"&lt;&gt;" &amp; "")&gt;0,NOT(ISBLANK(G400)))</formula>
    </cfRule>
  </conditionalFormatting>
  <conditionalFormatting sqref="G401">
    <cfRule type="expression" dxfId="0" priority="1806">
      <formula>COUNTIF(I401:BG401,"&lt;&gt;" &amp; "")&gt;0</formula>
    </cfRule>
    <cfRule type="expression" dxfId="1" priority="1807">
      <formula>AND(COUNTIF(I401:BG401,"&lt;&gt;" &amp; "")&gt;0,NOT(ISBLANK(G401)))</formula>
    </cfRule>
  </conditionalFormatting>
  <conditionalFormatting sqref="G402">
    <cfRule type="expression" dxfId="0" priority="1809">
      <formula>COUNTIF(I402:BG402,"&lt;&gt;" &amp; "")&gt;0</formula>
    </cfRule>
    <cfRule type="expression" dxfId="1" priority="1810">
      <formula>AND(COUNTIF(I402:BG402,"&lt;&gt;" &amp; "")&gt;0,NOT(ISBLANK(G402)))</formula>
    </cfRule>
  </conditionalFormatting>
  <conditionalFormatting sqref="G403">
    <cfRule type="expression" dxfId="0" priority="1812">
      <formula>COUNTIF(I403:BG403,"&lt;&gt;" &amp; "")&gt;0</formula>
    </cfRule>
    <cfRule type="expression" dxfId="1" priority="1813">
      <formula>AND(COUNTIF(I403:BG403,"&lt;&gt;" &amp; "")&gt;0,NOT(ISBLANK(G403)))</formula>
    </cfRule>
  </conditionalFormatting>
  <conditionalFormatting sqref="G404">
    <cfRule type="expression" dxfId="0" priority="1815">
      <formula>COUNTIF(I404:BG404,"&lt;&gt;" &amp; "")&gt;0</formula>
    </cfRule>
    <cfRule type="expression" dxfId="1" priority="1816">
      <formula>AND(COUNTIF(I404:BG404,"&lt;&gt;" &amp; "")&gt;0,NOT(ISBLANK(G404)))</formula>
    </cfRule>
  </conditionalFormatting>
  <conditionalFormatting sqref="G405">
    <cfRule type="expression" dxfId="0" priority="1818">
      <formula>COUNTIF(I405:BG405,"&lt;&gt;" &amp; "")&gt;0</formula>
    </cfRule>
    <cfRule type="expression" dxfId="1" priority="1819">
      <formula>AND(COUNTIF(I405:BG405,"&lt;&gt;" &amp; "")&gt;0,NOT(ISBLANK(G405)))</formula>
    </cfRule>
  </conditionalFormatting>
  <conditionalFormatting sqref="G406">
    <cfRule type="expression" dxfId="0" priority="1821">
      <formula>COUNTIF(I406:BG406,"&lt;&gt;" &amp; "")&gt;0</formula>
    </cfRule>
    <cfRule type="expression" dxfId="1" priority="1822">
      <formula>AND(COUNTIF(I406:BG406,"&lt;&gt;" &amp; "")&gt;0,NOT(ISBLANK(G406)))</formula>
    </cfRule>
  </conditionalFormatting>
  <conditionalFormatting sqref="G407">
    <cfRule type="expression" dxfId="0" priority="1824">
      <formula>COUNTIF(I407:BG407,"&lt;&gt;" &amp; "")&gt;0</formula>
    </cfRule>
    <cfRule type="expression" dxfId="1" priority="1825">
      <formula>AND(COUNTIF(I407:BG407,"&lt;&gt;" &amp; "")&gt;0,NOT(ISBLANK(G407)))</formula>
    </cfRule>
  </conditionalFormatting>
  <conditionalFormatting sqref="G408">
    <cfRule type="expression" dxfId="0" priority="1827">
      <formula>COUNTIF(I408:BG408,"&lt;&gt;" &amp; "")&gt;0</formula>
    </cfRule>
    <cfRule type="expression" dxfId="1" priority="1828">
      <formula>AND(COUNTIF(I408:BG408,"&lt;&gt;" &amp; "")&gt;0,NOT(ISBLANK(G408)))</formula>
    </cfRule>
  </conditionalFormatting>
  <conditionalFormatting sqref="G409">
    <cfRule type="expression" dxfId="0" priority="1830">
      <formula>COUNTIF(I409:BG409,"&lt;&gt;" &amp; "")&gt;0</formula>
    </cfRule>
    <cfRule type="expression" dxfId="1" priority="1831">
      <formula>AND(COUNTIF(I409:BG409,"&lt;&gt;" &amp; "")&gt;0,NOT(ISBLANK(G409)))</formula>
    </cfRule>
  </conditionalFormatting>
  <conditionalFormatting sqref="G41">
    <cfRule type="expression" dxfId="0" priority="425">
      <formula>COUNTIF(I41:BG41,"&lt;&gt;" &amp; "")&gt;0</formula>
    </cfRule>
    <cfRule type="expression" dxfId="1" priority="426">
      <formula>AND(COUNTIF(I41:BG41,"&lt;&gt;" &amp; "")&gt;0,NOT(ISBLANK(G41)))</formula>
    </cfRule>
  </conditionalFormatting>
  <conditionalFormatting sqref="G410">
    <cfRule type="expression" dxfId="0" priority="1833">
      <formula>COUNTIF(I410:BG410,"&lt;&gt;" &amp; "")&gt;0</formula>
    </cfRule>
    <cfRule type="expression" dxfId="1" priority="1834">
      <formula>AND(COUNTIF(I410:BG410,"&lt;&gt;" &amp; "")&gt;0,NOT(ISBLANK(G410)))</formula>
    </cfRule>
  </conditionalFormatting>
  <conditionalFormatting sqref="G411">
    <cfRule type="expression" dxfId="0" priority="1836">
      <formula>COUNTIF(I411:BG411,"&lt;&gt;" &amp; "")&gt;0</formula>
    </cfRule>
    <cfRule type="expression" dxfId="1" priority="1837">
      <formula>AND(COUNTIF(I411:BG411,"&lt;&gt;" &amp; "")&gt;0,NOT(ISBLANK(G411)))</formula>
    </cfRule>
  </conditionalFormatting>
  <conditionalFormatting sqref="G412">
    <cfRule type="expression" dxfId="0" priority="1839">
      <formula>COUNTIF(I412:BG412,"&lt;&gt;" &amp; "")&gt;0</formula>
    </cfRule>
    <cfRule type="expression" dxfId="1" priority="1840">
      <formula>AND(COUNTIF(I412:BG412,"&lt;&gt;" &amp; "")&gt;0,NOT(ISBLANK(G412)))</formula>
    </cfRule>
  </conditionalFormatting>
  <conditionalFormatting sqref="G413">
    <cfRule type="expression" dxfId="0" priority="1842">
      <formula>COUNTIF(I413:BG413,"&lt;&gt;" &amp; "")&gt;0</formula>
    </cfRule>
    <cfRule type="expression" dxfId="1" priority="1843">
      <formula>AND(COUNTIF(I413:BG413,"&lt;&gt;" &amp; "")&gt;0,NOT(ISBLANK(G413)))</formula>
    </cfRule>
  </conditionalFormatting>
  <conditionalFormatting sqref="G414">
    <cfRule type="expression" dxfId="0" priority="1845">
      <formula>COUNTIF(I414:BG414,"&lt;&gt;" &amp; "")&gt;0</formula>
    </cfRule>
    <cfRule type="expression" dxfId="1" priority="1846">
      <formula>AND(COUNTIF(I414:BG414,"&lt;&gt;" &amp; "")&gt;0,NOT(ISBLANK(G414)))</formula>
    </cfRule>
  </conditionalFormatting>
  <conditionalFormatting sqref="G415">
    <cfRule type="expression" dxfId="0" priority="1848">
      <formula>COUNTIF(I415:BG415,"&lt;&gt;" &amp; "")&gt;0</formula>
    </cfRule>
    <cfRule type="expression" dxfId="1" priority="1849">
      <formula>AND(COUNTIF(I415:BG415,"&lt;&gt;" &amp; "")&gt;0,NOT(ISBLANK(G415)))</formula>
    </cfRule>
  </conditionalFormatting>
  <conditionalFormatting sqref="G416">
    <cfRule type="expression" dxfId="0" priority="1851">
      <formula>COUNTIF(I416:BG416,"&lt;&gt;" &amp; "")&gt;0</formula>
    </cfRule>
    <cfRule type="expression" dxfId="1" priority="1852">
      <formula>AND(COUNTIF(I416:BG416,"&lt;&gt;" &amp; "")&gt;0,NOT(ISBLANK(G416)))</formula>
    </cfRule>
  </conditionalFormatting>
  <conditionalFormatting sqref="G417">
    <cfRule type="expression" dxfId="0" priority="1854">
      <formula>COUNTIF(I417:BG417,"&lt;&gt;" &amp; "")&gt;0</formula>
    </cfRule>
    <cfRule type="expression" dxfId="1" priority="1855">
      <formula>AND(COUNTIF(I417:BG417,"&lt;&gt;" &amp; "")&gt;0,NOT(ISBLANK(G417)))</formula>
    </cfRule>
  </conditionalFormatting>
  <conditionalFormatting sqref="G418">
    <cfRule type="expression" dxfId="0" priority="1857">
      <formula>COUNTIF(I418:BG418,"&lt;&gt;" &amp; "")&gt;0</formula>
    </cfRule>
    <cfRule type="expression" dxfId="1" priority="1858">
      <formula>AND(COUNTIF(I418:BG418,"&lt;&gt;" &amp; "")&gt;0,NOT(ISBLANK(G418)))</formula>
    </cfRule>
  </conditionalFormatting>
  <conditionalFormatting sqref="G419">
    <cfRule type="expression" dxfId="0" priority="1860">
      <formula>COUNTIF(I419:BG419,"&lt;&gt;" &amp; "")&gt;0</formula>
    </cfRule>
    <cfRule type="expression" dxfId="1" priority="1861">
      <formula>AND(COUNTIF(I419:BG419,"&lt;&gt;" &amp; "")&gt;0,NOT(ISBLANK(G419)))</formula>
    </cfRule>
  </conditionalFormatting>
  <conditionalFormatting sqref="G42">
    <cfRule type="expression" dxfId="0" priority="428">
      <formula>COUNTIF(I42:BG42,"&lt;&gt;" &amp; "")&gt;0</formula>
    </cfRule>
    <cfRule type="expression" dxfId="1" priority="429">
      <formula>AND(COUNTIF(I42:BG42,"&lt;&gt;" &amp; "")&gt;0,NOT(ISBLANK(G42)))</formula>
    </cfRule>
  </conditionalFormatting>
  <conditionalFormatting sqref="G420">
    <cfRule type="expression" dxfId="0" priority="1863">
      <formula>COUNTIF(I420:BG420,"&lt;&gt;" &amp; "")&gt;0</formula>
    </cfRule>
    <cfRule type="expression" dxfId="1" priority="1864">
      <formula>AND(COUNTIF(I420:BG420,"&lt;&gt;" &amp; "")&gt;0,NOT(ISBLANK(G420)))</formula>
    </cfRule>
  </conditionalFormatting>
  <conditionalFormatting sqref="G421">
    <cfRule type="expression" dxfId="0" priority="1866">
      <formula>COUNTIF(I421:BG421,"&lt;&gt;" &amp; "")&gt;0</formula>
    </cfRule>
    <cfRule type="expression" dxfId="1" priority="1867">
      <formula>AND(COUNTIF(I421:BG421,"&lt;&gt;" &amp; "")&gt;0,NOT(ISBLANK(G421)))</formula>
    </cfRule>
  </conditionalFormatting>
  <conditionalFormatting sqref="G422">
    <cfRule type="expression" dxfId="0" priority="1869">
      <formula>COUNTIF(I422:BG422,"&lt;&gt;" &amp; "")&gt;0</formula>
    </cfRule>
    <cfRule type="expression" dxfId="1" priority="1870">
      <formula>AND(COUNTIF(I422:BG422,"&lt;&gt;" &amp; "")&gt;0,NOT(ISBLANK(G422)))</formula>
    </cfRule>
  </conditionalFormatting>
  <conditionalFormatting sqref="G423">
    <cfRule type="expression" dxfId="0" priority="1872">
      <formula>COUNTIF(I423:BG423,"&lt;&gt;" &amp; "")&gt;0</formula>
    </cfRule>
    <cfRule type="expression" dxfId="1" priority="1873">
      <formula>AND(COUNTIF(I423:BG423,"&lt;&gt;" &amp; "")&gt;0,NOT(ISBLANK(G423)))</formula>
    </cfRule>
  </conditionalFormatting>
  <conditionalFormatting sqref="G424">
    <cfRule type="expression" dxfId="0" priority="1875">
      <formula>COUNTIF(I424:BG424,"&lt;&gt;" &amp; "")&gt;0</formula>
    </cfRule>
    <cfRule type="expression" dxfId="1" priority="1876">
      <formula>AND(COUNTIF(I424:BG424,"&lt;&gt;" &amp; "")&gt;0,NOT(ISBLANK(G424)))</formula>
    </cfRule>
  </conditionalFormatting>
  <conditionalFormatting sqref="G425">
    <cfRule type="expression" dxfId="0" priority="1878">
      <formula>COUNTIF(I425:BG425,"&lt;&gt;" &amp; "")&gt;0</formula>
    </cfRule>
    <cfRule type="expression" dxfId="1" priority="1879">
      <formula>AND(COUNTIF(I425:BG425,"&lt;&gt;" &amp; "")&gt;0,NOT(ISBLANK(G425)))</formula>
    </cfRule>
  </conditionalFormatting>
  <conditionalFormatting sqref="G426">
    <cfRule type="expression" dxfId="0" priority="1881">
      <formula>COUNTIF(I426:BG426,"&lt;&gt;" &amp; "")&gt;0</formula>
    </cfRule>
    <cfRule type="expression" dxfId="1" priority="1882">
      <formula>AND(COUNTIF(I426:BG426,"&lt;&gt;" &amp; "")&gt;0,NOT(ISBLANK(G426)))</formula>
    </cfRule>
  </conditionalFormatting>
  <conditionalFormatting sqref="G427">
    <cfRule type="expression" dxfId="0" priority="1884">
      <formula>COUNTIF(I427:BG427,"&lt;&gt;" &amp; "")&gt;0</formula>
    </cfRule>
    <cfRule type="expression" dxfId="1" priority="1885">
      <formula>AND(COUNTIF(I427:BG427,"&lt;&gt;" &amp; "")&gt;0,NOT(ISBLANK(G427)))</formula>
    </cfRule>
  </conditionalFormatting>
  <conditionalFormatting sqref="G428">
    <cfRule type="expression" dxfId="0" priority="1887">
      <formula>COUNTIF(I428:BG428,"&lt;&gt;" &amp; "")&gt;0</formula>
    </cfRule>
    <cfRule type="expression" dxfId="1" priority="1888">
      <formula>AND(COUNTIF(I428:BG428,"&lt;&gt;" &amp; "")&gt;0,NOT(ISBLANK(G428)))</formula>
    </cfRule>
  </conditionalFormatting>
  <conditionalFormatting sqref="G429">
    <cfRule type="expression" dxfId="0" priority="1890">
      <formula>COUNTIF(I429:BG429,"&lt;&gt;" &amp; "")&gt;0</formula>
    </cfRule>
    <cfRule type="expression" dxfId="1" priority="1891">
      <formula>AND(COUNTIF(I429:BG429,"&lt;&gt;" &amp; "")&gt;0,NOT(ISBLANK(G429)))</formula>
    </cfRule>
  </conditionalFormatting>
  <conditionalFormatting sqref="G43">
    <cfRule type="expression" dxfId="0" priority="431">
      <formula>COUNTIF(I43:BG43,"&lt;&gt;" &amp; "")&gt;0</formula>
    </cfRule>
    <cfRule type="expression" dxfId="1" priority="432">
      <formula>AND(COUNTIF(I43:BG43,"&lt;&gt;" &amp; "")&gt;0,NOT(ISBLANK(G43)))</formula>
    </cfRule>
  </conditionalFormatting>
  <conditionalFormatting sqref="G430">
    <cfRule type="expression" dxfId="0" priority="1893">
      <formula>COUNTIF(I430:BG430,"&lt;&gt;" &amp; "")&gt;0</formula>
    </cfRule>
    <cfRule type="expression" dxfId="1" priority="1894">
      <formula>AND(COUNTIF(I430:BG430,"&lt;&gt;" &amp; "")&gt;0,NOT(ISBLANK(G430)))</formula>
    </cfRule>
  </conditionalFormatting>
  <conditionalFormatting sqref="G431">
    <cfRule type="expression" dxfId="0" priority="1896">
      <formula>COUNTIF(I431:BG431,"&lt;&gt;" &amp; "")&gt;0</formula>
    </cfRule>
    <cfRule type="expression" dxfId="1" priority="1897">
      <formula>AND(COUNTIF(I431:BG431,"&lt;&gt;" &amp; "")&gt;0,NOT(ISBLANK(G431)))</formula>
    </cfRule>
  </conditionalFormatting>
  <conditionalFormatting sqref="G432">
    <cfRule type="expression" dxfId="0" priority="1899">
      <formula>COUNTIF(I432:BG432,"&lt;&gt;" &amp; "")&gt;0</formula>
    </cfRule>
    <cfRule type="expression" dxfId="1" priority="1900">
      <formula>AND(COUNTIF(I432:BG432,"&lt;&gt;" &amp; "")&gt;0,NOT(ISBLANK(G432)))</formula>
    </cfRule>
  </conditionalFormatting>
  <conditionalFormatting sqref="G433">
    <cfRule type="expression" dxfId="0" priority="1902">
      <formula>COUNTIF(I433:BG433,"&lt;&gt;" &amp; "")&gt;0</formula>
    </cfRule>
    <cfRule type="expression" dxfId="1" priority="1903">
      <formula>AND(COUNTIF(I433:BG433,"&lt;&gt;" &amp; "")&gt;0,NOT(ISBLANK(G433)))</formula>
    </cfRule>
  </conditionalFormatting>
  <conditionalFormatting sqref="G439">
    <cfRule type="cellIs" dxfId="2" priority="1913" operator="equal">
      <formula>"Y"</formula>
    </cfRule>
    <cfRule type="cellIs" dxfId="3" priority="1914" operator="equal">
      <formula>"N"</formula>
    </cfRule>
  </conditionalFormatting>
  <conditionalFormatting sqref="G44">
    <cfRule type="expression" dxfId="0" priority="434">
      <formula>COUNTIF(I44:BG44,"&lt;&gt;" &amp; "")&gt;0</formula>
    </cfRule>
    <cfRule type="expression" dxfId="1" priority="435">
      <formula>AND(COUNTIF(I44:BG44,"&lt;&gt;" &amp; "")&gt;0,NOT(ISBLANK(G44)))</formula>
    </cfRule>
  </conditionalFormatting>
  <conditionalFormatting sqref="G440">
    <cfRule type="cellIs" dxfId="2" priority="1939" operator="equal">
      <formula>"Y"</formula>
    </cfRule>
    <cfRule type="cellIs" dxfId="3" priority="1940" operator="equal">
      <formula>"N"</formula>
    </cfRule>
  </conditionalFormatting>
  <conditionalFormatting sqref="G441">
    <cfRule type="cellIs" dxfId="2" priority="1965" operator="equal">
      <formula>"Y"</formula>
    </cfRule>
    <cfRule type="cellIs" dxfId="3" priority="1966" operator="equal">
      <formula>"N"</formula>
    </cfRule>
  </conditionalFormatting>
  <conditionalFormatting sqref="G442">
    <cfRule type="cellIs" dxfId="2" priority="1991" operator="equal">
      <formula>"Y"</formula>
    </cfRule>
    <cfRule type="cellIs" dxfId="3" priority="1992" operator="equal">
      <formula>"N"</formula>
    </cfRule>
  </conditionalFormatting>
  <conditionalFormatting sqref="G443">
    <cfRule type="cellIs" dxfId="2" priority="2017" operator="equal">
      <formula>"Y"</formula>
    </cfRule>
    <cfRule type="cellIs" dxfId="3" priority="2018" operator="equal">
      <formula>"N"</formula>
    </cfRule>
  </conditionalFormatting>
  <conditionalFormatting sqref="G445">
    <cfRule type="cellIs" dxfId="2" priority="2071" operator="equal">
      <formula>"Y"</formula>
    </cfRule>
    <cfRule type="cellIs" dxfId="3" priority="2072" operator="equal">
      <formula>"N"</formula>
    </cfRule>
  </conditionalFormatting>
  <conditionalFormatting sqref="G446">
    <cfRule type="cellIs" dxfId="2" priority="2097" operator="equal">
      <formula>"Y"</formula>
    </cfRule>
    <cfRule type="cellIs" dxfId="3" priority="2098" operator="equal">
      <formula>"N"</formula>
    </cfRule>
  </conditionalFormatting>
  <conditionalFormatting sqref="G447">
    <cfRule type="cellIs" dxfId="2" priority="2123" operator="equal">
      <formula>"Y"</formula>
    </cfRule>
    <cfRule type="cellIs" dxfId="3" priority="2124" operator="equal">
      <formula>"N"</formula>
    </cfRule>
  </conditionalFormatting>
  <conditionalFormatting sqref="G448">
    <cfRule type="cellIs" dxfId="2" priority="2149" operator="equal">
      <formula>"Y"</formula>
    </cfRule>
    <cfRule type="cellIs" dxfId="3" priority="2150" operator="equal">
      <formula>"N"</formula>
    </cfRule>
  </conditionalFormatting>
  <conditionalFormatting sqref="G449">
    <cfRule type="cellIs" dxfId="2" priority="2175" operator="equal">
      <formula>"Y"</formula>
    </cfRule>
    <cfRule type="cellIs" dxfId="3" priority="2176" operator="equal">
      <formula>"N"</formula>
    </cfRule>
  </conditionalFormatting>
  <conditionalFormatting sqref="G45">
    <cfRule type="expression" dxfId="0" priority="437">
      <formula>COUNTIF(I45:BG45,"&lt;&gt;" &amp; "")&gt;0</formula>
    </cfRule>
    <cfRule type="expression" dxfId="1" priority="438">
      <formula>AND(COUNTIF(I45:BG45,"&lt;&gt;" &amp; "")&gt;0,NOT(ISBLANK(G45)))</formula>
    </cfRule>
  </conditionalFormatting>
  <conditionalFormatting sqref="G450">
    <cfRule type="cellIs" dxfId="2" priority="2201" operator="equal">
      <formula>"Y"</formula>
    </cfRule>
    <cfRule type="cellIs" dxfId="3" priority="2202" operator="equal">
      <formula>"N"</formula>
    </cfRule>
  </conditionalFormatting>
  <conditionalFormatting sqref="G451">
    <cfRule type="cellIs" dxfId="2" priority="2227" operator="equal">
      <formula>"Y"</formula>
    </cfRule>
    <cfRule type="cellIs" dxfId="3" priority="2228" operator="equal">
      <formula>"N"</formula>
    </cfRule>
  </conditionalFormatting>
  <conditionalFormatting sqref="G452">
    <cfRule type="cellIs" dxfId="2" priority="2253" operator="equal">
      <formula>"Y"</formula>
    </cfRule>
    <cfRule type="cellIs" dxfId="3" priority="2254" operator="equal">
      <formula>"N"</formula>
    </cfRule>
  </conditionalFormatting>
  <conditionalFormatting sqref="G455">
    <cfRule type="expression" dxfId="0" priority="2269">
      <formula>COUNTIF(I455:BG455,"&lt;&gt;" &amp; "")&gt;0</formula>
    </cfRule>
    <cfRule type="expression" dxfId="1" priority="2270">
      <formula>AND(COUNTIF(I455:BG455,"&lt;&gt;" &amp; "")&gt;0,NOT(ISBLANK(G455)))</formula>
    </cfRule>
  </conditionalFormatting>
  <conditionalFormatting sqref="G456">
    <cfRule type="expression" dxfId="0" priority="2272">
      <formula>COUNTIF(I456:BG456,"&lt;&gt;" &amp; "")&gt;0</formula>
    </cfRule>
    <cfRule type="expression" dxfId="1" priority="2273">
      <formula>AND(COUNTIF(I456:BG456,"&lt;&gt;" &amp; "")&gt;0,NOT(ISBLANK(G456)))</formula>
    </cfRule>
  </conditionalFormatting>
  <conditionalFormatting sqref="G457">
    <cfRule type="expression" dxfId="0" priority="2275">
      <formula>COUNTIF(I457:BG457,"&lt;&gt;" &amp; "")&gt;0</formula>
    </cfRule>
    <cfRule type="expression" dxfId="1" priority="2276">
      <formula>AND(COUNTIF(I457:BG457,"&lt;&gt;" &amp; "")&gt;0,NOT(ISBLANK(G457)))</formula>
    </cfRule>
  </conditionalFormatting>
  <conditionalFormatting sqref="G458">
    <cfRule type="expression" dxfId="0" priority="2278">
      <formula>COUNTIF(I458:BG458,"&lt;&gt;" &amp; "")&gt;0</formula>
    </cfRule>
    <cfRule type="expression" dxfId="1" priority="2279">
      <formula>AND(COUNTIF(I458:BG458,"&lt;&gt;" &amp; "")&gt;0,NOT(ISBLANK(G458)))</formula>
    </cfRule>
  </conditionalFormatting>
  <conditionalFormatting sqref="G459">
    <cfRule type="expression" dxfId="0" priority="2281">
      <formula>COUNTIF(I459:BG459,"&lt;&gt;" &amp; "")&gt;0</formula>
    </cfRule>
    <cfRule type="expression" dxfId="1" priority="2282">
      <formula>AND(COUNTIF(I459:BG459,"&lt;&gt;" &amp; "")&gt;0,NOT(ISBLANK(G459)))</formula>
    </cfRule>
  </conditionalFormatting>
  <conditionalFormatting sqref="G46">
    <cfRule type="expression" dxfId="0" priority="440">
      <formula>COUNTIF(I46:BG46,"&lt;&gt;" &amp; "")&gt;0</formula>
    </cfRule>
    <cfRule type="expression" dxfId="1" priority="441">
      <formula>AND(COUNTIF(I46:BG46,"&lt;&gt;" &amp; "")&gt;0,NOT(ISBLANK(G46)))</formula>
    </cfRule>
  </conditionalFormatting>
  <conditionalFormatting sqref="G460">
    <cfRule type="expression" dxfId="0" priority="2284">
      <formula>COUNTIF(I460:BG460,"&lt;&gt;" &amp; "")&gt;0</formula>
    </cfRule>
    <cfRule type="expression" dxfId="1" priority="2285">
      <formula>AND(COUNTIF(I460:BG460,"&lt;&gt;" &amp; "")&gt;0,NOT(ISBLANK(G460)))</formula>
    </cfRule>
  </conditionalFormatting>
  <conditionalFormatting sqref="G461">
    <cfRule type="expression" dxfId="0" priority="2287">
      <formula>COUNTIF(I461:BG461,"&lt;&gt;" &amp; "")&gt;0</formula>
    </cfRule>
    <cfRule type="expression" dxfId="1" priority="2288">
      <formula>AND(COUNTIF(I461:BG461,"&lt;&gt;" &amp; "")&gt;0,NOT(ISBLANK(G461)))</formula>
    </cfRule>
  </conditionalFormatting>
  <conditionalFormatting sqref="G462">
    <cfRule type="expression" dxfId="0" priority="2290">
      <formula>COUNTIF(I462:BG462,"&lt;&gt;" &amp; "")&gt;0</formula>
    </cfRule>
    <cfRule type="expression" dxfId="1" priority="2291">
      <formula>AND(COUNTIF(I462:BG462,"&lt;&gt;" &amp; "")&gt;0,NOT(ISBLANK(G462)))</formula>
    </cfRule>
  </conditionalFormatting>
  <conditionalFormatting sqref="G463">
    <cfRule type="expression" dxfId="0" priority="2293">
      <formula>COUNTIF(I463:BG463,"&lt;&gt;" &amp; "")&gt;0</formula>
    </cfRule>
    <cfRule type="expression" dxfId="1" priority="2294">
      <formula>AND(COUNTIF(I463:BG463,"&lt;&gt;" &amp; "")&gt;0,NOT(ISBLANK(G463)))</formula>
    </cfRule>
  </conditionalFormatting>
  <conditionalFormatting sqref="G464">
    <cfRule type="expression" dxfId="0" priority="2296">
      <formula>COUNTIF(I464:BG464,"&lt;&gt;" &amp; "")&gt;0</formula>
    </cfRule>
    <cfRule type="expression" dxfId="1" priority="2297">
      <formula>AND(COUNTIF(I464:BG464,"&lt;&gt;" &amp; "")&gt;0,NOT(ISBLANK(G464)))</formula>
    </cfRule>
  </conditionalFormatting>
  <conditionalFormatting sqref="G465">
    <cfRule type="expression" dxfId="0" priority="2299">
      <formula>COUNTIF(I465:BG465,"&lt;&gt;" &amp; "")&gt;0</formula>
    </cfRule>
    <cfRule type="expression" dxfId="1" priority="2300">
      <formula>AND(COUNTIF(I465:BG465,"&lt;&gt;" &amp; "")&gt;0,NOT(ISBLANK(G465)))</formula>
    </cfRule>
  </conditionalFormatting>
  <conditionalFormatting sqref="G466">
    <cfRule type="expression" dxfId="0" priority="2302">
      <formula>COUNTIF(I466:BG466,"&lt;&gt;" &amp; "")&gt;0</formula>
    </cfRule>
    <cfRule type="expression" dxfId="1" priority="2303">
      <formula>AND(COUNTIF(I466:BG466,"&lt;&gt;" &amp; "")&gt;0,NOT(ISBLANK(G466)))</formula>
    </cfRule>
  </conditionalFormatting>
  <conditionalFormatting sqref="G467">
    <cfRule type="expression" dxfId="0" priority="2305">
      <formula>COUNTIF(I467:BG467,"&lt;&gt;" &amp; "")&gt;0</formula>
    </cfRule>
    <cfRule type="expression" dxfId="1" priority="2306">
      <formula>AND(COUNTIF(I467:BG467,"&lt;&gt;" &amp; "")&gt;0,NOT(ISBLANK(G467)))</formula>
    </cfRule>
  </conditionalFormatting>
  <conditionalFormatting sqref="G468">
    <cfRule type="expression" dxfId="0" priority="2308">
      <formula>COUNTIF(I468:BG468,"&lt;&gt;" &amp; "")&gt;0</formula>
    </cfRule>
    <cfRule type="expression" dxfId="1" priority="2309">
      <formula>AND(COUNTIF(I468:BG468,"&lt;&gt;" &amp; "")&gt;0,NOT(ISBLANK(G468)))</formula>
    </cfRule>
  </conditionalFormatting>
  <conditionalFormatting sqref="G469">
    <cfRule type="expression" dxfId="0" priority="2311">
      <formula>COUNTIF(I469:BG469,"&lt;&gt;" &amp; "")&gt;0</formula>
    </cfRule>
    <cfRule type="expression" dxfId="1" priority="2312">
      <formula>AND(COUNTIF(I469:BG469,"&lt;&gt;" &amp; "")&gt;0,NOT(ISBLANK(G469)))</formula>
    </cfRule>
  </conditionalFormatting>
  <conditionalFormatting sqref="G47">
    <cfRule type="expression" dxfId="0" priority="443">
      <formula>COUNTIF(I47:BG47,"&lt;&gt;" &amp; "")&gt;0</formula>
    </cfRule>
    <cfRule type="expression" dxfId="1" priority="444">
      <formula>AND(COUNTIF(I47:BG47,"&lt;&gt;" &amp; "")&gt;0,NOT(ISBLANK(G47)))</formula>
    </cfRule>
  </conditionalFormatting>
  <conditionalFormatting sqref="G470">
    <cfRule type="expression" dxfId="0" priority="2314">
      <formula>COUNTIF(I470:BG470,"&lt;&gt;" &amp; "")&gt;0</formula>
    </cfRule>
    <cfRule type="expression" dxfId="1" priority="2315">
      <formula>AND(COUNTIF(I470:BG470,"&lt;&gt;" &amp; "")&gt;0,NOT(ISBLANK(G470)))</formula>
    </cfRule>
  </conditionalFormatting>
  <conditionalFormatting sqref="G471">
    <cfRule type="expression" dxfId="0" priority="2317">
      <formula>COUNTIF(I471:BG471,"&lt;&gt;" &amp; "")&gt;0</formula>
    </cfRule>
    <cfRule type="expression" dxfId="1" priority="2318">
      <formula>AND(COUNTIF(I471:BG471,"&lt;&gt;" &amp; "")&gt;0,NOT(ISBLANK(G471)))</formula>
    </cfRule>
  </conditionalFormatting>
  <conditionalFormatting sqref="G472">
    <cfRule type="expression" dxfId="0" priority="2320">
      <formula>COUNTIF(I472:BG472,"&lt;&gt;" &amp; "")&gt;0</formula>
    </cfRule>
    <cfRule type="expression" dxfId="1" priority="2321">
      <formula>AND(COUNTIF(I472:BG472,"&lt;&gt;" &amp; "")&gt;0,NOT(ISBLANK(G472)))</formula>
    </cfRule>
  </conditionalFormatting>
  <conditionalFormatting sqref="G473">
    <cfRule type="expression" dxfId="0" priority="2323">
      <formula>COUNTIF(I473:BG473,"&lt;&gt;" &amp; "")&gt;0</formula>
    </cfRule>
    <cfRule type="expression" dxfId="1" priority="2324">
      <formula>AND(COUNTIF(I473:BG473,"&lt;&gt;" &amp; "")&gt;0,NOT(ISBLANK(G473)))</formula>
    </cfRule>
  </conditionalFormatting>
  <conditionalFormatting sqref="G474">
    <cfRule type="expression" dxfId="0" priority="2326">
      <formula>COUNTIF(I474:BG474,"&lt;&gt;" &amp; "")&gt;0</formula>
    </cfRule>
    <cfRule type="expression" dxfId="1" priority="2327">
      <formula>AND(COUNTIF(I474:BG474,"&lt;&gt;" &amp; "")&gt;0,NOT(ISBLANK(G474)))</formula>
    </cfRule>
  </conditionalFormatting>
  <conditionalFormatting sqref="G475">
    <cfRule type="expression" dxfId="0" priority="2329">
      <formula>COUNTIF(I475:BG475,"&lt;&gt;" &amp; "")&gt;0</formula>
    </cfRule>
    <cfRule type="expression" dxfId="1" priority="2330">
      <formula>AND(COUNTIF(I475:BG475,"&lt;&gt;" &amp; "")&gt;0,NOT(ISBLANK(G475)))</formula>
    </cfRule>
  </conditionalFormatting>
  <conditionalFormatting sqref="G476">
    <cfRule type="expression" dxfId="0" priority="2332">
      <formula>COUNTIF(I476:BG476,"&lt;&gt;" &amp; "")&gt;0</formula>
    </cfRule>
    <cfRule type="expression" dxfId="1" priority="2333">
      <formula>AND(COUNTIF(I476:BG476,"&lt;&gt;" &amp; "")&gt;0,NOT(ISBLANK(G476)))</formula>
    </cfRule>
  </conditionalFormatting>
  <conditionalFormatting sqref="G477">
    <cfRule type="expression" dxfId="0" priority="2335">
      <formula>COUNTIF(I477:BG477,"&lt;&gt;" &amp; "")&gt;0</formula>
    </cfRule>
    <cfRule type="expression" dxfId="1" priority="2336">
      <formula>AND(COUNTIF(I477:BG477,"&lt;&gt;" &amp; "")&gt;0,NOT(ISBLANK(G477)))</formula>
    </cfRule>
  </conditionalFormatting>
  <conditionalFormatting sqref="G478">
    <cfRule type="expression" dxfId="0" priority="2338">
      <formula>COUNTIF(I478:BG478,"&lt;&gt;" &amp; "")&gt;0</formula>
    </cfRule>
    <cfRule type="expression" dxfId="1" priority="2339">
      <formula>AND(COUNTIF(I478:BG478,"&lt;&gt;" &amp; "")&gt;0,NOT(ISBLANK(G478)))</formula>
    </cfRule>
  </conditionalFormatting>
  <conditionalFormatting sqref="G479">
    <cfRule type="expression" dxfId="0" priority="2341">
      <formula>COUNTIF(I479:BG479,"&lt;&gt;" &amp; "")&gt;0</formula>
    </cfRule>
    <cfRule type="expression" dxfId="1" priority="2342">
      <formula>AND(COUNTIF(I479:BG479,"&lt;&gt;" &amp; "")&gt;0,NOT(ISBLANK(G479)))</formula>
    </cfRule>
  </conditionalFormatting>
  <conditionalFormatting sqref="G48">
    <cfRule type="expression" dxfId="0" priority="446">
      <formula>COUNTIF(I48:BG48,"&lt;&gt;" &amp; "")&gt;0</formula>
    </cfRule>
    <cfRule type="expression" dxfId="1" priority="447">
      <formula>AND(COUNTIF(I48:BG48,"&lt;&gt;" &amp; "")&gt;0,NOT(ISBLANK(G48)))</formula>
    </cfRule>
  </conditionalFormatting>
  <conditionalFormatting sqref="G480">
    <cfRule type="expression" dxfId="0" priority="2344">
      <formula>COUNTIF(I480:BG480,"&lt;&gt;" &amp; "")&gt;0</formula>
    </cfRule>
    <cfRule type="expression" dxfId="1" priority="2345">
      <formula>AND(COUNTIF(I480:BG480,"&lt;&gt;" &amp; "")&gt;0,NOT(ISBLANK(G480)))</formula>
    </cfRule>
  </conditionalFormatting>
  <conditionalFormatting sqref="G481">
    <cfRule type="expression" dxfId="0" priority="2347">
      <formula>COUNTIF(I481:BG481,"&lt;&gt;" &amp; "")&gt;0</formula>
    </cfRule>
    <cfRule type="expression" dxfId="1" priority="2348">
      <formula>AND(COUNTIF(I481:BG481,"&lt;&gt;" &amp; "")&gt;0,NOT(ISBLANK(G481)))</formula>
    </cfRule>
  </conditionalFormatting>
  <conditionalFormatting sqref="G482">
    <cfRule type="expression" dxfId="0" priority="2350">
      <formula>COUNTIF(I482:BG482,"&lt;&gt;" &amp; "")&gt;0</formula>
    </cfRule>
    <cfRule type="expression" dxfId="1" priority="2351">
      <formula>AND(COUNTIF(I482:BG482,"&lt;&gt;" &amp; "")&gt;0,NOT(ISBLANK(G482)))</formula>
    </cfRule>
  </conditionalFormatting>
  <conditionalFormatting sqref="G483">
    <cfRule type="expression" dxfId="0" priority="2353">
      <formula>COUNTIF(I483:BG483,"&lt;&gt;" &amp; "")&gt;0</formula>
    </cfRule>
    <cfRule type="expression" dxfId="1" priority="2354">
      <formula>AND(COUNTIF(I483:BG483,"&lt;&gt;" &amp; "")&gt;0,NOT(ISBLANK(G483)))</formula>
    </cfRule>
  </conditionalFormatting>
  <conditionalFormatting sqref="G484">
    <cfRule type="expression" dxfId="0" priority="2356">
      <formula>COUNTIF(I484:BG484,"&lt;&gt;" &amp; "")&gt;0</formula>
    </cfRule>
    <cfRule type="expression" dxfId="1" priority="2357">
      <formula>AND(COUNTIF(I484:BG484,"&lt;&gt;" &amp; "")&gt;0,NOT(ISBLANK(G484)))</formula>
    </cfRule>
  </conditionalFormatting>
  <conditionalFormatting sqref="G485">
    <cfRule type="expression" dxfId="0" priority="2359">
      <formula>COUNTIF(I485:BG485,"&lt;&gt;" &amp; "")&gt;0</formula>
    </cfRule>
    <cfRule type="expression" dxfId="1" priority="2360">
      <formula>AND(COUNTIF(I485:BG485,"&lt;&gt;" &amp; "")&gt;0,NOT(ISBLANK(G485)))</formula>
    </cfRule>
  </conditionalFormatting>
  <conditionalFormatting sqref="G486">
    <cfRule type="expression" dxfId="0" priority="2362">
      <formula>COUNTIF(I486:BG486,"&lt;&gt;" &amp; "")&gt;0</formula>
    </cfRule>
    <cfRule type="expression" dxfId="1" priority="2363">
      <formula>AND(COUNTIF(I486:BG486,"&lt;&gt;" &amp; "")&gt;0,NOT(ISBLANK(G486)))</formula>
    </cfRule>
  </conditionalFormatting>
  <conditionalFormatting sqref="G487">
    <cfRule type="expression" dxfId="0" priority="2365">
      <formula>COUNTIF(I487:BG487,"&lt;&gt;" &amp; "")&gt;0</formula>
    </cfRule>
    <cfRule type="expression" dxfId="1" priority="2366">
      <formula>AND(COUNTIF(I487:BG487,"&lt;&gt;" &amp; "")&gt;0,NOT(ISBLANK(G487)))</formula>
    </cfRule>
  </conditionalFormatting>
  <conditionalFormatting sqref="G488">
    <cfRule type="expression" dxfId="0" priority="2368">
      <formula>COUNTIF(I488:BG488,"&lt;&gt;" &amp; "")&gt;0</formula>
    </cfRule>
    <cfRule type="expression" dxfId="1" priority="2369">
      <formula>AND(COUNTIF(I488:BG488,"&lt;&gt;" &amp; "")&gt;0,NOT(ISBLANK(G488)))</formula>
    </cfRule>
  </conditionalFormatting>
  <conditionalFormatting sqref="G489">
    <cfRule type="expression" dxfId="0" priority="2371">
      <formula>COUNTIF(I489:BG489,"&lt;&gt;" &amp; "")&gt;0</formula>
    </cfRule>
    <cfRule type="expression" dxfId="1" priority="2372">
      <formula>AND(COUNTIF(I489:BG489,"&lt;&gt;" &amp; "")&gt;0,NOT(ISBLANK(G489)))</formula>
    </cfRule>
  </conditionalFormatting>
  <conditionalFormatting sqref="G49">
    <cfRule type="expression" dxfId="0" priority="449">
      <formula>COUNTIF(I49:BG49,"&lt;&gt;" &amp; "")&gt;0</formula>
    </cfRule>
    <cfRule type="expression" dxfId="1" priority="450">
      <formula>AND(COUNTIF(I49:BG49,"&lt;&gt;" &amp; "")&gt;0,NOT(ISBLANK(G49)))</formula>
    </cfRule>
  </conditionalFormatting>
  <conditionalFormatting sqref="G490">
    <cfRule type="expression" dxfId="0" priority="2374">
      <formula>COUNTIF(I490:BG490,"&lt;&gt;" &amp; "")&gt;0</formula>
    </cfRule>
    <cfRule type="expression" dxfId="1" priority="2375">
      <formula>AND(COUNTIF(I490:BG490,"&lt;&gt;" &amp; "")&gt;0,NOT(ISBLANK(G490)))</formula>
    </cfRule>
  </conditionalFormatting>
  <conditionalFormatting sqref="G491">
    <cfRule type="expression" dxfId="0" priority="2377">
      <formula>COUNTIF(I491:BG491,"&lt;&gt;" &amp; "")&gt;0</formula>
    </cfRule>
    <cfRule type="expression" dxfId="1" priority="2378">
      <formula>AND(COUNTIF(I491:BG491,"&lt;&gt;" &amp; "")&gt;0,NOT(ISBLANK(G491)))</formula>
    </cfRule>
  </conditionalFormatting>
  <conditionalFormatting sqref="G492">
    <cfRule type="expression" dxfId="0" priority="2380">
      <formula>COUNTIF(I492:BG492,"&lt;&gt;" &amp; "")&gt;0</formula>
    </cfRule>
    <cfRule type="expression" dxfId="1" priority="2381">
      <formula>AND(COUNTIF(I492:BG492,"&lt;&gt;" &amp; "")&gt;0,NOT(ISBLANK(G492)))</formula>
    </cfRule>
  </conditionalFormatting>
  <conditionalFormatting sqref="G493">
    <cfRule type="expression" dxfId="0" priority="2383">
      <formula>COUNTIF(I493:BG493,"&lt;&gt;" &amp; "")&gt;0</formula>
    </cfRule>
    <cfRule type="expression" dxfId="1" priority="2384">
      <formula>AND(COUNTIF(I493:BG493,"&lt;&gt;" &amp; "")&gt;0,NOT(ISBLANK(G493)))</formula>
    </cfRule>
  </conditionalFormatting>
  <conditionalFormatting sqref="G494">
    <cfRule type="expression" dxfId="0" priority="2386">
      <formula>COUNTIF(I494:BG494,"&lt;&gt;" &amp; "")&gt;0</formula>
    </cfRule>
    <cfRule type="expression" dxfId="1" priority="2387">
      <formula>AND(COUNTIF(I494:BG494,"&lt;&gt;" &amp; "")&gt;0,NOT(ISBLANK(G494)))</formula>
    </cfRule>
  </conditionalFormatting>
  <conditionalFormatting sqref="G495">
    <cfRule type="expression" dxfId="0" priority="2389">
      <formula>COUNTIF(I495:BG495,"&lt;&gt;" &amp; "")&gt;0</formula>
    </cfRule>
    <cfRule type="expression" dxfId="1" priority="2390">
      <formula>AND(COUNTIF(I495:BG495,"&lt;&gt;" &amp; "")&gt;0,NOT(ISBLANK(G495)))</formula>
    </cfRule>
  </conditionalFormatting>
  <conditionalFormatting sqref="G496">
    <cfRule type="expression" dxfId="0" priority="2392">
      <formula>COUNTIF(I496:BG496,"&lt;&gt;" &amp; "")&gt;0</formula>
    </cfRule>
    <cfRule type="expression" dxfId="1" priority="2393">
      <formula>AND(COUNTIF(I496:BG496,"&lt;&gt;" &amp; "")&gt;0,NOT(ISBLANK(G496)))</formula>
    </cfRule>
  </conditionalFormatting>
  <conditionalFormatting sqref="G497">
    <cfRule type="expression" dxfId="0" priority="2395">
      <formula>COUNTIF(I497:BG497,"&lt;&gt;" &amp; "")&gt;0</formula>
    </cfRule>
    <cfRule type="expression" dxfId="1" priority="2396">
      <formula>AND(COUNTIF(I497:BG497,"&lt;&gt;" &amp; "")&gt;0,NOT(ISBLANK(G497)))</formula>
    </cfRule>
  </conditionalFormatting>
  <conditionalFormatting sqref="G498">
    <cfRule type="expression" dxfId="0" priority="2398">
      <formula>COUNTIF(I498:BG498,"&lt;&gt;" &amp; "")&gt;0</formula>
    </cfRule>
    <cfRule type="expression" dxfId="1" priority="2399">
      <formula>AND(COUNTIF(I498:BG498,"&lt;&gt;" &amp; "")&gt;0,NOT(ISBLANK(G498)))</formula>
    </cfRule>
  </conditionalFormatting>
  <conditionalFormatting sqref="G499">
    <cfRule type="expression" dxfId="0" priority="2401">
      <formula>COUNTIF(I499:BG499,"&lt;&gt;" &amp; "")&gt;0</formula>
    </cfRule>
    <cfRule type="expression" dxfId="1" priority="2402">
      <formula>AND(COUNTIF(I499:BG499,"&lt;&gt;"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452">
      <formula>COUNTIF(I50:BG50,"&lt;&gt;" &amp; "")&gt;0</formula>
    </cfRule>
    <cfRule type="expression" dxfId="1" priority="453">
      <formula>AND(COUNTIF(I50:BG50,"&lt;&gt;" &amp; "")&gt;0,NOT(ISBLANK(G50)))</formula>
    </cfRule>
  </conditionalFormatting>
  <conditionalFormatting sqref="G500">
    <cfRule type="expression" dxfId="0" priority="2404">
      <formula>COUNTIF(I500:BG500,"&lt;&gt;" &amp; "")&gt;0</formula>
    </cfRule>
    <cfRule type="expression" dxfId="1" priority="2405">
      <formula>AND(COUNTIF(I500:BG500,"&lt;&gt;" &amp; "")&gt;0,NOT(ISBLANK(G500)))</formula>
    </cfRule>
  </conditionalFormatting>
  <conditionalFormatting sqref="G501">
    <cfRule type="expression" dxfId="0" priority="2407">
      <formula>COUNTIF(I501:BG501,"&lt;&gt;" &amp; "")&gt;0</formula>
    </cfRule>
    <cfRule type="expression" dxfId="1" priority="2408">
      <formula>AND(COUNTIF(I501:BG501,"&lt;&gt;" &amp; "")&gt;0,NOT(ISBLANK(G501)))</formula>
    </cfRule>
  </conditionalFormatting>
  <conditionalFormatting sqref="G502">
    <cfRule type="expression" dxfId="0" priority="2410">
      <formula>COUNTIF(I502:BG502,"&lt;&gt;" &amp; "")&gt;0</formula>
    </cfRule>
    <cfRule type="expression" dxfId="1" priority="2411">
      <formula>AND(COUNTIF(I502:BG502,"&lt;&gt;" &amp; "")&gt;0,NOT(ISBLANK(G502)))</formula>
    </cfRule>
  </conditionalFormatting>
  <conditionalFormatting sqref="G503">
    <cfRule type="expression" dxfId="0" priority="2413">
      <formula>COUNTIF(I503:BG503,"&lt;&gt;" &amp; "")&gt;0</formula>
    </cfRule>
    <cfRule type="expression" dxfId="1" priority="2414">
      <formula>AND(COUNTIF(I503:BG503,"&lt;&gt;" &amp; "")&gt;0,NOT(ISBLANK(G503)))</formula>
    </cfRule>
  </conditionalFormatting>
  <conditionalFormatting sqref="G504">
    <cfRule type="expression" dxfId="0" priority="2416">
      <formula>COUNTIF(I504:BG504,"&lt;&gt;" &amp; "")&gt;0</formula>
    </cfRule>
    <cfRule type="expression" dxfId="1" priority="2417">
      <formula>AND(COUNTIF(I504:BG504,"&lt;&gt;" &amp; "")&gt;0,NOT(ISBLANK(G504)))</formula>
    </cfRule>
  </conditionalFormatting>
  <conditionalFormatting sqref="G505">
    <cfRule type="expression" dxfId="0" priority="2419">
      <formula>COUNTIF(I505:BG505,"&lt;&gt;" &amp; "")&gt;0</formula>
    </cfRule>
    <cfRule type="expression" dxfId="1" priority="2420">
      <formula>AND(COUNTIF(I505:BG505,"&lt;&gt;" &amp; "")&gt;0,NOT(ISBLANK(G505)))</formula>
    </cfRule>
  </conditionalFormatting>
  <conditionalFormatting sqref="G506">
    <cfRule type="expression" dxfId="0" priority="2422">
      <formula>COUNTIF(I506:BG506,"&lt;&gt;" &amp; "")&gt;0</formula>
    </cfRule>
    <cfRule type="expression" dxfId="1" priority="2423">
      <formula>AND(COUNTIF(I506:BG506,"&lt;&gt;" &amp; "")&gt;0,NOT(ISBLANK(G506)))</formula>
    </cfRule>
  </conditionalFormatting>
  <conditionalFormatting sqref="G507">
    <cfRule type="expression" dxfId="0" priority="2425">
      <formula>COUNTIF(I507:BG507,"&lt;&gt;" &amp; "")&gt;0</formula>
    </cfRule>
    <cfRule type="expression" dxfId="1" priority="2426">
      <formula>AND(COUNTIF(I507:BG507,"&lt;&gt;" &amp; "")&gt;0,NOT(ISBLANK(G507)))</formula>
    </cfRule>
  </conditionalFormatting>
  <conditionalFormatting sqref="G508">
    <cfRule type="expression" dxfId="0" priority="2428">
      <formula>COUNTIF(I508:BG508,"&lt;&gt;" &amp; "")&gt;0</formula>
    </cfRule>
    <cfRule type="expression" dxfId="1" priority="2429">
      <formula>AND(COUNTIF(I508:BG508,"&lt;&gt;" &amp; "")&gt;0,NOT(ISBLANK(G508)))</formula>
    </cfRule>
  </conditionalFormatting>
  <conditionalFormatting sqref="G509">
    <cfRule type="expression" dxfId="0" priority="2431">
      <formula>COUNTIF(I509:BG509,"&lt;&gt;" &amp; "")&gt;0</formula>
    </cfRule>
    <cfRule type="expression" dxfId="1" priority="2432">
      <formula>AND(COUNTIF(I509:BG509,"&lt;&gt;" &amp; "")&gt;0,NOT(ISBLANK(G509)))</formula>
    </cfRule>
  </conditionalFormatting>
  <conditionalFormatting sqref="G51">
    <cfRule type="expression" dxfId="0" priority="455">
      <formula>COUNTIF(I51:BG51,"&lt;&gt;" &amp; "")&gt;0</formula>
    </cfRule>
    <cfRule type="expression" dxfId="1" priority="456">
      <formula>AND(COUNTIF(I51:BG51,"&lt;&gt;" &amp; "")&gt;0,NOT(ISBLANK(G51)))</formula>
    </cfRule>
  </conditionalFormatting>
  <conditionalFormatting sqref="G510">
    <cfRule type="expression" dxfId="0" priority="2434">
      <formula>COUNTIF(I510:BG510,"&lt;&gt;" &amp; "")&gt;0</formula>
    </cfRule>
    <cfRule type="expression" dxfId="1" priority="2435">
      <formula>AND(COUNTIF(I510:BG510,"&lt;&gt;" &amp; "")&gt;0,NOT(ISBLANK(G510)))</formula>
    </cfRule>
  </conditionalFormatting>
  <conditionalFormatting sqref="G511">
    <cfRule type="expression" dxfId="0" priority="2437">
      <formula>COUNTIF(I511:BG511,"&lt;&gt;" &amp; "")&gt;0</formula>
    </cfRule>
    <cfRule type="expression" dxfId="1" priority="2438">
      <formula>AND(COUNTIF(I511:BG511,"&lt;&gt;" &amp; "")&gt;0,NOT(ISBLANK(G511)))</formula>
    </cfRule>
  </conditionalFormatting>
  <conditionalFormatting sqref="G512">
    <cfRule type="expression" dxfId="0" priority="2440">
      <formula>COUNTIF(I512:BG512,"&lt;&gt;" &amp; "")&gt;0</formula>
    </cfRule>
    <cfRule type="expression" dxfId="1" priority="2441">
      <formula>AND(COUNTIF(I512:BG512,"&lt;&gt;" &amp; "")&gt;0,NOT(ISBLANK(G512)))</formula>
    </cfRule>
  </conditionalFormatting>
  <conditionalFormatting sqref="G513">
    <cfRule type="expression" dxfId="0" priority="2443">
      <formula>COUNTIF(I513:BG513,"&lt;&gt;" &amp; "")&gt;0</formula>
    </cfRule>
    <cfRule type="expression" dxfId="1" priority="2444">
      <formula>AND(COUNTIF(I513:BG513,"&lt;&gt;" &amp; "")&gt;0,NOT(ISBLANK(G513)))</formula>
    </cfRule>
  </conditionalFormatting>
  <conditionalFormatting sqref="G514">
    <cfRule type="expression" dxfId="0" priority="2446">
      <formula>COUNTIF(I514:BG514,"&lt;&gt;" &amp; "")&gt;0</formula>
    </cfRule>
    <cfRule type="expression" dxfId="1" priority="2447">
      <formula>AND(COUNTIF(I514:BG514,"&lt;&gt;" &amp; "")&gt;0,NOT(ISBLANK(G514)))</formula>
    </cfRule>
  </conditionalFormatting>
  <conditionalFormatting sqref="G515">
    <cfRule type="expression" dxfId="0" priority="2449">
      <formula>COUNTIF(I515:BG515,"&lt;&gt;" &amp; "")&gt;0</formula>
    </cfRule>
    <cfRule type="expression" dxfId="1" priority="2450">
      <formula>AND(COUNTIF(I515:BG515,"&lt;&gt;" &amp; "")&gt;0,NOT(ISBLANK(G515)))</formula>
    </cfRule>
  </conditionalFormatting>
  <conditionalFormatting sqref="G516">
    <cfRule type="expression" dxfId="0" priority="2452">
      <formula>COUNTIF(I516:BG516,"&lt;&gt;" &amp; "")&gt;0</formula>
    </cfRule>
    <cfRule type="expression" dxfId="1" priority="2453">
      <formula>AND(COUNTIF(I516:BG516,"&lt;&gt;" &amp; "")&gt;0,NOT(ISBLANK(G516)))</formula>
    </cfRule>
  </conditionalFormatting>
  <conditionalFormatting sqref="G517">
    <cfRule type="expression" dxfId="0" priority="2455">
      <formula>COUNTIF(I517:BG517,"&lt;&gt;" &amp; "")&gt;0</formula>
    </cfRule>
    <cfRule type="expression" dxfId="1" priority="2456">
      <formula>AND(COUNTIF(I517:BG517,"&lt;&gt;" &amp; "")&gt;0,NOT(ISBLANK(G517)))</formula>
    </cfRule>
  </conditionalFormatting>
  <conditionalFormatting sqref="G518">
    <cfRule type="expression" dxfId="0" priority="2458">
      <formula>COUNTIF(I518:BG518,"&lt;&gt;" &amp; "")&gt;0</formula>
    </cfRule>
    <cfRule type="expression" dxfId="1" priority="2459">
      <formula>AND(COUNTIF(I518:BG518,"&lt;&gt;" &amp; "")&gt;0,NOT(ISBLANK(G518)))</formula>
    </cfRule>
  </conditionalFormatting>
  <conditionalFormatting sqref="G519">
    <cfRule type="expression" dxfId="0" priority="2461">
      <formula>COUNTIF(I519:BG519,"&lt;&gt;" &amp; "")&gt;0</formula>
    </cfRule>
    <cfRule type="expression" dxfId="1" priority="2462">
      <formula>AND(COUNTIF(I519:BG519,"&lt;&gt;" &amp; "")&gt;0,NOT(ISBLANK(G519)))</formula>
    </cfRule>
  </conditionalFormatting>
  <conditionalFormatting sqref="G52">
    <cfRule type="expression" dxfId="0" priority="458">
      <formula>COUNTIF(I52:BG52,"&lt;&gt;" &amp; "")&gt;0</formula>
    </cfRule>
    <cfRule type="expression" dxfId="1" priority="459">
      <formula>AND(COUNTIF(I52:BG52,"&lt;&gt;" &amp; "")&gt;0,NOT(ISBLANK(G52)))</formula>
    </cfRule>
  </conditionalFormatting>
  <conditionalFormatting sqref="G520">
    <cfRule type="expression" dxfId="0" priority="2464">
      <formula>COUNTIF(I520:BG520,"&lt;&gt;" &amp; "")&gt;0</formula>
    </cfRule>
    <cfRule type="expression" dxfId="1" priority="2465">
      <formula>AND(COUNTIF(I520:BG520,"&lt;&gt;" &amp; "")&gt;0,NOT(ISBLANK(G520)))</formula>
    </cfRule>
  </conditionalFormatting>
  <conditionalFormatting sqref="G521">
    <cfRule type="expression" dxfId="0" priority="2467">
      <formula>COUNTIF(I521:BG521,"&lt;&gt;" &amp; "")&gt;0</formula>
    </cfRule>
    <cfRule type="expression" dxfId="1" priority="2468">
      <formula>AND(COUNTIF(I521:BG521,"&lt;&gt;" &amp; "")&gt;0,NOT(ISBLANK(G521)))</formula>
    </cfRule>
  </conditionalFormatting>
  <conditionalFormatting sqref="G522">
    <cfRule type="expression" dxfId="0" priority="2470">
      <formula>COUNTIF(I522:BG522,"&lt;&gt;" &amp; "")&gt;0</formula>
    </cfRule>
    <cfRule type="expression" dxfId="1" priority="2471">
      <formula>AND(COUNTIF(I522:BG522,"&lt;&gt;" &amp; "")&gt;0,NOT(ISBLANK(G522)))</formula>
    </cfRule>
  </conditionalFormatting>
  <conditionalFormatting sqref="G523">
    <cfRule type="expression" dxfId="0" priority="2473">
      <formula>COUNTIF(I523:BG523,"&lt;&gt;" &amp; "")&gt;0</formula>
    </cfRule>
    <cfRule type="expression" dxfId="1" priority="2474">
      <formula>AND(COUNTIF(I523:BG523,"&lt;&gt;" &amp; "")&gt;0,NOT(ISBLANK(G523)))</formula>
    </cfRule>
  </conditionalFormatting>
  <conditionalFormatting sqref="G524">
    <cfRule type="expression" dxfId="0" priority="2476">
      <formula>COUNTIF(I524:BG524,"&lt;&gt;" &amp; "")&gt;0</formula>
    </cfRule>
    <cfRule type="expression" dxfId="1" priority="2477">
      <formula>AND(COUNTIF(I524:BG524,"&lt;&gt;" &amp; "")&gt;0,NOT(ISBLANK(G524)))</formula>
    </cfRule>
  </conditionalFormatting>
  <conditionalFormatting sqref="G525">
    <cfRule type="expression" dxfId="0" priority="2479">
      <formula>COUNTIF(I525:BG525,"&lt;&gt;" &amp; "")&gt;0</formula>
    </cfRule>
    <cfRule type="expression" dxfId="1" priority="2480">
      <formula>AND(COUNTIF(I525:BG525,"&lt;&gt;" &amp; "")&gt;0,NOT(ISBLANK(G525)))</formula>
    </cfRule>
  </conditionalFormatting>
  <conditionalFormatting sqref="G526">
    <cfRule type="expression" dxfId="0" priority="2482">
      <formula>COUNTIF(I526:BG526,"&lt;&gt;" &amp; "")&gt;0</formula>
    </cfRule>
    <cfRule type="expression" dxfId="1" priority="2483">
      <formula>AND(COUNTIF(I526:BG526,"&lt;&gt;" &amp; "")&gt;0,NOT(ISBLANK(G526)))</formula>
    </cfRule>
  </conditionalFormatting>
  <conditionalFormatting sqref="G527">
    <cfRule type="expression" dxfId="0" priority="2485">
      <formula>COUNTIF(I527:BG527,"&lt;&gt;" &amp; "")&gt;0</formula>
    </cfRule>
    <cfRule type="expression" dxfId="1" priority="2486">
      <formula>AND(COUNTIF(I527:BG527,"&lt;&gt;" &amp; "")&gt;0,NOT(ISBLANK(G527)))</formula>
    </cfRule>
  </conditionalFormatting>
  <conditionalFormatting sqref="G528">
    <cfRule type="expression" dxfId="0" priority="2488">
      <formula>COUNTIF(I528:BG528,"&lt;&gt;" &amp; "")&gt;0</formula>
    </cfRule>
    <cfRule type="expression" dxfId="1" priority="2489">
      <formula>AND(COUNTIF(I528:BG528,"&lt;&gt;" &amp; "")&gt;0,NOT(ISBLANK(G528)))</formula>
    </cfRule>
  </conditionalFormatting>
  <conditionalFormatting sqref="G529">
    <cfRule type="expression" dxfId="0" priority="2491">
      <formula>COUNTIF(I529:BG529,"&lt;&gt;" &amp; "")&gt;0</formula>
    </cfRule>
    <cfRule type="expression" dxfId="1" priority="2492">
      <formula>AND(COUNTIF(I529:BG529,"&lt;&gt;" &amp; "")&gt;0,NOT(ISBLANK(G529)))</formula>
    </cfRule>
  </conditionalFormatting>
  <conditionalFormatting sqref="G53">
    <cfRule type="expression" dxfId="0" priority="461">
      <formula>COUNTIF(I53:BG53,"&lt;&gt;" &amp; "")&gt;0</formula>
    </cfRule>
    <cfRule type="expression" dxfId="1" priority="462">
      <formula>AND(COUNTIF(I53:BG53,"&lt;&gt;" &amp; "")&gt;0,NOT(ISBLANK(G53)))</formula>
    </cfRule>
  </conditionalFormatting>
  <conditionalFormatting sqref="G530">
    <cfRule type="expression" dxfId="0" priority="2494">
      <formula>COUNTIF(I530:BG530,"&lt;&gt;" &amp; "")&gt;0</formula>
    </cfRule>
    <cfRule type="expression" dxfId="1" priority="2495">
      <formula>AND(COUNTIF(I530:BG530,"&lt;&gt;" &amp; "")&gt;0,NOT(ISBLANK(G530)))</formula>
    </cfRule>
  </conditionalFormatting>
  <conditionalFormatting sqref="G531">
    <cfRule type="expression" dxfId="0" priority="2497">
      <formula>COUNTIF(I531:BG531,"&lt;&gt;" &amp; "")&gt;0</formula>
    </cfRule>
    <cfRule type="expression" dxfId="1" priority="2498">
      <formula>AND(COUNTIF(I531:BG531,"&lt;&gt;" &amp; "")&gt;0,NOT(ISBLANK(G531)))</formula>
    </cfRule>
  </conditionalFormatting>
  <conditionalFormatting sqref="G532">
    <cfRule type="expression" dxfId="0" priority="2500">
      <formula>COUNTIF(I532:BG532,"&lt;&gt;" &amp; "")&gt;0</formula>
    </cfRule>
    <cfRule type="expression" dxfId="1" priority="2501">
      <formula>AND(COUNTIF(I532:BG532,"&lt;&gt;" &amp; "")&gt;0,NOT(ISBLANK(G532)))</formula>
    </cfRule>
  </conditionalFormatting>
  <conditionalFormatting sqref="G533">
    <cfRule type="expression" dxfId="0" priority="2503">
      <formula>COUNTIF(I533:BG533,"&lt;&gt;" &amp; "")&gt;0</formula>
    </cfRule>
    <cfRule type="expression" dxfId="1" priority="2504">
      <formula>AND(COUNTIF(I533:BG533,"&lt;&gt;" &amp; "")&gt;0,NOT(ISBLANK(G533)))</formula>
    </cfRule>
  </conditionalFormatting>
  <conditionalFormatting sqref="G534">
    <cfRule type="expression" dxfId="0" priority="2506">
      <formula>COUNTIF(I534:BG534,"&lt;&gt;" &amp; "")&gt;0</formula>
    </cfRule>
    <cfRule type="expression" dxfId="1" priority="2507">
      <formula>AND(COUNTIF(I534:BG534,"&lt;&gt;" &amp; "")&gt;0,NOT(ISBLANK(G534)))</formula>
    </cfRule>
  </conditionalFormatting>
  <conditionalFormatting sqref="G535">
    <cfRule type="expression" dxfId="0" priority="2509">
      <formula>COUNTIF(I535:BG535,"&lt;&gt;" &amp; "")&gt;0</formula>
    </cfRule>
    <cfRule type="expression" dxfId="1" priority="2510">
      <formula>AND(COUNTIF(I535:BG535,"&lt;&gt;" &amp; "")&gt;0,NOT(ISBLANK(G535)))</formula>
    </cfRule>
  </conditionalFormatting>
  <conditionalFormatting sqref="G536">
    <cfRule type="expression" dxfId="0" priority="2512">
      <formula>COUNTIF(I536:BG536,"&lt;&gt;" &amp; "")&gt;0</formula>
    </cfRule>
    <cfRule type="expression" dxfId="1" priority="2513">
      <formula>AND(COUNTIF(I536:BG536,"&lt;&gt;" &amp; "")&gt;0,NOT(ISBLANK(G536)))</formula>
    </cfRule>
  </conditionalFormatting>
  <conditionalFormatting sqref="G537">
    <cfRule type="expression" dxfId="0" priority="2515">
      <formula>COUNTIF(I537:BG537,"&lt;&gt;" &amp; "")&gt;0</formula>
    </cfRule>
    <cfRule type="expression" dxfId="1" priority="2516">
      <formula>AND(COUNTIF(I537:BG537,"&lt;&gt;" &amp; "")&gt;0,NOT(ISBLANK(G537)))</formula>
    </cfRule>
  </conditionalFormatting>
  <conditionalFormatting sqref="G538">
    <cfRule type="expression" dxfId="0" priority="2518">
      <formula>COUNTIF(I538:BG538,"&lt;&gt;" &amp; "")&gt;0</formula>
    </cfRule>
    <cfRule type="expression" dxfId="1" priority="2519">
      <formula>AND(COUNTIF(I538:BG538,"&lt;&gt;" &amp; "")&gt;0,NOT(ISBLANK(G538)))</formula>
    </cfRule>
  </conditionalFormatting>
  <conditionalFormatting sqref="G539">
    <cfRule type="expression" dxfId="0" priority="2521">
      <formula>COUNTIF(I539:BG539,"&lt;&gt;" &amp; "")&gt;0</formula>
    </cfRule>
    <cfRule type="expression" dxfId="1" priority="2522">
      <formula>AND(COUNTIF(I539:BG539,"&lt;&gt;" &amp; "")&gt;0,NOT(ISBLANK(G539)))</formula>
    </cfRule>
  </conditionalFormatting>
  <conditionalFormatting sqref="G54">
    <cfRule type="expression" dxfId="0" priority="464">
      <formula>COUNTIF(I54:BG54,"&lt;&gt;" &amp; "")&gt;0</formula>
    </cfRule>
    <cfRule type="expression" dxfId="1" priority="465">
      <formula>AND(COUNTIF(I54:BG54,"&lt;&gt;" &amp; "")&gt;0,NOT(ISBLANK(G54)))</formula>
    </cfRule>
  </conditionalFormatting>
  <conditionalFormatting sqref="G540">
    <cfRule type="expression" dxfId="0" priority="2524">
      <formula>COUNTIF(I540:BG540,"&lt;&gt;" &amp; "")&gt;0</formula>
    </cfRule>
    <cfRule type="expression" dxfId="1" priority="2525">
      <formula>AND(COUNTIF(I540:BG540,"&lt;&gt;" &amp; "")&gt;0,NOT(ISBLANK(G540)))</formula>
    </cfRule>
  </conditionalFormatting>
  <conditionalFormatting sqref="G541">
    <cfRule type="expression" dxfId="0" priority="2527">
      <formula>COUNTIF(I541:BG541,"&lt;&gt;" &amp; "")&gt;0</formula>
    </cfRule>
    <cfRule type="expression" dxfId="1" priority="2528">
      <formula>AND(COUNTIF(I541:BG541,"&lt;&gt;" &amp; "")&gt;0,NOT(ISBLANK(G541)))</formula>
    </cfRule>
  </conditionalFormatting>
  <conditionalFormatting sqref="G542">
    <cfRule type="expression" dxfId="0" priority="2530">
      <formula>COUNTIF(I542:BG542,"&lt;&gt;" &amp; "")&gt;0</formula>
    </cfRule>
    <cfRule type="expression" dxfId="1" priority="2531">
      <formula>AND(COUNTIF(I542:BG542,"&lt;&gt;" &amp; "")&gt;0,NOT(ISBLANK(G542)))</formula>
    </cfRule>
  </conditionalFormatting>
  <conditionalFormatting sqref="G543">
    <cfRule type="expression" dxfId="0" priority="2533">
      <formula>COUNTIF(I543:BG543,"&lt;&gt;" &amp; "")&gt;0</formula>
    </cfRule>
    <cfRule type="expression" dxfId="1" priority="2534">
      <formula>AND(COUNTIF(I543:BG543,"&lt;&gt;" &amp; "")&gt;0,NOT(ISBLANK(G543)))</formula>
    </cfRule>
  </conditionalFormatting>
  <conditionalFormatting sqref="G544">
    <cfRule type="expression" dxfId="0" priority="2536">
      <formula>COUNTIF(I544:BG544,"&lt;&gt;" &amp; "")&gt;0</formula>
    </cfRule>
    <cfRule type="expression" dxfId="1" priority="2537">
      <formula>AND(COUNTIF(I544:BG544,"&lt;&gt;" &amp; "")&gt;0,NOT(ISBLANK(G544)))</formula>
    </cfRule>
  </conditionalFormatting>
  <conditionalFormatting sqref="G545">
    <cfRule type="expression" dxfId="0" priority="2539">
      <formula>COUNTIF(I545:BG545,"&lt;&gt;" &amp; "")&gt;0</formula>
    </cfRule>
    <cfRule type="expression" dxfId="1" priority="2540">
      <formula>AND(COUNTIF(I545:BG545,"&lt;&gt;" &amp; "")&gt;0,NOT(ISBLANK(G545)))</formula>
    </cfRule>
  </conditionalFormatting>
  <conditionalFormatting sqref="G546">
    <cfRule type="expression" dxfId="0" priority="2542">
      <formula>COUNTIF(I546:BG546,"&lt;&gt;" &amp; "")&gt;0</formula>
    </cfRule>
    <cfRule type="expression" dxfId="1" priority="2543">
      <formula>AND(COUNTIF(I546:BG546,"&lt;&gt;" &amp; "")&gt;0,NOT(ISBLANK(G546)))</formula>
    </cfRule>
  </conditionalFormatting>
  <conditionalFormatting sqref="G547">
    <cfRule type="expression" dxfId="0" priority="2545">
      <formula>COUNTIF(I547:BG547,"&lt;&gt;" &amp; "")&gt;0</formula>
    </cfRule>
    <cfRule type="expression" dxfId="1" priority="2546">
      <formula>AND(COUNTIF(I547:BG547,"&lt;&gt;" &amp; "")&gt;0,NOT(ISBLANK(G547)))</formula>
    </cfRule>
  </conditionalFormatting>
  <conditionalFormatting sqref="G548">
    <cfRule type="expression" dxfId="0" priority="2548">
      <formula>COUNTIF(I548:BG548,"&lt;&gt;" &amp; "")&gt;0</formula>
    </cfRule>
    <cfRule type="expression" dxfId="1" priority="2549">
      <formula>AND(COUNTIF(I548:BG548,"&lt;&gt;" &amp; "")&gt;0,NOT(ISBLANK(G548)))</formula>
    </cfRule>
  </conditionalFormatting>
  <conditionalFormatting sqref="G549">
    <cfRule type="expression" dxfId="0" priority="2551">
      <formula>COUNTIF(I549:BG549,"&lt;&gt;" &amp; "")&gt;0</formula>
    </cfRule>
    <cfRule type="expression" dxfId="1" priority="2552">
      <formula>AND(COUNTIF(I549:BG549,"&lt;&gt;" &amp; "")&gt;0,NOT(ISBLANK(G549)))</formula>
    </cfRule>
  </conditionalFormatting>
  <conditionalFormatting sqref="G55">
    <cfRule type="expression" dxfId="0" priority="467">
      <formula>COUNTIF(I55:BG55,"&lt;&gt;" &amp; "")&gt;0</formula>
    </cfRule>
    <cfRule type="expression" dxfId="1" priority="468">
      <formula>AND(COUNTIF(I55:BG55,"&lt;&gt;" &amp; "")&gt;0,NOT(ISBLANK(G55)))</formula>
    </cfRule>
  </conditionalFormatting>
  <conditionalFormatting sqref="G550">
    <cfRule type="expression" dxfId="0" priority="2554">
      <formula>COUNTIF(I550:BG550,"&lt;&gt;" &amp; "")&gt;0</formula>
    </cfRule>
    <cfRule type="expression" dxfId="1" priority="2555">
      <formula>AND(COUNTIF(I550:BG550,"&lt;&gt;" &amp; "")&gt;0,NOT(ISBLANK(G550)))</formula>
    </cfRule>
  </conditionalFormatting>
  <conditionalFormatting sqref="G551">
    <cfRule type="expression" dxfId="0" priority="2557">
      <formula>COUNTIF(I551:BG551,"&lt;&gt;" &amp; "")&gt;0</formula>
    </cfRule>
    <cfRule type="expression" dxfId="1" priority="2558">
      <formula>AND(COUNTIF(I551:BG551,"&lt;&gt;" &amp; "")&gt;0,NOT(ISBLANK(G551)))</formula>
    </cfRule>
  </conditionalFormatting>
  <conditionalFormatting sqref="G552">
    <cfRule type="expression" dxfId="0" priority="2560">
      <formula>COUNTIF(I552:BG552,"&lt;&gt;" &amp; "")&gt;0</formula>
    </cfRule>
    <cfRule type="expression" dxfId="1" priority="2561">
      <formula>AND(COUNTIF(I552:BG552,"&lt;&gt;" &amp; "")&gt;0,NOT(ISBLANK(G552)))</formula>
    </cfRule>
  </conditionalFormatting>
  <conditionalFormatting sqref="G553">
    <cfRule type="expression" dxfId="0" priority="2563">
      <formula>COUNTIF(I553:BG553,"&lt;&gt;" &amp; "")&gt;0</formula>
    </cfRule>
    <cfRule type="expression" dxfId="1" priority="2564">
      <formula>AND(COUNTIF(I553:BG553,"&lt;&gt;" &amp; "")&gt;0,NOT(ISBLANK(G553)))</formula>
    </cfRule>
  </conditionalFormatting>
  <conditionalFormatting sqref="G554">
    <cfRule type="expression" dxfId="0" priority="2566">
      <formula>COUNTIF(I554:BG554,"&lt;&gt;" &amp; "")&gt;0</formula>
    </cfRule>
    <cfRule type="expression" dxfId="1" priority="2567">
      <formula>AND(COUNTIF(I554:BG554,"&lt;&gt;" &amp; "")&gt;0,NOT(ISBLANK(G554)))</formula>
    </cfRule>
  </conditionalFormatting>
  <conditionalFormatting sqref="G555">
    <cfRule type="expression" dxfId="0" priority="2569">
      <formula>COUNTIF(I555:BG555,"&lt;&gt;" &amp; "")&gt;0</formula>
    </cfRule>
    <cfRule type="expression" dxfId="1" priority="2570">
      <formula>AND(COUNTIF(I555:BG555,"&lt;&gt;" &amp; "")&gt;0,NOT(ISBLANK(G555)))</formula>
    </cfRule>
  </conditionalFormatting>
  <conditionalFormatting sqref="G556">
    <cfRule type="expression" dxfId="0" priority="2572">
      <formula>COUNTIF(I556:BG556,"&lt;&gt;" &amp; "")&gt;0</formula>
    </cfRule>
    <cfRule type="expression" dxfId="1" priority="2573">
      <formula>AND(COUNTIF(I556:BG556,"&lt;&gt;" &amp; "")&gt;0,NOT(ISBLANK(G556)))</formula>
    </cfRule>
  </conditionalFormatting>
  <conditionalFormatting sqref="G557">
    <cfRule type="expression" dxfId="0" priority="2575">
      <formula>COUNTIF(I557:BG557,"&lt;&gt;" &amp; "")&gt;0</formula>
    </cfRule>
    <cfRule type="expression" dxfId="1" priority="2576">
      <formula>AND(COUNTIF(I557:BG557,"&lt;&gt;" &amp; "")&gt;0,NOT(ISBLANK(G557)))</formula>
    </cfRule>
  </conditionalFormatting>
  <conditionalFormatting sqref="G558">
    <cfRule type="expression" dxfId="0" priority="2578">
      <formula>COUNTIF(I558:BG558,"&lt;&gt;" &amp; "")&gt;0</formula>
    </cfRule>
    <cfRule type="expression" dxfId="1" priority="2579">
      <formula>AND(COUNTIF(I558:BG558,"&lt;&gt;" &amp; "")&gt;0,NOT(ISBLANK(G558)))</formula>
    </cfRule>
  </conditionalFormatting>
  <conditionalFormatting sqref="G559">
    <cfRule type="expression" dxfId="0" priority="2581">
      <formula>COUNTIF(I559:BG559,"&lt;&gt;" &amp; "")&gt;0</formula>
    </cfRule>
    <cfRule type="expression" dxfId="1" priority="2582">
      <formula>AND(COUNTIF(I559:BG559,"&lt;&gt;" &amp; "")&gt;0,NOT(ISBLANK(G559)))</formula>
    </cfRule>
  </conditionalFormatting>
  <conditionalFormatting sqref="G56">
    <cfRule type="expression" dxfId="0" priority="470">
      <formula>COUNTIF(I56:BG56,"&lt;&gt;" &amp; "")&gt;0</formula>
    </cfRule>
    <cfRule type="expression" dxfId="1" priority="471">
      <formula>AND(COUNTIF(I56:BG56,"&lt;&gt;" &amp; "")&gt;0,NOT(ISBLANK(G56)))</formula>
    </cfRule>
  </conditionalFormatting>
  <conditionalFormatting sqref="G560">
    <cfRule type="expression" dxfId="0" priority="2584">
      <formula>COUNTIF(I560:BG560,"&lt;&gt;" &amp; "")&gt;0</formula>
    </cfRule>
    <cfRule type="expression" dxfId="1" priority="2585">
      <formula>AND(COUNTIF(I560:BG560,"&lt;&gt;" &amp; "")&gt;0,NOT(ISBLANK(G560)))</formula>
    </cfRule>
  </conditionalFormatting>
  <conditionalFormatting sqref="G561">
    <cfRule type="expression" dxfId="0" priority="2587">
      <formula>COUNTIF(I561:BG561,"&lt;&gt;" &amp; "")&gt;0</formula>
    </cfRule>
    <cfRule type="expression" dxfId="1" priority="2588">
      <formula>AND(COUNTIF(I561:BG561,"&lt;&gt;" &amp; "")&gt;0,NOT(ISBLANK(G561)))</formula>
    </cfRule>
  </conditionalFormatting>
  <conditionalFormatting sqref="G562">
    <cfRule type="expression" dxfId="0" priority="2590">
      <formula>COUNTIF(I562:BG562,"&lt;&gt;" &amp; "")&gt;0</formula>
    </cfRule>
    <cfRule type="expression" dxfId="1" priority="2591">
      <formula>AND(COUNTIF(I562:BG562,"&lt;&gt;" &amp; "")&gt;0,NOT(ISBLANK(G562)))</formula>
    </cfRule>
  </conditionalFormatting>
  <conditionalFormatting sqref="G563">
    <cfRule type="expression" dxfId="0" priority="2593">
      <formula>COUNTIF(I563:BG563,"&lt;&gt;" &amp; "")&gt;0</formula>
    </cfRule>
    <cfRule type="expression" dxfId="1" priority="2594">
      <formula>AND(COUNTIF(I563:BG563,"&lt;&gt;" &amp; "")&gt;0,NOT(ISBLANK(G563)))</formula>
    </cfRule>
  </conditionalFormatting>
  <conditionalFormatting sqref="G564">
    <cfRule type="expression" dxfId="0" priority="2596">
      <formula>COUNTIF(I564:BG564,"&lt;&gt;" &amp; "")&gt;0</formula>
    </cfRule>
    <cfRule type="expression" dxfId="1" priority="2597">
      <formula>AND(COUNTIF(I564:BG564,"&lt;&gt;" &amp; "")&gt;0,NOT(ISBLANK(G564)))</formula>
    </cfRule>
  </conditionalFormatting>
  <conditionalFormatting sqref="G565">
    <cfRule type="expression" dxfId="0" priority="2599">
      <formula>COUNTIF(I565:BG565,"&lt;&gt;" &amp; "")&gt;0</formula>
    </cfRule>
    <cfRule type="expression" dxfId="1" priority="2600">
      <formula>AND(COUNTIF(I565:BG565,"&lt;&gt;" &amp; "")&gt;0,NOT(ISBLANK(G565)))</formula>
    </cfRule>
  </conditionalFormatting>
  <conditionalFormatting sqref="G566">
    <cfRule type="expression" dxfId="0" priority="2602">
      <formula>COUNTIF(I566:BG566,"&lt;&gt;" &amp; "")&gt;0</formula>
    </cfRule>
    <cfRule type="expression" dxfId="1" priority="2603">
      <formula>AND(COUNTIF(I566:BG566,"&lt;&gt;" &amp; "")&gt;0,NOT(ISBLANK(G566)))</formula>
    </cfRule>
  </conditionalFormatting>
  <conditionalFormatting sqref="G567">
    <cfRule type="expression" dxfId="0" priority="2605">
      <formula>COUNTIF(I567:BG567,"&lt;&gt;" &amp; "")&gt;0</formula>
    </cfRule>
    <cfRule type="expression" dxfId="1" priority="2606">
      <formula>AND(COUNTIF(I567:BG567,"&lt;&gt;" &amp; "")&gt;0,NOT(ISBLANK(G567)))</formula>
    </cfRule>
  </conditionalFormatting>
  <conditionalFormatting sqref="G568">
    <cfRule type="expression" dxfId="0" priority="2608">
      <formula>COUNTIF(I568:BG568,"&lt;&gt;" &amp; "")&gt;0</formula>
    </cfRule>
    <cfRule type="expression" dxfId="1" priority="2609">
      <formula>AND(COUNTIF(I568:BG568,"&lt;&gt;" &amp; "")&gt;0,NOT(ISBLANK(G568)))</formula>
    </cfRule>
  </conditionalFormatting>
  <conditionalFormatting sqref="G569">
    <cfRule type="expression" dxfId="0" priority="2611">
      <formula>COUNTIF(I569:BG569,"&lt;&gt;" &amp; "")&gt;0</formula>
    </cfRule>
    <cfRule type="expression" dxfId="1" priority="2612">
      <formula>AND(COUNTIF(I569:BG569,"&lt;&gt;" &amp; "")&gt;0,NOT(ISBLANK(G569)))</formula>
    </cfRule>
  </conditionalFormatting>
  <conditionalFormatting sqref="G57">
    <cfRule type="expression" dxfId="0" priority="473">
      <formula>COUNTIF(I57:BG57,"&lt;&gt;" &amp; "")&gt;0</formula>
    </cfRule>
    <cfRule type="expression" dxfId="1" priority="474">
      <formula>AND(COUNTIF(I57:BG57,"&lt;&gt;" &amp; "")&gt;0,NOT(ISBLANK(G57)))</formula>
    </cfRule>
  </conditionalFormatting>
  <conditionalFormatting sqref="G570">
    <cfRule type="expression" dxfId="0" priority="2614">
      <formula>COUNTIF(I570:BG570,"&lt;&gt;" &amp; "")&gt;0</formula>
    </cfRule>
    <cfRule type="expression" dxfId="1" priority="2615">
      <formula>AND(COUNTIF(I570:BG570,"&lt;&gt;" &amp; "")&gt;0,NOT(ISBLANK(G570)))</formula>
    </cfRule>
  </conditionalFormatting>
  <conditionalFormatting sqref="G571">
    <cfRule type="expression" dxfId="0" priority="2617">
      <formula>COUNTIF(I571:BG571,"&lt;&gt;" &amp; "")&gt;0</formula>
    </cfRule>
    <cfRule type="expression" dxfId="1" priority="2618">
      <formula>AND(COUNTIF(I571:BG571,"&lt;&gt;" &amp; "")&gt;0,NOT(ISBLANK(G571)))</formula>
    </cfRule>
  </conditionalFormatting>
  <conditionalFormatting sqref="G572">
    <cfRule type="expression" dxfId="0" priority="2620">
      <formula>COUNTIF(I572:BG572,"&lt;&gt;" &amp; "")&gt;0</formula>
    </cfRule>
    <cfRule type="expression" dxfId="1" priority="2621">
      <formula>AND(COUNTIF(I572:BG572,"&lt;&gt;" &amp; "")&gt;0,NOT(ISBLANK(G572)))</formula>
    </cfRule>
  </conditionalFormatting>
  <conditionalFormatting sqref="G573">
    <cfRule type="expression" dxfId="0" priority="2623">
      <formula>COUNTIF(I573:BG573,"&lt;&gt;" &amp; "")&gt;0</formula>
    </cfRule>
    <cfRule type="expression" dxfId="1" priority="2624">
      <formula>AND(COUNTIF(I573:BG573,"&lt;&gt;" &amp; "")&gt;0,NOT(ISBLANK(G573)))</formula>
    </cfRule>
  </conditionalFormatting>
  <conditionalFormatting sqref="G574">
    <cfRule type="expression" dxfId="0" priority="2626">
      <formula>COUNTIF(I574:BG574,"&lt;&gt;" &amp; "")&gt;0</formula>
    </cfRule>
    <cfRule type="expression" dxfId="1" priority="2627">
      <formula>AND(COUNTIF(I574:BG574,"&lt;&gt;" &amp; "")&gt;0,NOT(ISBLANK(G574)))</formula>
    </cfRule>
  </conditionalFormatting>
  <conditionalFormatting sqref="G575">
    <cfRule type="expression" dxfId="0" priority="2629">
      <formula>COUNTIF(I575:BG575,"&lt;&gt;" &amp; "")&gt;0</formula>
    </cfRule>
    <cfRule type="expression" dxfId="1" priority="2630">
      <formula>AND(COUNTIF(I575:BG575,"&lt;&gt;" &amp; "")&gt;0,NOT(ISBLANK(G575)))</formula>
    </cfRule>
  </conditionalFormatting>
  <conditionalFormatting sqref="G576">
    <cfRule type="expression" dxfId="0" priority="2632">
      <formula>COUNTIF(I576:BG576,"&lt;&gt;" &amp; "")&gt;0</formula>
    </cfRule>
    <cfRule type="expression" dxfId="1" priority="2633">
      <formula>AND(COUNTIF(I576:BG576,"&lt;&gt;" &amp; "")&gt;0,NOT(ISBLANK(G576)))</formula>
    </cfRule>
  </conditionalFormatting>
  <conditionalFormatting sqref="G577">
    <cfRule type="expression" dxfId="0" priority="2635">
      <formula>COUNTIF(I577:BG577,"&lt;&gt;" &amp; "")&gt;0</formula>
    </cfRule>
    <cfRule type="expression" dxfId="1" priority="2636">
      <formula>AND(COUNTIF(I577:BG577,"&lt;&gt;" &amp; "")&gt;0,NOT(ISBLANK(G577)))</formula>
    </cfRule>
  </conditionalFormatting>
  <conditionalFormatting sqref="G578">
    <cfRule type="expression" dxfId="0" priority="2638">
      <formula>COUNTIF(I578:BG578,"&lt;&gt;" &amp; "")&gt;0</formula>
    </cfRule>
    <cfRule type="expression" dxfId="1" priority="2639">
      <formula>AND(COUNTIF(I578:BG578,"&lt;&gt;" &amp; "")&gt;0,NOT(ISBLANK(G578)))</formula>
    </cfRule>
  </conditionalFormatting>
  <conditionalFormatting sqref="G579">
    <cfRule type="expression" dxfId="0" priority="2641">
      <formula>COUNTIF(I579:BG579,"&lt;&gt;" &amp; "")&gt;0</formula>
    </cfRule>
    <cfRule type="expression" dxfId="1" priority="2642">
      <formula>AND(COUNTIF(I579:BG579,"&lt;&gt;" &amp; "")&gt;0,NOT(ISBLANK(G579)))</formula>
    </cfRule>
  </conditionalFormatting>
  <conditionalFormatting sqref="G58">
    <cfRule type="expression" dxfId="0" priority="476">
      <formula>COUNTIF(I58:BG58,"&lt;&gt;" &amp; "")&gt;0</formula>
    </cfRule>
    <cfRule type="expression" dxfId="1" priority="477">
      <formula>AND(COUNTIF(I58:BG58,"&lt;&gt;" &amp; "")&gt;0,NOT(ISBLANK(G58)))</formula>
    </cfRule>
  </conditionalFormatting>
  <conditionalFormatting sqref="G580">
    <cfRule type="expression" dxfId="0" priority="2644">
      <formula>COUNTIF(I580:BG580,"&lt;&gt;" &amp; "")&gt;0</formula>
    </cfRule>
    <cfRule type="expression" dxfId="1" priority="2645">
      <formula>AND(COUNTIF(I580:BG580,"&lt;&gt;" &amp; "")&gt;0,NOT(ISBLANK(G580)))</formula>
    </cfRule>
  </conditionalFormatting>
  <conditionalFormatting sqref="G581">
    <cfRule type="expression" dxfId="0" priority="2647">
      <formula>COUNTIF(I581:BG581,"&lt;&gt;" &amp; "")&gt;0</formula>
    </cfRule>
    <cfRule type="expression" dxfId="1" priority="2648">
      <formula>AND(COUNTIF(I581:BG581,"&lt;&gt;" &amp; "")&gt;0,NOT(ISBLANK(G581)))</formula>
    </cfRule>
  </conditionalFormatting>
  <conditionalFormatting sqref="G582">
    <cfRule type="expression" dxfId="0" priority="2650">
      <formula>COUNTIF(I582:BG582,"&lt;&gt;" &amp; "")&gt;0</formula>
    </cfRule>
    <cfRule type="expression" dxfId="1" priority="2651">
      <formula>AND(COUNTIF(I582:BG582,"&lt;&gt;" &amp; "")&gt;0,NOT(ISBLANK(G582)))</formula>
    </cfRule>
  </conditionalFormatting>
  <conditionalFormatting sqref="G583">
    <cfRule type="expression" dxfId="0" priority="2653">
      <formula>COUNTIF(I583:BG583,"&lt;&gt;" &amp; "")&gt;0</formula>
    </cfRule>
    <cfRule type="expression" dxfId="1" priority="2654">
      <formula>AND(COUNTIF(I583:BG583,"&lt;&gt;" &amp; "")&gt;0,NOT(ISBLANK(G583)))</formula>
    </cfRule>
  </conditionalFormatting>
  <conditionalFormatting sqref="G584">
    <cfRule type="expression" dxfId="0" priority="2656">
      <formula>COUNTIF(I584:BG584,"&lt;&gt;" &amp; "")&gt;0</formula>
    </cfRule>
    <cfRule type="expression" dxfId="1" priority="2657">
      <formula>AND(COUNTIF(I584:BG584,"&lt;&gt;" &amp; "")&gt;0,NOT(ISBLANK(G584)))</formula>
    </cfRule>
  </conditionalFormatting>
  <conditionalFormatting sqref="G585">
    <cfRule type="expression" dxfId="0" priority="2659">
      <formula>COUNTIF(I585:BG585,"&lt;&gt;" &amp; "")&gt;0</formula>
    </cfRule>
    <cfRule type="expression" dxfId="1" priority="2660">
      <formula>AND(COUNTIF(I585:BG585,"&lt;&gt;" &amp; "")&gt;0,NOT(ISBLANK(G585)))</formula>
    </cfRule>
  </conditionalFormatting>
  <conditionalFormatting sqref="G586">
    <cfRule type="expression" dxfId="0" priority="2662">
      <formula>COUNTIF(I586:BG586,"&lt;&gt;" &amp; "")&gt;0</formula>
    </cfRule>
    <cfRule type="expression" dxfId="1" priority="2663">
      <formula>AND(COUNTIF(I586:BG586,"&lt;&gt;" &amp; "")&gt;0,NOT(ISBLANK(G586)))</formula>
    </cfRule>
  </conditionalFormatting>
  <conditionalFormatting sqref="G587">
    <cfRule type="expression" dxfId="0" priority="2665">
      <formula>COUNTIF(I587:BG587,"&lt;&gt;" &amp; "")&gt;0</formula>
    </cfRule>
    <cfRule type="expression" dxfId="1" priority="2666">
      <formula>AND(COUNTIF(I587:BG587,"&lt;&gt;" &amp; "")&gt;0,NOT(ISBLANK(G587)))</formula>
    </cfRule>
  </conditionalFormatting>
  <conditionalFormatting sqref="G588">
    <cfRule type="expression" dxfId="0" priority="2668">
      <formula>COUNTIF(I588:BG588,"&lt;&gt;" &amp; "")&gt;0</formula>
    </cfRule>
    <cfRule type="expression" dxfId="1" priority="2669">
      <formula>AND(COUNTIF(I588:BG588,"&lt;&gt;" &amp; "")&gt;0,NOT(ISBLANK(G588)))</formula>
    </cfRule>
  </conditionalFormatting>
  <conditionalFormatting sqref="G589">
    <cfRule type="expression" dxfId="0" priority="2671">
      <formula>COUNTIF(I589:BG589,"&lt;&gt;" &amp; "")&gt;0</formula>
    </cfRule>
    <cfRule type="expression" dxfId="1" priority="2672">
      <formula>AND(COUNTIF(I589:BG589,"&lt;&gt;" &amp; "")&gt;0,NOT(ISBLANK(G589)))</formula>
    </cfRule>
  </conditionalFormatting>
  <conditionalFormatting sqref="G59">
    <cfRule type="expression" dxfId="0" priority="479">
      <formula>COUNTIF(I59:BG59,"&lt;&gt;" &amp; "")&gt;0</formula>
    </cfRule>
    <cfRule type="expression" dxfId="1" priority="480">
      <formula>AND(COUNTIF(I59:BG59,"&lt;&gt;" &amp; "")&gt;0,NOT(ISBLANK(G59)))</formula>
    </cfRule>
  </conditionalFormatting>
  <conditionalFormatting sqref="G590">
    <cfRule type="expression" dxfId="0" priority="2674">
      <formula>COUNTIF(I590:BG590,"&lt;&gt;" &amp; "")&gt;0</formula>
    </cfRule>
    <cfRule type="expression" dxfId="1" priority="2675">
      <formula>AND(COUNTIF(I590:BG590,"&lt;&gt;" &amp; "")&gt;0,NOT(ISBLANK(G590)))</formula>
    </cfRule>
  </conditionalFormatting>
  <conditionalFormatting sqref="G591">
    <cfRule type="expression" dxfId="0" priority="2677">
      <formula>COUNTIF(I591:BG591,"&lt;&gt;" &amp; "")&gt;0</formula>
    </cfRule>
    <cfRule type="expression" dxfId="1" priority="2678">
      <formula>AND(COUNTIF(I591:BG591,"&lt;&gt;" &amp; "")&gt;0,NOT(ISBLANK(G591)))</formula>
    </cfRule>
  </conditionalFormatting>
  <conditionalFormatting sqref="G592">
    <cfRule type="expression" dxfId="0" priority="2680">
      <formula>COUNTIF(I592:BG592,"&lt;&gt;" &amp; "")&gt;0</formula>
    </cfRule>
    <cfRule type="expression" dxfId="1" priority="2681">
      <formula>AND(COUNTIF(I592:BG592,"&lt;&gt;" &amp; "")&gt;0,NOT(ISBLANK(G592)))</formula>
    </cfRule>
  </conditionalFormatting>
  <conditionalFormatting sqref="G593">
    <cfRule type="expression" dxfId="0" priority="2683">
      <formula>COUNTIF(I593:BG593,"&lt;&gt;" &amp; "")&gt;0</formula>
    </cfRule>
    <cfRule type="expression" dxfId="1" priority="2684">
      <formula>AND(COUNTIF(I593:BG593,"&lt;&gt;" &amp; "")&gt;0,NOT(ISBLANK(G593)))</formula>
    </cfRule>
  </conditionalFormatting>
  <conditionalFormatting sqref="G594">
    <cfRule type="expression" dxfId="0" priority="2686">
      <formula>COUNTIF(I594:BG594,"&lt;&gt;" &amp; "")&gt;0</formula>
    </cfRule>
    <cfRule type="expression" dxfId="1" priority="2687">
      <formula>AND(COUNTIF(I594:BG594,"&lt;&gt;" &amp; "")&gt;0,NOT(ISBLANK(G594)))</formula>
    </cfRule>
  </conditionalFormatting>
  <conditionalFormatting sqref="G595">
    <cfRule type="expression" dxfId="0" priority="2689">
      <formula>COUNTIF(I595:BG595,"&lt;&gt;" &amp; "")&gt;0</formula>
    </cfRule>
    <cfRule type="expression" dxfId="1" priority="2690">
      <formula>AND(COUNTIF(I595:BG595,"&lt;&gt;" &amp; "")&gt;0,NOT(ISBLANK(G595)))</formula>
    </cfRule>
  </conditionalFormatting>
  <conditionalFormatting sqref="G596">
    <cfRule type="expression" dxfId="0" priority="2692">
      <formula>COUNTIF(I596:BG596,"&lt;&gt;" &amp; "")&gt;0</formula>
    </cfRule>
    <cfRule type="expression" dxfId="1" priority="2693">
      <formula>AND(COUNTIF(I596:BG596,"&lt;&gt;" &amp; "")&gt;0,NOT(ISBLANK(G596)))</formula>
    </cfRule>
  </conditionalFormatting>
  <conditionalFormatting sqref="G597">
    <cfRule type="expression" dxfId="0" priority="2695">
      <formula>COUNTIF(I597:BG597,"&lt;&gt;" &amp; "")&gt;0</formula>
    </cfRule>
    <cfRule type="expression" dxfId="1" priority="2696">
      <formula>AND(COUNTIF(I597:BG597,"&lt;&gt;" &amp; "")&gt;0,NOT(ISBLANK(G597)))</formula>
    </cfRule>
  </conditionalFormatting>
  <conditionalFormatting sqref="G598">
    <cfRule type="expression" dxfId="0" priority="2698">
      <formula>COUNTIF(I598:BG598,"&lt;&gt;" &amp; "")&gt;0</formula>
    </cfRule>
    <cfRule type="expression" dxfId="1" priority="2699">
      <formula>AND(COUNTIF(I598:BG598,"&lt;&gt;" &amp; "")&gt;0,NOT(ISBLANK(G598)))</formula>
    </cfRule>
  </conditionalFormatting>
  <conditionalFormatting sqref="G599">
    <cfRule type="expression" dxfId="0" priority="2701">
      <formula>COUNTIF(I599:BG599,"&lt;&gt;" &amp; "")&gt;0</formula>
    </cfRule>
    <cfRule type="expression" dxfId="1" priority="2702">
      <formula>AND(COUNTIF(I599:BG599,"&lt;&gt;" &amp; "")&gt;0,NOT(ISBLANK(G599)))</formula>
    </cfRule>
  </conditionalFormatting>
  <conditionalFormatting sqref="G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G60">
    <cfRule type="expression" dxfId="0" priority="482">
      <formula>COUNTIF(I60:BG60,"&lt;&gt;" &amp; "")&gt;0</formula>
    </cfRule>
    <cfRule type="expression" dxfId="1" priority="483">
      <formula>AND(COUNTIF(I60:BG60,"&lt;&gt;" &amp; "")&gt;0,NOT(ISBLANK(G60)))</formula>
    </cfRule>
  </conditionalFormatting>
  <conditionalFormatting sqref="G600">
    <cfRule type="expression" dxfId="0" priority="2704">
      <formula>COUNTIF(I600:BG600,"&lt;&gt;" &amp; "")&gt;0</formula>
    </cfRule>
    <cfRule type="expression" dxfId="1" priority="2705">
      <formula>AND(COUNTIF(I600:BG600,"&lt;&gt;" &amp; "")&gt;0,NOT(ISBLANK(G600)))</formula>
    </cfRule>
  </conditionalFormatting>
  <conditionalFormatting sqref="G601">
    <cfRule type="expression" dxfId="0" priority="2707">
      <formula>COUNTIF(I601:BG601,"&lt;&gt;" &amp; "")&gt;0</formula>
    </cfRule>
    <cfRule type="expression" dxfId="1" priority="2708">
      <formula>AND(COUNTIF(I601:BG601,"&lt;&gt;" &amp; "")&gt;0,NOT(ISBLANK(G601)))</formula>
    </cfRule>
  </conditionalFormatting>
  <conditionalFormatting sqref="G602">
    <cfRule type="expression" dxfId="0" priority="2710">
      <formula>COUNTIF(I602:BG602,"&lt;&gt;" &amp; "")&gt;0</formula>
    </cfRule>
    <cfRule type="expression" dxfId="1" priority="2711">
      <formula>AND(COUNTIF(I602:BG602,"&lt;&gt;" &amp; "")&gt;0,NOT(ISBLANK(G602)))</formula>
    </cfRule>
  </conditionalFormatting>
  <conditionalFormatting sqref="G603">
    <cfRule type="expression" dxfId="0" priority="2713">
      <formula>COUNTIF(I603:BG603,"&lt;&gt;" &amp; "")&gt;0</formula>
    </cfRule>
    <cfRule type="expression" dxfId="1" priority="2714">
      <formula>AND(COUNTIF(I603:BG603,"&lt;&gt;" &amp; "")&gt;0,NOT(ISBLANK(G603)))</formula>
    </cfRule>
  </conditionalFormatting>
  <conditionalFormatting sqref="G604">
    <cfRule type="expression" dxfId="0" priority="2716">
      <formula>COUNTIF(I604:BG604,"&lt;&gt;" &amp; "")&gt;0</formula>
    </cfRule>
    <cfRule type="expression" dxfId="1" priority="2717">
      <formula>AND(COUNTIF(I604:BG604,"&lt;&gt;" &amp; "")&gt;0,NOT(ISBLANK(G604)))</formula>
    </cfRule>
  </conditionalFormatting>
  <conditionalFormatting sqref="G605">
    <cfRule type="expression" dxfId="0" priority="2719">
      <formula>COUNTIF(I605:BG605,"&lt;&gt;" &amp; "")&gt;0</formula>
    </cfRule>
    <cfRule type="expression" dxfId="1" priority="2720">
      <formula>AND(COUNTIF(I605:BG605,"&lt;&gt;" &amp; "")&gt;0,NOT(ISBLANK(G605)))</formula>
    </cfRule>
  </conditionalFormatting>
  <conditionalFormatting sqref="G606">
    <cfRule type="expression" dxfId="0" priority="2722">
      <formula>COUNTIF(I606:BG606,"&lt;&gt;" &amp; "")&gt;0</formula>
    </cfRule>
    <cfRule type="expression" dxfId="1" priority="2723">
      <formula>AND(COUNTIF(I606:BG606,"&lt;&gt;" &amp; "")&gt;0,NOT(ISBLANK(G606)))</formula>
    </cfRule>
  </conditionalFormatting>
  <conditionalFormatting sqref="G607">
    <cfRule type="expression" dxfId="0" priority="2725">
      <formula>COUNTIF(I607:BG607,"&lt;&gt;" &amp; "")&gt;0</formula>
    </cfRule>
    <cfRule type="expression" dxfId="1" priority="2726">
      <formula>AND(COUNTIF(I607:BG607,"&lt;&gt;" &amp; "")&gt;0,NOT(ISBLANK(G607)))</formula>
    </cfRule>
  </conditionalFormatting>
  <conditionalFormatting sqref="G608">
    <cfRule type="expression" dxfId="0" priority="2728">
      <formula>COUNTIF(I608:BG608,"&lt;&gt;" &amp; "")&gt;0</formula>
    </cfRule>
    <cfRule type="expression" dxfId="1" priority="2729">
      <formula>AND(COUNTIF(I608:BG608,"&lt;&gt;" &amp; "")&gt;0,NOT(ISBLANK(G608)))</formula>
    </cfRule>
  </conditionalFormatting>
  <conditionalFormatting sqref="G609">
    <cfRule type="expression" dxfId="0" priority="2731">
      <formula>COUNTIF(I609:BG609,"&lt;&gt;" &amp; "")&gt;0</formula>
    </cfRule>
    <cfRule type="expression" dxfId="1" priority="2732">
      <formula>AND(COUNTIF(I609:BG609,"&lt;&gt;" &amp; "")&gt;0,NOT(ISBLANK(G609)))</formula>
    </cfRule>
  </conditionalFormatting>
  <conditionalFormatting sqref="G61">
    <cfRule type="expression" dxfId="0" priority="485">
      <formula>COUNTIF(I61:BG61,"&lt;&gt;" &amp; "")&gt;0</formula>
    </cfRule>
    <cfRule type="expression" dxfId="1" priority="486">
      <formula>AND(COUNTIF(I61:BG61,"&lt;&gt;" &amp; "")&gt;0,NOT(ISBLANK(G61)))</formula>
    </cfRule>
  </conditionalFormatting>
  <conditionalFormatting sqref="G610">
    <cfRule type="expression" dxfId="0" priority="2734">
      <formula>COUNTIF(I610:BG610,"&lt;&gt;" &amp; "")&gt;0</formula>
    </cfRule>
    <cfRule type="expression" dxfId="1" priority="2735">
      <formula>AND(COUNTIF(I610:BG610,"&lt;&gt;" &amp; "")&gt;0,NOT(ISBLANK(G610)))</formula>
    </cfRule>
  </conditionalFormatting>
  <conditionalFormatting sqref="G611">
    <cfRule type="expression" dxfId="0" priority="2737">
      <formula>COUNTIF(I611:BG611,"&lt;&gt;" &amp; "")&gt;0</formula>
    </cfRule>
    <cfRule type="expression" dxfId="1" priority="2738">
      <formula>AND(COUNTIF(I611:BG611,"&lt;&gt;" &amp; "")&gt;0,NOT(ISBLANK(G611)))</formula>
    </cfRule>
  </conditionalFormatting>
  <conditionalFormatting sqref="G612">
    <cfRule type="expression" dxfId="0" priority="2740">
      <formula>COUNTIF(I612:BG612,"&lt;&gt;" &amp; "")&gt;0</formula>
    </cfRule>
    <cfRule type="expression" dxfId="1" priority="2741">
      <formula>AND(COUNTIF(I612:BG612,"&lt;&gt;" &amp; "")&gt;0,NOT(ISBLANK(G612)))</formula>
    </cfRule>
  </conditionalFormatting>
  <conditionalFormatting sqref="G613">
    <cfRule type="expression" dxfId="0" priority="2743">
      <formula>COUNTIF(I613:BG613,"&lt;&gt;" &amp; "")&gt;0</formula>
    </cfRule>
    <cfRule type="expression" dxfId="1" priority="2744">
      <formula>AND(COUNTIF(I613:BG613,"&lt;&gt;" &amp; "")&gt;0,NOT(ISBLANK(G613)))</formula>
    </cfRule>
  </conditionalFormatting>
  <conditionalFormatting sqref="G614">
    <cfRule type="expression" dxfId="0" priority="2746">
      <formula>COUNTIF(I614:BG614,"&lt;&gt;" &amp; "")&gt;0</formula>
    </cfRule>
    <cfRule type="expression" dxfId="1" priority="2747">
      <formula>AND(COUNTIF(I614:BG614,"&lt;&gt;" &amp; "")&gt;0,NOT(ISBLANK(G614)))</formula>
    </cfRule>
  </conditionalFormatting>
  <conditionalFormatting sqref="G615">
    <cfRule type="expression" dxfId="0" priority="2749">
      <formula>COUNTIF(I615:BG615,"&lt;&gt;" &amp; "")&gt;0</formula>
    </cfRule>
    <cfRule type="expression" dxfId="1" priority="2750">
      <formula>AND(COUNTIF(I615:BG615,"&lt;&gt;" &amp; "")&gt;0,NOT(ISBLANK(G615)))</formula>
    </cfRule>
  </conditionalFormatting>
  <conditionalFormatting sqref="G616">
    <cfRule type="expression" dxfId="0" priority="2752">
      <formula>COUNTIF(I616:BG616,"&lt;&gt;" &amp; "")&gt;0</formula>
    </cfRule>
    <cfRule type="expression" dxfId="1" priority="2753">
      <formula>AND(COUNTIF(I616:BG616,"&lt;&gt;" &amp; "")&gt;0,NOT(ISBLANK(G616)))</formula>
    </cfRule>
  </conditionalFormatting>
  <conditionalFormatting sqref="G617">
    <cfRule type="expression" dxfId="0" priority="2755">
      <formula>COUNTIF(I617:BG617,"&lt;&gt;" &amp; "")&gt;0</formula>
    </cfRule>
    <cfRule type="expression" dxfId="1" priority="2756">
      <formula>AND(COUNTIF(I617:BG617,"&lt;&gt;" &amp; "")&gt;0,NOT(ISBLANK(G617)))</formula>
    </cfRule>
  </conditionalFormatting>
  <conditionalFormatting sqref="G618">
    <cfRule type="expression" dxfId="0" priority="2758">
      <formula>COUNTIF(I618:BG618,"&lt;&gt;" &amp; "")&gt;0</formula>
    </cfRule>
    <cfRule type="expression" dxfId="1" priority="2759">
      <formula>AND(COUNTIF(I618:BG618,"&lt;&gt;" &amp; "")&gt;0,NOT(ISBLANK(G618)))</formula>
    </cfRule>
  </conditionalFormatting>
  <conditionalFormatting sqref="G619">
    <cfRule type="expression" dxfId="0" priority="2761">
      <formula>COUNTIF(I619:BG619,"&lt;&gt;" &amp; "")&gt;0</formula>
    </cfRule>
    <cfRule type="expression" dxfId="1" priority="2762">
      <formula>AND(COUNTIF(I619:BG619,"&lt;&gt;" &amp; "")&gt;0,NOT(ISBLANK(G619)))</formula>
    </cfRule>
  </conditionalFormatting>
  <conditionalFormatting sqref="G62">
    <cfRule type="expression" dxfId="0" priority="488">
      <formula>COUNTIF(I62:BG62,"&lt;&gt;" &amp; "")&gt;0</formula>
    </cfRule>
    <cfRule type="expression" dxfId="1" priority="489">
      <formula>AND(COUNTIF(I62:BG62,"&lt;&gt;" &amp; "")&gt;0,NOT(ISBLANK(G62)))</formula>
    </cfRule>
  </conditionalFormatting>
  <conditionalFormatting sqref="G620">
    <cfRule type="expression" dxfId="0" priority="2764">
      <formula>COUNTIF(I620:BG620,"&lt;&gt;" &amp; "")&gt;0</formula>
    </cfRule>
    <cfRule type="expression" dxfId="1" priority="2765">
      <formula>AND(COUNTIF(I620:BG620,"&lt;&gt;" &amp; "")&gt;0,NOT(ISBLANK(G620)))</formula>
    </cfRule>
  </conditionalFormatting>
  <conditionalFormatting sqref="G621">
    <cfRule type="expression" dxfId="0" priority="2767">
      <formula>COUNTIF(I621:BG621,"&lt;&gt;" &amp; "")&gt;0</formula>
    </cfRule>
    <cfRule type="expression" dxfId="1" priority="2768">
      <formula>AND(COUNTIF(I621:BG621,"&lt;&gt;" &amp; "")&gt;0,NOT(ISBLANK(G621)))</formula>
    </cfRule>
  </conditionalFormatting>
  <conditionalFormatting sqref="G622">
    <cfRule type="expression" dxfId="0" priority="2770">
      <formula>COUNTIF(I622:BG622,"&lt;&gt;" &amp; "")&gt;0</formula>
    </cfRule>
    <cfRule type="expression" dxfId="1" priority="2771">
      <formula>AND(COUNTIF(I622:BG622,"&lt;&gt;" &amp; "")&gt;0,NOT(ISBLANK(G622)))</formula>
    </cfRule>
  </conditionalFormatting>
  <conditionalFormatting sqref="G623">
    <cfRule type="expression" dxfId="0" priority="2773">
      <formula>COUNTIF(I623:BG623,"&lt;&gt;" &amp; "")&gt;0</formula>
    </cfRule>
    <cfRule type="expression" dxfId="1" priority="2774">
      <formula>AND(COUNTIF(I623:BG623,"&lt;&gt;" &amp; "")&gt;0,NOT(ISBLANK(G623)))</formula>
    </cfRule>
  </conditionalFormatting>
  <conditionalFormatting sqref="G624">
    <cfRule type="expression" dxfId="0" priority="2776">
      <formula>COUNTIF(I624:BG624,"&lt;&gt;" &amp; "")&gt;0</formula>
    </cfRule>
    <cfRule type="expression" dxfId="1" priority="2777">
      <formula>AND(COUNTIF(I624:BG624,"&lt;&gt;" &amp; "")&gt;0,NOT(ISBLANK(G624)))</formula>
    </cfRule>
  </conditionalFormatting>
  <conditionalFormatting sqref="G625">
    <cfRule type="expression" dxfId="0" priority="2779">
      <formula>COUNTIF(I625:BG625,"&lt;&gt;" &amp; "")&gt;0</formula>
    </cfRule>
    <cfRule type="expression" dxfId="1" priority="2780">
      <formula>AND(COUNTIF(I625:BG625,"&lt;&gt;" &amp; "")&gt;0,NOT(ISBLANK(G625)))</formula>
    </cfRule>
  </conditionalFormatting>
  <conditionalFormatting sqref="G626">
    <cfRule type="expression" dxfId="0" priority="2782">
      <formula>COUNTIF(I626:BG626,"&lt;&gt;" &amp; "")&gt;0</formula>
    </cfRule>
    <cfRule type="expression" dxfId="1" priority="2783">
      <formula>AND(COUNTIF(I626:BG626,"&lt;&gt;" &amp; "")&gt;0,NOT(ISBLANK(G626)))</formula>
    </cfRule>
  </conditionalFormatting>
  <conditionalFormatting sqref="G627">
    <cfRule type="expression" dxfId="0" priority="2785">
      <formula>COUNTIF(I627:BG627,"&lt;&gt;" &amp; "")&gt;0</formula>
    </cfRule>
    <cfRule type="expression" dxfId="1" priority="2786">
      <formula>AND(COUNTIF(I627:BG627,"&lt;&gt;" &amp; "")&gt;0,NOT(ISBLANK(G627)))</formula>
    </cfRule>
  </conditionalFormatting>
  <conditionalFormatting sqref="G628">
    <cfRule type="expression" dxfId="0" priority="2788">
      <formula>COUNTIF(I628:BG628,"&lt;&gt;" &amp; "")&gt;0</formula>
    </cfRule>
    <cfRule type="expression" dxfId="1" priority="2789">
      <formula>AND(COUNTIF(I628:BG628,"&lt;&gt;" &amp; "")&gt;0,NOT(ISBLANK(G628)))</formula>
    </cfRule>
  </conditionalFormatting>
  <conditionalFormatting sqref="G629">
    <cfRule type="expression" dxfId="0" priority="2791">
      <formula>COUNTIF(I629:BG629,"&lt;&gt;" &amp; "")&gt;0</formula>
    </cfRule>
    <cfRule type="expression" dxfId="1" priority="2792">
      <formula>AND(COUNTIF(I629:BG629,"&lt;&gt;" &amp; "")&gt;0,NOT(ISBLANK(G629)))</formula>
    </cfRule>
  </conditionalFormatting>
  <conditionalFormatting sqref="G63">
    <cfRule type="expression" dxfId="0" priority="491">
      <formula>COUNTIF(I63:BG63,"&lt;&gt;" &amp; "")&gt;0</formula>
    </cfRule>
    <cfRule type="expression" dxfId="1" priority="492">
      <formula>AND(COUNTIF(I63:BG63,"&lt;&gt;" &amp; "")&gt;0,NOT(ISBLANK(G63)))</formula>
    </cfRule>
  </conditionalFormatting>
  <conditionalFormatting sqref="G630">
    <cfRule type="expression" dxfId="0" priority="2794">
      <formula>COUNTIF(I630:BG630,"&lt;&gt;" &amp; "")&gt;0</formula>
    </cfRule>
    <cfRule type="expression" dxfId="1" priority="2795">
      <formula>AND(COUNTIF(I630:BG630,"&lt;&gt;" &amp; "")&gt;0,NOT(ISBLANK(G630)))</formula>
    </cfRule>
  </conditionalFormatting>
  <conditionalFormatting sqref="G631">
    <cfRule type="expression" dxfId="0" priority="2797">
      <formula>COUNTIF(I631:BG631,"&lt;&gt;" &amp; "")&gt;0</formula>
    </cfRule>
    <cfRule type="expression" dxfId="1" priority="2798">
      <formula>AND(COUNTIF(I631:BG631,"&lt;&gt;" &amp; "")&gt;0,NOT(ISBLANK(G631)))</formula>
    </cfRule>
  </conditionalFormatting>
  <conditionalFormatting sqref="G632">
    <cfRule type="expression" dxfId="0" priority="2800">
      <formula>COUNTIF(I632:BG632,"&lt;&gt;" &amp; "")&gt;0</formula>
    </cfRule>
    <cfRule type="expression" dxfId="1" priority="2801">
      <formula>AND(COUNTIF(I632:BG632,"&lt;&gt;" &amp; "")&gt;0,NOT(ISBLANK(G632)))</formula>
    </cfRule>
  </conditionalFormatting>
  <conditionalFormatting sqref="G633">
    <cfRule type="expression" dxfId="0" priority="2803">
      <formula>COUNTIF(I633:BG633,"&lt;&gt;" &amp; "")&gt;0</formula>
    </cfRule>
    <cfRule type="expression" dxfId="1" priority="2804">
      <formula>AND(COUNTIF(I633:BG633,"&lt;&gt;" &amp; "")&gt;0,NOT(ISBLANK(G633)))</formula>
    </cfRule>
  </conditionalFormatting>
  <conditionalFormatting sqref="G634">
    <cfRule type="expression" dxfId="0" priority="2806">
      <formula>COUNTIF(I634:BG634,"&lt;&gt;" &amp; "")&gt;0</formula>
    </cfRule>
    <cfRule type="expression" dxfId="1" priority="2807">
      <formula>AND(COUNTIF(I634:BG634,"&lt;&gt;" &amp; "")&gt;0,NOT(ISBLANK(G634)))</formula>
    </cfRule>
  </conditionalFormatting>
  <conditionalFormatting sqref="G635">
    <cfRule type="expression" dxfId="0" priority="2809">
      <formula>COUNTIF(I635:BG635,"&lt;&gt;" &amp; "")&gt;0</formula>
    </cfRule>
    <cfRule type="expression" dxfId="1" priority="2810">
      <formula>AND(COUNTIF(I635:BG635,"&lt;&gt;" &amp; "")&gt;0,NOT(ISBLANK(G635)))</formula>
    </cfRule>
  </conditionalFormatting>
  <conditionalFormatting sqref="G636">
    <cfRule type="expression" dxfId="0" priority="2812">
      <formula>COUNTIF(I636:BG636,"&lt;&gt;" &amp; "")&gt;0</formula>
    </cfRule>
    <cfRule type="expression" dxfId="1" priority="2813">
      <formula>AND(COUNTIF(I636:BG636,"&lt;&gt;" &amp; "")&gt;0,NOT(ISBLANK(G636)))</formula>
    </cfRule>
  </conditionalFormatting>
  <conditionalFormatting sqref="G637">
    <cfRule type="expression" dxfId="0" priority="2815">
      <formula>COUNTIF(I637:BG637,"&lt;&gt;" &amp; "")&gt;0</formula>
    </cfRule>
    <cfRule type="expression" dxfId="1" priority="2816">
      <formula>AND(COUNTIF(I637:BG637,"&lt;&gt;" &amp; "")&gt;0,NOT(ISBLANK(G637)))</formula>
    </cfRule>
  </conditionalFormatting>
  <conditionalFormatting sqref="G638">
    <cfRule type="expression" dxfId="0" priority="2818">
      <formula>COUNTIF(I638:BG638,"&lt;&gt;" &amp; "")&gt;0</formula>
    </cfRule>
    <cfRule type="expression" dxfId="1" priority="2819">
      <formula>AND(COUNTIF(I638:BG638,"&lt;&gt;" &amp; "")&gt;0,NOT(ISBLANK(G638)))</formula>
    </cfRule>
  </conditionalFormatting>
  <conditionalFormatting sqref="G639">
    <cfRule type="expression" dxfId="0" priority="2821">
      <formula>COUNTIF(I639:BG639,"&lt;&gt;" &amp; "")&gt;0</formula>
    </cfRule>
    <cfRule type="expression" dxfId="1" priority="2822">
      <formula>AND(COUNTIF(I639:BG639,"&lt;&gt;" &amp; "")&gt;0,NOT(ISBLANK(G639)))</formula>
    </cfRule>
  </conditionalFormatting>
  <conditionalFormatting sqref="G64">
    <cfRule type="expression" dxfId="0" priority="494">
      <formula>COUNTIF(I64:BG64,"&lt;&gt;" &amp; "")&gt;0</formula>
    </cfRule>
    <cfRule type="expression" dxfId="1" priority="495">
      <formula>AND(COUNTIF(I64:BG64,"&lt;&gt;" &amp; "")&gt;0,NOT(ISBLANK(G64)))</formula>
    </cfRule>
  </conditionalFormatting>
  <conditionalFormatting sqref="G640">
    <cfRule type="expression" dxfId="0" priority="2824">
      <formula>COUNTIF(I640:BG640,"&lt;&gt;" &amp; "")&gt;0</formula>
    </cfRule>
    <cfRule type="expression" dxfId="1" priority="2825">
      <formula>AND(COUNTIF(I640:BG640,"&lt;&gt;" &amp; "")&gt;0,NOT(ISBLANK(G640)))</formula>
    </cfRule>
  </conditionalFormatting>
  <conditionalFormatting sqref="G641">
    <cfRule type="expression" dxfId="0" priority="2827">
      <formula>COUNTIF(I641:BG641,"&lt;&gt;" &amp; "")&gt;0</formula>
    </cfRule>
    <cfRule type="expression" dxfId="1" priority="2828">
      <formula>AND(COUNTIF(I641:BG641,"&lt;&gt;" &amp; "")&gt;0,NOT(ISBLANK(G641)))</formula>
    </cfRule>
  </conditionalFormatting>
  <conditionalFormatting sqref="G642">
    <cfRule type="expression" dxfId="0" priority="2830">
      <formula>COUNTIF(I642:BG642,"&lt;&gt;" &amp; "")&gt;0</formula>
    </cfRule>
    <cfRule type="expression" dxfId="1" priority="2831">
      <formula>AND(COUNTIF(I642:BG642,"&lt;&gt;" &amp; "")&gt;0,NOT(ISBLANK(G642)))</formula>
    </cfRule>
  </conditionalFormatting>
  <conditionalFormatting sqref="G643">
    <cfRule type="expression" dxfId="0" priority="2833">
      <formula>COUNTIF(I643:BG643,"&lt;&gt;" &amp; "")&gt;0</formula>
    </cfRule>
    <cfRule type="expression" dxfId="1" priority="2834">
      <formula>AND(COUNTIF(I643:BG643,"&lt;&gt;" &amp; "")&gt;0,NOT(ISBLANK(G643)))</formula>
    </cfRule>
  </conditionalFormatting>
  <conditionalFormatting sqref="G644">
    <cfRule type="expression" dxfId="0" priority="2836">
      <formula>COUNTIF(I644:BG644,"&lt;&gt;" &amp; "")&gt;0</formula>
    </cfRule>
    <cfRule type="expression" dxfId="1" priority="2837">
      <formula>AND(COUNTIF(I644:BG644,"&lt;&gt;" &amp; "")&gt;0,NOT(ISBLANK(G644)))</formula>
    </cfRule>
  </conditionalFormatting>
  <conditionalFormatting sqref="G645">
    <cfRule type="expression" dxfId="0" priority="2839">
      <formula>COUNTIF(I645:BG645,"&lt;&gt;" &amp; "")&gt;0</formula>
    </cfRule>
    <cfRule type="expression" dxfId="1" priority="2840">
      <formula>AND(COUNTIF(I645:BG645,"&lt;&gt;" &amp; "")&gt;0,NOT(ISBLANK(G645)))</formula>
    </cfRule>
  </conditionalFormatting>
  <conditionalFormatting sqref="G646">
    <cfRule type="expression" dxfId="0" priority="2842">
      <formula>COUNTIF(I646:BG646,"&lt;&gt;" &amp; "")&gt;0</formula>
    </cfRule>
    <cfRule type="expression" dxfId="1" priority="2843">
      <formula>AND(COUNTIF(I646:BG646,"&lt;&gt;" &amp; "")&gt;0,NOT(ISBLANK(G646)))</formula>
    </cfRule>
  </conditionalFormatting>
  <conditionalFormatting sqref="G647">
    <cfRule type="expression" dxfId="0" priority="2845">
      <formula>COUNTIF(I647:BG647,"&lt;&gt;" &amp; "")&gt;0</formula>
    </cfRule>
    <cfRule type="expression" dxfId="1" priority="2846">
      <formula>AND(COUNTIF(I647:BG647,"&lt;&gt;" &amp; "")&gt;0,NOT(ISBLANK(G647)))</formula>
    </cfRule>
  </conditionalFormatting>
  <conditionalFormatting sqref="G648">
    <cfRule type="expression" dxfId="0" priority="2848">
      <formula>COUNTIF(I648:BG648,"&lt;&gt;" &amp; "")&gt;0</formula>
    </cfRule>
    <cfRule type="expression" dxfId="1" priority="2849">
      <formula>AND(COUNTIF(I648:BG648,"&lt;&gt;" &amp; "")&gt;0,NOT(ISBLANK(G648)))</formula>
    </cfRule>
  </conditionalFormatting>
  <conditionalFormatting sqref="G649">
    <cfRule type="expression" dxfId="0" priority="2851">
      <formula>COUNTIF(I649:BG649,"&lt;&gt;" &amp; "")&gt;0</formula>
    </cfRule>
    <cfRule type="expression" dxfId="1" priority="2852">
      <formula>AND(COUNTIF(I649:BG649,"&lt;&gt;" &amp; "")&gt;0,NOT(ISBLANK(G649)))</formula>
    </cfRule>
  </conditionalFormatting>
  <conditionalFormatting sqref="G65">
    <cfRule type="expression" dxfId="0" priority="497">
      <formula>COUNTIF(I65:BG65,"&lt;&gt;" &amp; "")&gt;0</formula>
    </cfRule>
    <cfRule type="expression" dxfId="1" priority="498">
      <formula>AND(COUNTIF(I65:BG65,"&lt;&gt;" &amp; "")&gt;0,NOT(ISBLANK(G65)))</formula>
    </cfRule>
  </conditionalFormatting>
  <conditionalFormatting sqref="G650">
    <cfRule type="expression" dxfId="0" priority="2854">
      <formula>COUNTIF(I650:BG650,"&lt;&gt;" &amp; "")&gt;0</formula>
    </cfRule>
    <cfRule type="expression" dxfId="1" priority="2855">
      <formula>AND(COUNTIF(I650:BG650,"&lt;&gt;" &amp; "")&gt;0,NOT(ISBLANK(G650)))</formula>
    </cfRule>
  </conditionalFormatting>
  <conditionalFormatting sqref="G66">
    <cfRule type="expression" dxfId="0" priority="500">
      <formula>COUNTIF(I66:BG66,"&lt;&gt;" &amp; "")&gt;0</formula>
    </cfRule>
    <cfRule type="expression" dxfId="1" priority="501">
      <formula>AND(COUNTIF(I66:BG66,"&lt;&gt;" &amp; "")&gt;0,NOT(ISBLANK(G66)))</formula>
    </cfRule>
  </conditionalFormatting>
  <conditionalFormatting sqref="G67">
    <cfRule type="expression" dxfId="0" priority="503">
      <formula>COUNTIF(I67:BG67,"&lt;&gt;" &amp; "")&gt;0</formula>
    </cfRule>
    <cfRule type="expression" dxfId="1" priority="504">
      <formula>AND(COUNTIF(I67:BG67,"&lt;&gt;" &amp; "")&gt;0,NOT(ISBLANK(G67)))</formula>
    </cfRule>
  </conditionalFormatting>
  <conditionalFormatting sqref="G68">
    <cfRule type="expression" dxfId="0" priority="506">
      <formula>COUNTIF(I68:BG68,"&lt;&gt;" &amp; "")&gt;0</formula>
    </cfRule>
    <cfRule type="expression" dxfId="1" priority="507">
      <formula>AND(COUNTIF(I68:BG68,"&lt;&gt;" &amp; "")&gt;0,NOT(ISBLANK(G68)))</formula>
    </cfRule>
  </conditionalFormatting>
  <conditionalFormatting sqref="G69">
    <cfRule type="expression" dxfId="0" priority="509">
      <formula>COUNTIF(I69:BG69,"&lt;&gt;" &amp; "")&gt;0</formula>
    </cfRule>
    <cfRule type="expression" dxfId="1" priority="510">
      <formula>AND(COUNTIF(I69:BG69,"&lt;&gt;" &amp; "")&gt;0,NOT(ISBLANK(G69)))</formula>
    </cfRule>
  </conditionalFormatting>
  <conditionalFormatting sqref="G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G70">
    <cfRule type="expression" dxfId="0" priority="512">
      <formula>COUNTIF(I70:BG70,"&lt;&gt;" &amp; "")&gt;0</formula>
    </cfRule>
    <cfRule type="expression" dxfId="1" priority="513">
      <formula>AND(COUNTIF(I70:BG70,"&lt;&gt;" &amp; "")&gt;0,NOT(ISBLANK(G70)))</formula>
    </cfRule>
  </conditionalFormatting>
  <conditionalFormatting sqref="G71">
    <cfRule type="expression" dxfId="0" priority="515">
      <formula>COUNTIF(I71:BG71,"&lt;&gt;" &amp; "")&gt;0</formula>
    </cfRule>
    <cfRule type="expression" dxfId="1" priority="516">
      <formula>AND(COUNTIF(I71:BG71,"&lt;&gt;" &amp; "")&gt;0,NOT(ISBLANK(G71)))</formula>
    </cfRule>
  </conditionalFormatting>
  <conditionalFormatting sqref="G72">
    <cfRule type="expression" dxfId="0" priority="518">
      <formula>COUNTIF(I72:BG72,"&lt;&gt;" &amp; "")&gt;0</formula>
    </cfRule>
    <cfRule type="expression" dxfId="1" priority="519">
      <formula>AND(COUNTIF(I72:BG72,"&lt;&gt;" &amp; "")&gt;0,NOT(ISBLANK(G72)))</formula>
    </cfRule>
  </conditionalFormatting>
  <conditionalFormatting sqref="G73">
    <cfRule type="expression" dxfId="0" priority="521">
      <formula>COUNTIF(I73:BG73,"&lt;&gt;" &amp; "")&gt;0</formula>
    </cfRule>
    <cfRule type="expression" dxfId="1" priority="522">
      <formula>AND(COUNTIF(I73:BG73,"&lt;&gt;" &amp; "")&gt;0,NOT(ISBLANK(G73)))</formula>
    </cfRule>
  </conditionalFormatting>
  <conditionalFormatting sqref="G74">
    <cfRule type="expression" dxfId="0" priority="524">
      <formula>COUNTIF(I74:BG74,"&lt;&gt;" &amp; "")&gt;0</formula>
    </cfRule>
    <cfRule type="expression" dxfId="1" priority="525">
      <formula>AND(COUNTIF(I74:BG74,"&lt;&gt;" &amp; "")&gt;0,NOT(ISBLANK(G74)))</formula>
    </cfRule>
  </conditionalFormatting>
  <conditionalFormatting sqref="G75">
    <cfRule type="expression" dxfId="0" priority="527">
      <formula>COUNTIF(I75:BG75,"&lt;&gt;" &amp; "")&gt;0</formula>
    </cfRule>
    <cfRule type="expression" dxfId="1" priority="528">
      <formula>AND(COUNTIF(I75:BG75,"&lt;&gt;" &amp; "")&gt;0,NOT(ISBLANK(G75)))</formula>
    </cfRule>
  </conditionalFormatting>
  <conditionalFormatting sqref="G76">
    <cfRule type="expression" dxfId="0" priority="530">
      <formula>COUNTIF(I76:BG76,"&lt;&gt;" &amp; "")&gt;0</formula>
    </cfRule>
    <cfRule type="expression" dxfId="1" priority="531">
      <formula>AND(COUNTIF(I76:BG76,"&lt;&gt;" &amp; "")&gt;0,NOT(ISBLANK(G76)))</formula>
    </cfRule>
  </conditionalFormatting>
  <conditionalFormatting sqref="G77">
    <cfRule type="expression" dxfId="0" priority="533">
      <formula>COUNTIF(I77:BG77,"&lt;&gt;" &amp; "")&gt;0</formula>
    </cfRule>
    <cfRule type="expression" dxfId="1" priority="534">
      <formula>AND(COUNTIF(I77:BG77,"&lt;&gt;" &amp; "")&gt;0,NOT(ISBLANK(G77)))</formula>
    </cfRule>
  </conditionalFormatting>
  <conditionalFormatting sqref="G78">
    <cfRule type="expression" dxfId="0" priority="536">
      <formula>COUNTIF(I78:BG78,"&lt;&gt;" &amp; "")&gt;0</formula>
    </cfRule>
    <cfRule type="expression" dxfId="1" priority="537">
      <formula>AND(COUNTIF(I78:BG78,"&lt;&gt;" &amp; "")&gt;0,NOT(ISBLANK(G78)))</formula>
    </cfRule>
  </conditionalFormatting>
  <conditionalFormatting sqref="G79">
    <cfRule type="expression" dxfId="0" priority="539">
      <formula>COUNTIF(I79:BG79,"&lt;&gt;" &amp; "")&gt;0</formula>
    </cfRule>
    <cfRule type="expression" dxfId="1" priority="540">
      <formula>AND(COUNTIF(I79:BG79,"&lt;&gt;" &amp; "")&gt;0,NOT(ISBLANK(G79)))</formula>
    </cfRule>
  </conditionalFormatting>
  <conditionalFormatting sqref="G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G80">
    <cfRule type="expression" dxfId="0" priority="542">
      <formula>COUNTIF(I80:BG80,"&lt;&gt;" &amp; "")&gt;0</formula>
    </cfRule>
    <cfRule type="expression" dxfId="1" priority="543">
      <formula>AND(COUNTIF(I80:BG80,"&lt;&gt;" &amp; "")&gt;0,NOT(ISBLANK(G80)))</formula>
    </cfRule>
  </conditionalFormatting>
  <conditionalFormatting sqref="G81">
    <cfRule type="expression" dxfId="0" priority="545">
      <formula>COUNTIF(I81:BG81,"&lt;&gt;" &amp; "")&gt;0</formula>
    </cfRule>
    <cfRule type="expression" dxfId="1" priority="546">
      <formula>AND(COUNTIF(I81:BG81,"&lt;&gt;" &amp; "")&gt;0,NOT(ISBLANK(G81)))</formula>
    </cfRule>
  </conditionalFormatting>
  <conditionalFormatting sqref="G82">
    <cfRule type="expression" dxfId="0" priority="548">
      <formula>COUNTIF(I82:BG82,"&lt;&gt;" &amp; "")&gt;0</formula>
    </cfRule>
    <cfRule type="expression" dxfId="1" priority="549">
      <formula>AND(COUNTIF(I82:BG82,"&lt;&gt;" &amp; "")&gt;0,NOT(ISBLANK(G82)))</formula>
    </cfRule>
  </conditionalFormatting>
  <conditionalFormatting sqref="G83">
    <cfRule type="expression" dxfId="0" priority="551">
      <formula>COUNTIF(I83:BG83,"&lt;&gt;" &amp; "")&gt;0</formula>
    </cfRule>
    <cfRule type="expression" dxfId="1" priority="552">
      <formula>AND(COUNTIF(I83:BG83,"&lt;&gt;" &amp; "")&gt;0,NOT(ISBLANK(G83)))</formula>
    </cfRule>
  </conditionalFormatting>
  <conditionalFormatting sqref="G84">
    <cfRule type="expression" dxfId="0" priority="554">
      <formula>COUNTIF(I84:BG84,"&lt;&gt;" &amp; "")&gt;0</formula>
    </cfRule>
    <cfRule type="expression" dxfId="1" priority="555">
      <formula>AND(COUNTIF(I84:BG84,"&lt;&gt;" &amp; "")&gt;0,NOT(ISBLANK(G84)))</formula>
    </cfRule>
  </conditionalFormatting>
  <conditionalFormatting sqref="G85">
    <cfRule type="expression" dxfId="0" priority="557">
      <formula>COUNTIF(I85:BG85,"&lt;&gt;" &amp; "")&gt;0</formula>
    </cfRule>
    <cfRule type="expression" dxfId="1" priority="558">
      <formula>AND(COUNTIF(I85:BG85,"&lt;&gt;" &amp; "")&gt;0,NOT(ISBLANK(G85)))</formula>
    </cfRule>
  </conditionalFormatting>
  <conditionalFormatting sqref="G86">
    <cfRule type="expression" dxfId="0" priority="560">
      <formula>COUNTIF(I86:BG86,"&lt;&gt;" &amp; "")&gt;0</formula>
    </cfRule>
    <cfRule type="expression" dxfId="1" priority="561">
      <formula>AND(COUNTIF(I86:BG86,"&lt;&gt;" &amp; "")&gt;0,NOT(ISBLANK(G86)))</formula>
    </cfRule>
  </conditionalFormatting>
  <conditionalFormatting sqref="G87">
    <cfRule type="expression" dxfId="0" priority="563">
      <formula>COUNTIF(I87:BG87,"&lt;&gt;" &amp; "")&gt;0</formula>
    </cfRule>
    <cfRule type="expression" dxfId="1" priority="564">
      <formula>AND(COUNTIF(I87:BG87,"&lt;&gt;" &amp; "")&gt;0,NOT(ISBLANK(G87)))</formula>
    </cfRule>
  </conditionalFormatting>
  <conditionalFormatting sqref="G88">
    <cfRule type="expression" dxfId="0" priority="566">
      <formula>COUNTIF(I88:BG88,"&lt;&gt;" &amp; "")&gt;0</formula>
    </cfRule>
    <cfRule type="expression" dxfId="1" priority="567">
      <formula>AND(COUNTIF(I88:BG88,"&lt;&gt;" &amp; "")&gt;0,NOT(ISBLANK(G88)))</formula>
    </cfRule>
  </conditionalFormatting>
  <conditionalFormatting sqref="G89">
    <cfRule type="expression" dxfId="0" priority="569">
      <formula>COUNTIF(I89:BG89,"&lt;&gt;" &amp; "")&gt;0</formula>
    </cfRule>
    <cfRule type="expression" dxfId="1" priority="570">
      <formula>AND(COUNTIF(I89:BG89,"&lt;&gt;" &amp; "")&gt;0,NOT(ISBLANK(G89)))</formula>
    </cfRule>
  </conditionalFormatting>
  <conditionalFormatting sqref="G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G90">
    <cfRule type="expression" dxfId="0" priority="572">
      <formula>COUNTIF(I90:BG90,"&lt;&gt;" &amp; "")&gt;0</formula>
    </cfRule>
    <cfRule type="expression" dxfId="1" priority="573">
      <formula>AND(COUNTIF(I90:BG90,"&lt;&gt;" &amp; "")&gt;0,NOT(ISBLANK(G90)))</formula>
    </cfRule>
  </conditionalFormatting>
  <conditionalFormatting sqref="G91">
    <cfRule type="expression" dxfId="0" priority="575">
      <formula>COUNTIF(I91:BG91,"&lt;&gt;" &amp; "")&gt;0</formula>
    </cfRule>
    <cfRule type="expression" dxfId="1" priority="576">
      <formula>AND(COUNTIF(I91:BG91,"&lt;&gt;" &amp; "")&gt;0,NOT(ISBLANK(G91)))</formula>
    </cfRule>
  </conditionalFormatting>
  <conditionalFormatting sqref="G92">
    <cfRule type="expression" dxfId="0" priority="578">
      <formula>COUNTIF(I92:BG92,"&lt;&gt;" &amp; "")&gt;0</formula>
    </cfRule>
    <cfRule type="expression" dxfId="1" priority="579">
      <formula>AND(COUNTIF(I92:BG92,"&lt;&gt;" &amp; "")&gt;0,NOT(ISBLANK(G92)))</formula>
    </cfRule>
  </conditionalFormatting>
  <conditionalFormatting sqref="G93">
    <cfRule type="expression" dxfId="0" priority="581">
      <formula>COUNTIF(I93:BG93,"&lt;&gt;" &amp; "")&gt;0</formula>
    </cfRule>
    <cfRule type="expression" dxfId="1" priority="582">
      <formula>AND(COUNTIF(I93:BG93,"&lt;&gt;" &amp; "")&gt;0,NOT(ISBLANK(G93)))</formula>
    </cfRule>
  </conditionalFormatting>
  <conditionalFormatting sqref="G94">
    <cfRule type="expression" dxfId="0" priority="584">
      <formula>COUNTIF(I94:BG94,"&lt;&gt;" &amp; "")&gt;0</formula>
    </cfRule>
    <cfRule type="expression" dxfId="1" priority="585">
      <formula>AND(COUNTIF(I94:BG94,"&lt;&gt;" &amp; "")&gt;0,NOT(ISBLANK(G94)))</formula>
    </cfRule>
  </conditionalFormatting>
  <conditionalFormatting sqref="G95">
    <cfRule type="expression" dxfId="0" priority="587">
      <formula>COUNTIF(I95:BG95,"&lt;&gt;" &amp; "")&gt;0</formula>
    </cfRule>
    <cfRule type="expression" dxfId="1" priority="588">
      <formula>AND(COUNTIF(I95:BG95,"&lt;&gt;" &amp; "")&gt;0,NOT(ISBLANK(G95)))</formula>
    </cfRule>
  </conditionalFormatting>
  <conditionalFormatting sqref="G96">
    <cfRule type="expression" dxfId="0" priority="590">
      <formula>COUNTIF(I96:BG96,"&lt;&gt;" &amp; "")&gt;0</formula>
    </cfRule>
    <cfRule type="expression" dxfId="1" priority="591">
      <formula>AND(COUNTIF(I96:BG96,"&lt;&gt;" &amp; "")&gt;0,NOT(ISBLANK(G96)))</formula>
    </cfRule>
  </conditionalFormatting>
  <conditionalFormatting sqref="G97">
    <cfRule type="expression" dxfId="0" priority="593">
      <formula>COUNTIF(I97:BG97,"&lt;&gt;" &amp; "")&gt;0</formula>
    </cfRule>
    <cfRule type="expression" dxfId="1" priority="594">
      <formula>AND(COUNTIF(I97:BG97,"&lt;&gt;" &amp; "")&gt;0,NOT(ISBLANK(G97)))</formula>
    </cfRule>
  </conditionalFormatting>
  <conditionalFormatting sqref="G98">
    <cfRule type="expression" dxfId="0" priority="596">
      <formula>COUNTIF(I98:BG98,"&lt;&gt;" &amp; "")&gt;0</formula>
    </cfRule>
    <cfRule type="expression" dxfId="1" priority="597">
      <formula>AND(COUNTIF(I98:BG98,"&lt;&gt;" &amp; "")&gt;0,NOT(ISBLANK(G98)))</formula>
    </cfRule>
  </conditionalFormatting>
  <conditionalFormatting sqref="G99">
    <cfRule type="expression" dxfId="0" priority="599">
      <formula>COUNTIF(I99:BG99,"&lt;&gt;" &amp; "")&gt;0</formula>
    </cfRule>
    <cfRule type="expression" dxfId="1" priority="600">
      <formula>AND(COUNTIF(I99:BG99,"&lt;&gt;" &amp; "")&gt;0,NOT(ISBLANK(G99)))</formula>
    </cfRule>
  </conditionalFormatting>
  <conditionalFormatting sqref="H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H12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H13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H14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H15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H16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H17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H18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H222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H223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H224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H225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H226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H2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H229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H230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H231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H232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H233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H234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H235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H439">
    <cfRule type="cellIs" dxfId="2" priority="1915" operator="equal">
      <formula>"Y"</formula>
    </cfRule>
    <cfRule type="cellIs" dxfId="3" priority="1916" operator="equal">
      <formula>"N"</formula>
    </cfRule>
  </conditionalFormatting>
  <conditionalFormatting sqref="H440">
    <cfRule type="cellIs" dxfId="2" priority="1941" operator="equal">
      <formula>"Y"</formula>
    </cfRule>
    <cfRule type="cellIs" dxfId="3" priority="1942" operator="equal">
      <formula>"N"</formula>
    </cfRule>
  </conditionalFormatting>
  <conditionalFormatting sqref="H441">
    <cfRule type="cellIs" dxfId="2" priority="1967" operator="equal">
      <formula>"Y"</formula>
    </cfRule>
    <cfRule type="cellIs" dxfId="3" priority="1968" operator="equal">
      <formula>"N"</formula>
    </cfRule>
  </conditionalFormatting>
  <conditionalFormatting sqref="H442">
    <cfRule type="cellIs" dxfId="2" priority="1993" operator="equal">
      <formula>"Y"</formula>
    </cfRule>
    <cfRule type="cellIs" dxfId="3" priority="1994" operator="equal">
      <formula>"N"</formula>
    </cfRule>
  </conditionalFormatting>
  <conditionalFormatting sqref="H443">
    <cfRule type="cellIs" dxfId="2" priority="2019" operator="equal">
      <formula>"Y"</formula>
    </cfRule>
    <cfRule type="cellIs" dxfId="3" priority="2020" operator="equal">
      <formula>"N"</formula>
    </cfRule>
  </conditionalFormatting>
  <conditionalFormatting sqref="H444">
    <cfRule type="cellIs" dxfId="2" priority="2045" operator="equal">
      <formula>"Y"</formula>
    </cfRule>
    <cfRule type="cellIs" dxfId="3" priority="2046" operator="equal">
      <formula>"N"</formula>
    </cfRule>
  </conditionalFormatting>
  <conditionalFormatting sqref="H446">
    <cfRule type="cellIs" dxfId="2" priority="2099" operator="equal">
      <formula>"Y"</formula>
    </cfRule>
    <cfRule type="cellIs" dxfId="3" priority="2100" operator="equal">
      <formula>"N"</formula>
    </cfRule>
  </conditionalFormatting>
  <conditionalFormatting sqref="H447">
    <cfRule type="cellIs" dxfId="2" priority="2125" operator="equal">
      <formula>"Y"</formula>
    </cfRule>
    <cfRule type="cellIs" dxfId="3" priority="2126" operator="equal">
      <formula>"N"</formula>
    </cfRule>
  </conditionalFormatting>
  <conditionalFormatting sqref="H448">
    <cfRule type="cellIs" dxfId="2" priority="2151" operator="equal">
      <formula>"Y"</formula>
    </cfRule>
    <cfRule type="cellIs" dxfId="3" priority="2152" operator="equal">
      <formula>"N"</formula>
    </cfRule>
  </conditionalFormatting>
  <conditionalFormatting sqref="H449">
    <cfRule type="cellIs" dxfId="2" priority="2177" operator="equal">
      <formula>"Y"</formula>
    </cfRule>
    <cfRule type="cellIs" dxfId="3" priority="2178" operator="equal">
      <formula>"N"</formula>
    </cfRule>
  </conditionalFormatting>
  <conditionalFormatting sqref="H450">
    <cfRule type="cellIs" dxfId="2" priority="2203" operator="equal">
      <formula>"Y"</formula>
    </cfRule>
    <cfRule type="cellIs" dxfId="3" priority="2204" operator="equal">
      <formula>"N"</formula>
    </cfRule>
  </conditionalFormatting>
  <conditionalFormatting sqref="H451">
    <cfRule type="cellIs" dxfId="2" priority="2229" operator="equal">
      <formula>"Y"</formula>
    </cfRule>
    <cfRule type="cellIs" dxfId="3" priority="2230" operator="equal">
      <formula>"N"</formula>
    </cfRule>
  </conditionalFormatting>
  <conditionalFormatting sqref="H452">
    <cfRule type="cellIs" dxfId="2" priority="2255" operator="equal">
      <formula>"Y"</formula>
    </cfRule>
    <cfRule type="cellIs" dxfId="3" priority="2256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H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H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H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I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I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I13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I14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I15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I16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I17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I18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I222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I223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I224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I225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I226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I2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I2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I230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I231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I232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I233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I234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I235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I439">
    <cfRule type="cellIs" dxfId="2" priority="1917" operator="equal">
      <formula>"Y"</formula>
    </cfRule>
    <cfRule type="cellIs" dxfId="3" priority="1918" operator="equal">
      <formula>"N"</formula>
    </cfRule>
  </conditionalFormatting>
  <conditionalFormatting sqref="I440">
    <cfRule type="cellIs" dxfId="2" priority="1943" operator="equal">
      <formula>"Y"</formula>
    </cfRule>
    <cfRule type="cellIs" dxfId="3" priority="1944" operator="equal">
      <formula>"N"</formula>
    </cfRule>
  </conditionalFormatting>
  <conditionalFormatting sqref="I441">
    <cfRule type="cellIs" dxfId="2" priority="1969" operator="equal">
      <formula>"Y"</formula>
    </cfRule>
    <cfRule type="cellIs" dxfId="3" priority="1970" operator="equal">
      <formula>"N"</formula>
    </cfRule>
  </conditionalFormatting>
  <conditionalFormatting sqref="I442">
    <cfRule type="cellIs" dxfId="2" priority="1995" operator="equal">
      <formula>"Y"</formula>
    </cfRule>
    <cfRule type="cellIs" dxfId="3" priority="1996" operator="equal">
      <formula>"N"</formula>
    </cfRule>
  </conditionalFormatting>
  <conditionalFormatting sqref="I443">
    <cfRule type="cellIs" dxfId="2" priority="2021" operator="equal">
      <formula>"Y"</formula>
    </cfRule>
    <cfRule type="cellIs" dxfId="3" priority="2022" operator="equal">
      <formula>"N"</formula>
    </cfRule>
  </conditionalFormatting>
  <conditionalFormatting sqref="I444">
    <cfRule type="cellIs" dxfId="2" priority="2047" operator="equal">
      <formula>"Y"</formula>
    </cfRule>
    <cfRule type="cellIs" dxfId="3" priority="2048" operator="equal">
      <formula>"N"</formula>
    </cfRule>
  </conditionalFormatting>
  <conditionalFormatting sqref="I445">
    <cfRule type="cellIs" dxfId="2" priority="2073" operator="equal">
      <formula>"Y"</formula>
    </cfRule>
    <cfRule type="cellIs" dxfId="3" priority="2074" operator="equal">
      <formula>"N"</formula>
    </cfRule>
  </conditionalFormatting>
  <conditionalFormatting sqref="I447">
    <cfRule type="cellIs" dxfId="2" priority="2127" operator="equal">
      <formula>"Y"</formula>
    </cfRule>
    <cfRule type="cellIs" dxfId="3" priority="2128" operator="equal">
      <formula>"N"</formula>
    </cfRule>
  </conditionalFormatting>
  <conditionalFormatting sqref="I448">
    <cfRule type="cellIs" dxfId="2" priority="2153" operator="equal">
      <formula>"Y"</formula>
    </cfRule>
    <cfRule type="cellIs" dxfId="3" priority="2154" operator="equal">
      <formula>"N"</formula>
    </cfRule>
  </conditionalFormatting>
  <conditionalFormatting sqref="I449">
    <cfRule type="cellIs" dxfId="2" priority="2179" operator="equal">
      <formula>"Y"</formula>
    </cfRule>
    <cfRule type="cellIs" dxfId="3" priority="2180" operator="equal">
      <formula>"N"</formula>
    </cfRule>
  </conditionalFormatting>
  <conditionalFormatting sqref="I450">
    <cfRule type="cellIs" dxfId="2" priority="2205" operator="equal">
      <formula>"Y"</formula>
    </cfRule>
    <cfRule type="cellIs" dxfId="3" priority="2206" operator="equal">
      <formula>"N"</formula>
    </cfRule>
  </conditionalFormatting>
  <conditionalFormatting sqref="I451">
    <cfRule type="cellIs" dxfId="2" priority="2231" operator="equal">
      <formula>"Y"</formula>
    </cfRule>
    <cfRule type="cellIs" dxfId="3" priority="2232" operator="equal">
      <formula>"N"</formula>
    </cfRule>
  </conditionalFormatting>
  <conditionalFormatting sqref="I452">
    <cfRule type="cellIs" dxfId="2" priority="2257" operator="equal">
      <formula>"Y"</formula>
    </cfRule>
    <cfRule type="cellIs" dxfId="3" priority="2258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I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I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I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J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J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J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4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J15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J16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J17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J18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J222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J223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J224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J225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J226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J2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J2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J229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J231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J232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J233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J234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J235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J439">
    <cfRule type="cellIs" dxfId="2" priority="1919" operator="equal">
      <formula>"Y"</formula>
    </cfRule>
    <cfRule type="cellIs" dxfId="3" priority="1920" operator="equal">
      <formula>"N"</formula>
    </cfRule>
  </conditionalFormatting>
  <conditionalFormatting sqref="J440">
    <cfRule type="cellIs" dxfId="2" priority="1945" operator="equal">
      <formula>"Y"</formula>
    </cfRule>
    <cfRule type="cellIs" dxfId="3" priority="1946" operator="equal">
      <formula>"N"</formula>
    </cfRule>
  </conditionalFormatting>
  <conditionalFormatting sqref="J441">
    <cfRule type="cellIs" dxfId="2" priority="1971" operator="equal">
      <formula>"Y"</formula>
    </cfRule>
    <cfRule type="cellIs" dxfId="3" priority="1972" operator="equal">
      <formula>"N"</formula>
    </cfRule>
  </conditionalFormatting>
  <conditionalFormatting sqref="J442">
    <cfRule type="cellIs" dxfId="2" priority="1997" operator="equal">
      <formula>"Y"</formula>
    </cfRule>
    <cfRule type="cellIs" dxfId="3" priority="1998" operator="equal">
      <formula>"N"</formula>
    </cfRule>
  </conditionalFormatting>
  <conditionalFormatting sqref="J443">
    <cfRule type="cellIs" dxfId="2" priority="2023" operator="equal">
      <formula>"Y"</formula>
    </cfRule>
    <cfRule type="cellIs" dxfId="3" priority="2024" operator="equal">
      <formula>"N"</formula>
    </cfRule>
  </conditionalFormatting>
  <conditionalFormatting sqref="J444">
    <cfRule type="cellIs" dxfId="2" priority="2049" operator="equal">
      <formula>"Y"</formula>
    </cfRule>
    <cfRule type="cellIs" dxfId="3" priority="2050" operator="equal">
      <formula>"N"</formula>
    </cfRule>
  </conditionalFormatting>
  <conditionalFormatting sqref="J445">
    <cfRule type="cellIs" dxfId="2" priority="2075" operator="equal">
      <formula>"Y"</formula>
    </cfRule>
    <cfRule type="cellIs" dxfId="3" priority="2076" operator="equal">
      <formula>"N"</formula>
    </cfRule>
  </conditionalFormatting>
  <conditionalFormatting sqref="J446">
    <cfRule type="cellIs" dxfId="2" priority="2101" operator="equal">
      <formula>"Y"</formula>
    </cfRule>
    <cfRule type="cellIs" dxfId="3" priority="2102" operator="equal">
      <formula>"N"</formula>
    </cfRule>
  </conditionalFormatting>
  <conditionalFormatting sqref="J448">
    <cfRule type="cellIs" dxfId="2" priority="2155" operator="equal">
      <formula>"Y"</formula>
    </cfRule>
    <cfRule type="cellIs" dxfId="3" priority="2156" operator="equal">
      <formula>"N"</formula>
    </cfRule>
  </conditionalFormatting>
  <conditionalFormatting sqref="J449">
    <cfRule type="cellIs" dxfId="2" priority="2181" operator="equal">
      <formula>"Y"</formula>
    </cfRule>
    <cfRule type="cellIs" dxfId="3" priority="2182" operator="equal">
      <formula>"N"</formula>
    </cfRule>
  </conditionalFormatting>
  <conditionalFormatting sqref="J450">
    <cfRule type="cellIs" dxfId="2" priority="2207" operator="equal">
      <formula>"Y"</formula>
    </cfRule>
    <cfRule type="cellIs" dxfId="3" priority="2208" operator="equal">
      <formula>"N"</formula>
    </cfRule>
  </conditionalFormatting>
  <conditionalFormatting sqref="J451">
    <cfRule type="cellIs" dxfId="2" priority="2233" operator="equal">
      <formula>"Y"</formula>
    </cfRule>
    <cfRule type="cellIs" dxfId="3" priority="2234" operator="equal">
      <formula>"N"</formula>
    </cfRule>
  </conditionalFormatting>
  <conditionalFormatting sqref="J452">
    <cfRule type="cellIs" dxfId="2" priority="2259" operator="equal">
      <formula>"Y"</formula>
    </cfRule>
    <cfRule type="cellIs" dxfId="3" priority="2260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J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J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J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K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K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K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K15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K16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K17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K18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K222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K223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K224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K225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K226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K2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K2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K229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K230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K232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K233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K234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K235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K439">
    <cfRule type="cellIs" dxfId="2" priority="1921" operator="equal">
      <formula>"Y"</formula>
    </cfRule>
    <cfRule type="cellIs" dxfId="3" priority="1922" operator="equal">
      <formula>"N"</formula>
    </cfRule>
  </conditionalFormatting>
  <conditionalFormatting sqref="K440">
    <cfRule type="cellIs" dxfId="2" priority="1947" operator="equal">
      <formula>"Y"</formula>
    </cfRule>
    <cfRule type="cellIs" dxfId="3" priority="1948" operator="equal">
      <formula>"N"</formula>
    </cfRule>
  </conditionalFormatting>
  <conditionalFormatting sqref="K441">
    <cfRule type="cellIs" dxfId="2" priority="1973" operator="equal">
      <formula>"Y"</formula>
    </cfRule>
    <cfRule type="cellIs" dxfId="3" priority="1974" operator="equal">
      <formula>"N"</formula>
    </cfRule>
  </conditionalFormatting>
  <conditionalFormatting sqref="K442">
    <cfRule type="cellIs" dxfId="2" priority="1999" operator="equal">
      <formula>"Y"</formula>
    </cfRule>
    <cfRule type="cellIs" dxfId="3" priority="2000" operator="equal">
      <formula>"N"</formula>
    </cfRule>
  </conditionalFormatting>
  <conditionalFormatting sqref="K443">
    <cfRule type="cellIs" dxfId="2" priority="2025" operator="equal">
      <formula>"Y"</formula>
    </cfRule>
    <cfRule type="cellIs" dxfId="3" priority="2026" operator="equal">
      <formula>"N"</formula>
    </cfRule>
  </conditionalFormatting>
  <conditionalFormatting sqref="K444">
    <cfRule type="cellIs" dxfId="2" priority="2051" operator="equal">
      <formula>"Y"</formula>
    </cfRule>
    <cfRule type="cellIs" dxfId="3" priority="2052" operator="equal">
      <formula>"N"</formula>
    </cfRule>
  </conditionalFormatting>
  <conditionalFormatting sqref="K445">
    <cfRule type="cellIs" dxfId="2" priority="2077" operator="equal">
      <formula>"Y"</formula>
    </cfRule>
    <cfRule type="cellIs" dxfId="3" priority="2078" operator="equal">
      <formula>"N"</formula>
    </cfRule>
  </conditionalFormatting>
  <conditionalFormatting sqref="K446">
    <cfRule type="cellIs" dxfId="2" priority="2103" operator="equal">
      <formula>"Y"</formula>
    </cfRule>
    <cfRule type="cellIs" dxfId="3" priority="2104" operator="equal">
      <formula>"N"</formula>
    </cfRule>
  </conditionalFormatting>
  <conditionalFormatting sqref="K447">
    <cfRule type="cellIs" dxfId="2" priority="2129" operator="equal">
      <formula>"Y"</formula>
    </cfRule>
    <cfRule type="cellIs" dxfId="3" priority="2130" operator="equal">
      <formula>"N"</formula>
    </cfRule>
  </conditionalFormatting>
  <conditionalFormatting sqref="K449">
    <cfRule type="cellIs" dxfId="2" priority="2183" operator="equal">
      <formula>"Y"</formula>
    </cfRule>
    <cfRule type="cellIs" dxfId="3" priority="2184" operator="equal">
      <formula>"N"</formula>
    </cfRule>
  </conditionalFormatting>
  <conditionalFormatting sqref="K450">
    <cfRule type="cellIs" dxfId="2" priority="2209" operator="equal">
      <formula>"Y"</formula>
    </cfRule>
    <cfRule type="cellIs" dxfId="3" priority="2210" operator="equal">
      <formula>"N"</formula>
    </cfRule>
  </conditionalFormatting>
  <conditionalFormatting sqref="K451">
    <cfRule type="cellIs" dxfId="2" priority="2235" operator="equal">
      <formula>"Y"</formula>
    </cfRule>
    <cfRule type="cellIs" dxfId="3" priority="2236" operator="equal">
      <formula>"N"</formula>
    </cfRule>
  </conditionalFormatting>
  <conditionalFormatting sqref="K452">
    <cfRule type="cellIs" dxfId="2" priority="2261" operator="equal">
      <formula>"Y"</formula>
    </cfRule>
    <cfRule type="cellIs" dxfId="3" priority="2262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K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K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K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L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L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L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L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L16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L17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L18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L222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L223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L224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L225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L226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L2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L2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L229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L230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L231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L233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L234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L235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L439">
    <cfRule type="cellIs" dxfId="2" priority="1923" operator="equal">
      <formula>"Y"</formula>
    </cfRule>
    <cfRule type="cellIs" dxfId="3" priority="1924" operator="equal">
      <formula>"N"</formula>
    </cfRule>
  </conditionalFormatting>
  <conditionalFormatting sqref="L440">
    <cfRule type="cellIs" dxfId="2" priority="1949" operator="equal">
      <formula>"Y"</formula>
    </cfRule>
    <cfRule type="cellIs" dxfId="3" priority="1950" operator="equal">
      <formula>"N"</formula>
    </cfRule>
  </conditionalFormatting>
  <conditionalFormatting sqref="L441">
    <cfRule type="cellIs" dxfId="2" priority="1975" operator="equal">
      <formula>"Y"</formula>
    </cfRule>
    <cfRule type="cellIs" dxfId="3" priority="1976" operator="equal">
      <formula>"N"</formula>
    </cfRule>
  </conditionalFormatting>
  <conditionalFormatting sqref="L442">
    <cfRule type="cellIs" dxfId="2" priority="2001" operator="equal">
      <formula>"Y"</formula>
    </cfRule>
    <cfRule type="cellIs" dxfId="3" priority="2002" operator="equal">
      <formula>"N"</formula>
    </cfRule>
  </conditionalFormatting>
  <conditionalFormatting sqref="L443">
    <cfRule type="cellIs" dxfId="2" priority="2027" operator="equal">
      <formula>"Y"</formula>
    </cfRule>
    <cfRule type="cellIs" dxfId="3" priority="2028" operator="equal">
      <formula>"N"</formula>
    </cfRule>
  </conditionalFormatting>
  <conditionalFormatting sqref="L444">
    <cfRule type="cellIs" dxfId="2" priority="2053" operator="equal">
      <formula>"Y"</formula>
    </cfRule>
    <cfRule type="cellIs" dxfId="3" priority="2054" operator="equal">
      <formula>"N"</formula>
    </cfRule>
  </conditionalFormatting>
  <conditionalFormatting sqref="L445">
    <cfRule type="cellIs" dxfId="2" priority="2079" operator="equal">
      <formula>"Y"</formula>
    </cfRule>
    <cfRule type="cellIs" dxfId="3" priority="2080" operator="equal">
      <formula>"N"</formula>
    </cfRule>
  </conditionalFormatting>
  <conditionalFormatting sqref="L446">
    <cfRule type="cellIs" dxfId="2" priority="2105" operator="equal">
      <formula>"Y"</formula>
    </cfRule>
    <cfRule type="cellIs" dxfId="3" priority="2106" operator="equal">
      <formula>"N"</formula>
    </cfRule>
  </conditionalFormatting>
  <conditionalFormatting sqref="L447">
    <cfRule type="cellIs" dxfId="2" priority="2131" operator="equal">
      <formula>"Y"</formula>
    </cfRule>
    <cfRule type="cellIs" dxfId="3" priority="2132" operator="equal">
      <formula>"N"</formula>
    </cfRule>
  </conditionalFormatting>
  <conditionalFormatting sqref="L448">
    <cfRule type="cellIs" dxfId="2" priority="2157" operator="equal">
      <formula>"Y"</formula>
    </cfRule>
    <cfRule type="cellIs" dxfId="3" priority="2158" operator="equal">
      <formula>"N"</formula>
    </cfRule>
  </conditionalFormatting>
  <conditionalFormatting sqref="L450">
    <cfRule type="cellIs" dxfId="2" priority="2211" operator="equal">
      <formula>"Y"</formula>
    </cfRule>
    <cfRule type="cellIs" dxfId="3" priority="2212" operator="equal">
      <formula>"N"</formula>
    </cfRule>
  </conditionalFormatting>
  <conditionalFormatting sqref="L451">
    <cfRule type="cellIs" dxfId="2" priority="2237" operator="equal">
      <formula>"Y"</formula>
    </cfRule>
    <cfRule type="cellIs" dxfId="3" priority="2238" operator="equal">
      <formula>"N"</formula>
    </cfRule>
  </conditionalFormatting>
  <conditionalFormatting sqref="L452">
    <cfRule type="cellIs" dxfId="2" priority="2263" operator="equal">
      <formula>"Y"</formula>
    </cfRule>
    <cfRule type="cellIs" dxfId="3" priority="2264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L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L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L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M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M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M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M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M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M17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M18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M222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M223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M224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M225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M226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M2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M2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M229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M230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M231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M232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M234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M235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M439">
    <cfRule type="cellIs" dxfId="2" priority="1925" operator="equal">
      <formula>"Y"</formula>
    </cfRule>
    <cfRule type="cellIs" dxfId="3" priority="1926" operator="equal">
      <formula>"N"</formula>
    </cfRule>
  </conditionalFormatting>
  <conditionalFormatting sqref="M440">
    <cfRule type="cellIs" dxfId="2" priority="1951" operator="equal">
      <formula>"Y"</formula>
    </cfRule>
    <cfRule type="cellIs" dxfId="3" priority="1952" operator="equal">
      <formula>"N"</formula>
    </cfRule>
  </conditionalFormatting>
  <conditionalFormatting sqref="M441">
    <cfRule type="cellIs" dxfId="2" priority="1977" operator="equal">
      <formula>"Y"</formula>
    </cfRule>
    <cfRule type="cellIs" dxfId="3" priority="1978" operator="equal">
      <formula>"N"</formula>
    </cfRule>
  </conditionalFormatting>
  <conditionalFormatting sqref="M442">
    <cfRule type="cellIs" dxfId="2" priority="2003" operator="equal">
      <formula>"Y"</formula>
    </cfRule>
    <cfRule type="cellIs" dxfId="3" priority="2004" operator="equal">
      <formula>"N"</formula>
    </cfRule>
  </conditionalFormatting>
  <conditionalFormatting sqref="M443">
    <cfRule type="cellIs" dxfId="2" priority="2029" operator="equal">
      <formula>"Y"</formula>
    </cfRule>
    <cfRule type="cellIs" dxfId="3" priority="2030" operator="equal">
      <formula>"N"</formula>
    </cfRule>
  </conditionalFormatting>
  <conditionalFormatting sqref="M444">
    <cfRule type="cellIs" dxfId="2" priority="2055" operator="equal">
      <formula>"Y"</formula>
    </cfRule>
    <cfRule type="cellIs" dxfId="3" priority="2056" operator="equal">
      <formula>"N"</formula>
    </cfRule>
  </conditionalFormatting>
  <conditionalFormatting sqref="M445">
    <cfRule type="cellIs" dxfId="2" priority="2081" operator="equal">
      <formula>"Y"</formula>
    </cfRule>
    <cfRule type="cellIs" dxfId="3" priority="2082" operator="equal">
      <formula>"N"</formula>
    </cfRule>
  </conditionalFormatting>
  <conditionalFormatting sqref="M446">
    <cfRule type="cellIs" dxfId="2" priority="2107" operator="equal">
      <formula>"Y"</formula>
    </cfRule>
    <cfRule type="cellIs" dxfId="3" priority="2108" operator="equal">
      <formula>"N"</formula>
    </cfRule>
  </conditionalFormatting>
  <conditionalFormatting sqref="M447">
    <cfRule type="cellIs" dxfId="2" priority="2133" operator="equal">
      <formula>"Y"</formula>
    </cfRule>
    <cfRule type="cellIs" dxfId="3" priority="2134" operator="equal">
      <formula>"N"</formula>
    </cfRule>
  </conditionalFormatting>
  <conditionalFormatting sqref="M448">
    <cfRule type="cellIs" dxfId="2" priority="2159" operator="equal">
      <formula>"Y"</formula>
    </cfRule>
    <cfRule type="cellIs" dxfId="3" priority="2160" operator="equal">
      <formula>"N"</formula>
    </cfRule>
  </conditionalFormatting>
  <conditionalFormatting sqref="M449">
    <cfRule type="cellIs" dxfId="2" priority="2185" operator="equal">
      <formula>"Y"</formula>
    </cfRule>
    <cfRule type="cellIs" dxfId="3" priority="2186" operator="equal">
      <formula>"N"</formula>
    </cfRule>
  </conditionalFormatting>
  <conditionalFormatting sqref="M451">
    <cfRule type="cellIs" dxfId="2" priority="2239" operator="equal">
      <formula>"Y"</formula>
    </cfRule>
    <cfRule type="cellIs" dxfId="3" priority="2240" operator="equal">
      <formula>"N"</formula>
    </cfRule>
  </conditionalFormatting>
  <conditionalFormatting sqref="M452">
    <cfRule type="cellIs" dxfId="2" priority="2265" operator="equal">
      <formula>"Y"</formula>
    </cfRule>
    <cfRule type="cellIs" dxfId="3" priority="2266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M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M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M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N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N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N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N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N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N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N18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N222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N223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N224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N225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N226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N227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N2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N229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N230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N231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N232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N233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N235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N439">
    <cfRule type="cellIs" dxfId="2" priority="1927" operator="equal">
      <formula>"Y"</formula>
    </cfRule>
    <cfRule type="cellIs" dxfId="3" priority="1928" operator="equal">
      <formula>"N"</formula>
    </cfRule>
  </conditionalFormatting>
  <conditionalFormatting sqref="N440">
    <cfRule type="cellIs" dxfId="2" priority="1953" operator="equal">
      <formula>"Y"</formula>
    </cfRule>
    <cfRule type="cellIs" dxfId="3" priority="1954" operator="equal">
      <formula>"N"</formula>
    </cfRule>
  </conditionalFormatting>
  <conditionalFormatting sqref="N441">
    <cfRule type="cellIs" dxfId="2" priority="1979" operator="equal">
      <formula>"Y"</formula>
    </cfRule>
    <cfRule type="cellIs" dxfId="3" priority="1980" operator="equal">
      <formula>"N"</formula>
    </cfRule>
  </conditionalFormatting>
  <conditionalFormatting sqref="N442">
    <cfRule type="cellIs" dxfId="2" priority="2005" operator="equal">
      <formula>"Y"</formula>
    </cfRule>
    <cfRule type="cellIs" dxfId="3" priority="2006" operator="equal">
      <formula>"N"</formula>
    </cfRule>
  </conditionalFormatting>
  <conditionalFormatting sqref="N443">
    <cfRule type="cellIs" dxfId="2" priority="2031" operator="equal">
      <formula>"Y"</formula>
    </cfRule>
    <cfRule type="cellIs" dxfId="3" priority="2032" operator="equal">
      <formula>"N"</formula>
    </cfRule>
  </conditionalFormatting>
  <conditionalFormatting sqref="N444">
    <cfRule type="cellIs" dxfId="2" priority="2057" operator="equal">
      <formula>"Y"</formula>
    </cfRule>
    <cfRule type="cellIs" dxfId="3" priority="2058" operator="equal">
      <formula>"N"</formula>
    </cfRule>
  </conditionalFormatting>
  <conditionalFormatting sqref="N445">
    <cfRule type="cellIs" dxfId="2" priority="2083" operator="equal">
      <formula>"Y"</formula>
    </cfRule>
    <cfRule type="cellIs" dxfId="3" priority="2084" operator="equal">
      <formula>"N"</formula>
    </cfRule>
  </conditionalFormatting>
  <conditionalFormatting sqref="N446">
    <cfRule type="cellIs" dxfId="2" priority="2109" operator="equal">
      <formula>"Y"</formula>
    </cfRule>
    <cfRule type="cellIs" dxfId="3" priority="2110" operator="equal">
      <formula>"N"</formula>
    </cfRule>
  </conditionalFormatting>
  <conditionalFormatting sqref="N447">
    <cfRule type="cellIs" dxfId="2" priority="2135" operator="equal">
      <formula>"Y"</formula>
    </cfRule>
    <cfRule type="cellIs" dxfId="3" priority="2136" operator="equal">
      <formula>"N"</formula>
    </cfRule>
  </conditionalFormatting>
  <conditionalFormatting sqref="N448">
    <cfRule type="cellIs" dxfId="2" priority="2161" operator="equal">
      <formula>"Y"</formula>
    </cfRule>
    <cfRule type="cellIs" dxfId="3" priority="2162" operator="equal">
      <formula>"N"</formula>
    </cfRule>
  </conditionalFormatting>
  <conditionalFormatting sqref="N449">
    <cfRule type="cellIs" dxfId="2" priority="2187" operator="equal">
      <formula>"Y"</formula>
    </cfRule>
    <cfRule type="cellIs" dxfId="3" priority="2188" operator="equal">
      <formula>"N"</formula>
    </cfRule>
  </conditionalFormatting>
  <conditionalFormatting sqref="N450">
    <cfRule type="cellIs" dxfId="2" priority="2213" operator="equal">
      <formula>"Y"</formula>
    </cfRule>
    <cfRule type="cellIs" dxfId="3" priority="2214" operator="equal">
      <formula>"N"</formula>
    </cfRule>
  </conditionalFormatting>
  <conditionalFormatting sqref="N452">
    <cfRule type="cellIs" dxfId="2" priority="2267" operator="equal">
      <formula>"Y"</formula>
    </cfRule>
    <cfRule type="cellIs" dxfId="3" priority="2268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N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N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N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O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O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O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O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O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O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O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O222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O223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O224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O225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O226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O227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O2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O229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O230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O231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O232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O233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O234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O439">
    <cfRule type="cellIs" dxfId="2" priority="1929" operator="equal">
      <formula>"Y"</formula>
    </cfRule>
    <cfRule type="cellIs" dxfId="3" priority="1930" operator="equal">
      <formula>"N"</formula>
    </cfRule>
  </conditionalFormatting>
  <conditionalFormatting sqref="O440">
    <cfRule type="cellIs" dxfId="2" priority="1955" operator="equal">
      <formula>"Y"</formula>
    </cfRule>
    <cfRule type="cellIs" dxfId="3" priority="1956" operator="equal">
      <formula>"N"</formula>
    </cfRule>
  </conditionalFormatting>
  <conditionalFormatting sqref="O441">
    <cfRule type="cellIs" dxfId="2" priority="1981" operator="equal">
      <formula>"Y"</formula>
    </cfRule>
    <cfRule type="cellIs" dxfId="3" priority="1982" operator="equal">
      <formula>"N"</formula>
    </cfRule>
  </conditionalFormatting>
  <conditionalFormatting sqref="O442">
    <cfRule type="cellIs" dxfId="2" priority="2007" operator="equal">
      <formula>"Y"</formula>
    </cfRule>
    <cfRule type="cellIs" dxfId="3" priority="2008" operator="equal">
      <formula>"N"</formula>
    </cfRule>
  </conditionalFormatting>
  <conditionalFormatting sqref="O443">
    <cfRule type="cellIs" dxfId="2" priority="2033" operator="equal">
      <formula>"Y"</formula>
    </cfRule>
    <cfRule type="cellIs" dxfId="3" priority="2034" operator="equal">
      <formula>"N"</formula>
    </cfRule>
  </conditionalFormatting>
  <conditionalFormatting sqref="O444">
    <cfRule type="cellIs" dxfId="2" priority="2059" operator="equal">
      <formula>"Y"</formula>
    </cfRule>
    <cfRule type="cellIs" dxfId="3" priority="2060" operator="equal">
      <formula>"N"</formula>
    </cfRule>
  </conditionalFormatting>
  <conditionalFormatting sqref="O445">
    <cfRule type="cellIs" dxfId="2" priority="2085" operator="equal">
      <formula>"Y"</formula>
    </cfRule>
    <cfRule type="cellIs" dxfId="3" priority="2086" operator="equal">
      <formula>"N"</formula>
    </cfRule>
  </conditionalFormatting>
  <conditionalFormatting sqref="O446">
    <cfRule type="cellIs" dxfId="2" priority="2111" operator="equal">
      <formula>"Y"</formula>
    </cfRule>
    <cfRule type="cellIs" dxfId="3" priority="2112" operator="equal">
      <formula>"N"</formula>
    </cfRule>
  </conditionalFormatting>
  <conditionalFormatting sqref="O447">
    <cfRule type="cellIs" dxfId="2" priority="2137" operator="equal">
      <formula>"Y"</formula>
    </cfRule>
    <cfRule type="cellIs" dxfId="3" priority="2138" operator="equal">
      <formula>"N"</formula>
    </cfRule>
  </conditionalFormatting>
  <conditionalFormatting sqref="O448">
    <cfRule type="cellIs" dxfId="2" priority="2163" operator="equal">
      <formula>"Y"</formula>
    </cfRule>
    <cfRule type="cellIs" dxfId="3" priority="2164" operator="equal">
      <formula>"N"</formula>
    </cfRule>
  </conditionalFormatting>
  <conditionalFormatting sqref="O449">
    <cfRule type="cellIs" dxfId="2" priority="2189" operator="equal">
      <formula>"Y"</formula>
    </cfRule>
    <cfRule type="cellIs" dxfId="3" priority="2190" operator="equal">
      <formula>"N"</formula>
    </cfRule>
  </conditionalFormatting>
  <conditionalFormatting sqref="O450">
    <cfRule type="cellIs" dxfId="2" priority="2215" operator="equal">
      <formula>"Y"</formula>
    </cfRule>
    <cfRule type="cellIs" dxfId="3" priority="2216" operator="equal">
      <formula>"N"</formula>
    </cfRule>
  </conditionalFormatting>
  <conditionalFormatting sqref="O451">
    <cfRule type="cellIs" dxfId="2" priority="2241" operator="equal">
      <formula>"Y"</formula>
    </cfRule>
    <cfRule type="cellIs" dxfId="3" priority="2242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O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O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O9">
    <cfRule type="cellIs" dxfId="2" priority="129" operator="equal">
      <formula>"Y"</formula>
    </cfRule>
    <cfRule type="cellIs" dxfId="3" priority="130" operator="equal">
      <formula>"N"</formula>
    </cfRule>
  </conditionalFormatting>
  <dataValidations count="1176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E21">
      <formula1>"Number (years),Rate (per year),Duration (years)"</formula1>
    </dataValidation>
    <dataValidation type="list" allowBlank="1" showInputMessage="1" showErrorMessage="1" sqref="E22">
      <formula1>"Number (years),Rate (per year),Duration (years)"</formula1>
    </dataValidation>
    <dataValidation type="list" allowBlank="1" showInputMessage="1" showErrorMessage="1" sqref="E23">
      <formula1>"Number (years),Rate (per year),Duration (years)"</formula1>
    </dataValidation>
    <dataValidation type="list" allowBlank="1" showInputMessage="1" showErrorMessage="1" sqref="E24">
      <formula1>"Number (years),Rate (per year),Duration (years)"</formula1>
    </dataValidation>
    <dataValidation type="list" allowBlank="1" showInputMessage="1" showErrorMessage="1" sqref="E25">
      <formula1>"Number (years),Rate (per year),Duration (years)"</formula1>
    </dataValidation>
    <dataValidation type="list" allowBlank="1" showInputMessage="1" showErrorMessage="1" sqref="E26">
      <formula1>"Number (years),Rate (per year),Duration (years)"</formula1>
    </dataValidation>
    <dataValidation type="list" allowBlank="1" showInputMessage="1" showErrorMessage="1" sqref="E27">
      <formula1>"Number (years),Rate (per year),Duration (years)"</formula1>
    </dataValidation>
    <dataValidation type="list" allowBlank="1" showInputMessage="1" showErrorMessage="1" sqref="E28">
      <formula1>"Number (years),Rate (per year),Duration (years)"</formula1>
    </dataValidation>
    <dataValidation type="list" allowBlank="1" showInputMessage="1" showErrorMessage="1" sqref="E29">
      <formula1>"Number (years),Rate (per year),Duration (years)"</formula1>
    </dataValidation>
    <dataValidation type="list" allowBlank="1" showInputMessage="1" showErrorMessage="1" sqref="E30">
      <formula1>"Number (years),Rate (per year),Duration (years)"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B222">
      <formula1>"N.A."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"N.A."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"N.A."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"N.A."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"N.A."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"N.A."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"N.A."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"N.A."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"N.A."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"N.A."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"N.A."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"N.A."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B439">
      <formula1>"N.A."</formula1>
    </dataValidation>
    <dataValidation type="list" allowBlank="1" showInputMessage="1" showErrorMessage="1" sqref="C439">
      <formula1>"Y,N"</formula1>
    </dataValidation>
    <dataValidation type="list" allowBlank="1" showInputMessage="1" showErrorMessage="1" sqref="D439">
      <formula1>"Y,N"</formula1>
    </dataValidation>
    <dataValidation type="list" allowBlank="1" showInputMessage="1" showErrorMessage="1" sqref="E439">
      <formula1>"Y,N"</formula1>
    </dataValidation>
    <dataValidation type="list" allowBlank="1" showInputMessage="1" showErrorMessage="1" sqref="F439">
      <formula1>"Y,N"</formula1>
    </dataValidation>
    <dataValidation type="list" allowBlank="1" showInputMessage="1" showErrorMessage="1" sqref="G439">
      <formula1>"Y,N"</formula1>
    </dataValidation>
    <dataValidation type="list" allowBlank="1" showInputMessage="1" showErrorMessage="1" sqref="H439">
      <formula1>"Y,N"</formula1>
    </dataValidation>
    <dataValidation type="list" allowBlank="1" showInputMessage="1" showErrorMessage="1" sqref="I439">
      <formula1>"Y,N"</formula1>
    </dataValidation>
    <dataValidation type="list" allowBlank="1" showInputMessage="1" showErrorMessage="1" sqref="J439">
      <formula1>"Y,N"</formula1>
    </dataValidation>
    <dataValidation type="list" allowBlank="1" showInputMessage="1" showErrorMessage="1" sqref="K439">
      <formula1>"Y,N"</formula1>
    </dataValidation>
    <dataValidation type="list" allowBlank="1" showInputMessage="1" showErrorMessage="1" sqref="L439">
      <formula1>"Y,N"</formula1>
    </dataValidation>
    <dataValidation type="list" allowBlank="1" showInputMessage="1" showErrorMessage="1" sqref="M439">
      <formula1>"Y,N"</formula1>
    </dataValidation>
    <dataValidation type="list" allowBlank="1" showInputMessage="1" showErrorMessage="1" sqref="N439">
      <formula1>"Y,N"</formula1>
    </dataValidation>
    <dataValidation type="list" allowBlank="1" showInputMessage="1" showErrorMessage="1" sqref="O439">
      <formula1>"Y,N"</formula1>
    </dataValidation>
    <dataValidation type="list" allowBlank="1" showInputMessage="1" showErrorMessage="1" sqref="B440">
      <formula1>"Y,N"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D440">
      <formula1>"Y,N"</formula1>
    </dataValidation>
    <dataValidation type="list" allowBlank="1" showInputMessage="1" showErrorMessage="1" sqref="E440">
      <formula1>"Y,N"</formula1>
    </dataValidation>
    <dataValidation type="list" allowBlank="1" showInputMessage="1" showErrorMessage="1" sqref="F440">
      <formula1>"Y,N"</formula1>
    </dataValidation>
    <dataValidation type="list" allowBlank="1" showInputMessage="1" showErrorMessage="1" sqref="G440">
      <formula1>"Y,N"</formula1>
    </dataValidation>
    <dataValidation type="list" allowBlank="1" showInputMessage="1" showErrorMessage="1" sqref="H440">
      <formula1>"Y,N"</formula1>
    </dataValidation>
    <dataValidation type="list" allowBlank="1" showInputMessage="1" showErrorMessage="1" sqref="I440">
      <formula1>"Y,N"</formula1>
    </dataValidation>
    <dataValidation type="list" allowBlank="1" showInputMessage="1" showErrorMessage="1" sqref="J440">
      <formula1>"Y,N"</formula1>
    </dataValidation>
    <dataValidation type="list" allowBlank="1" showInputMessage="1" showErrorMessage="1" sqref="K440">
      <formula1>"Y,N"</formula1>
    </dataValidation>
    <dataValidation type="list" allowBlank="1" showInputMessage="1" showErrorMessage="1" sqref="L440">
      <formula1>"Y,N"</formula1>
    </dataValidation>
    <dataValidation type="list" allowBlank="1" showInputMessage="1" showErrorMessage="1" sqref="M440">
      <formula1>"Y,N"</formula1>
    </dataValidation>
    <dataValidation type="list" allowBlank="1" showInputMessage="1" showErrorMessage="1" sqref="N440">
      <formula1>"Y,N"</formula1>
    </dataValidation>
    <dataValidation type="list" allowBlank="1" showInputMessage="1" showErrorMessage="1" sqref="O440">
      <formula1>"Y,N"</formula1>
    </dataValidation>
    <dataValidation type="list" allowBlank="1" showInputMessage="1" showErrorMessage="1" sqref="B441">
      <formula1>"Y,N"</formula1>
    </dataValidation>
    <dataValidation type="list" allowBlank="1" showInputMessage="1" showErrorMessage="1" sqref="C441">
      <formula1>"Y,N"</formula1>
    </dataValidation>
    <dataValidation type="list" allowBlank="1" showInputMessage="1" showErrorMessage="1" sqref="D441">
      <formula1>"N.A."</formula1>
    </dataValidation>
    <dataValidation type="list" allowBlank="1" showInputMessage="1" showErrorMessage="1" sqref="E441">
      <formula1>"Y,N"</formula1>
    </dataValidation>
    <dataValidation type="list" allowBlank="1" showInputMessage="1" showErrorMessage="1" sqref="F441">
      <formula1>"Y,N"</formula1>
    </dataValidation>
    <dataValidation type="list" allowBlank="1" showInputMessage="1" showErrorMessage="1" sqref="G441">
      <formula1>"Y,N"</formula1>
    </dataValidation>
    <dataValidation type="list" allowBlank="1" showInputMessage="1" showErrorMessage="1" sqref="H441">
      <formula1>"Y,N"</formula1>
    </dataValidation>
    <dataValidation type="list" allowBlank="1" showInputMessage="1" showErrorMessage="1" sqref="I441">
      <formula1>"Y,N"</formula1>
    </dataValidation>
    <dataValidation type="list" allowBlank="1" showInputMessage="1" showErrorMessage="1" sqref="J441">
      <formula1>"Y,N"</formula1>
    </dataValidation>
    <dataValidation type="list" allowBlank="1" showInputMessage="1" showErrorMessage="1" sqref="K441">
      <formula1>"Y,N"</formula1>
    </dataValidation>
    <dataValidation type="list" allowBlank="1" showInputMessage="1" showErrorMessage="1" sqref="L441">
      <formula1>"Y,N"</formula1>
    </dataValidation>
    <dataValidation type="list" allowBlank="1" showInputMessage="1" showErrorMessage="1" sqref="M441">
      <formula1>"Y,N"</formula1>
    </dataValidation>
    <dataValidation type="list" allowBlank="1" showInputMessage="1" showErrorMessage="1" sqref="N441">
      <formula1>"Y,N"</formula1>
    </dataValidation>
    <dataValidation type="list" allowBlank="1" showInputMessage="1" showErrorMessage="1" sqref="O441">
      <formula1>"Y,N"</formula1>
    </dataValidation>
    <dataValidation type="list" allowBlank="1" showInputMessage="1" showErrorMessage="1" sqref="B442">
      <formula1>"Y,N"</formula1>
    </dataValidation>
    <dataValidation type="list" allowBlank="1" showInputMessage="1" showErrorMessage="1" sqref="C442">
      <formula1>"Y,N"</formula1>
    </dataValidation>
    <dataValidation type="list" allowBlank="1" showInputMessage="1" showErrorMessage="1" sqref="D442">
      <formula1>"Y,N"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F442">
      <formula1>"Y,N"</formula1>
    </dataValidation>
    <dataValidation type="list" allowBlank="1" showInputMessage="1" showErrorMessage="1" sqref="G442">
      <formula1>"Y,N"</formula1>
    </dataValidation>
    <dataValidation type="list" allowBlank="1" showInputMessage="1" showErrorMessage="1" sqref="H442">
      <formula1>"Y,N"</formula1>
    </dataValidation>
    <dataValidation type="list" allowBlank="1" showInputMessage="1" showErrorMessage="1" sqref="I442">
      <formula1>"Y,N"</formula1>
    </dataValidation>
    <dataValidation type="list" allowBlank="1" showInputMessage="1" showErrorMessage="1" sqref="J442">
      <formula1>"Y,N"</formula1>
    </dataValidation>
    <dataValidation type="list" allowBlank="1" showInputMessage="1" showErrorMessage="1" sqref="K442">
      <formula1>"Y,N"</formula1>
    </dataValidation>
    <dataValidation type="list" allowBlank="1" showInputMessage="1" showErrorMessage="1" sqref="L442">
      <formula1>"Y,N"</formula1>
    </dataValidation>
    <dataValidation type="list" allowBlank="1" showInputMessage="1" showErrorMessage="1" sqref="M442">
      <formula1>"Y,N"</formula1>
    </dataValidation>
    <dataValidation type="list" allowBlank="1" showInputMessage="1" showErrorMessage="1" sqref="N442">
      <formula1>"Y,N"</formula1>
    </dataValidation>
    <dataValidation type="list" allowBlank="1" showInputMessage="1" showErrorMessage="1" sqref="O442">
      <formula1>"Y,N"</formula1>
    </dataValidation>
    <dataValidation type="list" allowBlank="1" showInputMessage="1" showErrorMessage="1" sqref="B443">
      <formula1>"Y,N"</formula1>
    </dataValidation>
    <dataValidation type="list" allowBlank="1" showInputMessage="1" showErrorMessage="1" sqref="C443">
      <formula1>"Y,N"</formula1>
    </dataValidation>
    <dataValidation type="list" allowBlank="1" showInputMessage="1" showErrorMessage="1" sqref="D443">
      <formula1>"Y,N"</formula1>
    </dataValidation>
    <dataValidation type="list" allowBlank="1" showInputMessage="1" showErrorMessage="1" sqref="E443">
      <formula1>"Y,N"</formula1>
    </dataValidation>
    <dataValidation type="list" allowBlank="1" showInputMessage="1" showErrorMessage="1" sqref="F443">
      <formula1>"N.A."</formula1>
    </dataValidation>
    <dataValidation type="list" allowBlank="1" showInputMessage="1" showErrorMessage="1" sqref="G443">
      <formula1>"Y,N"</formula1>
    </dataValidation>
    <dataValidation type="list" allowBlank="1" showInputMessage="1" showErrorMessage="1" sqref="H443">
      <formula1>"Y,N"</formula1>
    </dataValidation>
    <dataValidation type="list" allowBlank="1" showInputMessage="1" showErrorMessage="1" sqref="I443">
      <formula1>"Y,N"</formula1>
    </dataValidation>
    <dataValidation type="list" allowBlank="1" showInputMessage="1" showErrorMessage="1" sqref="J443">
      <formula1>"Y,N"</formula1>
    </dataValidation>
    <dataValidation type="list" allowBlank="1" showInputMessage="1" showErrorMessage="1" sqref="K443">
      <formula1>"Y,N"</formula1>
    </dataValidation>
    <dataValidation type="list" allowBlank="1" showInputMessage="1" showErrorMessage="1" sqref="L443">
      <formula1>"Y,N"</formula1>
    </dataValidation>
    <dataValidation type="list" allowBlank="1" showInputMessage="1" showErrorMessage="1" sqref="M443">
      <formula1>"Y,N"</formula1>
    </dataValidation>
    <dataValidation type="list" allowBlank="1" showInputMessage="1" showErrorMessage="1" sqref="N443">
      <formula1>"Y,N"</formula1>
    </dataValidation>
    <dataValidation type="list" allowBlank="1" showInputMessage="1" showErrorMessage="1" sqref="O443">
      <formula1>"Y,N"</formula1>
    </dataValidation>
    <dataValidation type="list" allowBlank="1" showInputMessage="1" showErrorMessage="1" sqref="B444">
      <formula1>"Y,N"</formula1>
    </dataValidation>
    <dataValidation type="list" allowBlank="1" showInputMessage="1" showErrorMessage="1" sqref="C444">
      <formula1>"Y,N"</formula1>
    </dataValidation>
    <dataValidation type="list" allowBlank="1" showInputMessage="1" showErrorMessage="1" sqref="D444">
      <formula1>"Y,N"</formula1>
    </dataValidation>
    <dataValidation type="list" allowBlank="1" showInputMessage="1" showErrorMessage="1" sqref="E444">
      <formula1>"Y,N"</formula1>
    </dataValidation>
    <dataValidation type="list" allowBlank="1" showInputMessage="1" showErrorMessage="1" sqref="F444">
      <formula1>"Y,N"</formula1>
    </dataValidation>
    <dataValidation type="list" allowBlank="1" showInputMessage="1" showErrorMessage="1" sqref="G444">
      <formula1>"N.A."</formula1>
    </dataValidation>
    <dataValidation type="list" allowBlank="1" showInputMessage="1" showErrorMessage="1" sqref="H444">
      <formula1>"Y,N"</formula1>
    </dataValidation>
    <dataValidation type="list" allowBlank="1" showInputMessage="1" showErrorMessage="1" sqref="I444">
      <formula1>"Y,N"</formula1>
    </dataValidation>
    <dataValidation type="list" allowBlank="1" showInputMessage="1" showErrorMessage="1" sqref="J444">
      <formula1>"Y,N"</formula1>
    </dataValidation>
    <dataValidation type="list" allowBlank="1" showInputMessage="1" showErrorMessage="1" sqref="K444">
      <formula1>"Y,N"</formula1>
    </dataValidation>
    <dataValidation type="list" allowBlank="1" showInputMessage="1" showErrorMessage="1" sqref="L444">
      <formula1>"Y,N"</formula1>
    </dataValidation>
    <dataValidation type="list" allowBlank="1" showInputMessage="1" showErrorMessage="1" sqref="M444">
      <formula1>"Y,N"</formula1>
    </dataValidation>
    <dataValidation type="list" allowBlank="1" showInputMessage="1" showErrorMessage="1" sqref="N444">
      <formula1>"Y,N"</formula1>
    </dataValidation>
    <dataValidation type="list" allowBlank="1" showInputMessage="1" showErrorMessage="1" sqref="O444">
      <formula1>"Y,N"</formula1>
    </dataValidation>
    <dataValidation type="list" allowBlank="1" showInputMessage="1" showErrorMessage="1" sqref="B445">
      <formula1>"Y,N"</formula1>
    </dataValidation>
    <dataValidation type="list" allowBlank="1" showInputMessage="1" showErrorMessage="1" sqref="C445">
      <formula1>"Y,N"</formula1>
    </dataValidation>
    <dataValidation type="list" allowBlank="1" showInputMessage="1" showErrorMessage="1" sqref="D445">
      <formula1>"Y,N"</formula1>
    </dataValidation>
    <dataValidation type="list" allowBlank="1" showInputMessage="1" showErrorMessage="1" sqref="E445">
      <formula1>"Y,N"</formula1>
    </dataValidation>
    <dataValidation type="list" allowBlank="1" showInputMessage="1" showErrorMessage="1" sqref="F445">
      <formula1>"Y,N"</formula1>
    </dataValidation>
    <dataValidation type="list" allowBlank="1" showInputMessage="1" showErrorMessage="1" sqref="G445">
      <formula1>"Y,N"</formula1>
    </dataValidation>
    <dataValidation type="list" allowBlank="1" showInputMessage="1" showErrorMessage="1" sqref="H445">
      <formula1>"N.A."</formula1>
    </dataValidation>
    <dataValidation type="list" allowBlank="1" showInputMessage="1" showErrorMessage="1" sqref="I445">
      <formula1>"Y,N"</formula1>
    </dataValidation>
    <dataValidation type="list" allowBlank="1" showInputMessage="1" showErrorMessage="1" sqref="J445">
      <formula1>"Y,N"</formula1>
    </dataValidation>
    <dataValidation type="list" allowBlank="1" showInputMessage="1" showErrorMessage="1" sqref="K445">
      <formula1>"Y,N"</formula1>
    </dataValidation>
    <dataValidation type="list" allowBlank="1" showInputMessage="1" showErrorMessage="1" sqref="L445">
      <formula1>"Y,N"</formula1>
    </dataValidation>
    <dataValidation type="list" allowBlank="1" showInputMessage="1" showErrorMessage="1" sqref="M445">
      <formula1>"Y,N"</formula1>
    </dataValidation>
    <dataValidation type="list" allowBlank="1" showInputMessage="1" showErrorMessage="1" sqref="N445">
      <formula1>"Y,N"</formula1>
    </dataValidation>
    <dataValidation type="list" allowBlank="1" showInputMessage="1" showErrorMessage="1" sqref="O445">
      <formula1>"Y,N"</formula1>
    </dataValidation>
    <dataValidation type="list" allowBlank="1" showInputMessage="1" showErrorMessage="1" sqref="B446">
      <formula1>"Y,N"</formula1>
    </dataValidation>
    <dataValidation type="list" allowBlank="1" showInputMessage="1" showErrorMessage="1" sqref="C446">
      <formula1>"Y,N"</formula1>
    </dataValidation>
    <dataValidation type="list" allowBlank="1" showInputMessage="1" showErrorMessage="1" sqref="D446">
      <formula1>"Y,N"</formula1>
    </dataValidation>
    <dataValidation type="list" allowBlank="1" showInputMessage="1" showErrorMessage="1" sqref="E446">
      <formula1>"Y,N"</formula1>
    </dataValidation>
    <dataValidation type="list" allowBlank="1" showInputMessage="1" showErrorMessage="1" sqref="F446">
      <formula1>"Y,N"</formula1>
    </dataValidation>
    <dataValidation type="list" allowBlank="1" showInputMessage="1" showErrorMessage="1" sqref="G446">
      <formula1>"Y,N"</formula1>
    </dataValidation>
    <dataValidation type="list" allowBlank="1" showInputMessage="1" showErrorMessage="1" sqref="H446">
      <formula1>"Y,N"</formula1>
    </dataValidation>
    <dataValidation type="list" allowBlank="1" showInputMessage="1" showErrorMessage="1" sqref="I446">
      <formula1>"N.A."</formula1>
    </dataValidation>
    <dataValidation type="list" allowBlank="1" showInputMessage="1" showErrorMessage="1" sqref="J446">
      <formula1>"Y,N"</formula1>
    </dataValidation>
    <dataValidation type="list" allowBlank="1" showInputMessage="1" showErrorMessage="1" sqref="K446">
      <formula1>"Y,N"</formula1>
    </dataValidation>
    <dataValidation type="list" allowBlank="1" showInputMessage="1" showErrorMessage="1" sqref="L446">
      <formula1>"Y,N"</formula1>
    </dataValidation>
    <dataValidation type="list" allowBlank="1" showInputMessage="1" showErrorMessage="1" sqref="M446">
      <formula1>"Y,N"</formula1>
    </dataValidation>
    <dataValidation type="list" allowBlank="1" showInputMessage="1" showErrorMessage="1" sqref="N446">
      <formula1>"Y,N"</formula1>
    </dataValidation>
    <dataValidation type="list" allowBlank="1" showInputMessage="1" showErrorMessage="1" sqref="O446">
      <formula1>"Y,N"</formula1>
    </dataValidation>
    <dataValidation type="list" allowBlank="1" showInputMessage="1" showErrorMessage="1" sqref="B447">
      <formula1>"Y,N"</formula1>
    </dataValidation>
    <dataValidation type="list" allowBlank="1" showInputMessage="1" showErrorMessage="1" sqref="C447">
      <formula1>"Y,N"</formula1>
    </dataValidation>
    <dataValidation type="list" allowBlank="1" showInputMessage="1" showErrorMessage="1" sqref="D447">
      <formula1>"Y,N"</formula1>
    </dataValidation>
    <dataValidation type="list" allowBlank="1" showInputMessage="1" showErrorMessage="1" sqref="E447">
      <formula1>"Y,N"</formula1>
    </dataValidation>
    <dataValidation type="list" allowBlank="1" showInputMessage="1" showErrorMessage="1" sqref="F447">
      <formula1>"Y,N"</formula1>
    </dataValidation>
    <dataValidation type="list" allowBlank="1" showInputMessage="1" showErrorMessage="1" sqref="G447">
      <formula1>"Y,N"</formula1>
    </dataValidation>
    <dataValidation type="list" allowBlank="1" showInputMessage="1" showErrorMessage="1" sqref="H447">
      <formula1>"Y,N"</formula1>
    </dataValidation>
    <dataValidation type="list" allowBlank="1" showInputMessage="1" showErrorMessage="1" sqref="I447">
      <formula1>"Y,N"</formula1>
    </dataValidation>
    <dataValidation type="list" allowBlank="1" showInputMessage="1" showErrorMessage="1" sqref="J447">
      <formula1>"N.A."</formula1>
    </dataValidation>
    <dataValidation type="list" allowBlank="1" showInputMessage="1" showErrorMessage="1" sqref="K447">
      <formula1>"Y,N"</formula1>
    </dataValidation>
    <dataValidation type="list" allowBlank="1" showInputMessage="1" showErrorMessage="1" sqref="L447">
      <formula1>"Y,N"</formula1>
    </dataValidation>
    <dataValidation type="list" allowBlank="1" showInputMessage="1" showErrorMessage="1" sqref="M447">
      <formula1>"Y,N"</formula1>
    </dataValidation>
    <dataValidation type="list" allowBlank="1" showInputMessage="1" showErrorMessage="1" sqref="N447">
      <formula1>"Y,N"</formula1>
    </dataValidation>
    <dataValidation type="list" allowBlank="1" showInputMessage="1" showErrorMessage="1" sqref="O447">
      <formula1>"Y,N"</formula1>
    </dataValidation>
    <dataValidation type="list" allowBlank="1" showInputMessage="1" showErrorMessage="1" sqref="B448">
      <formula1>"Y,N"</formula1>
    </dataValidation>
    <dataValidation type="list" allowBlank="1" showInputMessage="1" showErrorMessage="1" sqref="C448">
      <formula1>"Y,N"</formula1>
    </dataValidation>
    <dataValidation type="list" allowBlank="1" showInputMessage="1" showErrorMessage="1" sqref="D448">
      <formula1>"Y,N"</formula1>
    </dataValidation>
    <dataValidation type="list" allowBlank="1" showInputMessage="1" showErrorMessage="1" sqref="E448">
      <formula1>"Y,N"</formula1>
    </dataValidation>
    <dataValidation type="list" allowBlank="1" showInputMessage="1" showErrorMessage="1" sqref="F448">
      <formula1>"Y,N"</formula1>
    </dataValidation>
    <dataValidation type="list" allowBlank="1" showInputMessage="1" showErrorMessage="1" sqref="G448">
      <formula1>"Y,N"</formula1>
    </dataValidation>
    <dataValidation type="list" allowBlank="1" showInputMessage="1" showErrorMessage="1" sqref="H448">
      <formula1>"Y,N"</formula1>
    </dataValidation>
    <dataValidation type="list" allowBlank="1" showInputMessage="1" showErrorMessage="1" sqref="I448">
      <formula1>"Y,N"</formula1>
    </dataValidation>
    <dataValidation type="list" allowBlank="1" showInputMessage="1" showErrorMessage="1" sqref="J448">
      <formula1>"Y,N"</formula1>
    </dataValidation>
    <dataValidation type="list" allowBlank="1" showInputMessage="1" showErrorMessage="1" sqref="K448">
      <formula1>"N.A."</formula1>
    </dataValidation>
    <dataValidation type="list" allowBlank="1" showInputMessage="1" showErrorMessage="1" sqref="L448">
      <formula1>"Y,N"</formula1>
    </dataValidation>
    <dataValidation type="list" allowBlank="1" showInputMessage="1" showErrorMessage="1" sqref="M448">
      <formula1>"Y,N"</formula1>
    </dataValidation>
    <dataValidation type="list" allowBlank="1" showInputMessage="1" showErrorMessage="1" sqref="N448">
      <formula1>"Y,N"</formula1>
    </dataValidation>
    <dataValidation type="list" allowBlank="1" showInputMessage="1" showErrorMessage="1" sqref="O448">
      <formula1>"Y,N"</formula1>
    </dataValidation>
    <dataValidation type="list" allowBlank="1" showInputMessage="1" showErrorMessage="1" sqref="B449">
      <formula1>"Y,N"</formula1>
    </dataValidation>
    <dataValidation type="list" allowBlank="1" showInputMessage="1" showErrorMessage="1" sqref="C449">
      <formula1>"Y,N"</formula1>
    </dataValidation>
    <dataValidation type="list" allowBlank="1" showInputMessage="1" showErrorMessage="1" sqref="D449">
      <formula1>"Y,N"</formula1>
    </dataValidation>
    <dataValidation type="list" allowBlank="1" showInputMessage="1" showErrorMessage="1" sqref="E449">
      <formula1>"Y,N"</formula1>
    </dataValidation>
    <dataValidation type="list" allowBlank="1" showInputMessage="1" showErrorMessage="1" sqref="F449">
      <formula1>"Y,N"</formula1>
    </dataValidation>
    <dataValidation type="list" allowBlank="1" showInputMessage="1" showErrorMessage="1" sqref="G449">
      <formula1>"Y,N"</formula1>
    </dataValidation>
    <dataValidation type="list" allowBlank="1" showInputMessage="1" showErrorMessage="1" sqref="H449">
      <formula1>"Y,N"</formula1>
    </dataValidation>
    <dataValidation type="list" allowBlank="1" showInputMessage="1" showErrorMessage="1" sqref="I449">
      <formula1>"Y,N"</formula1>
    </dataValidation>
    <dataValidation type="list" allowBlank="1" showInputMessage="1" showErrorMessage="1" sqref="J449">
      <formula1>"Y,N"</formula1>
    </dataValidation>
    <dataValidation type="list" allowBlank="1" showInputMessage="1" showErrorMessage="1" sqref="K449">
      <formula1>"Y,N"</formula1>
    </dataValidation>
    <dataValidation type="list" allowBlank="1" showInputMessage="1" showErrorMessage="1" sqref="L449">
      <formula1>"N.A."</formula1>
    </dataValidation>
    <dataValidation type="list" allowBlank="1" showInputMessage="1" showErrorMessage="1" sqref="M449">
      <formula1>"Y,N"</formula1>
    </dataValidation>
    <dataValidation type="list" allowBlank="1" showInputMessage="1" showErrorMessage="1" sqref="N449">
      <formula1>"Y,N"</formula1>
    </dataValidation>
    <dataValidation type="list" allowBlank="1" showInputMessage="1" showErrorMessage="1" sqref="O449">
      <formula1>"Y,N"</formula1>
    </dataValidation>
    <dataValidation type="list" allowBlank="1" showInputMessage="1" showErrorMessage="1" sqref="B450">
      <formula1>"Y,N"</formula1>
    </dataValidation>
    <dataValidation type="list" allowBlank="1" showInputMessage="1" showErrorMessage="1" sqref="C450">
      <formula1>"Y,N"</formula1>
    </dataValidation>
    <dataValidation type="list" allowBlank="1" showInputMessage="1" showErrorMessage="1" sqref="D450">
      <formula1>"Y,N"</formula1>
    </dataValidation>
    <dataValidation type="list" allowBlank="1" showInputMessage="1" showErrorMessage="1" sqref="E450">
      <formula1>"Y,N"</formula1>
    </dataValidation>
    <dataValidation type="list" allowBlank="1" showInputMessage="1" showErrorMessage="1" sqref="F450">
      <formula1>"Y,N"</formula1>
    </dataValidation>
    <dataValidation type="list" allowBlank="1" showInputMessage="1" showErrorMessage="1" sqref="G450">
      <formula1>"Y,N"</formula1>
    </dataValidation>
    <dataValidation type="list" allowBlank="1" showInputMessage="1" showErrorMessage="1" sqref="H450">
      <formula1>"Y,N"</formula1>
    </dataValidation>
    <dataValidation type="list" allowBlank="1" showInputMessage="1" showErrorMessage="1" sqref="I450">
      <formula1>"Y,N"</formula1>
    </dataValidation>
    <dataValidation type="list" allowBlank="1" showInputMessage="1" showErrorMessage="1" sqref="J450">
      <formula1>"Y,N"</formula1>
    </dataValidation>
    <dataValidation type="list" allowBlank="1" showInputMessage="1" showErrorMessage="1" sqref="K450">
      <formula1>"Y,N"</formula1>
    </dataValidation>
    <dataValidation type="list" allowBlank="1" showInputMessage="1" showErrorMessage="1" sqref="L450">
      <formula1>"Y,N"</formula1>
    </dataValidation>
    <dataValidation type="list" allowBlank="1" showInputMessage="1" showErrorMessage="1" sqref="M450">
      <formula1>"N.A."</formula1>
    </dataValidation>
    <dataValidation type="list" allowBlank="1" showInputMessage="1" showErrorMessage="1" sqref="N450">
      <formula1>"Y,N"</formula1>
    </dataValidation>
    <dataValidation type="list" allowBlank="1" showInputMessage="1" showErrorMessage="1" sqref="O450">
      <formula1>"Y,N"</formula1>
    </dataValidation>
    <dataValidation type="list" allowBlank="1" showInputMessage="1" showErrorMessage="1" sqref="B451">
      <formula1>"Y,N"</formula1>
    </dataValidation>
    <dataValidation type="list" allowBlank="1" showInputMessage="1" showErrorMessage="1" sqref="C451">
      <formula1>"Y,N"</formula1>
    </dataValidation>
    <dataValidation type="list" allowBlank="1" showInputMessage="1" showErrorMessage="1" sqref="D451">
      <formula1>"Y,N"</formula1>
    </dataValidation>
    <dataValidation type="list" allowBlank="1" showInputMessage="1" showErrorMessage="1" sqref="E451">
      <formula1>"Y,N"</formula1>
    </dataValidation>
    <dataValidation type="list" allowBlank="1" showInputMessage="1" showErrorMessage="1" sqref="F451">
      <formula1>"Y,N"</formula1>
    </dataValidation>
    <dataValidation type="list" allowBlank="1" showInputMessage="1" showErrorMessage="1" sqref="G451">
      <formula1>"Y,N"</formula1>
    </dataValidation>
    <dataValidation type="list" allowBlank="1" showInputMessage="1" showErrorMessage="1" sqref="H451">
      <formula1>"Y,N"</formula1>
    </dataValidation>
    <dataValidation type="list" allowBlank="1" showInputMessage="1" showErrorMessage="1" sqref="I451">
      <formula1>"Y,N"</formula1>
    </dataValidation>
    <dataValidation type="list" allowBlank="1" showInputMessage="1" showErrorMessage="1" sqref="J451">
      <formula1>"Y,N"</formula1>
    </dataValidation>
    <dataValidation type="list" allowBlank="1" showInputMessage="1" showErrorMessage="1" sqref="K451">
      <formula1>"Y,N"</formula1>
    </dataValidation>
    <dataValidation type="list" allowBlank="1" showInputMessage="1" showErrorMessage="1" sqref="L451">
      <formula1>"Y,N"</formula1>
    </dataValidation>
    <dataValidation type="list" allowBlank="1" showInputMessage="1" showErrorMessage="1" sqref="M451">
      <formula1>"Y,N"</formula1>
    </dataValidation>
    <dataValidation type="list" allowBlank="1" showInputMessage="1" showErrorMessage="1" sqref="N451">
      <formula1>"N.A."</formula1>
    </dataValidation>
    <dataValidation type="list" allowBlank="1" showInputMessage="1" showErrorMessage="1" sqref="O451">
      <formula1>"Y,N"</formula1>
    </dataValidation>
    <dataValidation type="list" allowBlank="1" showInputMessage="1" showErrorMessage="1" sqref="B452">
      <formula1>"Y,N"</formula1>
    </dataValidation>
    <dataValidation type="list" allowBlank="1" showInputMessage="1" showErrorMessage="1" sqref="C452">
      <formula1>"Y,N"</formula1>
    </dataValidation>
    <dataValidation type="list" allowBlank="1" showInputMessage="1" showErrorMessage="1" sqref="D452">
      <formula1>"Y,N"</formula1>
    </dataValidation>
    <dataValidation type="list" allowBlank="1" showInputMessage="1" showErrorMessage="1" sqref="E452">
      <formula1>"Y,N"</formula1>
    </dataValidation>
    <dataValidation type="list" allowBlank="1" showInputMessage="1" showErrorMessage="1" sqref="F452">
      <formula1>"Y,N"</formula1>
    </dataValidation>
    <dataValidation type="list" allowBlank="1" showInputMessage="1" showErrorMessage="1" sqref="G452">
      <formula1>"Y,N"</formula1>
    </dataValidation>
    <dataValidation type="list" allowBlank="1" showInputMessage="1" showErrorMessage="1" sqref="H452">
      <formula1>"Y,N"</formula1>
    </dataValidation>
    <dataValidation type="list" allowBlank="1" showInputMessage="1" showErrorMessage="1" sqref="I452">
      <formula1>"Y,N"</formula1>
    </dataValidation>
    <dataValidation type="list" allowBlank="1" showInputMessage="1" showErrorMessage="1" sqref="J452">
      <formula1>"Y,N"</formula1>
    </dataValidation>
    <dataValidation type="list" allowBlank="1" showInputMessage="1" showErrorMessage="1" sqref="K452">
      <formula1>"Y,N"</formula1>
    </dataValidation>
    <dataValidation type="list" allowBlank="1" showInputMessage="1" showErrorMessage="1" sqref="L452">
      <formula1>"Y,N"</formula1>
    </dataValidation>
    <dataValidation type="list" allowBlank="1" showInputMessage="1" showErrorMessage="1" sqref="M452">
      <formula1>"Y,N"</formula1>
    </dataValidation>
    <dataValidation type="list" allowBlank="1" showInputMessage="1" showErrorMessage="1" sqref="N452">
      <formula1>"Y,N"</formula1>
    </dataValidation>
    <dataValidation type="list" allowBlank="1" showInputMessage="1" showErrorMessage="1" sqref="O452">
      <formula1>"N.A."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  <dataValidation type="list" allowBlank="1" showInputMessage="1" showErrorMessage="1" sqref="E607">
      <formula1>"Number (years),Rate (per year),Duration (years)"</formula1>
    </dataValidation>
    <dataValidation type="list" allowBlank="1" showInputMessage="1" showErrorMessage="1" sqref="E608">
      <formula1>"Number (years),Rate (per year),Duration (years)"</formula1>
    </dataValidation>
    <dataValidation type="list" allowBlank="1" showInputMessage="1" showErrorMessage="1" sqref="E609">
      <formula1>"Number (years),Rate (per year),Duration (years)"</formula1>
    </dataValidation>
    <dataValidation type="list" allowBlank="1" showInputMessage="1" showErrorMessage="1" sqref="E610">
      <formula1>"Number (years),Rate (per year),Duration (years)"</formula1>
    </dataValidation>
    <dataValidation type="list" allowBlank="1" showInputMessage="1" showErrorMessage="1" sqref="E611">
      <formula1>"Number (years),Rate (per year),Duration (years)"</formula1>
    </dataValidation>
    <dataValidation type="list" allowBlank="1" showInputMessage="1" showErrorMessage="1" sqref="E612">
      <formula1>"Number (years),Rate (per year),Duration (years)"</formula1>
    </dataValidation>
    <dataValidation type="list" allowBlank="1" showInputMessage="1" showErrorMessage="1" sqref="E613">
      <formula1>"Number (years),Rate (per year),Duration (years)"</formula1>
    </dataValidation>
    <dataValidation type="list" allowBlank="1" showInputMessage="1" showErrorMessage="1" sqref="E614">
      <formula1>"Number (years),Rate (per year),Duration (years)"</formula1>
    </dataValidation>
    <dataValidation type="list" allowBlank="1" showInputMessage="1" showErrorMessage="1" sqref="E615">
      <formula1>"Number (years),Rate (per year),Duration (years)"</formula1>
    </dataValidation>
    <dataValidation type="list" allowBlank="1" showInputMessage="1" showErrorMessage="1" sqref="E616">
      <formula1>"Number (years),Rate (per year),Duration (years)"</formula1>
    </dataValidation>
    <dataValidation type="list" allowBlank="1" showInputMessage="1" showErrorMessage="1" sqref="E617">
      <formula1>"Number (years),Rate (per year),Duration (years)"</formula1>
    </dataValidation>
    <dataValidation type="list" allowBlank="1" showInputMessage="1" showErrorMessage="1" sqref="E618">
      <formula1>"Number (years),Rate (per year),Duration (years)"</formula1>
    </dataValidation>
    <dataValidation type="list" allowBlank="1" showInputMessage="1" showErrorMessage="1" sqref="E619">
      <formula1>"Number (years),Rate (per year),Duration (years)"</formula1>
    </dataValidation>
    <dataValidation type="list" allowBlank="1" showInputMessage="1" showErrorMessage="1" sqref="E620">
      <formula1>"Number (years),Rate (per year),Duration (years)"</formula1>
    </dataValidation>
    <dataValidation type="list" allowBlank="1" showInputMessage="1" showErrorMessage="1" sqref="E621">
      <formula1>"Number (years),Rate (per year),Duration (years)"</formula1>
    </dataValidation>
    <dataValidation type="list" allowBlank="1" showInputMessage="1" showErrorMessage="1" sqref="E622">
      <formula1>"Number (years),Rate (per year),Duration (years)"</formula1>
    </dataValidation>
    <dataValidation type="list" allowBlank="1" showInputMessage="1" showErrorMessage="1" sqref="E623">
      <formula1>"Number (years),Rate (per year),Duration (years)"</formula1>
    </dataValidation>
    <dataValidation type="list" allowBlank="1" showInputMessage="1" showErrorMessage="1" sqref="E624">
      <formula1>"Number (years),Rate (per year),Duration (years)"</formula1>
    </dataValidation>
    <dataValidation type="list" allowBlank="1" showInputMessage="1" showErrorMessage="1" sqref="E625">
      <formula1>"Number (years),Rate (per year),Duration (years)"</formula1>
    </dataValidation>
    <dataValidation type="list" allowBlank="1" showInputMessage="1" showErrorMessage="1" sqref="E626">
      <formula1>"Number (years),Rate (per year),Duration (years)"</formula1>
    </dataValidation>
    <dataValidation type="list" allowBlank="1" showInputMessage="1" showErrorMessage="1" sqref="E627">
      <formula1>"Number (years),Rate (per year),Duration (years)"</formula1>
    </dataValidation>
    <dataValidation type="list" allowBlank="1" showInputMessage="1" showErrorMessage="1" sqref="E628">
      <formula1>"Number (years),Rate (per year),Duration (years)"</formula1>
    </dataValidation>
    <dataValidation type="list" allowBlank="1" showInputMessage="1" showErrorMessage="1" sqref="E629">
      <formula1>"Number (years),Rate (per year),Duration (years)"</formula1>
    </dataValidation>
    <dataValidation type="list" allowBlank="1" showInputMessage="1" showErrorMessage="1" sqref="E630">
      <formula1>"Number (years),Rate (per year),Duration (years)"</formula1>
    </dataValidation>
    <dataValidation type="list" allowBlank="1" showInputMessage="1" showErrorMessage="1" sqref="E631">
      <formula1>"Number (years),Rate (per year),Duration (years)"</formula1>
    </dataValidation>
    <dataValidation type="list" allowBlank="1" showInputMessage="1" showErrorMessage="1" sqref="E632">
      <formula1>"Number (years),Rate (per year),Duration (years)"</formula1>
    </dataValidation>
    <dataValidation type="list" allowBlank="1" showInputMessage="1" showErrorMessage="1" sqref="E633">
      <formula1>"Number (years),Rate (per year),Duration (years)"</formula1>
    </dataValidation>
    <dataValidation type="list" allowBlank="1" showInputMessage="1" showErrorMessage="1" sqref="E634">
      <formula1>"Number (years),Rate (per year),Duration (years)"</formula1>
    </dataValidation>
    <dataValidation type="list" allowBlank="1" showInputMessage="1" showErrorMessage="1" sqref="E635">
      <formula1>"Number (years),Rate (per year),Duration (years)"</formula1>
    </dataValidation>
    <dataValidation type="list" allowBlank="1" showInputMessage="1" showErrorMessage="1" sqref="E636">
      <formula1>"Number (years),Rate (per year),Duration (years)"</formula1>
    </dataValidation>
    <dataValidation type="list" allowBlank="1" showInputMessage="1" showErrorMessage="1" sqref="E637">
      <formula1>"Number (years),Rate (per year),Duration (years)"</formula1>
    </dataValidation>
    <dataValidation type="list" allowBlank="1" showInputMessage="1" showErrorMessage="1" sqref="E638">
      <formula1>"Number (years),Rate (per year),Duration (years)"</formula1>
    </dataValidation>
    <dataValidation type="list" allowBlank="1" showInputMessage="1" showErrorMessage="1" sqref="E639">
      <formula1>"Number (years),Rate (per year),Duration (years)"</formula1>
    </dataValidation>
    <dataValidation type="list" allowBlank="1" showInputMessage="1" showErrorMessage="1" sqref="E640">
      <formula1>"Number (years),Rate (per year),Duration (years)"</formula1>
    </dataValidation>
    <dataValidation type="list" allowBlank="1" showInputMessage="1" showErrorMessage="1" sqref="E641">
      <formula1>"Number (years),Rate (per year),Duration (years)"</formula1>
    </dataValidation>
    <dataValidation type="list" allowBlank="1" showInputMessage="1" showErrorMessage="1" sqref="E642">
      <formula1>"Number (years),Rate (per year),Duration (years)"</formula1>
    </dataValidation>
    <dataValidation type="list" allowBlank="1" showInputMessage="1" showErrorMessage="1" sqref="E643">
      <formula1>"Number (years),Rate (per year),Duration (years)"</formula1>
    </dataValidation>
    <dataValidation type="list" allowBlank="1" showInputMessage="1" showErrorMessage="1" sqref="E644">
      <formula1>"Number (years),Rate (per year),Duration (years)"</formula1>
    </dataValidation>
    <dataValidation type="list" allowBlank="1" showInputMessage="1" showErrorMessage="1" sqref="E645">
      <formula1>"Number (years),Rate (per year),Duration (years)"</formula1>
    </dataValidation>
    <dataValidation type="list" allowBlank="1" showInputMessage="1" showErrorMessage="1" sqref="E646">
      <formula1>"Number (years),Rate (per year),Duration (years)"</formula1>
    </dataValidation>
    <dataValidation type="list" allowBlank="1" showInputMessage="1" showErrorMessage="1" sqref="E647">
      <formula1>"Number (years),Rate (per year),Duration (years)"</formula1>
    </dataValidation>
    <dataValidation type="list" allowBlank="1" showInputMessage="1" showErrorMessage="1" sqref="E648">
      <formula1>"Number (years),Rate (per year),Duration (years)"</formula1>
    </dataValidation>
    <dataValidation type="list" allowBlank="1" showInputMessage="1" showErrorMessage="1" sqref="E649">
      <formula1>"Number (years),Rate (per year),Duration (years)"</formula1>
    </dataValidation>
    <dataValidation type="list" allowBlank="1" showInputMessage="1" showErrorMessage="1" sqref="E650">
      <formula1>"Number (years),Rate (per year),Duration (years)"</formula1>
    </dataValidation>
  </dataValidations>
  <hyperlinks>
    <hyperlink ref="C5" location="Transfers!B22" display="N"/>
    <hyperlink ref="D5" location="Transfers!B23" display="N"/>
    <hyperlink ref="E5" location="Transfers!B24" display="N"/>
    <hyperlink ref="F5" location="Transfers!B25" display="N"/>
    <hyperlink ref="G5" location="Transfers!B26" display="N"/>
    <hyperlink ref="H5" location="Transfers!B27" display="N"/>
    <hyperlink ref="I5" location="Transfers!B28" display="N"/>
    <hyperlink ref="J5" location="Transfers!B29" display="N"/>
    <hyperlink ref="K5" location="Transfers!B30" display="N"/>
    <hyperlink ref="L5" location="Transfers!B31" display="N"/>
    <hyperlink ref="M5" location="Transfers!B32" display="N"/>
    <hyperlink ref="N5" location="Transfers!B33" display="N"/>
    <hyperlink ref="O5" location="Transfers!B34" display="N"/>
    <hyperlink ref="B6" location="Transfers!B35" display="N"/>
    <hyperlink ref="D6" location="Transfers!B37" display="N"/>
    <hyperlink ref="E6" location="Transfers!B38" display="N"/>
    <hyperlink ref="F6" location="Transfers!B39" display="N"/>
    <hyperlink ref="G6" location="Transfers!B40" display="N"/>
    <hyperlink ref="H6" location="Transfers!B41" display="N"/>
    <hyperlink ref="I6" location="Transfers!B42" display="N"/>
    <hyperlink ref="J6" location="Transfers!B43" display="N"/>
    <hyperlink ref="K6" location="Transfers!B44" display="N"/>
    <hyperlink ref="L6" location="Transfers!B45" display="N"/>
    <hyperlink ref="M6" location="Transfers!B46" display="N"/>
    <hyperlink ref="N6" location="Transfers!B47" display="N"/>
    <hyperlink ref="O6" location="Transfers!B48" display="N"/>
    <hyperlink ref="B7" location="Transfers!B49" display="N"/>
    <hyperlink ref="C7" location="Transfers!B50" display="N"/>
    <hyperlink ref="E7" location="Transfers!B52" display="N"/>
    <hyperlink ref="F7" location="Transfers!B53" display="Y"/>
    <hyperlink ref="G7" location="Transfers!B54" display="N"/>
    <hyperlink ref="H7" location="Transfers!B55" display="N"/>
    <hyperlink ref="I7" location="Transfers!B56" display="N"/>
    <hyperlink ref="J7" location="Transfers!B57" display="N"/>
    <hyperlink ref="K7" location="Transfers!B58" display="N"/>
    <hyperlink ref="L7" location="Transfers!B59" display="N"/>
    <hyperlink ref="M7" location="Transfers!B60" display="N"/>
    <hyperlink ref="N7" location="Transfers!B61" display="N"/>
    <hyperlink ref="O7" location="Transfers!B62" display="N"/>
    <hyperlink ref="B8" location="Transfers!B63" display="N"/>
    <hyperlink ref="C8" location="Transfers!B64" display="N"/>
    <hyperlink ref="D8" location="Transfers!B65" display="N"/>
    <hyperlink ref="F8" location="Transfers!B67" display="N"/>
    <hyperlink ref="G8" location="Transfers!B68" display="Y"/>
    <hyperlink ref="H8" location="Transfers!B69" display="N"/>
    <hyperlink ref="I8" location="Transfers!B70" display="N"/>
    <hyperlink ref="J8" location="Transfers!B71" display="N"/>
    <hyperlink ref="K8" location="Transfers!B72" display="N"/>
    <hyperlink ref="L8" location="Transfers!B73" display="N"/>
    <hyperlink ref="M8" location="Transfers!B74" display="N"/>
    <hyperlink ref="N8" location="Transfers!B75" display="N"/>
    <hyperlink ref="O8" location="Transfers!B76" display="N"/>
    <hyperlink ref="B9" location="Transfers!B77" display="N"/>
    <hyperlink ref="C9" location="Transfers!B78" display="N"/>
    <hyperlink ref="D9" location="Transfers!B79" display="N"/>
    <hyperlink ref="E9" location="Transfers!B80" display="N"/>
    <hyperlink ref="G9" location="Transfers!B82" display="N"/>
    <hyperlink ref="H9" location="Transfers!B83" display="Y"/>
    <hyperlink ref="I9" location="Transfers!B84" display="N"/>
    <hyperlink ref="J9" location="Transfers!B85" display="N"/>
    <hyperlink ref="K9" location="Transfers!B86" display="N"/>
    <hyperlink ref="L9" location="Transfers!B87" display="N"/>
    <hyperlink ref="M9" location="Transfers!B88" display="N"/>
    <hyperlink ref="N9" location="Transfers!B89" display="N"/>
    <hyperlink ref="O9" location="Transfers!B90" display="N"/>
    <hyperlink ref="B10" location="Transfers!B91" display="N"/>
    <hyperlink ref="C10" location="Transfers!B92" display="N"/>
    <hyperlink ref="D10" location="Transfers!B93" display="N"/>
    <hyperlink ref="E10" location="Transfers!B94" display="N"/>
    <hyperlink ref="F10" location="Transfers!B95" display="N"/>
    <hyperlink ref="H10" location="Transfers!B97" display="N"/>
    <hyperlink ref="I10" location="Transfers!B98" display="Y"/>
    <hyperlink ref="J10" location="Transfers!B99" display="N"/>
    <hyperlink ref="K10" location="Transfers!B100" display="N"/>
    <hyperlink ref="L10" location="Transfers!B101" display="N"/>
    <hyperlink ref="M10" location="Transfers!B102" display="N"/>
    <hyperlink ref="N10" location="Transfers!B103" display="N"/>
    <hyperlink ref="O10" location="Transfers!B104" display="N"/>
    <hyperlink ref="B11" location="Transfers!B105" display="N"/>
    <hyperlink ref="C11" location="Transfers!B106" display="N"/>
    <hyperlink ref="D11" location="Transfers!B107" display="N"/>
    <hyperlink ref="E11" location="Transfers!B108" display="N"/>
    <hyperlink ref="F11" location="Transfers!B109" display="N"/>
    <hyperlink ref="G11" location="Transfers!B110" display="N"/>
    <hyperlink ref="I11" location="Transfers!B112" display="N"/>
    <hyperlink ref="J11" location="Transfers!B113" display="Y"/>
    <hyperlink ref="K11" location="Transfers!B114" display="N"/>
    <hyperlink ref="L11" location="Transfers!B115" display="N"/>
    <hyperlink ref="M11" location="Transfers!B116" display="N"/>
    <hyperlink ref="N11" location="Transfers!B117" display="N"/>
    <hyperlink ref="O11" location="Transfers!B118" display="N"/>
    <hyperlink ref="B12" location="Transfers!B119" display="N"/>
    <hyperlink ref="C12" location="Transfers!B120" display="N"/>
    <hyperlink ref="D12" location="Transfers!B121" display="N"/>
    <hyperlink ref="E12" location="Transfers!B122" display="N"/>
    <hyperlink ref="F12" location="Transfers!B123" display="N"/>
    <hyperlink ref="G12" location="Transfers!B124" display="N"/>
    <hyperlink ref="H12" location="Transfers!B125" display="N"/>
    <hyperlink ref="J12" location="Transfers!B127" display="N"/>
    <hyperlink ref="K12" location="Transfers!B128" display="Y"/>
    <hyperlink ref="L12" location="Transfers!B129" display="N"/>
    <hyperlink ref="M12" location="Transfers!B130" display="N"/>
    <hyperlink ref="N12" location="Transfers!B131" display="N"/>
    <hyperlink ref="O12" location="Transfers!B132" display="N"/>
    <hyperlink ref="B13" location="Transfers!B133" display="N"/>
    <hyperlink ref="C13" location="Transfers!B134" display="N"/>
    <hyperlink ref="D13" location="Transfers!B135" display="N"/>
    <hyperlink ref="E13" location="Transfers!B136" display="N"/>
    <hyperlink ref="F13" location="Transfers!B137" display="N"/>
    <hyperlink ref="G13" location="Transfers!B138" display="N"/>
    <hyperlink ref="H13" location="Transfers!B139" display="N"/>
    <hyperlink ref="I13" location="Transfers!B140" display="N"/>
    <hyperlink ref="K13" location="Transfers!B142" display="N"/>
    <hyperlink ref="L13" location="Transfers!B143" display="N"/>
    <hyperlink ref="M13" location="Transfers!B144" display="N"/>
    <hyperlink ref="N13" location="Transfers!B145" display="N"/>
    <hyperlink ref="O13" location="Transfers!B146" display="N"/>
    <hyperlink ref="B14" location="Transfers!B147" display="N"/>
    <hyperlink ref="C14" location="Transfers!B148" display="N"/>
    <hyperlink ref="D14" location="Transfers!B149" display="N"/>
    <hyperlink ref="E14" location="Transfers!B150" display="N"/>
    <hyperlink ref="F14" location="Transfers!B151" display="N"/>
    <hyperlink ref="G14" location="Transfers!B152" display="N"/>
    <hyperlink ref="H14" location="Transfers!B153" display="N"/>
    <hyperlink ref="I14" location="Transfers!B154" display="N"/>
    <hyperlink ref="J14" location="Transfers!B155" display="N"/>
    <hyperlink ref="L14" location="Transfers!B157" display="N"/>
    <hyperlink ref="M14" location="Transfers!B158" display="N"/>
    <hyperlink ref="N14" location="Transfers!B159" display="N"/>
    <hyperlink ref="O14" location="Transfers!B160" display="N"/>
    <hyperlink ref="B15" location="Transfers!B161" display="N"/>
    <hyperlink ref="C15" location="Transfers!B162" display="N"/>
    <hyperlink ref="D15" location="Transfers!B163" display="N"/>
    <hyperlink ref="E15" location="Transfers!B164" display="N"/>
    <hyperlink ref="F15" location="Transfers!B165" display="N"/>
    <hyperlink ref="G15" location="Transfers!B166" display="N"/>
    <hyperlink ref="H15" location="Transfers!B167" display="N"/>
    <hyperlink ref="I15" location="Transfers!B168" display="N"/>
    <hyperlink ref="J15" location="Transfers!B169" display="N"/>
    <hyperlink ref="K15" location="Transfers!B170" display="N"/>
    <hyperlink ref="M15" location="Transfers!B172" display="N"/>
    <hyperlink ref="N15" location="Transfers!B173" display="N"/>
    <hyperlink ref="O15" location="Transfers!B174" display="N"/>
    <hyperlink ref="B16" location="Transfers!B175" display="N"/>
    <hyperlink ref="C16" location="Transfers!B176" display="N"/>
    <hyperlink ref="D16" location="Transfers!B177" display="N"/>
    <hyperlink ref="E16" location="Transfers!B178" display="N"/>
    <hyperlink ref="F16" location="Transfers!B179" display="N"/>
    <hyperlink ref="G16" location="Transfers!B180" display="N"/>
    <hyperlink ref="H16" location="Transfers!B181" display="N"/>
    <hyperlink ref="I16" location="Transfers!B182" display="N"/>
    <hyperlink ref="J16" location="Transfers!B183" display="N"/>
    <hyperlink ref="K16" location="Transfers!B184" display="N"/>
    <hyperlink ref="L16" location="Transfers!B185" display="N"/>
    <hyperlink ref="N16" location="Transfers!B187" display="N"/>
    <hyperlink ref="O16" location="Transfers!B188" display="N"/>
    <hyperlink ref="B17" location="Transfers!B189" display="N"/>
    <hyperlink ref="C17" location="Transfers!B190" display="N"/>
    <hyperlink ref="D17" location="Transfers!B191" display="N"/>
    <hyperlink ref="E17" location="Transfers!B192" display="N"/>
    <hyperlink ref="F17" location="Transfers!B193" display="N"/>
    <hyperlink ref="G17" location="Transfers!B194" display="N"/>
    <hyperlink ref="H17" location="Transfers!B195" display="N"/>
    <hyperlink ref="I17" location="Transfers!B196" display="N"/>
    <hyperlink ref="J17" location="Transfers!B197" display="N"/>
    <hyperlink ref="K17" location="Transfers!B198" display="N"/>
    <hyperlink ref="L17" location="Transfers!B199" display="N"/>
    <hyperlink ref="M17" location="Transfers!B200" display="N"/>
    <hyperlink ref="O17" location="Transfers!B202" display="N"/>
    <hyperlink ref="B18" location="Transfers!B203" display="N"/>
    <hyperlink ref="C18" location="Transfers!B204" display="N"/>
    <hyperlink ref="D18" location="Transfers!B205" display="N"/>
    <hyperlink ref="E18" location="Transfers!B206" display="N"/>
    <hyperlink ref="F18" location="Transfers!B207" display="N"/>
    <hyperlink ref="G18" location="Transfers!B208" display="N"/>
    <hyperlink ref="H18" location="Transfers!B209" display="N"/>
    <hyperlink ref="I18" location="Transfers!B210" display="N"/>
    <hyperlink ref="J18" location="Transfers!B211" display="N"/>
    <hyperlink ref="K18" location="Transfers!B212" display="N"/>
    <hyperlink ref="L18" location="Transfers!B213" display="N"/>
    <hyperlink ref="M18" location="Transfers!B214" display="N"/>
    <hyperlink ref="N18" location="Transfers!B215" display="N"/>
    <hyperlink ref="B22" location="Transfers!$C$5" display="Transfers!$C$5"/>
    <hyperlink ref="B23" location="Transfers!$D$5" display="Transfers!$D$5"/>
    <hyperlink ref="B24" location="Transfers!$E$5" display="Transfers!$E$5"/>
    <hyperlink ref="B25" location="Transfers!$F$5" display="Transfers!$F$5"/>
    <hyperlink ref="B26" location="Transfers!$G$5" display="Transfers!$G$5"/>
    <hyperlink ref="B27" location="Transfers!$H$5" display="Transfers!$H$5"/>
    <hyperlink ref="B28" location="Transfers!$I$5" display="Transfers!$I$5"/>
    <hyperlink ref="B29" location="Transfers!$J$5" display="Transfers!$J$5"/>
    <hyperlink ref="B30" location="Transfers!$K$5" display="Transfers!$K$5"/>
    <hyperlink ref="B31" location="Transfers!$L$5" display="Transfers!$L$5"/>
    <hyperlink ref="B32" location="Transfers!$M$5" display="Transfers!$M$5"/>
    <hyperlink ref="B33" location="Transfers!$N$5" display="Transfers!$N$5"/>
    <hyperlink ref="B34" location="Transfers!$O$5" display="Transfers!$O$5"/>
    <hyperlink ref="B35" location="Transfers!$B$6" display="Transfers!$B$6"/>
    <hyperlink ref="B37" location="Transfers!$D$6" display="Transfers!$D$6"/>
    <hyperlink ref="B38" location="Transfers!$E$6" display="Transfers!$E$6"/>
    <hyperlink ref="B39" location="Transfers!$F$6" display="Transfers!$F$6"/>
    <hyperlink ref="B40" location="Transfers!$G$6" display="Transfers!$G$6"/>
    <hyperlink ref="B41" location="Transfers!$H$6" display="Transfers!$H$6"/>
    <hyperlink ref="B42" location="Transfers!$I$6" display="Transfers!$I$6"/>
    <hyperlink ref="B43" location="Transfers!$J$6" display="Transfers!$J$6"/>
    <hyperlink ref="B44" location="Transfers!$K$6" display="Transfers!$K$6"/>
    <hyperlink ref="B45" location="Transfers!$L$6" display="Transfers!$L$6"/>
    <hyperlink ref="B46" location="Transfers!$M$6" display="Transfers!$M$6"/>
    <hyperlink ref="B47" location="Transfers!$N$6" display="Transfers!$N$6"/>
    <hyperlink ref="B48" location="Transfers!$O$6" display="Transfers!$O$6"/>
    <hyperlink ref="B49" location="Transfers!$B$7" display="Transfers!$B$7"/>
    <hyperlink ref="B50" location="Transfers!$C$7" display="Transfers!$C$7"/>
    <hyperlink ref="B52" location="Transfers!$E$7" display="Transfers!$E$7"/>
    <hyperlink ref="B53" location="Transfers!$F$7" display="Transfers!$F$7"/>
    <hyperlink ref="B54" location="Transfers!$G$7" display="Transfers!$G$7"/>
    <hyperlink ref="B55" location="Transfers!$H$7" display="Transfers!$H$7"/>
    <hyperlink ref="B56" location="Transfers!$I$7" display="Transfers!$I$7"/>
    <hyperlink ref="B57" location="Transfers!$J$7" display="Transfers!$J$7"/>
    <hyperlink ref="B58" location="Transfers!$K$7" display="Transfers!$K$7"/>
    <hyperlink ref="B59" location="Transfers!$L$7" display="Transfers!$L$7"/>
    <hyperlink ref="B60" location="Transfers!$M$7" display="Transfers!$M$7"/>
    <hyperlink ref="B61" location="Transfers!$N$7" display="Transfers!$N$7"/>
    <hyperlink ref="B62" location="Transfers!$O$7" display="Transfers!$O$7"/>
    <hyperlink ref="B63" location="Transfers!$B$8" display="Transfers!$B$8"/>
    <hyperlink ref="B64" location="Transfers!$C$8" display="Transfers!$C$8"/>
    <hyperlink ref="B65" location="Transfers!$D$8" display="Transfers!$D$8"/>
    <hyperlink ref="B67" location="Transfers!$F$8" display="Transfers!$F$8"/>
    <hyperlink ref="B68" location="Transfers!$G$8" display="Transfers!$G$8"/>
    <hyperlink ref="B69" location="Transfers!$H$8" display="Transfers!$H$8"/>
    <hyperlink ref="B70" location="Transfers!$I$8" display="Transfers!$I$8"/>
    <hyperlink ref="B71" location="Transfers!$J$8" display="Transfers!$J$8"/>
    <hyperlink ref="B72" location="Transfers!$K$8" display="Transfers!$K$8"/>
    <hyperlink ref="B73" location="Transfers!$L$8" display="Transfers!$L$8"/>
    <hyperlink ref="B74" location="Transfers!$M$8" display="Transfers!$M$8"/>
    <hyperlink ref="B75" location="Transfers!$N$8" display="Transfers!$N$8"/>
    <hyperlink ref="B76" location="Transfers!$O$8" display="Transfers!$O$8"/>
    <hyperlink ref="B77" location="Transfers!$B$9" display="Transfers!$B$9"/>
    <hyperlink ref="B78" location="Transfers!$C$9" display="Transfers!$C$9"/>
    <hyperlink ref="B79" location="Transfers!$D$9" display="Transfers!$D$9"/>
    <hyperlink ref="B80" location="Transfers!$E$9" display="Transfers!$E$9"/>
    <hyperlink ref="B82" location="Transfers!$G$9" display="Transfers!$G$9"/>
    <hyperlink ref="B83" location="Transfers!$H$9" display="Transfers!$H$9"/>
    <hyperlink ref="B84" location="Transfers!$I$9" display="Transfers!$I$9"/>
    <hyperlink ref="B85" location="Transfers!$J$9" display="Transfers!$J$9"/>
    <hyperlink ref="B86" location="Transfers!$K$9" display="Transfers!$K$9"/>
    <hyperlink ref="B87" location="Transfers!$L$9" display="Transfers!$L$9"/>
    <hyperlink ref="B88" location="Transfers!$M$9" display="Transfers!$M$9"/>
    <hyperlink ref="B89" location="Transfers!$N$9" display="Transfers!$N$9"/>
    <hyperlink ref="B90" location="Transfers!$O$9" display="Transfers!$O$9"/>
    <hyperlink ref="B91" location="Transfers!$B$10" display="Transfers!$B$10"/>
    <hyperlink ref="B92" location="Transfers!$C$10" display="Transfers!$C$10"/>
    <hyperlink ref="B93" location="Transfers!$D$10" display="Transfers!$D$10"/>
    <hyperlink ref="B94" location="Transfers!$E$10" display="Transfers!$E$10"/>
    <hyperlink ref="B95" location="Transfers!$F$10" display="Transfers!$F$10"/>
    <hyperlink ref="B97" location="Transfers!$H$10" display="Transfers!$H$10"/>
    <hyperlink ref="B98" location="Transfers!$I$10" display="Transfers!$I$10"/>
    <hyperlink ref="B99" location="Transfers!$J$10" display="Transfers!$J$10"/>
    <hyperlink ref="B100" location="Transfers!$K$10" display="Transfers!$K$10"/>
    <hyperlink ref="B101" location="Transfers!$L$10" display="Transfers!$L$10"/>
    <hyperlink ref="B102" location="Transfers!$M$10" display="Transfers!$M$10"/>
    <hyperlink ref="B103" location="Transfers!$N$10" display="Transfers!$N$10"/>
    <hyperlink ref="B104" location="Transfers!$O$10" display="Transfers!$O$10"/>
    <hyperlink ref="B105" location="Transfers!$B$11" display="Transfers!$B$11"/>
    <hyperlink ref="B106" location="Transfers!$C$11" display="Transfers!$C$11"/>
    <hyperlink ref="B107" location="Transfers!$D$11" display="Transfers!$D$11"/>
    <hyperlink ref="B108" location="Transfers!$E$11" display="Transfers!$E$11"/>
    <hyperlink ref="B109" location="Transfers!$F$11" display="Transfers!$F$11"/>
    <hyperlink ref="B110" location="Transfers!$G$11" display="Transfers!$G$11"/>
    <hyperlink ref="B112" location="Transfers!$I$11" display="Transfers!$I$11"/>
    <hyperlink ref="B113" location="Transfers!$J$11" display="Transfers!$J$11"/>
    <hyperlink ref="B114" location="Transfers!$K$11" display="Transfers!$K$11"/>
    <hyperlink ref="B115" location="Transfers!$L$11" display="Transfers!$L$11"/>
    <hyperlink ref="B116" location="Transfers!$M$11" display="Transfers!$M$11"/>
    <hyperlink ref="B117" location="Transfers!$N$11" display="Transfers!$N$11"/>
    <hyperlink ref="B118" location="Transfers!$O$11" display="Transfers!$O$11"/>
    <hyperlink ref="B119" location="Transfers!$B$12" display="Transfers!$B$12"/>
    <hyperlink ref="B120" location="Transfers!$C$12" display="Transfers!$C$12"/>
    <hyperlink ref="B121" location="Transfers!$D$12" display="Transfers!$D$12"/>
    <hyperlink ref="B122" location="Transfers!$E$12" display="Transfers!$E$12"/>
    <hyperlink ref="B123" location="Transfers!$F$12" display="Transfers!$F$12"/>
    <hyperlink ref="B124" location="Transfers!$G$12" display="Transfers!$G$12"/>
    <hyperlink ref="B125" location="Transfers!$H$12" display="Transfers!$H$12"/>
    <hyperlink ref="B127" location="Transfers!$J$12" display="Transfers!$J$12"/>
    <hyperlink ref="B128" location="Transfers!$K$12" display="Transfers!$K$12"/>
    <hyperlink ref="B129" location="Transfers!$L$12" display="Transfers!$L$12"/>
    <hyperlink ref="B130" location="Transfers!$M$12" display="Transfers!$M$12"/>
    <hyperlink ref="B131" location="Transfers!$N$12" display="Transfers!$N$12"/>
    <hyperlink ref="B132" location="Transfers!$O$12" display="Transfers!$O$12"/>
    <hyperlink ref="B133" location="Transfers!$B$13" display="Transfers!$B$13"/>
    <hyperlink ref="B134" location="Transfers!$C$13" display="Transfers!$C$13"/>
    <hyperlink ref="B135" location="Transfers!$D$13" display="Transfers!$D$13"/>
    <hyperlink ref="B136" location="Transfers!$E$13" display="Transfers!$E$13"/>
    <hyperlink ref="B137" location="Transfers!$F$13" display="Transfers!$F$13"/>
    <hyperlink ref="B138" location="Transfers!$G$13" display="Transfers!$G$13"/>
    <hyperlink ref="B139" location="Transfers!$H$13" display="Transfers!$H$13"/>
    <hyperlink ref="B140" location="Transfers!$I$13" display="Transfers!$I$13"/>
    <hyperlink ref="B142" location="Transfers!$K$13" display="Transfers!$K$13"/>
    <hyperlink ref="B143" location="Transfers!$L$13" display="Transfers!$L$13"/>
    <hyperlink ref="B144" location="Transfers!$M$13" display="Transfers!$M$13"/>
    <hyperlink ref="B145" location="Transfers!$N$13" display="Transfers!$N$13"/>
    <hyperlink ref="B146" location="Transfers!$O$13" display="Transfers!$O$13"/>
    <hyperlink ref="B147" location="Transfers!$B$14" display="Transfers!$B$14"/>
    <hyperlink ref="B148" location="Transfers!$C$14" display="Transfers!$C$14"/>
    <hyperlink ref="B149" location="Transfers!$D$14" display="Transfers!$D$14"/>
    <hyperlink ref="B150" location="Transfers!$E$14" display="Transfers!$E$14"/>
    <hyperlink ref="B151" location="Transfers!$F$14" display="Transfers!$F$14"/>
    <hyperlink ref="B152" location="Transfers!$G$14" display="Transfers!$G$14"/>
    <hyperlink ref="B153" location="Transfers!$H$14" display="Transfers!$H$14"/>
    <hyperlink ref="B154" location="Transfers!$I$14" display="Transfers!$I$14"/>
    <hyperlink ref="B155" location="Transfers!$J$14" display="Transfers!$J$14"/>
    <hyperlink ref="B157" location="Transfers!$L$14" display="Transfers!$L$14"/>
    <hyperlink ref="B158" location="Transfers!$M$14" display="Transfers!$M$14"/>
    <hyperlink ref="B159" location="Transfers!$N$14" display="Transfers!$N$14"/>
    <hyperlink ref="B160" location="Transfers!$O$14" display="Transfers!$O$14"/>
    <hyperlink ref="B161" location="Transfers!$B$15" display="Transfers!$B$15"/>
    <hyperlink ref="B162" location="Transfers!$C$15" display="Transfers!$C$15"/>
    <hyperlink ref="B163" location="Transfers!$D$15" display="Transfers!$D$15"/>
    <hyperlink ref="B164" location="Transfers!$E$15" display="Transfers!$E$15"/>
    <hyperlink ref="B165" location="Transfers!$F$15" display="Transfers!$F$15"/>
    <hyperlink ref="B166" location="Transfers!$G$15" display="Transfers!$G$15"/>
    <hyperlink ref="B167" location="Transfers!$H$15" display="Transfers!$H$15"/>
    <hyperlink ref="B168" location="Transfers!$I$15" display="Transfers!$I$15"/>
    <hyperlink ref="B169" location="Transfers!$J$15" display="Transfers!$J$15"/>
    <hyperlink ref="B170" location="Transfers!$K$15" display="Transfers!$K$15"/>
    <hyperlink ref="B172" location="Transfers!$M$15" display="Transfers!$M$15"/>
    <hyperlink ref="B173" location="Transfers!$N$15" display="Transfers!$N$15"/>
    <hyperlink ref="B174" location="Transfers!$O$15" display="Transfers!$O$15"/>
    <hyperlink ref="B175" location="Transfers!$B$16" display="Transfers!$B$16"/>
    <hyperlink ref="B176" location="Transfers!$C$16" display="Transfers!$C$16"/>
    <hyperlink ref="B177" location="Transfers!$D$16" display="Transfers!$D$16"/>
    <hyperlink ref="B178" location="Transfers!$E$16" display="Transfers!$E$16"/>
    <hyperlink ref="B179" location="Transfers!$F$16" display="Transfers!$F$16"/>
    <hyperlink ref="B180" location="Transfers!$G$16" display="Transfers!$G$16"/>
    <hyperlink ref="B181" location="Transfers!$H$16" display="Transfers!$H$16"/>
    <hyperlink ref="B182" location="Transfers!$I$16" display="Transfers!$I$16"/>
    <hyperlink ref="B183" location="Transfers!$J$16" display="Transfers!$J$16"/>
    <hyperlink ref="B184" location="Transfers!$K$16" display="Transfers!$K$16"/>
    <hyperlink ref="B185" location="Transfers!$L$16" display="Transfers!$L$16"/>
    <hyperlink ref="B187" location="Transfers!$N$16" display="Transfers!$N$16"/>
    <hyperlink ref="B188" location="Transfers!$O$16" display="Transfers!$O$16"/>
    <hyperlink ref="B189" location="Transfers!$B$17" display="Transfers!$B$17"/>
    <hyperlink ref="B190" location="Transfers!$C$17" display="Transfers!$C$17"/>
    <hyperlink ref="B191" location="Transfers!$D$17" display="Transfers!$D$17"/>
    <hyperlink ref="B192" location="Transfers!$E$17" display="Transfers!$E$17"/>
    <hyperlink ref="B193" location="Transfers!$F$17" display="Transfers!$F$17"/>
    <hyperlink ref="B194" location="Transfers!$G$17" display="Transfers!$G$17"/>
    <hyperlink ref="B195" location="Transfers!$H$17" display="Transfers!$H$17"/>
    <hyperlink ref="B196" location="Transfers!$I$17" display="Transfers!$I$17"/>
    <hyperlink ref="B197" location="Transfers!$J$17" display="Transfers!$J$17"/>
    <hyperlink ref="B198" location="Transfers!$K$17" display="Transfers!$K$17"/>
    <hyperlink ref="B199" location="Transfers!$L$17" display="Transfers!$L$17"/>
    <hyperlink ref="B200" location="Transfers!$M$17" display="Transfers!$M$17"/>
    <hyperlink ref="B202" location="Transfers!$O$17" display="Transfers!$O$17"/>
    <hyperlink ref="B203" location="Transfers!$B$18" display="Transfers!$B$18"/>
    <hyperlink ref="B204" location="Transfers!$C$18" display="Transfers!$C$18"/>
    <hyperlink ref="B205" location="Transfers!$D$18" display="Transfers!$D$18"/>
    <hyperlink ref="B206" location="Transfers!$E$18" display="Transfers!$E$18"/>
    <hyperlink ref="B207" location="Transfers!$F$18" display="Transfers!$F$18"/>
    <hyperlink ref="B208" location="Transfers!$G$18" display="Transfers!$G$18"/>
    <hyperlink ref="B209" location="Transfers!$H$18" display="Transfers!$H$18"/>
    <hyperlink ref="B210" location="Transfers!$I$18" display="Transfers!$I$18"/>
    <hyperlink ref="B211" location="Transfers!$J$18" display="Transfers!$J$18"/>
    <hyperlink ref="B212" location="Transfers!$K$18" display="Transfers!$K$18"/>
    <hyperlink ref="B213" location="Transfers!$L$18" display="Transfers!$L$18"/>
    <hyperlink ref="B214" location="Transfers!$M$18" display="Transfers!$M$18"/>
    <hyperlink ref="B215" location="Transfers!$N$18" display="Transfers!$N$18"/>
    <hyperlink ref="C222" location="Transfers!B239" display="N"/>
    <hyperlink ref="D222" location="Transfers!B240" display="N"/>
    <hyperlink ref="E222" location="Transfers!B241" display="N"/>
    <hyperlink ref="F222" location="Transfers!B242" display="N"/>
    <hyperlink ref="G222" location="Transfers!B243" display="N"/>
    <hyperlink ref="H222" location="Transfers!B244" display="Y"/>
    <hyperlink ref="I222" location="Transfers!B245" display="N"/>
    <hyperlink ref="J222" location="Transfers!B246" display="N"/>
    <hyperlink ref="K222" location="Transfers!B247" display="N"/>
    <hyperlink ref="L222" location="Transfers!B248" display="N"/>
    <hyperlink ref="M222" location="Transfers!B249" display="N"/>
    <hyperlink ref="N222" location="Transfers!B250" display="N"/>
    <hyperlink ref="O222" location="Transfers!B251" display="N"/>
    <hyperlink ref="B223" location="Transfers!B252" display="N"/>
    <hyperlink ref="D223" location="Transfers!B254" display="N"/>
    <hyperlink ref="E223" location="Transfers!B255" display="N"/>
    <hyperlink ref="F223" location="Transfers!B256" display="N"/>
    <hyperlink ref="G223" location="Transfers!B257" display="N"/>
    <hyperlink ref="H223" location="Transfers!B258" display="N"/>
    <hyperlink ref="I223" location="Transfers!B259" display="Y"/>
    <hyperlink ref="J223" location="Transfers!B260" display="N"/>
    <hyperlink ref="K223" location="Transfers!B261" display="N"/>
    <hyperlink ref="L223" location="Transfers!B262" display="N"/>
    <hyperlink ref="M223" location="Transfers!B263" display="N"/>
    <hyperlink ref="N223" location="Transfers!B264" display="N"/>
    <hyperlink ref="O223" location="Transfers!B265" display="N"/>
    <hyperlink ref="B224" location="Transfers!B266" display="N"/>
    <hyperlink ref="C224" location="Transfers!B267" display="N"/>
    <hyperlink ref="E224" location="Transfers!B269" display="N"/>
    <hyperlink ref="F224" location="Transfers!B270" display="N"/>
    <hyperlink ref="G224" location="Transfers!B271" display="N"/>
    <hyperlink ref="H224" location="Transfers!B272" display="N"/>
    <hyperlink ref="I224" location="Transfers!B273" display="N"/>
    <hyperlink ref="J224" location="Transfers!B274" display="N"/>
    <hyperlink ref="K224" location="Transfers!B275" display="N"/>
    <hyperlink ref="L224" location="Transfers!B276" display="N"/>
    <hyperlink ref="M224" location="Transfers!B277" display="N"/>
    <hyperlink ref="N224" location="Transfers!B278" display="N"/>
    <hyperlink ref="O224" location="Transfers!B279" display="N"/>
    <hyperlink ref="B225" location="Transfers!B280" display="N"/>
    <hyperlink ref="C225" location="Transfers!B281" display="N"/>
    <hyperlink ref="D225" location="Transfers!B282" display="N"/>
    <hyperlink ref="F225" location="Transfers!B284" display="N"/>
    <hyperlink ref="G225" location="Transfers!B285" display="N"/>
    <hyperlink ref="H225" location="Transfers!B286" display="N"/>
    <hyperlink ref="I225" location="Transfers!B287" display="N"/>
    <hyperlink ref="J225" location="Transfers!B288" display="N"/>
    <hyperlink ref="K225" location="Transfers!B289" display="N"/>
    <hyperlink ref="L225" location="Transfers!B290" display="N"/>
    <hyperlink ref="M225" location="Transfers!B291" display="N"/>
    <hyperlink ref="N225" location="Transfers!B292" display="N"/>
    <hyperlink ref="O225" location="Transfers!B293" display="N"/>
    <hyperlink ref="B226" location="Transfers!B294" display="N"/>
    <hyperlink ref="C226" location="Transfers!B295" display="N"/>
    <hyperlink ref="D226" location="Transfers!B296" display="N"/>
    <hyperlink ref="E226" location="Transfers!B297" display="N"/>
    <hyperlink ref="G226" location="Transfers!B299" display="N"/>
    <hyperlink ref="H226" location="Transfers!B300" display="N"/>
    <hyperlink ref="I226" location="Transfers!B301" display="N"/>
    <hyperlink ref="J226" location="Transfers!B302" display="N"/>
    <hyperlink ref="K226" location="Transfers!B303" display="N"/>
    <hyperlink ref="L226" location="Transfers!B304" display="N"/>
    <hyperlink ref="M226" location="Transfers!B305" display="N"/>
    <hyperlink ref="N226" location="Transfers!B306" display="N"/>
    <hyperlink ref="O226" location="Transfers!B307" display="N"/>
    <hyperlink ref="B227" location="Transfers!B308" display="N"/>
    <hyperlink ref="C227" location="Transfers!B309" display="N"/>
    <hyperlink ref="D227" location="Transfers!B310" display="N"/>
    <hyperlink ref="E227" location="Transfers!B311" display="N"/>
    <hyperlink ref="F227" location="Transfers!B312" display="N"/>
    <hyperlink ref="H227" location="Transfers!B314" display="N"/>
    <hyperlink ref="I227" location="Transfers!B315" display="N"/>
    <hyperlink ref="J227" location="Transfers!B316" display="N"/>
    <hyperlink ref="K227" location="Transfers!B317" display="N"/>
    <hyperlink ref="L227" location="Transfers!B318" display="N"/>
    <hyperlink ref="M227" location="Transfers!B319" display="N"/>
    <hyperlink ref="N227" location="Transfers!B320" display="N"/>
    <hyperlink ref="O227" location="Transfers!B321" display="N"/>
    <hyperlink ref="B228" location="Transfers!B322" display="Y"/>
    <hyperlink ref="C228" location="Transfers!B323" display="N"/>
    <hyperlink ref="D228" location="Transfers!B324" display="N"/>
    <hyperlink ref="E228" location="Transfers!B325" display="N"/>
    <hyperlink ref="F228" location="Transfers!B326" display="N"/>
    <hyperlink ref="G228" location="Transfers!B327" display="N"/>
    <hyperlink ref="I228" location="Transfers!B329" display="N"/>
    <hyperlink ref="J228" location="Transfers!B330" display="N"/>
    <hyperlink ref="K228" location="Transfers!B331" display="N"/>
    <hyperlink ref="L228" location="Transfers!B332" display="N"/>
    <hyperlink ref="M228" location="Transfers!B333" display="N"/>
    <hyperlink ref="N228" location="Transfers!B334" display="N"/>
    <hyperlink ref="O228" location="Transfers!B335" display="N"/>
    <hyperlink ref="B229" location="Transfers!B336" display="N"/>
    <hyperlink ref="C229" location="Transfers!B337" display="Y"/>
    <hyperlink ref="D229" location="Transfers!B338" display="N"/>
    <hyperlink ref="E229" location="Transfers!B339" display="N"/>
    <hyperlink ref="F229" location="Transfers!B340" display="N"/>
    <hyperlink ref="G229" location="Transfers!B341" display="N"/>
    <hyperlink ref="H229" location="Transfers!B342" display="N"/>
    <hyperlink ref="J229" location="Transfers!B344" display="N"/>
    <hyperlink ref="K229" location="Transfers!B345" display="N"/>
    <hyperlink ref="L229" location="Transfers!B346" display="N"/>
    <hyperlink ref="M229" location="Transfers!B347" display="N"/>
    <hyperlink ref="N229" location="Transfers!B348" display="N"/>
    <hyperlink ref="O229" location="Transfers!B349" display="N"/>
    <hyperlink ref="B230" location="Transfers!B350" display="N"/>
    <hyperlink ref="C230" location="Transfers!B351" display="N"/>
    <hyperlink ref="D230" location="Transfers!B352" display="N"/>
    <hyperlink ref="E230" location="Transfers!B353" display="N"/>
    <hyperlink ref="F230" location="Transfers!B354" display="N"/>
    <hyperlink ref="G230" location="Transfers!B355" display="N"/>
    <hyperlink ref="H230" location="Transfers!B356" display="N"/>
    <hyperlink ref="I230" location="Transfers!B357" display="N"/>
    <hyperlink ref="K230" location="Transfers!B359" display="N"/>
    <hyperlink ref="L230" location="Transfers!B360" display="N"/>
    <hyperlink ref="M230" location="Transfers!B361" display="N"/>
    <hyperlink ref="N230" location="Transfers!B362" display="N"/>
    <hyperlink ref="O230" location="Transfers!B363" display="N"/>
    <hyperlink ref="B231" location="Transfers!B364" display="N"/>
    <hyperlink ref="C231" location="Transfers!B365" display="N"/>
    <hyperlink ref="D231" location="Transfers!B366" display="N"/>
    <hyperlink ref="E231" location="Transfers!B367" display="N"/>
    <hyperlink ref="F231" location="Transfers!B368" display="N"/>
    <hyperlink ref="G231" location="Transfers!B369" display="N"/>
    <hyperlink ref="H231" location="Transfers!B370" display="N"/>
    <hyperlink ref="I231" location="Transfers!B371" display="N"/>
    <hyperlink ref="J231" location="Transfers!B372" display="N"/>
    <hyperlink ref="L231" location="Transfers!B374" display="N"/>
    <hyperlink ref="M231" location="Transfers!B375" display="N"/>
    <hyperlink ref="N231" location="Transfers!B376" display="N"/>
    <hyperlink ref="O231" location="Transfers!B377" display="N"/>
    <hyperlink ref="B232" location="Transfers!B378" display="N"/>
    <hyperlink ref="C232" location="Transfers!B379" display="N"/>
    <hyperlink ref="D232" location="Transfers!B380" display="N"/>
    <hyperlink ref="E232" location="Transfers!B381" display="N"/>
    <hyperlink ref="F232" location="Transfers!B382" display="N"/>
    <hyperlink ref="G232" location="Transfers!B383" display="N"/>
    <hyperlink ref="H232" location="Transfers!B384" display="N"/>
    <hyperlink ref="I232" location="Transfers!B385" display="N"/>
    <hyperlink ref="J232" location="Transfers!B386" display="N"/>
    <hyperlink ref="K232" location="Transfers!B387" display="N"/>
    <hyperlink ref="M232" location="Transfers!B389" display="N"/>
    <hyperlink ref="N232" location="Transfers!B390" display="N"/>
    <hyperlink ref="O232" location="Transfers!B391" display="N"/>
    <hyperlink ref="B233" location="Transfers!B392" display="N"/>
    <hyperlink ref="C233" location="Transfers!B393" display="N"/>
    <hyperlink ref="D233" location="Transfers!B394" display="N"/>
    <hyperlink ref="E233" location="Transfers!B395" display="N"/>
    <hyperlink ref="F233" location="Transfers!B396" display="N"/>
    <hyperlink ref="G233" location="Transfers!B397" display="N"/>
    <hyperlink ref="H233" location="Transfers!B398" display="N"/>
    <hyperlink ref="I233" location="Transfers!B399" display="N"/>
    <hyperlink ref="J233" location="Transfers!B400" display="N"/>
    <hyperlink ref="K233" location="Transfers!B401" display="N"/>
    <hyperlink ref="L233" location="Transfers!B402" display="N"/>
    <hyperlink ref="N233" location="Transfers!B404" display="N"/>
    <hyperlink ref="O233" location="Transfers!B405" display="N"/>
    <hyperlink ref="B234" location="Transfers!B406" display="N"/>
    <hyperlink ref="C234" location="Transfers!B407" display="N"/>
    <hyperlink ref="D234" location="Transfers!B408" display="N"/>
    <hyperlink ref="E234" location="Transfers!B409" display="N"/>
    <hyperlink ref="F234" location="Transfers!B410" display="N"/>
    <hyperlink ref="G234" location="Transfers!B411" display="N"/>
    <hyperlink ref="H234" location="Transfers!B412" display="N"/>
    <hyperlink ref="I234" location="Transfers!B413" display="N"/>
    <hyperlink ref="J234" location="Transfers!B414" display="N"/>
    <hyperlink ref="K234" location="Transfers!B415" display="N"/>
    <hyperlink ref="L234" location="Transfers!B416" display="N"/>
    <hyperlink ref="M234" location="Transfers!B417" display="N"/>
    <hyperlink ref="O234" location="Transfers!B419" display="N"/>
    <hyperlink ref="B235" location="Transfers!B420" display="N"/>
    <hyperlink ref="C235" location="Transfers!B421" display="N"/>
    <hyperlink ref="D235" location="Transfers!B422" display="N"/>
    <hyperlink ref="E235" location="Transfers!B423" display="N"/>
    <hyperlink ref="F235" location="Transfers!B424" display="N"/>
    <hyperlink ref="G235" location="Transfers!B425" display="N"/>
    <hyperlink ref="H235" location="Transfers!B426" display="N"/>
    <hyperlink ref="I235" location="Transfers!B427" display="N"/>
    <hyperlink ref="J235" location="Transfers!B428" display="N"/>
    <hyperlink ref="K235" location="Transfers!B429" display="N"/>
    <hyperlink ref="L235" location="Transfers!B430" display="N"/>
    <hyperlink ref="M235" location="Transfers!B431" display="N"/>
    <hyperlink ref="N235" location="Transfers!B432" display="N"/>
    <hyperlink ref="B239" location="Transfers!$C$222" display="Transfers!$C$222"/>
    <hyperlink ref="B240" location="Transfers!$D$222" display="Transfers!$D$222"/>
    <hyperlink ref="B241" location="Transfers!$E$222" display="Transfers!$E$222"/>
    <hyperlink ref="B242" location="Transfers!$F$222" display="Transfers!$F$222"/>
    <hyperlink ref="B243" location="Transfers!$G$222" display="Transfers!$G$222"/>
    <hyperlink ref="B244" location="Transfers!$H$222" display="Transfers!$H$222"/>
    <hyperlink ref="B245" location="Transfers!$I$222" display="Transfers!$I$222"/>
    <hyperlink ref="B246" location="Transfers!$J$222" display="Transfers!$J$222"/>
    <hyperlink ref="B247" location="Transfers!$K$222" display="Transfers!$K$222"/>
    <hyperlink ref="B248" location="Transfers!$L$222" display="Transfers!$L$222"/>
    <hyperlink ref="B249" location="Transfers!$M$222" display="Transfers!$M$222"/>
    <hyperlink ref="B250" location="Transfers!$N$222" display="Transfers!$N$222"/>
    <hyperlink ref="B251" location="Transfers!$O$222" display="Transfers!$O$222"/>
    <hyperlink ref="B252" location="Transfers!$B$223" display="Transfers!$B$223"/>
    <hyperlink ref="B254" location="Transfers!$D$223" display="Transfers!$D$223"/>
    <hyperlink ref="B255" location="Transfers!$E$223" display="Transfers!$E$223"/>
    <hyperlink ref="B256" location="Transfers!$F$223" display="Transfers!$F$223"/>
    <hyperlink ref="B257" location="Transfers!$G$223" display="Transfers!$G$223"/>
    <hyperlink ref="B258" location="Transfers!$H$223" display="Transfers!$H$223"/>
    <hyperlink ref="B259" location="Transfers!$I$223" display="Transfers!$I$223"/>
    <hyperlink ref="B260" location="Transfers!$J$223" display="Transfers!$J$223"/>
    <hyperlink ref="B261" location="Transfers!$K$223" display="Transfers!$K$223"/>
    <hyperlink ref="B262" location="Transfers!$L$223" display="Transfers!$L$223"/>
    <hyperlink ref="B263" location="Transfers!$M$223" display="Transfers!$M$223"/>
    <hyperlink ref="B264" location="Transfers!$N$223" display="Transfers!$N$223"/>
    <hyperlink ref="B265" location="Transfers!$O$223" display="Transfers!$O$223"/>
    <hyperlink ref="B266" location="Transfers!$B$224" display="Transfers!$B$224"/>
    <hyperlink ref="B267" location="Transfers!$C$224" display="Transfers!$C$224"/>
    <hyperlink ref="B269" location="Transfers!$E$224" display="Transfers!$E$224"/>
    <hyperlink ref="B270" location="Transfers!$F$224" display="Transfers!$F$224"/>
    <hyperlink ref="B271" location="Transfers!$G$224" display="Transfers!$G$224"/>
    <hyperlink ref="B272" location="Transfers!$H$224" display="Transfers!$H$224"/>
    <hyperlink ref="B273" location="Transfers!$I$224" display="Transfers!$I$224"/>
    <hyperlink ref="B274" location="Transfers!$J$224" display="Transfers!$J$224"/>
    <hyperlink ref="B275" location="Transfers!$K$224" display="Transfers!$K$224"/>
    <hyperlink ref="B276" location="Transfers!$L$224" display="Transfers!$L$224"/>
    <hyperlink ref="B277" location="Transfers!$M$224" display="Transfers!$M$224"/>
    <hyperlink ref="B278" location="Transfers!$N$224" display="Transfers!$N$224"/>
    <hyperlink ref="B279" location="Transfers!$O$224" display="Transfers!$O$224"/>
    <hyperlink ref="B280" location="Transfers!$B$225" display="Transfers!$B$225"/>
    <hyperlink ref="B281" location="Transfers!$C$225" display="Transfers!$C$225"/>
    <hyperlink ref="B282" location="Transfers!$D$225" display="Transfers!$D$225"/>
    <hyperlink ref="B284" location="Transfers!$F$225" display="Transfers!$F$225"/>
    <hyperlink ref="B285" location="Transfers!$G$225" display="Transfers!$G$225"/>
    <hyperlink ref="B286" location="Transfers!$H$225" display="Transfers!$H$225"/>
    <hyperlink ref="B287" location="Transfers!$I$225" display="Transfers!$I$225"/>
    <hyperlink ref="B288" location="Transfers!$J$225" display="Transfers!$J$225"/>
    <hyperlink ref="B289" location="Transfers!$K$225" display="Transfers!$K$225"/>
    <hyperlink ref="B290" location="Transfers!$L$225" display="Transfers!$L$225"/>
    <hyperlink ref="B291" location="Transfers!$M$225" display="Transfers!$M$225"/>
    <hyperlink ref="B292" location="Transfers!$N$225" display="Transfers!$N$225"/>
    <hyperlink ref="B293" location="Transfers!$O$225" display="Transfers!$O$225"/>
    <hyperlink ref="B294" location="Transfers!$B$226" display="Transfers!$B$226"/>
    <hyperlink ref="B295" location="Transfers!$C$226" display="Transfers!$C$226"/>
    <hyperlink ref="B296" location="Transfers!$D$226" display="Transfers!$D$226"/>
    <hyperlink ref="B297" location="Transfers!$E$226" display="Transfers!$E$226"/>
    <hyperlink ref="B299" location="Transfers!$G$226" display="Transfers!$G$226"/>
    <hyperlink ref="B300" location="Transfers!$H$226" display="Transfers!$H$226"/>
    <hyperlink ref="B301" location="Transfers!$I$226" display="Transfers!$I$226"/>
    <hyperlink ref="B302" location="Transfers!$J$226" display="Transfers!$J$226"/>
    <hyperlink ref="B303" location="Transfers!$K$226" display="Transfers!$K$226"/>
    <hyperlink ref="B304" location="Transfers!$L$226" display="Transfers!$L$226"/>
    <hyperlink ref="B305" location="Transfers!$M$226" display="Transfers!$M$226"/>
    <hyperlink ref="B306" location="Transfers!$N$226" display="Transfers!$N$226"/>
    <hyperlink ref="B307" location="Transfers!$O$226" display="Transfers!$O$226"/>
    <hyperlink ref="B308" location="Transfers!$B$227" display="Transfers!$B$227"/>
    <hyperlink ref="B309" location="Transfers!$C$227" display="Transfers!$C$227"/>
    <hyperlink ref="B310" location="Transfers!$D$227" display="Transfers!$D$227"/>
    <hyperlink ref="B311" location="Transfers!$E$227" display="Transfers!$E$227"/>
    <hyperlink ref="B312" location="Transfers!$F$227" display="Transfers!$F$227"/>
    <hyperlink ref="B314" location="Transfers!$H$227" display="Transfers!$H$227"/>
    <hyperlink ref="B315" location="Transfers!$I$227" display="Transfers!$I$227"/>
    <hyperlink ref="B316" location="Transfers!$J$227" display="Transfers!$J$227"/>
    <hyperlink ref="B317" location="Transfers!$K$227" display="Transfers!$K$227"/>
    <hyperlink ref="B318" location="Transfers!$L$227" display="Transfers!$L$227"/>
    <hyperlink ref="B319" location="Transfers!$M$227" display="Transfers!$M$227"/>
    <hyperlink ref="B320" location="Transfers!$N$227" display="Transfers!$N$227"/>
    <hyperlink ref="B321" location="Transfers!$O$227" display="Transfers!$O$227"/>
    <hyperlink ref="B322" location="Transfers!$B$228" display="Transfers!$B$228"/>
    <hyperlink ref="B323" location="Transfers!$C$228" display="Transfers!$C$228"/>
    <hyperlink ref="B324" location="Transfers!$D$228" display="Transfers!$D$228"/>
    <hyperlink ref="B325" location="Transfers!$E$228" display="Transfers!$E$228"/>
    <hyperlink ref="B326" location="Transfers!$F$228" display="Transfers!$F$228"/>
    <hyperlink ref="B327" location="Transfers!$G$228" display="Transfers!$G$228"/>
    <hyperlink ref="B329" location="Transfers!$I$228" display="Transfers!$I$228"/>
    <hyperlink ref="B330" location="Transfers!$J$228" display="Transfers!$J$228"/>
    <hyperlink ref="B331" location="Transfers!$K$228" display="Transfers!$K$228"/>
    <hyperlink ref="B332" location="Transfers!$L$228" display="Transfers!$L$228"/>
    <hyperlink ref="B333" location="Transfers!$M$228" display="Transfers!$M$228"/>
    <hyperlink ref="B334" location="Transfers!$N$228" display="Transfers!$N$228"/>
    <hyperlink ref="B335" location="Transfers!$O$228" display="Transfers!$O$228"/>
    <hyperlink ref="B336" location="Transfers!$B$229" display="Transfers!$B$229"/>
    <hyperlink ref="B337" location="Transfers!$C$229" display="Transfers!$C$229"/>
    <hyperlink ref="B338" location="Transfers!$D$229" display="Transfers!$D$229"/>
    <hyperlink ref="B339" location="Transfers!$E$229" display="Transfers!$E$229"/>
    <hyperlink ref="B340" location="Transfers!$F$229" display="Transfers!$F$229"/>
    <hyperlink ref="B341" location="Transfers!$G$229" display="Transfers!$G$229"/>
    <hyperlink ref="B342" location="Transfers!$H$229" display="Transfers!$H$229"/>
    <hyperlink ref="B344" location="Transfers!$J$229" display="Transfers!$J$229"/>
    <hyperlink ref="B345" location="Transfers!$K$229" display="Transfers!$K$229"/>
    <hyperlink ref="B346" location="Transfers!$L$229" display="Transfers!$L$229"/>
    <hyperlink ref="B347" location="Transfers!$M$229" display="Transfers!$M$229"/>
    <hyperlink ref="B348" location="Transfers!$N$229" display="Transfers!$N$229"/>
    <hyperlink ref="B349" location="Transfers!$O$229" display="Transfers!$O$229"/>
    <hyperlink ref="B350" location="Transfers!$B$230" display="Transfers!$B$230"/>
    <hyperlink ref="B351" location="Transfers!$C$230" display="Transfers!$C$230"/>
    <hyperlink ref="B352" location="Transfers!$D$230" display="Transfers!$D$230"/>
    <hyperlink ref="B353" location="Transfers!$E$230" display="Transfers!$E$230"/>
    <hyperlink ref="B354" location="Transfers!$F$230" display="Transfers!$F$230"/>
    <hyperlink ref="B355" location="Transfers!$G$230" display="Transfers!$G$230"/>
    <hyperlink ref="B356" location="Transfers!$H$230" display="Transfers!$H$230"/>
    <hyperlink ref="B357" location="Transfers!$I$230" display="Transfers!$I$230"/>
    <hyperlink ref="B359" location="Transfers!$K$230" display="Transfers!$K$230"/>
    <hyperlink ref="B360" location="Transfers!$L$230" display="Transfers!$L$230"/>
    <hyperlink ref="B361" location="Transfers!$M$230" display="Transfers!$M$230"/>
    <hyperlink ref="B362" location="Transfers!$N$230" display="Transfers!$N$230"/>
    <hyperlink ref="B363" location="Transfers!$O$230" display="Transfers!$O$230"/>
    <hyperlink ref="B364" location="Transfers!$B$231" display="Transfers!$B$231"/>
    <hyperlink ref="B365" location="Transfers!$C$231" display="Transfers!$C$231"/>
    <hyperlink ref="B366" location="Transfers!$D$231" display="Transfers!$D$231"/>
    <hyperlink ref="B367" location="Transfers!$E$231" display="Transfers!$E$231"/>
    <hyperlink ref="B368" location="Transfers!$F$231" display="Transfers!$F$231"/>
    <hyperlink ref="B369" location="Transfers!$G$231" display="Transfers!$G$231"/>
    <hyperlink ref="B370" location="Transfers!$H$231" display="Transfers!$H$231"/>
    <hyperlink ref="B371" location="Transfers!$I$231" display="Transfers!$I$231"/>
    <hyperlink ref="B372" location="Transfers!$J$231" display="Transfers!$J$231"/>
    <hyperlink ref="B374" location="Transfers!$L$231" display="Transfers!$L$231"/>
    <hyperlink ref="B375" location="Transfers!$M$231" display="Transfers!$M$231"/>
    <hyperlink ref="B376" location="Transfers!$N$231" display="Transfers!$N$231"/>
    <hyperlink ref="B377" location="Transfers!$O$231" display="Transfers!$O$231"/>
    <hyperlink ref="B378" location="Transfers!$B$232" display="Transfers!$B$232"/>
    <hyperlink ref="B379" location="Transfers!$C$232" display="Transfers!$C$232"/>
    <hyperlink ref="B380" location="Transfers!$D$232" display="Transfers!$D$232"/>
    <hyperlink ref="B381" location="Transfers!$E$232" display="Transfers!$E$232"/>
    <hyperlink ref="B382" location="Transfers!$F$232" display="Transfers!$F$232"/>
    <hyperlink ref="B383" location="Transfers!$G$232" display="Transfers!$G$232"/>
    <hyperlink ref="B384" location="Transfers!$H$232" display="Transfers!$H$232"/>
    <hyperlink ref="B385" location="Transfers!$I$232" display="Transfers!$I$232"/>
    <hyperlink ref="B386" location="Transfers!$J$232" display="Transfers!$J$232"/>
    <hyperlink ref="B387" location="Transfers!$K$232" display="Transfers!$K$232"/>
    <hyperlink ref="B389" location="Transfers!$M$232" display="Transfers!$M$232"/>
    <hyperlink ref="B390" location="Transfers!$N$232" display="Transfers!$N$232"/>
    <hyperlink ref="B391" location="Transfers!$O$232" display="Transfers!$O$232"/>
    <hyperlink ref="B392" location="Transfers!$B$233" display="Transfers!$B$233"/>
    <hyperlink ref="B393" location="Transfers!$C$233" display="Transfers!$C$233"/>
    <hyperlink ref="B394" location="Transfers!$D$233" display="Transfers!$D$233"/>
    <hyperlink ref="B395" location="Transfers!$E$233" display="Transfers!$E$233"/>
    <hyperlink ref="B396" location="Transfers!$F$233" display="Transfers!$F$233"/>
    <hyperlink ref="B397" location="Transfers!$G$233" display="Transfers!$G$233"/>
    <hyperlink ref="B398" location="Transfers!$H$233" display="Transfers!$H$233"/>
    <hyperlink ref="B399" location="Transfers!$I$233" display="Transfers!$I$233"/>
    <hyperlink ref="B400" location="Transfers!$J$233" display="Transfers!$J$233"/>
    <hyperlink ref="B401" location="Transfers!$K$233" display="Transfers!$K$233"/>
    <hyperlink ref="B402" location="Transfers!$L$233" display="Transfers!$L$233"/>
    <hyperlink ref="B404" location="Transfers!$N$233" display="Transfers!$N$233"/>
    <hyperlink ref="B405" location="Transfers!$O$233" display="Transfers!$O$233"/>
    <hyperlink ref="B406" location="Transfers!$B$234" display="Transfers!$B$234"/>
    <hyperlink ref="B407" location="Transfers!$C$234" display="Transfers!$C$234"/>
    <hyperlink ref="B408" location="Transfers!$D$234" display="Transfers!$D$234"/>
    <hyperlink ref="B409" location="Transfers!$E$234" display="Transfers!$E$234"/>
    <hyperlink ref="B410" location="Transfers!$F$234" display="Transfers!$F$234"/>
    <hyperlink ref="B411" location="Transfers!$G$234" display="Transfers!$G$234"/>
    <hyperlink ref="B412" location="Transfers!$H$234" display="Transfers!$H$234"/>
    <hyperlink ref="B413" location="Transfers!$I$234" display="Transfers!$I$234"/>
    <hyperlink ref="B414" location="Transfers!$J$234" display="Transfers!$J$234"/>
    <hyperlink ref="B415" location="Transfers!$K$234" display="Transfers!$K$234"/>
    <hyperlink ref="B416" location="Transfers!$L$234" display="Transfers!$L$234"/>
    <hyperlink ref="B417" location="Transfers!$M$234" display="Transfers!$M$234"/>
    <hyperlink ref="B419" location="Transfers!$O$234" display="Transfers!$O$234"/>
    <hyperlink ref="B420" location="Transfers!$B$235" display="Transfers!$B$235"/>
    <hyperlink ref="B421" location="Transfers!$C$235" display="Transfers!$C$235"/>
    <hyperlink ref="B422" location="Transfers!$D$235" display="Transfers!$D$235"/>
    <hyperlink ref="B423" location="Transfers!$E$235" display="Transfers!$E$235"/>
    <hyperlink ref="B424" location="Transfers!$F$235" display="Transfers!$F$235"/>
    <hyperlink ref="B425" location="Transfers!$G$235" display="Transfers!$G$235"/>
    <hyperlink ref="B426" location="Transfers!$H$235" display="Transfers!$H$235"/>
    <hyperlink ref="B427" location="Transfers!$I$235" display="Transfers!$I$235"/>
    <hyperlink ref="B428" location="Transfers!$J$235" display="Transfers!$J$235"/>
    <hyperlink ref="B429" location="Transfers!$K$235" display="Transfers!$K$235"/>
    <hyperlink ref="B430" location="Transfers!$L$235" display="Transfers!$L$235"/>
    <hyperlink ref="B431" location="Transfers!$M$235" display="Transfers!$M$235"/>
    <hyperlink ref="B432" location="Transfers!$N$235" display="Transfers!$N$235"/>
    <hyperlink ref="C439" location="Transfers!B456" display="N"/>
    <hyperlink ref="D439" location="Transfers!B457" display="N"/>
    <hyperlink ref="E439" location="Transfers!B458" display="N"/>
    <hyperlink ref="F439" location="Transfers!B459" display="N"/>
    <hyperlink ref="G439" location="Transfers!B460" display="N"/>
    <hyperlink ref="H439" location="Transfers!B461" display="N"/>
    <hyperlink ref="I439" location="Transfers!B462" display="N"/>
    <hyperlink ref="J439" location="Transfers!B463" display="N"/>
    <hyperlink ref="K439" location="Transfers!B464" display="N"/>
    <hyperlink ref="L439" location="Transfers!B465" display="N"/>
    <hyperlink ref="M439" location="Transfers!B466" display="N"/>
    <hyperlink ref="N439" location="Transfers!B467" display="Y"/>
    <hyperlink ref="O439" location="Transfers!B468" display="N"/>
    <hyperlink ref="B440" location="Transfers!B469" display="N"/>
    <hyperlink ref="D440" location="Transfers!B471" display="N"/>
    <hyperlink ref="E440" location="Transfers!B472" display="N"/>
    <hyperlink ref="F440" location="Transfers!B473" display="N"/>
    <hyperlink ref="G440" location="Transfers!B474" display="N"/>
    <hyperlink ref="H440" location="Transfers!B475" display="N"/>
    <hyperlink ref="I440" location="Transfers!B476" display="N"/>
    <hyperlink ref="J440" location="Transfers!B477" display="N"/>
    <hyperlink ref="K440" location="Transfers!B478" display="N"/>
    <hyperlink ref="L440" location="Transfers!B479" display="N"/>
    <hyperlink ref="M440" location="Transfers!B480" display="N"/>
    <hyperlink ref="N440" location="Transfers!B481" display="N"/>
    <hyperlink ref="O440" location="Transfers!B482" display="Y"/>
    <hyperlink ref="B441" location="Transfers!B483" display="N"/>
    <hyperlink ref="C441" location="Transfers!B484" display="N"/>
    <hyperlink ref="E441" location="Transfers!B486" display="N"/>
    <hyperlink ref="F441" location="Transfers!B487" display="N"/>
    <hyperlink ref="G441" location="Transfers!B488" display="N"/>
    <hyperlink ref="H441" location="Transfers!B489" display="N"/>
    <hyperlink ref="I441" location="Transfers!B490" display="N"/>
    <hyperlink ref="J441" location="Transfers!B491" display="N"/>
    <hyperlink ref="K441" location="Transfers!B492" display="N"/>
    <hyperlink ref="L441" location="Transfers!B493" display="N"/>
    <hyperlink ref="M441" location="Transfers!B494" display="N"/>
    <hyperlink ref="N441" location="Transfers!B495" display="N"/>
    <hyperlink ref="O441" location="Transfers!B496" display="N"/>
    <hyperlink ref="B442" location="Transfers!B497" display="N"/>
    <hyperlink ref="C442" location="Transfers!B498" display="N"/>
    <hyperlink ref="D442" location="Transfers!B499" display="N"/>
    <hyperlink ref="F442" location="Transfers!B501" display="N"/>
    <hyperlink ref="G442" location="Transfers!B502" display="N"/>
    <hyperlink ref="H442" location="Transfers!B503" display="N"/>
    <hyperlink ref="I442" location="Transfers!B504" display="N"/>
    <hyperlink ref="J442" location="Transfers!B505" display="N"/>
    <hyperlink ref="K442" location="Transfers!B506" display="N"/>
    <hyperlink ref="L442" location="Transfers!B507" display="N"/>
    <hyperlink ref="M442" location="Transfers!B508" display="N"/>
    <hyperlink ref="N442" location="Transfers!B509" display="N"/>
    <hyperlink ref="O442" location="Transfers!B510" display="N"/>
    <hyperlink ref="B443" location="Transfers!B511" display="N"/>
    <hyperlink ref="C443" location="Transfers!B512" display="N"/>
    <hyperlink ref="D443" location="Transfers!B513" display="N"/>
    <hyperlink ref="E443" location="Transfers!B514" display="N"/>
    <hyperlink ref="G443" location="Transfers!B516" display="N"/>
    <hyperlink ref="H443" location="Transfers!B517" display="N"/>
    <hyperlink ref="I443" location="Transfers!B518" display="N"/>
    <hyperlink ref="J443" location="Transfers!B519" display="N"/>
    <hyperlink ref="K443" location="Transfers!B520" display="N"/>
    <hyperlink ref="L443" location="Transfers!B521" display="N"/>
    <hyperlink ref="M443" location="Transfers!B522" display="N"/>
    <hyperlink ref="N443" location="Transfers!B523" display="N"/>
    <hyperlink ref="O443" location="Transfers!B524" display="N"/>
    <hyperlink ref="B444" location="Transfers!B525" display="N"/>
    <hyperlink ref="C444" location="Transfers!B526" display="N"/>
    <hyperlink ref="D444" location="Transfers!B527" display="N"/>
    <hyperlink ref="E444" location="Transfers!B528" display="N"/>
    <hyperlink ref="F444" location="Transfers!B529" display="N"/>
    <hyperlink ref="H444" location="Transfers!B531" display="N"/>
    <hyperlink ref="I444" location="Transfers!B532" display="N"/>
    <hyperlink ref="J444" location="Transfers!B533" display="N"/>
    <hyperlink ref="K444" location="Transfers!B534" display="N"/>
    <hyperlink ref="L444" location="Transfers!B535" display="N"/>
    <hyperlink ref="M444" location="Transfers!B536" display="N"/>
    <hyperlink ref="N444" location="Transfers!B537" display="N"/>
    <hyperlink ref="O444" location="Transfers!B538" display="N"/>
    <hyperlink ref="B445" location="Transfers!B539" display="N"/>
    <hyperlink ref="C445" location="Transfers!B540" display="N"/>
    <hyperlink ref="D445" location="Transfers!B541" display="N"/>
    <hyperlink ref="E445" location="Transfers!B542" display="N"/>
    <hyperlink ref="F445" location="Transfers!B543" display="N"/>
    <hyperlink ref="G445" location="Transfers!B544" display="N"/>
    <hyperlink ref="I445" location="Transfers!B546" display="N"/>
    <hyperlink ref="J445" location="Transfers!B547" display="N"/>
    <hyperlink ref="K445" location="Transfers!B548" display="N"/>
    <hyperlink ref="L445" location="Transfers!B549" display="Y"/>
    <hyperlink ref="M445" location="Transfers!B550" display="N"/>
    <hyperlink ref="N445" location="Transfers!B551" display="N"/>
    <hyperlink ref="O445" location="Transfers!B552" display="N"/>
    <hyperlink ref="B446" location="Transfers!B553" display="N"/>
    <hyperlink ref="C446" location="Transfers!B554" display="N"/>
    <hyperlink ref="D446" location="Transfers!B555" display="N"/>
    <hyperlink ref="E446" location="Transfers!B556" display="N"/>
    <hyperlink ref="F446" location="Transfers!B557" display="N"/>
    <hyperlink ref="G446" location="Transfers!B558" display="N"/>
    <hyperlink ref="H446" location="Transfers!B559" display="N"/>
    <hyperlink ref="J446" location="Transfers!B561" display="N"/>
    <hyperlink ref="K446" location="Transfers!B562" display="N"/>
    <hyperlink ref="L446" location="Transfers!B563" display="N"/>
    <hyperlink ref="M446" location="Transfers!B564" display="Y"/>
    <hyperlink ref="N446" location="Transfers!B565" display="N"/>
    <hyperlink ref="O446" location="Transfers!B566" display="N"/>
    <hyperlink ref="B447" location="Transfers!B567" display="N"/>
    <hyperlink ref="C447" location="Transfers!B568" display="N"/>
    <hyperlink ref="D447" location="Transfers!B569" display="N"/>
    <hyperlink ref="E447" location="Transfers!B570" display="N"/>
    <hyperlink ref="F447" location="Transfers!B571" display="N"/>
    <hyperlink ref="G447" location="Transfers!B572" display="N"/>
    <hyperlink ref="H447" location="Transfers!B573" display="N"/>
    <hyperlink ref="I447" location="Transfers!B574" display="N"/>
    <hyperlink ref="K447" location="Transfers!B576" display="N"/>
    <hyperlink ref="L447" location="Transfers!B577" display="N"/>
    <hyperlink ref="M447" location="Transfers!B578" display="N"/>
    <hyperlink ref="N447" location="Transfers!B579" display="N"/>
    <hyperlink ref="O447" location="Transfers!B580" display="N"/>
    <hyperlink ref="B448" location="Transfers!B581" display="N"/>
    <hyperlink ref="C448" location="Transfers!B582" display="N"/>
    <hyperlink ref="D448" location="Transfers!B583" display="N"/>
    <hyperlink ref="E448" location="Transfers!B584" display="N"/>
    <hyperlink ref="F448" location="Transfers!B585" display="N"/>
    <hyperlink ref="G448" location="Transfers!B586" display="N"/>
    <hyperlink ref="H448" location="Transfers!B587" display="N"/>
    <hyperlink ref="I448" location="Transfers!B588" display="N"/>
    <hyperlink ref="J448" location="Transfers!B589" display="N"/>
    <hyperlink ref="L448" location="Transfers!B591" display="N"/>
    <hyperlink ref="M448" location="Transfers!B592" display="N"/>
    <hyperlink ref="N448" location="Transfers!B593" display="N"/>
    <hyperlink ref="O448" location="Transfers!B594" display="N"/>
    <hyperlink ref="B449" location="Transfers!B595" display="N"/>
    <hyperlink ref="C449" location="Transfers!B596" display="N"/>
    <hyperlink ref="D449" location="Transfers!B597" display="N"/>
    <hyperlink ref="E449" location="Transfers!B598" display="N"/>
    <hyperlink ref="F449" location="Transfers!B599" display="N"/>
    <hyperlink ref="G449" location="Transfers!B600" display="N"/>
    <hyperlink ref="H449" location="Transfers!B601" display="Y"/>
    <hyperlink ref="I449" location="Transfers!B602" display="N"/>
    <hyperlink ref="J449" location="Transfers!B603" display="N"/>
    <hyperlink ref="K449" location="Transfers!B604" display="N"/>
    <hyperlink ref="M449" location="Transfers!B606" display="N"/>
    <hyperlink ref="N449" location="Transfers!B607" display="N"/>
    <hyperlink ref="O449" location="Transfers!B608" display="N"/>
    <hyperlink ref="B450" location="Transfers!B609" display="N"/>
    <hyperlink ref="C450" location="Transfers!B610" display="N"/>
    <hyperlink ref="D450" location="Transfers!B611" display="N"/>
    <hyperlink ref="E450" location="Transfers!B612" display="N"/>
    <hyperlink ref="F450" location="Transfers!B613" display="N"/>
    <hyperlink ref="G450" location="Transfers!B614" display="N"/>
    <hyperlink ref="H450" location="Transfers!B615" display="N"/>
    <hyperlink ref="I450" location="Transfers!B616" display="Y"/>
    <hyperlink ref="J450" location="Transfers!B617" display="N"/>
    <hyperlink ref="K450" location="Transfers!B618" display="N"/>
    <hyperlink ref="L450" location="Transfers!B619" display="N"/>
    <hyperlink ref="N450" location="Transfers!B621" display="N"/>
    <hyperlink ref="O450" location="Transfers!B622" display="N"/>
    <hyperlink ref="B451" location="Transfers!B623" display="Y"/>
    <hyperlink ref="C451" location="Transfers!B624" display="N"/>
    <hyperlink ref="D451" location="Transfers!B625" display="N"/>
    <hyperlink ref="E451" location="Transfers!B626" display="N"/>
    <hyperlink ref="F451" location="Transfers!B627" display="N"/>
    <hyperlink ref="G451" location="Transfers!B628" display="N"/>
    <hyperlink ref="H451" location="Transfers!B629" display="N"/>
    <hyperlink ref="I451" location="Transfers!B630" display="N"/>
    <hyperlink ref="J451" location="Transfers!B631" display="N"/>
    <hyperlink ref="K451" location="Transfers!B632" display="N"/>
    <hyperlink ref="L451" location="Transfers!B633" display="N"/>
    <hyperlink ref="M451" location="Transfers!B634" display="N"/>
    <hyperlink ref="O451" location="Transfers!B636" display="N"/>
    <hyperlink ref="B452" location="Transfers!B637" display="N"/>
    <hyperlink ref="C452" location="Transfers!B638" display="Y"/>
    <hyperlink ref="D452" location="Transfers!B639" display="N"/>
    <hyperlink ref="E452" location="Transfers!B640" display="N"/>
    <hyperlink ref="F452" location="Transfers!B641" display="N"/>
    <hyperlink ref="G452" location="Transfers!B642" display="N"/>
    <hyperlink ref="H452" location="Transfers!B643" display="N"/>
    <hyperlink ref="I452" location="Transfers!B644" display="N"/>
    <hyperlink ref="J452" location="Transfers!B645" display="N"/>
    <hyperlink ref="K452" location="Transfers!B646" display="N"/>
    <hyperlink ref="L452" location="Transfers!B647" display="N"/>
    <hyperlink ref="M452" location="Transfers!B648" display="N"/>
    <hyperlink ref="N452" location="Transfers!B649" display="N"/>
    <hyperlink ref="B456" location="Transfers!$C$439" display="Transfers!$C$439"/>
    <hyperlink ref="B457" location="Transfers!$D$439" display="Transfers!$D$439"/>
    <hyperlink ref="B458" location="Transfers!$E$439" display="Transfers!$E$439"/>
    <hyperlink ref="B459" location="Transfers!$F$439" display="Transfers!$F$439"/>
    <hyperlink ref="B460" location="Transfers!$G$439" display="Transfers!$G$439"/>
    <hyperlink ref="B461" location="Transfers!$H$439" display="Transfers!$H$439"/>
    <hyperlink ref="B462" location="Transfers!$I$439" display="Transfers!$I$439"/>
    <hyperlink ref="B463" location="Transfers!$J$439" display="Transfers!$J$439"/>
    <hyperlink ref="B464" location="Transfers!$K$439" display="Transfers!$K$439"/>
    <hyperlink ref="B465" location="Transfers!$L$439" display="Transfers!$L$439"/>
    <hyperlink ref="B466" location="Transfers!$M$439" display="Transfers!$M$439"/>
    <hyperlink ref="B467" location="Transfers!$N$439" display="Transfers!$N$439"/>
    <hyperlink ref="B468" location="Transfers!$O$439" display="Transfers!$O$439"/>
    <hyperlink ref="B469" location="Transfers!$B$440" display="Transfers!$B$440"/>
    <hyperlink ref="B471" location="Transfers!$D$440" display="Transfers!$D$440"/>
    <hyperlink ref="B472" location="Transfers!$E$440" display="Transfers!$E$440"/>
    <hyperlink ref="B473" location="Transfers!$F$440" display="Transfers!$F$440"/>
    <hyperlink ref="B474" location="Transfers!$G$440" display="Transfers!$G$440"/>
    <hyperlink ref="B475" location="Transfers!$H$440" display="Transfers!$H$440"/>
    <hyperlink ref="B476" location="Transfers!$I$440" display="Transfers!$I$440"/>
    <hyperlink ref="B477" location="Transfers!$J$440" display="Transfers!$J$440"/>
    <hyperlink ref="B478" location="Transfers!$K$440" display="Transfers!$K$440"/>
    <hyperlink ref="B479" location="Transfers!$L$440" display="Transfers!$L$440"/>
    <hyperlink ref="B480" location="Transfers!$M$440" display="Transfers!$M$440"/>
    <hyperlink ref="B481" location="Transfers!$N$440" display="Transfers!$N$440"/>
    <hyperlink ref="B482" location="Transfers!$O$440" display="Transfers!$O$440"/>
    <hyperlink ref="B483" location="Transfers!$B$441" display="Transfers!$B$441"/>
    <hyperlink ref="B484" location="Transfers!$C$441" display="Transfers!$C$441"/>
    <hyperlink ref="B486" location="Transfers!$E$441" display="Transfers!$E$441"/>
    <hyperlink ref="B487" location="Transfers!$F$441" display="Transfers!$F$441"/>
    <hyperlink ref="B488" location="Transfers!$G$441" display="Transfers!$G$441"/>
    <hyperlink ref="B489" location="Transfers!$H$441" display="Transfers!$H$441"/>
    <hyperlink ref="B490" location="Transfers!$I$441" display="Transfers!$I$441"/>
    <hyperlink ref="B491" location="Transfers!$J$441" display="Transfers!$J$441"/>
    <hyperlink ref="B492" location="Transfers!$K$441" display="Transfers!$K$441"/>
    <hyperlink ref="B493" location="Transfers!$L$441" display="Transfers!$L$441"/>
    <hyperlink ref="B494" location="Transfers!$M$441" display="Transfers!$M$441"/>
    <hyperlink ref="B495" location="Transfers!$N$441" display="Transfers!$N$441"/>
    <hyperlink ref="B496" location="Transfers!$O$441" display="Transfers!$O$441"/>
    <hyperlink ref="B497" location="Transfers!$B$442" display="Transfers!$B$442"/>
    <hyperlink ref="B498" location="Transfers!$C$442" display="Transfers!$C$442"/>
    <hyperlink ref="B499" location="Transfers!$D$442" display="Transfers!$D$442"/>
    <hyperlink ref="B501" location="Transfers!$F$442" display="Transfers!$F$442"/>
    <hyperlink ref="B502" location="Transfers!$G$442" display="Transfers!$G$442"/>
    <hyperlink ref="B503" location="Transfers!$H$442" display="Transfers!$H$442"/>
    <hyperlink ref="B504" location="Transfers!$I$442" display="Transfers!$I$442"/>
    <hyperlink ref="B505" location="Transfers!$J$442" display="Transfers!$J$442"/>
    <hyperlink ref="B506" location="Transfers!$K$442" display="Transfers!$K$442"/>
    <hyperlink ref="B507" location="Transfers!$L$442" display="Transfers!$L$442"/>
    <hyperlink ref="B508" location="Transfers!$M$442" display="Transfers!$M$442"/>
    <hyperlink ref="B509" location="Transfers!$N$442" display="Transfers!$N$442"/>
    <hyperlink ref="B510" location="Transfers!$O$442" display="Transfers!$O$442"/>
    <hyperlink ref="B511" location="Transfers!$B$443" display="Transfers!$B$443"/>
    <hyperlink ref="B512" location="Transfers!$C$443" display="Transfers!$C$443"/>
    <hyperlink ref="B513" location="Transfers!$D$443" display="Transfers!$D$443"/>
    <hyperlink ref="B514" location="Transfers!$E$443" display="Transfers!$E$443"/>
    <hyperlink ref="B516" location="Transfers!$G$443" display="Transfers!$G$443"/>
    <hyperlink ref="B517" location="Transfers!$H$443" display="Transfers!$H$443"/>
    <hyperlink ref="B518" location="Transfers!$I$443" display="Transfers!$I$443"/>
    <hyperlink ref="B519" location="Transfers!$J$443" display="Transfers!$J$443"/>
    <hyperlink ref="B520" location="Transfers!$K$443" display="Transfers!$K$443"/>
    <hyperlink ref="B521" location="Transfers!$L$443" display="Transfers!$L$443"/>
    <hyperlink ref="B522" location="Transfers!$M$443" display="Transfers!$M$443"/>
    <hyperlink ref="B523" location="Transfers!$N$443" display="Transfers!$N$443"/>
    <hyperlink ref="B524" location="Transfers!$O$443" display="Transfers!$O$443"/>
    <hyperlink ref="B525" location="Transfers!$B$444" display="Transfers!$B$444"/>
    <hyperlink ref="B526" location="Transfers!$C$444" display="Transfers!$C$444"/>
    <hyperlink ref="B527" location="Transfers!$D$444" display="Transfers!$D$444"/>
    <hyperlink ref="B528" location="Transfers!$E$444" display="Transfers!$E$444"/>
    <hyperlink ref="B529" location="Transfers!$F$444" display="Transfers!$F$444"/>
    <hyperlink ref="B531" location="Transfers!$H$444" display="Transfers!$H$444"/>
    <hyperlink ref="B532" location="Transfers!$I$444" display="Transfers!$I$444"/>
    <hyperlink ref="B533" location="Transfers!$J$444" display="Transfers!$J$444"/>
    <hyperlink ref="B534" location="Transfers!$K$444" display="Transfers!$K$444"/>
    <hyperlink ref="B535" location="Transfers!$L$444" display="Transfers!$L$444"/>
    <hyperlink ref="B536" location="Transfers!$M$444" display="Transfers!$M$444"/>
    <hyperlink ref="B537" location="Transfers!$N$444" display="Transfers!$N$444"/>
    <hyperlink ref="B538" location="Transfers!$O$444" display="Transfers!$O$444"/>
    <hyperlink ref="B539" location="Transfers!$B$445" display="Transfers!$B$445"/>
    <hyperlink ref="B540" location="Transfers!$C$445" display="Transfers!$C$445"/>
    <hyperlink ref="B541" location="Transfers!$D$445" display="Transfers!$D$445"/>
    <hyperlink ref="B542" location="Transfers!$E$445" display="Transfers!$E$445"/>
    <hyperlink ref="B543" location="Transfers!$F$445" display="Transfers!$F$445"/>
    <hyperlink ref="B544" location="Transfers!$G$445" display="Transfers!$G$445"/>
    <hyperlink ref="B546" location="Transfers!$I$445" display="Transfers!$I$445"/>
    <hyperlink ref="B547" location="Transfers!$J$445" display="Transfers!$J$445"/>
    <hyperlink ref="B548" location="Transfers!$K$445" display="Transfers!$K$445"/>
    <hyperlink ref="B549" location="Transfers!$L$445" display="Transfers!$L$445"/>
    <hyperlink ref="B550" location="Transfers!$M$445" display="Transfers!$M$445"/>
    <hyperlink ref="B551" location="Transfers!$N$445" display="Transfers!$N$445"/>
    <hyperlink ref="B552" location="Transfers!$O$445" display="Transfers!$O$445"/>
    <hyperlink ref="B553" location="Transfers!$B$446" display="Transfers!$B$446"/>
    <hyperlink ref="B554" location="Transfers!$C$446" display="Transfers!$C$446"/>
    <hyperlink ref="B555" location="Transfers!$D$446" display="Transfers!$D$446"/>
    <hyperlink ref="B556" location="Transfers!$E$446" display="Transfers!$E$446"/>
    <hyperlink ref="B557" location="Transfers!$F$446" display="Transfers!$F$446"/>
    <hyperlink ref="B558" location="Transfers!$G$446" display="Transfers!$G$446"/>
    <hyperlink ref="B559" location="Transfers!$H$446" display="Transfers!$H$446"/>
    <hyperlink ref="B561" location="Transfers!$J$446" display="Transfers!$J$446"/>
    <hyperlink ref="B562" location="Transfers!$K$446" display="Transfers!$K$446"/>
    <hyperlink ref="B563" location="Transfers!$L$446" display="Transfers!$L$446"/>
    <hyperlink ref="B564" location="Transfers!$M$446" display="Transfers!$M$446"/>
    <hyperlink ref="B565" location="Transfers!$N$446" display="Transfers!$N$446"/>
    <hyperlink ref="B566" location="Transfers!$O$446" display="Transfers!$O$446"/>
    <hyperlink ref="B567" location="Transfers!$B$447" display="Transfers!$B$447"/>
    <hyperlink ref="B568" location="Transfers!$C$447" display="Transfers!$C$447"/>
    <hyperlink ref="B569" location="Transfers!$D$447" display="Transfers!$D$447"/>
    <hyperlink ref="B570" location="Transfers!$E$447" display="Transfers!$E$447"/>
    <hyperlink ref="B571" location="Transfers!$F$447" display="Transfers!$F$447"/>
    <hyperlink ref="B572" location="Transfers!$G$447" display="Transfers!$G$447"/>
    <hyperlink ref="B573" location="Transfers!$H$447" display="Transfers!$H$447"/>
    <hyperlink ref="B574" location="Transfers!$I$447" display="Transfers!$I$447"/>
    <hyperlink ref="B576" location="Transfers!$K$447" display="Transfers!$K$447"/>
    <hyperlink ref="B577" location="Transfers!$L$447" display="Transfers!$L$447"/>
    <hyperlink ref="B578" location="Transfers!$M$447" display="Transfers!$M$447"/>
    <hyperlink ref="B579" location="Transfers!$N$447" display="Transfers!$N$447"/>
    <hyperlink ref="B580" location="Transfers!$O$447" display="Transfers!$O$447"/>
    <hyperlink ref="B581" location="Transfers!$B$448" display="Transfers!$B$448"/>
    <hyperlink ref="B582" location="Transfers!$C$448" display="Transfers!$C$448"/>
    <hyperlink ref="B583" location="Transfers!$D$448" display="Transfers!$D$448"/>
    <hyperlink ref="B584" location="Transfers!$E$448" display="Transfers!$E$448"/>
    <hyperlink ref="B585" location="Transfers!$F$448" display="Transfers!$F$448"/>
    <hyperlink ref="B586" location="Transfers!$G$448" display="Transfers!$G$448"/>
    <hyperlink ref="B587" location="Transfers!$H$448" display="Transfers!$H$448"/>
    <hyperlink ref="B588" location="Transfers!$I$448" display="Transfers!$I$448"/>
    <hyperlink ref="B589" location="Transfers!$J$448" display="Transfers!$J$448"/>
    <hyperlink ref="B591" location="Transfers!$L$448" display="Transfers!$L$448"/>
    <hyperlink ref="B592" location="Transfers!$M$448" display="Transfers!$M$448"/>
    <hyperlink ref="B593" location="Transfers!$N$448" display="Transfers!$N$448"/>
    <hyperlink ref="B594" location="Transfers!$O$448" display="Transfers!$O$448"/>
    <hyperlink ref="B595" location="Transfers!$B$449" display="Transfers!$B$449"/>
    <hyperlink ref="B596" location="Transfers!$C$449" display="Transfers!$C$449"/>
    <hyperlink ref="B597" location="Transfers!$D$449" display="Transfers!$D$449"/>
    <hyperlink ref="B598" location="Transfers!$E$449" display="Transfers!$E$449"/>
    <hyperlink ref="B599" location="Transfers!$F$449" display="Transfers!$F$449"/>
    <hyperlink ref="B600" location="Transfers!$G$449" display="Transfers!$G$449"/>
    <hyperlink ref="B601" location="Transfers!$H$449" display="Transfers!$H$449"/>
    <hyperlink ref="B602" location="Transfers!$I$449" display="Transfers!$I$449"/>
    <hyperlink ref="B603" location="Transfers!$J$449" display="Transfers!$J$449"/>
    <hyperlink ref="B604" location="Transfers!$K$449" display="Transfers!$K$449"/>
    <hyperlink ref="B606" location="Transfers!$M$449" display="Transfers!$M$449"/>
    <hyperlink ref="B607" location="Transfers!$N$449" display="Transfers!$N$449"/>
    <hyperlink ref="B608" location="Transfers!$O$449" display="Transfers!$O$449"/>
    <hyperlink ref="B609" location="Transfers!$B$450" display="Transfers!$B$450"/>
    <hyperlink ref="B610" location="Transfers!$C$450" display="Transfers!$C$450"/>
    <hyperlink ref="B611" location="Transfers!$D$450" display="Transfers!$D$450"/>
    <hyperlink ref="B612" location="Transfers!$E$450" display="Transfers!$E$450"/>
    <hyperlink ref="B613" location="Transfers!$F$450" display="Transfers!$F$450"/>
    <hyperlink ref="B614" location="Transfers!$G$450" display="Transfers!$G$450"/>
    <hyperlink ref="B615" location="Transfers!$H$450" display="Transfers!$H$450"/>
    <hyperlink ref="B616" location="Transfers!$I$450" display="Transfers!$I$450"/>
    <hyperlink ref="B617" location="Transfers!$J$450" display="Transfers!$J$450"/>
    <hyperlink ref="B618" location="Transfers!$K$450" display="Transfers!$K$450"/>
    <hyperlink ref="B619" location="Transfers!$L$450" display="Transfers!$L$450"/>
    <hyperlink ref="B621" location="Transfers!$N$450" display="Transfers!$N$450"/>
    <hyperlink ref="B622" location="Transfers!$O$450" display="Transfers!$O$450"/>
    <hyperlink ref="B623" location="Transfers!$B$451" display="Transfers!$B$451"/>
    <hyperlink ref="B624" location="Transfers!$C$451" display="Transfers!$C$451"/>
    <hyperlink ref="B625" location="Transfers!$D$451" display="Transfers!$D$451"/>
    <hyperlink ref="B626" location="Transfers!$E$451" display="Transfers!$E$451"/>
    <hyperlink ref="B627" location="Transfers!$F$451" display="Transfers!$F$451"/>
    <hyperlink ref="B628" location="Transfers!$G$451" display="Transfers!$G$451"/>
    <hyperlink ref="B629" location="Transfers!$H$451" display="Transfers!$H$451"/>
    <hyperlink ref="B630" location="Transfers!$I$451" display="Transfers!$I$451"/>
    <hyperlink ref="B631" location="Transfers!$J$451" display="Transfers!$J$451"/>
    <hyperlink ref="B632" location="Transfers!$K$451" display="Transfers!$K$451"/>
    <hyperlink ref="B633" location="Transfers!$L$451" display="Transfers!$L$451"/>
    <hyperlink ref="B634" location="Transfers!$M$451" display="Transfers!$M$451"/>
    <hyperlink ref="B636" location="Transfers!$O$451" display="Transfers!$O$451"/>
    <hyperlink ref="B637" location="Transfers!$B$452" display="Transfers!$B$452"/>
    <hyperlink ref="B638" location="Transfers!$C$452" display="Transfers!$C$452"/>
    <hyperlink ref="B639" location="Transfers!$D$452" display="Transfers!$D$452"/>
    <hyperlink ref="B640" location="Transfers!$E$452" display="Transfers!$E$452"/>
    <hyperlink ref="B641" location="Transfers!$F$452" display="Transfers!$F$452"/>
    <hyperlink ref="B642" location="Transfers!$G$452" display="Transfers!$G$452"/>
    <hyperlink ref="B643" location="Transfers!$H$452" display="Transfers!$H$452"/>
    <hyperlink ref="B644" location="Transfers!$I$452" display="Transfers!$I$452"/>
    <hyperlink ref="B645" location="Transfers!$J$452" display="Transfers!$J$452"/>
    <hyperlink ref="B646" location="Transfers!$K$452" display="Transfers!$K$452"/>
    <hyperlink ref="B647" location="Transfers!$L$452" display="Transfers!$L$452"/>
    <hyperlink ref="B648" location="Transfers!$M$452" display="Transfers!$M$452"/>
    <hyperlink ref="B649" location="Transfers!$N$452" display="Transfers!$N$452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005E08A-C733-4C61-825F-8758EEF3EDC3}"/>
</file>

<file path=customXml/itemProps2.xml><?xml version="1.0" encoding="utf-8"?>
<ds:datastoreItem xmlns:ds="http://schemas.openxmlformats.org/officeDocument/2006/customXml" ds:itemID="{672496BC-909E-4DEB-8F1A-7E62FBAFD752}"/>
</file>

<file path=customXml/itemProps3.xml><?xml version="1.0" encoding="utf-8"?>
<ds:datastoreItem xmlns:ds="http://schemas.openxmlformats.org/officeDocument/2006/customXml" ds:itemID="{47E23E44-6A5E-431E-AFAB-F4DE4551DD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Population Definitions</vt:lpstr>
      <vt:lpstr>Disease Burden</vt:lpstr>
      <vt:lpstr>Demographics</vt:lpstr>
      <vt:lpstr>Infectiousness</vt:lpstr>
      <vt:lpstr>Disease Progression</vt:lpstr>
      <vt:lpstr>Diagnosis</vt:lpstr>
      <vt:lpstr>Loss to follow-up</vt:lpstr>
      <vt:lpstr>Re-engagement</vt:lpstr>
      <vt:lpstr>Treatment</vt:lpstr>
      <vt:lpstr>Liver Transplant</vt:lpstr>
      <vt:lpstr>Overall Indicators</vt:lpstr>
      <vt:lpstr>Initialization</vt:lpstr>
      <vt:lpstr>Care Cascade</vt:lpstr>
      <vt:lpstr>Other intermediate pars</vt:lpstr>
      <vt:lpstr>Vaccine parameters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2026-02-15T22:23:27Z</dcterms:created>
  <dcterms:modified xsi:type="dcterms:W3CDTF">2026-02-15T22:23:27Z</dcterms:modified>
  <cp:category>atomica:databook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